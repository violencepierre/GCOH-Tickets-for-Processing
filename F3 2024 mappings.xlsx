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C91089B6-7A73-4211-95F0-76B6AAF409F3}" xr6:coauthVersionLast="47" xr6:coauthVersionMax="47" xr10:uidLastSave="{00000000-0000-0000-0000-000000000000}"/>
  <bookViews>
    <workbookView xWindow="-120" yWindow="-120" windowWidth="38640" windowHeight="211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5" sheetId="32" r:id="rId6"/>
    <sheet name="Sheet4" sheetId="31" r:id="rId7"/>
    <sheet name="Sheet3" sheetId="30" r:id="rId8"/>
    <sheet name="Sheet2" sheetId="29" r:id="rId9"/>
    <sheet name="Sheet1" sheetId="28" r:id="rId10"/>
    <sheet name="For Commentary" sheetId="20" r:id="rId11"/>
    <sheet name="Authors" sheetId="18" r:id="rId12"/>
    <sheet name="STAT" sheetId="10" r:id="rId13"/>
    <sheet name="Sector" sheetId="3" r:id="rId14"/>
    <sheet name="YelTable" sheetId="24" r:id="rId15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4" hidden="1">YelTable!$A$1:$E$5</definedName>
    <definedName name="ID" localSheetId="11" hidden="1">"f29e49f0-c842-4a01-8df8-c72694a7b15c"</definedName>
    <definedName name="ID" localSheetId="3" hidden="1">"3fb6490e-8bae-4ce5-b09c-5121e79bff69"</definedName>
    <definedName name="ID" localSheetId="10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3" hidden="1">"fa560984-7bbe-4a11-88aa-39d6eb27c9e2"</definedName>
    <definedName name="ID" localSheetId="12" hidden="1">"e95ef0c9-3382-426f-86db-9e8ceaf6f6b4"</definedName>
    <definedName name="ID" localSheetId="14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 refMode="R1C1" iterateCount="0" calcOnSave="0" concurrentCalc="0"/>
  <pivotCaches>
    <pivotCache cacheId="8" r:id="rId16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5104" i="1" l="1"/>
  <c r="B5105" i="1"/>
  <c r="B5106" i="1"/>
  <c r="B5107" i="1"/>
  <c r="B5108" i="1"/>
  <c r="H5104" i="1"/>
  <c r="H5105" i="1"/>
  <c r="H5106" i="1"/>
  <c r="H5107" i="1"/>
  <c r="H5108" i="1"/>
  <c r="J5104" i="1"/>
  <c r="J5105" i="1"/>
  <c r="J5106" i="1"/>
  <c r="J5107" i="1"/>
  <c r="J5108" i="1"/>
  <c r="K5104" i="1"/>
  <c r="K5105" i="1"/>
  <c r="K5106" i="1"/>
  <c r="K5107" i="1"/>
  <c r="K5108" i="1"/>
  <c r="Q5104" i="1"/>
  <c r="P5104" i="1"/>
  <c r="Q5105" i="1"/>
  <c r="P5105" i="1"/>
  <c r="Q5106" i="1"/>
  <c r="P5106" i="1"/>
  <c r="Q5107" i="1"/>
  <c r="P5107" i="1"/>
  <c r="Q5108" i="1"/>
  <c r="P5108" i="1"/>
  <c r="F5103" i="1"/>
  <c r="F5102" i="1"/>
  <c r="F5101" i="1"/>
  <c r="F5100" i="1"/>
  <c r="F5099" i="1"/>
  <c r="F5098" i="1"/>
  <c r="F5097" i="1"/>
  <c r="J5097" i="1"/>
  <c r="F5096" i="1"/>
  <c r="F5090" i="1"/>
  <c r="J5090" i="1"/>
  <c r="B5097" i="1"/>
  <c r="B5098" i="1"/>
  <c r="B5099" i="1"/>
  <c r="B5100" i="1"/>
  <c r="B5101" i="1"/>
  <c r="B5102" i="1"/>
  <c r="B5103" i="1"/>
  <c r="H5097" i="1"/>
  <c r="H5099" i="1"/>
  <c r="H5100" i="1"/>
  <c r="H5101" i="1"/>
  <c r="H5102" i="1"/>
  <c r="H5103" i="1"/>
  <c r="J5098" i="1"/>
  <c r="J5099" i="1"/>
  <c r="J5100" i="1"/>
  <c r="J5101" i="1"/>
  <c r="J5102" i="1"/>
  <c r="J5103" i="1"/>
  <c r="K5097" i="1"/>
  <c r="K5098" i="1"/>
  <c r="K5099" i="1"/>
  <c r="K5100" i="1"/>
  <c r="K5101" i="1"/>
  <c r="K5102" i="1"/>
  <c r="K5103" i="1"/>
  <c r="Q5097" i="1"/>
  <c r="P5097" i="1"/>
  <c r="Q5098" i="1"/>
  <c r="P5098" i="1"/>
  <c r="Q5099" i="1"/>
  <c r="P5099" i="1"/>
  <c r="Q5100" i="1"/>
  <c r="P5100" i="1"/>
  <c r="Q5101" i="1"/>
  <c r="P5101" i="1"/>
  <c r="Q5102" i="1"/>
  <c r="P5102" i="1"/>
  <c r="Q5103" i="1"/>
  <c r="P5103" i="1"/>
  <c r="B5096" i="1"/>
  <c r="H5096" i="1"/>
  <c r="J5096" i="1"/>
  <c r="K5096" i="1"/>
  <c r="Q5096" i="1"/>
  <c r="P5096" i="1"/>
  <c r="F5095" i="1"/>
  <c r="J5095" i="1"/>
  <c r="F5094" i="1"/>
  <c r="J5094" i="1"/>
  <c r="F5093" i="1"/>
  <c r="J5093" i="1"/>
  <c r="F5091" i="1"/>
  <c r="J5091" i="1"/>
  <c r="F5089" i="1"/>
  <c r="J5089" i="1"/>
  <c r="F5088" i="1"/>
  <c r="J5088" i="1"/>
  <c r="F5087" i="1"/>
  <c r="F5086" i="1"/>
  <c r="J5086" i="1"/>
  <c r="F5085" i="1"/>
  <c r="J5085" i="1"/>
  <c r="F5084" i="1"/>
  <c r="F5083" i="1"/>
  <c r="J5083" i="1"/>
  <c r="F5082" i="1"/>
  <c r="J5082" i="1"/>
  <c r="F5081" i="1"/>
  <c r="J5081" i="1"/>
  <c r="F5080" i="1"/>
  <c r="J5080" i="1"/>
  <c r="F5079" i="1"/>
  <c r="J5079" i="1"/>
  <c r="F5078" i="1"/>
  <c r="J5078" i="1"/>
  <c r="F5077" i="1"/>
  <c r="J5077" i="1"/>
  <c r="F5076" i="1"/>
  <c r="J5076" i="1"/>
  <c r="F5075" i="1"/>
  <c r="F5074" i="1"/>
  <c r="J5074" i="1"/>
  <c r="F5073" i="1"/>
  <c r="J5073" i="1"/>
  <c r="F5072" i="1"/>
  <c r="J5072" i="1"/>
  <c r="F5071" i="1"/>
  <c r="F5070" i="1"/>
  <c r="J5070" i="1"/>
  <c r="F5069" i="1"/>
  <c r="J5069" i="1"/>
  <c r="F5068" i="1"/>
  <c r="J5068" i="1"/>
  <c r="F5067" i="1"/>
  <c r="J5067" i="1"/>
  <c r="F5066" i="1"/>
  <c r="J5066" i="1"/>
  <c r="F5065" i="1"/>
  <c r="J5065" i="1"/>
  <c r="F5064" i="1"/>
  <c r="J5064" i="1"/>
  <c r="F5063" i="1"/>
  <c r="J5063" i="1"/>
  <c r="F5062" i="1"/>
  <c r="J5062" i="1"/>
  <c r="F5041" i="1"/>
  <c r="F5039" i="1"/>
  <c r="F5038" i="1"/>
  <c r="F5037" i="1"/>
  <c r="F5036" i="1"/>
  <c r="F5035" i="1"/>
  <c r="F5022" i="1"/>
  <c r="F5021" i="1"/>
  <c r="F5020" i="1"/>
  <c r="F5019" i="1"/>
  <c r="F5018" i="1"/>
  <c r="F5017" i="1"/>
  <c r="J5084" i="1"/>
  <c r="B5091" i="1"/>
  <c r="B5092" i="1"/>
  <c r="B5093" i="1"/>
  <c r="B5094" i="1"/>
  <c r="B5095" i="1"/>
  <c r="H5091" i="1"/>
  <c r="H5092" i="1"/>
  <c r="H5093" i="1"/>
  <c r="H5094" i="1"/>
  <c r="H5095" i="1"/>
  <c r="J5092" i="1"/>
  <c r="K5091" i="1"/>
  <c r="K5092" i="1"/>
  <c r="K5093" i="1"/>
  <c r="K5094" i="1"/>
  <c r="K5095" i="1"/>
  <c r="Q5091" i="1"/>
  <c r="P5091" i="1"/>
  <c r="Q5092" i="1"/>
  <c r="P5092" i="1"/>
  <c r="Q5093" i="1"/>
  <c r="P5093" i="1"/>
  <c r="Q5094" i="1"/>
  <c r="P5094" i="1"/>
  <c r="Q5095" i="1"/>
  <c r="P5095" i="1"/>
  <c r="B5090" i="1"/>
  <c r="H5090" i="1"/>
  <c r="K5090" i="1"/>
  <c r="Q5090" i="1"/>
  <c r="P5090" i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J5071" i="1"/>
  <c r="J5075" i="1"/>
  <c r="J5087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Q5065" i="1"/>
  <c r="P5065" i="1"/>
  <c r="Q5066" i="1"/>
  <c r="P5066" i="1"/>
  <c r="Q5067" i="1"/>
  <c r="P5067" i="1"/>
  <c r="Q5068" i="1"/>
  <c r="P5068" i="1"/>
  <c r="Q5069" i="1"/>
  <c r="P5069" i="1"/>
  <c r="Q5070" i="1"/>
  <c r="P5070" i="1"/>
  <c r="Q5071" i="1"/>
  <c r="P5071" i="1"/>
  <c r="Q5072" i="1"/>
  <c r="P5072" i="1"/>
  <c r="Q5073" i="1"/>
  <c r="P5073" i="1"/>
  <c r="Q5074" i="1"/>
  <c r="P5074" i="1"/>
  <c r="Q5075" i="1"/>
  <c r="P5075" i="1"/>
  <c r="Q5076" i="1"/>
  <c r="P5076" i="1"/>
  <c r="Q5077" i="1"/>
  <c r="P5077" i="1"/>
  <c r="Q5078" i="1"/>
  <c r="P5078" i="1"/>
  <c r="Q5079" i="1"/>
  <c r="P5079" i="1"/>
  <c r="Q5080" i="1"/>
  <c r="P5080" i="1"/>
  <c r="Q5081" i="1"/>
  <c r="P5081" i="1"/>
  <c r="Q5082" i="1"/>
  <c r="P5082" i="1"/>
  <c r="Q5083" i="1"/>
  <c r="P5083" i="1"/>
  <c r="Q5084" i="1"/>
  <c r="P5084" i="1"/>
  <c r="Q5085" i="1"/>
  <c r="P5085" i="1"/>
  <c r="Q5086" i="1"/>
  <c r="P5086" i="1"/>
  <c r="Q5087" i="1"/>
  <c r="P5087" i="1"/>
  <c r="Q5088" i="1"/>
  <c r="P5088" i="1"/>
  <c r="Q5089" i="1"/>
  <c r="P5089" i="1"/>
  <c r="B5064" i="1"/>
  <c r="H5064" i="1"/>
  <c r="K5064" i="1"/>
  <c r="Q5064" i="1"/>
  <c r="P5064" i="1"/>
  <c r="B5063" i="1"/>
  <c r="H5063" i="1"/>
  <c r="K5063" i="1"/>
  <c r="Q5063" i="1"/>
  <c r="P5063" i="1"/>
  <c r="B5062" i="1"/>
  <c r="H5062" i="1"/>
  <c r="K5062" i="1"/>
  <c r="Q5062" i="1"/>
  <c r="P5062" i="1"/>
  <c r="B5052" i="1"/>
  <c r="B5053" i="1"/>
  <c r="B5054" i="1"/>
  <c r="B5055" i="1"/>
  <c r="B5056" i="1"/>
  <c r="B5057" i="1"/>
  <c r="B5058" i="1"/>
  <c r="B5059" i="1"/>
  <c r="B5060" i="1"/>
  <c r="B5061" i="1"/>
  <c r="H5052" i="1"/>
  <c r="H5053" i="1"/>
  <c r="H5054" i="1"/>
  <c r="H5055" i="1"/>
  <c r="H5056" i="1"/>
  <c r="H5057" i="1"/>
  <c r="H5058" i="1"/>
  <c r="H5059" i="1"/>
  <c r="H5060" i="1"/>
  <c r="H5061" i="1"/>
  <c r="J5052" i="1"/>
  <c r="J5053" i="1"/>
  <c r="J5054" i="1"/>
  <c r="J5055" i="1"/>
  <c r="J5056" i="1"/>
  <c r="J5057" i="1"/>
  <c r="J5058" i="1"/>
  <c r="J5059" i="1"/>
  <c r="J5060" i="1"/>
  <c r="J5061" i="1"/>
  <c r="K5052" i="1"/>
  <c r="K5053" i="1"/>
  <c r="K5054" i="1"/>
  <c r="K5055" i="1"/>
  <c r="K5056" i="1"/>
  <c r="K5057" i="1"/>
  <c r="K5058" i="1"/>
  <c r="K5059" i="1"/>
  <c r="K5060" i="1"/>
  <c r="K5061" i="1"/>
  <c r="Q5052" i="1"/>
  <c r="P5052" i="1"/>
  <c r="Q5053" i="1"/>
  <c r="P5053" i="1"/>
  <c r="Q5054" i="1"/>
  <c r="P5054" i="1"/>
  <c r="Q5055" i="1"/>
  <c r="P5055" i="1"/>
  <c r="Q5056" i="1"/>
  <c r="P5056" i="1"/>
  <c r="Q5057" i="1"/>
  <c r="P5057" i="1"/>
  <c r="Q5058" i="1"/>
  <c r="P5058" i="1"/>
  <c r="Q5059" i="1"/>
  <c r="P5059" i="1"/>
  <c r="Q5060" i="1"/>
  <c r="P5060" i="1"/>
  <c r="Q5061" i="1"/>
  <c r="P5061" i="1"/>
  <c r="B5044" i="1"/>
  <c r="B5045" i="1"/>
  <c r="B5046" i="1"/>
  <c r="B5047" i="1"/>
  <c r="B5048" i="1"/>
  <c r="B5049" i="1"/>
  <c r="B5050" i="1"/>
  <c r="B5051" i="1"/>
  <c r="H5044" i="1"/>
  <c r="H5045" i="1"/>
  <c r="H5046" i="1"/>
  <c r="H5047" i="1"/>
  <c r="H5048" i="1"/>
  <c r="H5049" i="1"/>
  <c r="H5050" i="1"/>
  <c r="H5051" i="1"/>
  <c r="J5044" i="1"/>
  <c r="J5045" i="1"/>
  <c r="J5046" i="1"/>
  <c r="J5047" i="1"/>
  <c r="J5048" i="1"/>
  <c r="J5049" i="1"/>
  <c r="J5050" i="1"/>
  <c r="J5051" i="1"/>
  <c r="K5044" i="1"/>
  <c r="K5045" i="1"/>
  <c r="K5046" i="1"/>
  <c r="K5047" i="1"/>
  <c r="K5048" i="1"/>
  <c r="K5049" i="1"/>
  <c r="K5050" i="1"/>
  <c r="K5051" i="1"/>
  <c r="Q5044" i="1"/>
  <c r="P5044" i="1"/>
  <c r="Q5045" i="1"/>
  <c r="P5045" i="1"/>
  <c r="Q5046" i="1"/>
  <c r="P5046" i="1"/>
  <c r="Q5047" i="1"/>
  <c r="P5047" i="1"/>
  <c r="Q5048" i="1"/>
  <c r="P5048" i="1"/>
  <c r="Q5049" i="1"/>
  <c r="P5049" i="1"/>
  <c r="Q5050" i="1"/>
  <c r="P5050" i="1"/>
  <c r="Q5051" i="1"/>
  <c r="P5051" i="1"/>
  <c r="B5043" i="1"/>
  <c r="H5043" i="1"/>
  <c r="J5043" i="1"/>
  <c r="K5043" i="1"/>
  <c r="Q5043" i="1"/>
  <c r="P5043" i="1"/>
  <c r="B5042" i="1"/>
  <c r="H5042" i="1"/>
  <c r="J5042" i="1"/>
  <c r="K5042" i="1"/>
  <c r="Q5042" i="1"/>
  <c r="P5042" i="1"/>
  <c r="B5041" i="1"/>
  <c r="H5041" i="1"/>
  <c r="J5041" i="1"/>
  <c r="K5041" i="1"/>
  <c r="Q5041" i="1"/>
  <c r="P5041" i="1"/>
  <c r="B5040" i="1"/>
  <c r="H5040" i="1"/>
  <c r="J5040" i="1"/>
  <c r="K5040" i="1"/>
  <c r="Q5040" i="1"/>
  <c r="P5040" i="1"/>
  <c r="B5037" i="1"/>
  <c r="B5038" i="1"/>
  <c r="B5039" i="1"/>
  <c r="H5037" i="1"/>
  <c r="H5038" i="1"/>
  <c r="H5039" i="1"/>
  <c r="J5037" i="1"/>
  <c r="J5038" i="1"/>
  <c r="J5039" i="1"/>
  <c r="K5037" i="1"/>
  <c r="K5038" i="1"/>
  <c r="K5039" i="1"/>
  <c r="Q5037" i="1"/>
  <c r="P5037" i="1"/>
  <c r="Q5038" i="1"/>
  <c r="P5038" i="1"/>
  <c r="Q5039" i="1"/>
  <c r="P5039" i="1"/>
  <c r="B5036" i="1"/>
  <c r="H5036" i="1"/>
  <c r="J5036" i="1"/>
  <c r="K5036" i="1"/>
  <c r="Q5036" i="1"/>
  <c r="P5036" i="1"/>
  <c r="B5035" i="1"/>
  <c r="H5035" i="1"/>
  <c r="J5035" i="1"/>
  <c r="K5035" i="1"/>
  <c r="Q5035" i="1"/>
  <c r="P5035" i="1"/>
  <c r="B5025" i="1"/>
  <c r="B5026" i="1"/>
  <c r="B5027" i="1"/>
  <c r="B5028" i="1"/>
  <c r="B5029" i="1"/>
  <c r="B5030" i="1"/>
  <c r="B5031" i="1"/>
  <c r="B5032" i="1"/>
  <c r="B5033" i="1"/>
  <c r="B5034" i="1"/>
  <c r="H5025" i="1"/>
  <c r="H5026" i="1"/>
  <c r="H5027" i="1"/>
  <c r="H5028" i="1"/>
  <c r="H5029" i="1"/>
  <c r="H5030" i="1"/>
  <c r="H5031" i="1"/>
  <c r="H5032" i="1"/>
  <c r="H5033" i="1"/>
  <c r="H5034" i="1"/>
  <c r="J5025" i="1"/>
  <c r="J5026" i="1"/>
  <c r="J5027" i="1"/>
  <c r="J5028" i="1"/>
  <c r="J5029" i="1"/>
  <c r="J5030" i="1"/>
  <c r="J5031" i="1"/>
  <c r="J5032" i="1"/>
  <c r="J5033" i="1"/>
  <c r="J5034" i="1"/>
  <c r="K5025" i="1"/>
  <c r="K5026" i="1"/>
  <c r="K5027" i="1"/>
  <c r="K5028" i="1"/>
  <c r="K5029" i="1"/>
  <c r="K5030" i="1"/>
  <c r="K5031" i="1"/>
  <c r="K5032" i="1"/>
  <c r="K5033" i="1"/>
  <c r="K5034" i="1"/>
  <c r="Q5025" i="1"/>
  <c r="P5025" i="1"/>
  <c r="Q5026" i="1"/>
  <c r="P5026" i="1"/>
  <c r="Q5027" i="1"/>
  <c r="P5027" i="1"/>
  <c r="Q5028" i="1"/>
  <c r="P5028" i="1"/>
  <c r="Q5029" i="1"/>
  <c r="P5029" i="1"/>
  <c r="Q5030" i="1"/>
  <c r="P5030" i="1"/>
  <c r="Q5031" i="1"/>
  <c r="P5031" i="1"/>
  <c r="Q5032" i="1"/>
  <c r="P5032" i="1"/>
  <c r="Q5033" i="1"/>
  <c r="P5033" i="1"/>
  <c r="Q5034" i="1"/>
  <c r="P5034" i="1"/>
  <c r="B5024" i="1"/>
  <c r="H5024" i="1"/>
  <c r="J5024" i="1"/>
  <c r="K5024" i="1"/>
  <c r="Q5024" i="1"/>
  <c r="P5024" i="1"/>
  <c r="B5023" i="1"/>
  <c r="H5023" i="1"/>
  <c r="J5023" i="1"/>
  <c r="K5023" i="1"/>
  <c r="Q5023" i="1"/>
  <c r="P5023" i="1"/>
  <c r="B5017" i="1"/>
  <c r="B5018" i="1"/>
  <c r="B5019" i="1"/>
  <c r="B5020" i="1"/>
  <c r="B5021" i="1"/>
  <c r="B5022" i="1"/>
  <c r="H5017" i="1"/>
  <c r="H5018" i="1"/>
  <c r="H5019" i="1"/>
  <c r="H5020" i="1"/>
  <c r="H5021" i="1"/>
  <c r="H5022" i="1"/>
  <c r="J5017" i="1"/>
  <c r="J5018" i="1"/>
  <c r="J5019" i="1"/>
  <c r="J5020" i="1"/>
  <c r="J5021" i="1"/>
  <c r="J5022" i="1"/>
  <c r="K5017" i="1"/>
  <c r="K5018" i="1"/>
  <c r="K5019" i="1"/>
  <c r="K5020" i="1"/>
  <c r="K5021" i="1"/>
  <c r="K5022" i="1"/>
  <c r="Q5017" i="1"/>
  <c r="P5017" i="1"/>
  <c r="Q5018" i="1"/>
  <c r="P5018" i="1"/>
  <c r="Q5019" i="1"/>
  <c r="P5019" i="1"/>
  <c r="Q5020" i="1"/>
  <c r="P5020" i="1"/>
  <c r="Q5021" i="1"/>
  <c r="P5021" i="1"/>
  <c r="Q5022" i="1"/>
  <c r="P5022" i="1"/>
  <c r="B5016" i="1"/>
  <c r="H5016" i="1"/>
  <c r="J5016" i="1"/>
  <c r="K5016" i="1"/>
  <c r="Q5016" i="1"/>
  <c r="P5016" i="1"/>
  <c r="B5015" i="1"/>
  <c r="H5015" i="1"/>
  <c r="J5015" i="1"/>
  <c r="K5015" i="1"/>
  <c r="Q5015" i="1"/>
  <c r="P5015" i="1"/>
  <c r="B5014" i="1"/>
  <c r="H5014" i="1"/>
  <c r="J5014" i="1"/>
  <c r="K5014" i="1"/>
  <c r="Q5014" i="1"/>
  <c r="P5014" i="1"/>
  <c r="J4996" i="1"/>
  <c r="J4995" i="1"/>
  <c r="J4994" i="1"/>
  <c r="J4993" i="1"/>
  <c r="J4991" i="1"/>
  <c r="J4989" i="1"/>
  <c r="J4988" i="1"/>
  <c r="J5013" i="1"/>
  <c r="J5003" i="1"/>
  <c r="J5002" i="1"/>
  <c r="J5001" i="1"/>
  <c r="J5000" i="1"/>
  <c r="J4999" i="1"/>
  <c r="J4998" i="1"/>
  <c r="J4997" i="1"/>
  <c r="J4987" i="1"/>
  <c r="J4986" i="1"/>
  <c r="J4985" i="1"/>
  <c r="J4984" i="1"/>
  <c r="J4983" i="1"/>
  <c r="J4982" i="1"/>
  <c r="J4981" i="1"/>
  <c r="B5005" i="1"/>
  <c r="B5006" i="1"/>
  <c r="B5007" i="1"/>
  <c r="B5008" i="1"/>
  <c r="B5009" i="1"/>
  <c r="B5010" i="1"/>
  <c r="B5011" i="1"/>
  <c r="B5012" i="1"/>
  <c r="B5013" i="1"/>
  <c r="H5005" i="1"/>
  <c r="H5006" i="1"/>
  <c r="H5007" i="1"/>
  <c r="H5008" i="1"/>
  <c r="H5009" i="1"/>
  <c r="H5010" i="1"/>
  <c r="H5011" i="1"/>
  <c r="H5012" i="1"/>
  <c r="H5013" i="1"/>
  <c r="J5007" i="1"/>
  <c r="J5008" i="1"/>
  <c r="J5009" i="1"/>
  <c r="J5011" i="1"/>
  <c r="J5012" i="1"/>
  <c r="K5005" i="1"/>
  <c r="K5006" i="1"/>
  <c r="K5007" i="1"/>
  <c r="K5008" i="1"/>
  <c r="K5009" i="1"/>
  <c r="K5010" i="1"/>
  <c r="K5011" i="1"/>
  <c r="K5012" i="1"/>
  <c r="K5013" i="1"/>
  <c r="Q5005" i="1"/>
  <c r="P5005" i="1"/>
  <c r="Q5006" i="1"/>
  <c r="P5006" i="1"/>
  <c r="Q5007" i="1"/>
  <c r="P5007" i="1"/>
  <c r="Q5008" i="1"/>
  <c r="P5008" i="1"/>
  <c r="Q5009" i="1"/>
  <c r="P5009" i="1"/>
  <c r="Q5010" i="1"/>
  <c r="P5010" i="1"/>
  <c r="Q5011" i="1"/>
  <c r="P5011" i="1"/>
  <c r="Q5012" i="1"/>
  <c r="P5012" i="1"/>
  <c r="Q5013" i="1"/>
  <c r="P5013" i="1"/>
  <c r="B5004" i="1"/>
  <c r="H5004" i="1"/>
  <c r="K5004" i="1"/>
  <c r="Q5004" i="1"/>
  <c r="P5004" i="1"/>
  <c r="B5003" i="1"/>
  <c r="H5003" i="1"/>
  <c r="K5003" i="1"/>
  <c r="Q5003" i="1"/>
  <c r="P5003" i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J4990" i="1"/>
  <c r="J4992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Q4982" i="1"/>
  <c r="P4982" i="1"/>
  <c r="Q4983" i="1"/>
  <c r="P4983" i="1"/>
  <c r="Q4984" i="1"/>
  <c r="P4984" i="1"/>
  <c r="Q4985" i="1"/>
  <c r="P4985" i="1"/>
  <c r="Q4986" i="1"/>
  <c r="P4986" i="1"/>
  <c r="Q4987" i="1"/>
  <c r="P4987" i="1"/>
  <c r="Q4988" i="1"/>
  <c r="P4988" i="1"/>
  <c r="Q4989" i="1"/>
  <c r="P4989" i="1"/>
  <c r="Q4990" i="1"/>
  <c r="P4990" i="1"/>
  <c r="Q4991" i="1"/>
  <c r="P4991" i="1"/>
  <c r="Q4992" i="1"/>
  <c r="P4992" i="1"/>
  <c r="Q4993" i="1"/>
  <c r="P4993" i="1"/>
  <c r="Q4994" i="1"/>
  <c r="P4994" i="1"/>
  <c r="Q4995" i="1"/>
  <c r="P4995" i="1"/>
  <c r="Q4996" i="1"/>
  <c r="P4996" i="1"/>
  <c r="Q4997" i="1"/>
  <c r="P4997" i="1"/>
  <c r="Q4998" i="1"/>
  <c r="P4998" i="1"/>
  <c r="Q4999" i="1"/>
  <c r="P4999" i="1"/>
  <c r="Q5000" i="1"/>
  <c r="P5000" i="1"/>
  <c r="Q5001" i="1"/>
  <c r="P5001" i="1"/>
  <c r="Q5002" i="1"/>
  <c r="P5002" i="1"/>
  <c r="B4981" i="1"/>
  <c r="H4981" i="1"/>
  <c r="K4981" i="1"/>
  <c r="Q4981" i="1"/>
  <c r="P4981" i="1"/>
  <c r="B4980" i="1"/>
  <c r="H4980" i="1"/>
  <c r="J4980" i="1"/>
  <c r="K4980" i="1"/>
  <c r="Q4980" i="1"/>
  <c r="P4980" i="1"/>
  <c r="J5004" i="1"/>
  <c r="J5005" i="1"/>
  <c r="J5006" i="1"/>
  <c r="J5010" i="1"/>
  <c r="B4977" i="1"/>
  <c r="B4978" i="1"/>
  <c r="B4979" i="1"/>
  <c r="H4977" i="1"/>
  <c r="H4978" i="1"/>
  <c r="H4979" i="1"/>
  <c r="J4977" i="1"/>
  <c r="J4978" i="1"/>
  <c r="J4979" i="1"/>
  <c r="K4977" i="1"/>
  <c r="K4978" i="1"/>
  <c r="K4979" i="1"/>
  <c r="Q4977" i="1"/>
  <c r="P4977" i="1"/>
  <c r="Q4978" i="1"/>
  <c r="P4978" i="1"/>
  <c r="Q4979" i="1"/>
  <c r="P4979" i="1"/>
  <c r="B4976" i="1"/>
  <c r="H4976" i="1"/>
  <c r="J4976" i="1"/>
  <c r="K4976" i="1"/>
  <c r="Q4976" i="1"/>
  <c r="P4976" i="1"/>
  <c r="B4975" i="1"/>
  <c r="H4975" i="1"/>
  <c r="J4975" i="1"/>
  <c r="K4975" i="1"/>
  <c r="Q4975" i="1"/>
  <c r="P4975" i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Q4832" i="1"/>
  <c r="P4832" i="1"/>
  <c r="Q4833" i="1"/>
  <c r="P4833" i="1"/>
  <c r="Q4834" i="1"/>
  <c r="P4834" i="1"/>
  <c r="Q4835" i="1"/>
  <c r="P4835" i="1"/>
  <c r="Q4836" i="1"/>
  <c r="P4836" i="1"/>
  <c r="Q4837" i="1"/>
  <c r="P4837" i="1"/>
  <c r="Q4838" i="1"/>
  <c r="P4838" i="1"/>
  <c r="Q4839" i="1"/>
  <c r="P4839" i="1"/>
  <c r="Q4840" i="1"/>
  <c r="P4840" i="1"/>
  <c r="Q4841" i="1"/>
  <c r="P4841" i="1"/>
  <c r="Q4842" i="1"/>
  <c r="P4842" i="1"/>
  <c r="Q4843" i="1"/>
  <c r="P4843" i="1"/>
  <c r="Q4844" i="1"/>
  <c r="P4844" i="1"/>
  <c r="Q4845" i="1"/>
  <c r="P4845" i="1"/>
  <c r="Q4846" i="1"/>
  <c r="P4846" i="1"/>
  <c r="Q4847" i="1"/>
  <c r="P4847" i="1"/>
  <c r="Q4848" i="1"/>
  <c r="P4848" i="1"/>
  <c r="Q4849" i="1"/>
  <c r="P4849" i="1"/>
  <c r="Q4850" i="1"/>
  <c r="P4850" i="1"/>
  <c r="Q4851" i="1"/>
  <c r="P4851" i="1"/>
  <c r="Q4852" i="1"/>
  <c r="P4852" i="1"/>
  <c r="Q4853" i="1"/>
  <c r="P4853" i="1"/>
  <c r="Q4854" i="1"/>
  <c r="P4854" i="1"/>
  <c r="Q4855" i="1"/>
  <c r="P4855" i="1"/>
  <c r="Q4856" i="1"/>
  <c r="P4856" i="1"/>
  <c r="Q4857" i="1"/>
  <c r="P4857" i="1"/>
  <c r="Q4858" i="1"/>
  <c r="P4858" i="1"/>
  <c r="Q4859" i="1"/>
  <c r="P4859" i="1"/>
  <c r="Q4860" i="1"/>
  <c r="P4860" i="1"/>
  <c r="Q4861" i="1"/>
  <c r="P4861" i="1"/>
  <c r="Q4862" i="1"/>
  <c r="P4862" i="1"/>
  <c r="Q4863" i="1"/>
  <c r="P4863" i="1"/>
  <c r="Q4864" i="1"/>
  <c r="P4864" i="1"/>
  <c r="Q4865" i="1"/>
  <c r="P4865" i="1"/>
  <c r="Q4866" i="1"/>
  <c r="P4866" i="1"/>
  <c r="Q4867" i="1"/>
  <c r="P4867" i="1"/>
  <c r="Q4868" i="1"/>
  <c r="P4868" i="1"/>
  <c r="Q4869" i="1"/>
  <c r="P4869" i="1"/>
  <c r="Q4870" i="1"/>
  <c r="P4870" i="1"/>
  <c r="Q4871" i="1"/>
  <c r="P4871" i="1"/>
  <c r="Q4872" i="1"/>
  <c r="P4872" i="1"/>
  <c r="Q4873" i="1"/>
  <c r="P4873" i="1"/>
  <c r="Q4874" i="1"/>
  <c r="P4874" i="1"/>
  <c r="Q4875" i="1"/>
  <c r="P4875" i="1"/>
  <c r="Q4876" i="1"/>
  <c r="P4876" i="1"/>
  <c r="Q4877" i="1"/>
  <c r="P4877" i="1"/>
  <c r="Q4878" i="1"/>
  <c r="P4878" i="1"/>
  <c r="Q4879" i="1"/>
  <c r="P4879" i="1"/>
  <c r="Q4880" i="1"/>
  <c r="P4880" i="1"/>
  <c r="Q4881" i="1"/>
  <c r="P4881" i="1"/>
  <c r="Q4882" i="1"/>
  <c r="P4882" i="1"/>
  <c r="Q4883" i="1"/>
  <c r="P4883" i="1"/>
  <c r="Q4884" i="1"/>
  <c r="P4884" i="1"/>
  <c r="Q4885" i="1"/>
  <c r="P4885" i="1"/>
  <c r="Q4886" i="1"/>
  <c r="P4886" i="1"/>
  <c r="Q4887" i="1"/>
  <c r="P4887" i="1"/>
  <c r="Q4888" i="1"/>
  <c r="P4888" i="1"/>
  <c r="Q4889" i="1"/>
  <c r="P4889" i="1"/>
  <c r="Q4890" i="1"/>
  <c r="P4890" i="1"/>
  <c r="Q4891" i="1"/>
  <c r="P4891" i="1"/>
  <c r="Q4892" i="1"/>
  <c r="P4892" i="1"/>
  <c r="Q4893" i="1"/>
  <c r="P4893" i="1"/>
  <c r="Q4894" i="1"/>
  <c r="P4894" i="1"/>
  <c r="Q4895" i="1"/>
  <c r="P4895" i="1"/>
  <c r="Q4896" i="1"/>
  <c r="P4896" i="1"/>
  <c r="Q4897" i="1"/>
  <c r="P4897" i="1"/>
  <c r="Q4898" i="1"/>
  <c r="P4898" i="1"/>
  <c r="Q4899" i="1"/>
  <c r="P4899" i="1"/>
  <c r="Q4900" i="1"/>
  <c r="P4900" i="1"/>
  <c r="Q4901" i="1"/>
  <c r="P4901" i="1"/>
  <c r="Q4902" i="1"/>
  <c r="P4902" i="1"/>
  <c r="Q4903" i="1"/>
  <c r="P4903" i="1"/>
  <c r="Q4904" i="1"/>
  <c r="P4904" i="1"/>
  <c r="Q4905" i="1"/>
  <c r="P4905" i="1"/>
  <c r="Q4906" i="1"/>
  <c r="P4906" i="1"/>
  <c r="Q4907" i="1"/>
  <c r="P4907" i="1"/>
  <c r="Q4908" i="1"/>
  <c r="P4908" i="1"/>
  <c r="Q4909" i="1"/>
  <c r="P4909" i="1"/>
  <c r="Q4910" i="1"/>
  <c r="P4910" i="1"/>
  <c r="Q4911" i="1"/>
  <c r="P4911" i="1"/>
  <c r="Q4912" i="1"/>
  <c r="P4912" i="1"/>
  <c r="Q4913" i="1"/>
  <c r="P4913" i="1"/>
  <c r="Q4914" i="1"/>
  <c r="P4914" i="1"/>
  <c r="Q4915" i="1"/>
  <c r="P4915" i="1"/>
  <c r="Q4916" i="1"/>
  <c r="P4916" i="1"/>
  <c r="Q4917" i="1"/>
  <c r="P4917" i="1"/>
  <c r="Q4918" i="1"/>
  <c r="P4918" i="1"/>
  <c r="Q4919" i="1"/>
  <c r="P4919" i="1"/>
  <c r="Q4920" i="1"/>
  <c r="P4920" i="1"/>
  <c r="Q4921" i="1"/>
  <c r="P4921" i="1"/>
  <c r="Q4922" i="1"/>
  <c r="P4922" i="1"/>
  <c r="Q4923" i="1"/>
  <c r="P4923" i="1"/>
  <c r="Q4924" i="1"/>
  <c r="P4924" i="1"/>
  <c r="Q4925" i="1"/>
  <c r="P4925" i="1"/>
  <c r="Q4926" i="1"/>
  <c r="P4926" i="1"/>
  <c r="Q4927" i="1"/>
  <c r="P4927" i="1"/>
  <c r="Q4928" i="1"/>
  <c r="P4928" i="1"/>
  <c r="Q4929" i="1"/>
  <c r="P4929" i="1"/>
  <c r="Q4930" i="1"/>
  <c r="P4930" i="1"/>
  <c r="Q4931" i="1"/>
  <c r="P4931" i="1"/>
  <c r="Q4932" i="1"/>
  <c r="P4932" i="1"/>
  <c r="Q4933" i="1"/>
  <c r="P4933" i="1"/>
  <c r="Q4934" i="1"/>
  <c r="P4934" i="1"/>
  <c r="Q4935" i="1"/>
  <c r="P4935" i="1"/>
  <c r="Q4936" i="1"/>
  <c r="P4936" i="1"/>
  <c r="Q4937" i="1"/>
  <c r="P4937" i="1"/>
  <c r="Q4938" i="1"/>
  <c r="P4938" i="1"/>
  <c r="Q4939" i="1"/>
  <c r="P4939" i="1"/>
  <c r="Q4940" i="1"/>
  <c r="P4940" i="1"/>
  <c r="Q4941" i="1"/>
  <c r="P4941" i="1"/>
  <c r="Q4942" i="1"/>
  <c r="P4942" i="1"/>
  <c r="Q4943" i="1"/>
  <c r="P4943" i="1"/>
  <c r="Q4944" i="1"/>
  <c r="P4944" i="1"/>
  <c r="Q4945" i="1"/>
  <c r="P4945" i="1"/>
  <c r="Q4946" i="1"/>
  <c r="P4946" i="1"/>
  <c r="Q4947" i="1"/>
  <c r="P4947" i="1"/>
  <c r="Q4948" i="1"/>
  <c r="P4948" i="1"/>
  <c r="Q4949" i="1"/>
  <c r="P4949" i="1"/>
  <c r="Q4950" i="1"/>
  <c r="P4950" i="1"/>
  <c r="Q4951" i="1"/>
  <c r="P4951" i="1"/>
  <c r="Q4952" i="1"/>
  <c r="P4952" i="1"/>
  <c r="Q4953" i="1"/>
  <c r="P4953" i="1"/>
  <c r="Q4954" i="1"/>
  <c r="P4954" i="1"/>
  <c r="Q4955" i="1"/>
  <c r="P4955" i="1"/>
  <c r="Q4956" i="1"/>
  <c r="P4956" i="1"/>
  <c r="Q4957" i="1"/>
  <c r="P4957" i="1"/>
  <c r="Q4958" i="1"/>
  <c r="P4958" i="1"/>
  <c r="Q4959" i="1"/>
  <c r="P4959" i="1"/>
  <c r="Q4960" i="1"/>
  <c r="P4960" i="1"/>
  <c r="Q4961" i="1"/>
  <c r="P4961" i="1"/>
  <c r="Q4962" i="1"/>
  <c r="P4962" i="1"/>
  <c r="Q4963" i="1"/>
  <c r="P4963" i="1"/>
  <c r="Q4964" i="1"/>
  <c r="P4964" i="1"/>
  <c r="Q4965" i="1"/>
  <c r="P4965" i="1"/>
  <c r="Q4966" i="1"/>
  <c r="P4966" i="1"/>
  <c r="Q4967" i="1"/>
  <c r="P4967" i="1"/>
  <c r="Q4968" i="1"/>
  <c r="P4968" i="1"/>
  <c r="Q4969" i="1"/>
  <c r="P4969" i="1"/>
  <c r="Q4970" i="1"/>
  <c r="P4970" i="1"/>
  <c r="Q4971" i="1"/>
  <c r="P4971" i="1"/>
  <c r="Q4972" i="1"/>
  <c r="P4972" i="1"/>
  <c r="Q4973" i="1"/>
  <c r="P4973" i="1"/>
  <c r="Q4974" i="1"/>
  <c r="P4974" i="1"/>
  <c r="B4831" i="1"/>
  <c r="H4831" i="1"/>
  <c r="J4831" i="1"/>
  <c r="K4831" i="1"/>
  <c r="Q4831" i="1"/>
  <c r="P4831" i="1"/>
  <c r="B4830" i="1"/>
  <c r="H4830" i="1"/>
  <c r="J4830" i="1"/>
  <c r="K4830" i="1"/>
  <c r="Q4830" i="1"/>
  <c r="P4830" i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Q4798" i="1"/>
  <c r="P4798" i="1"/>
  <c r="Q4799" i="1"/>
  <c r="P4799" i="1"/>
  <c r="Q4800" i="1"/>
  <c r="P4800" i="1"/>
  <c r="Q4801" i="1"/>
  <c r="P4801" i="1"/>
  <c r="Q4802" i="1"/>
  <c r="P4802" i="1"/>
  <c r="Q4803" i="1"/>
  <c r="P4803" i="1"/>
  <c r="Q4804" i="1"/>
  <c r="P4804" i="1"/>
  <c r="Q4805" i="1"/>
  <c r="P4805" i="1"/>
  <c r="Q4806" i="1"/>
  <c r="P4806" i="1"/>
  <c r="Q4807" i="1"/>
  <c r="P4807" i="1"/>
  <c r="Q4808" i="1"/>
  <c r="P4808" i="1"/>
  <c r="Q4809" i="1"/>
  <c r="P4809" i="1"/>
  <c r="Q4810" i="1"/>
  <c r="P4810" i="1"/>
  <c r="Q4811" i="1"/>
  <c r="P4811" i="1"/>
  <c r="Q4812" i="1"/>
  <c r="P4812" i="1"/>
  <c r="Q4813" i="1"/>
  <c r="P4813" i="1"/>
  <c r="Q4814" i="1"/>
  <c r="P4814" i="1"/>
  <c r="Q4815" i="1"/>
  <c r="P4815" i="1"/>
  <c r="Q4816" i="1"/>
  <c r="P4816" i="1"/>
  <c r="Q4817" i="1"/>
  <c r="P4817" i="1"/>
  <c r="Q4818" i="1"/>
  <c r="P4818" i="1"/>
  <c r="Q4819" i="1"/>
  <c r="P4819" i="1"/>
  <c r="Q4820" i="1"/>
  <c r="P4820" i="1"/>
  <c r="Q4821" i="1"/>
  <c r="P4821" i="1"/>
  <c r="Q4822" i="1"/>
  <c r="P4822" i="1"/>
  <c r="Q4823" i="1"/>
  <c r="P4823" i="1"/>
  <c r="Q4824" i="1"/>
  <c r="P4824" i="1"/>
  <c r="Q4825" i="1"/>
  <c r="P4825" i="1"/>
  <c r="Q4826" i="1"/>
  <c r="P4826" i="1"/>
  <c r="Q4827" i="1"/>
  <c r="P4827" i="1"/>
  <c r="Q4828" i="1"/>
  <c r="P4828" i="1"/>
  <c r="Q4829" i="1"/>
  <c r="P4829" i="1"/>
  <c r="B4797" i="1"/>
  <c r="H4797" i="1"/>
  <c r="J4797" i="1"/>
  <c r="K4797" i="1"/>
  <c r="Q4797" i="1"/>
  <c r="P4797" i="1"/>
  <c r="B4796" i="1"/>
  <c r="H4796" i="1"/>
  <c r="J4796" i="1"/>
  <c r="K4796" i="1"/>
  <c r="Q4796" i="1"/>
  <c r="P4796" i="1"/>
  <c r="B4795" i="1"/>
  <c r="H4795" i="1"/>
  <c r="J4795" i="1"/>
  <c r="K4795" i="1"/>
  <c r="Q4795" i="1"/>
  <c r="P4795" i="1"/>
  <c r="B4792" i="1"/>
  <c r="B4793" i="1"/>
  <c r="B4794" i="1"/>
  <c r="H4792" i="1"/>
  <c r="H4793" i="1"/>
  <c r="H4794" i="1"/>
  <c r="J4792" i="1"/>
  <c r="J4793" i="1"/>
  <c r="J4794" i="1"/>
  <c r="K4792" i="1"/>
  <c r="K4793" i="1"/>
  <c r="K4794" i="1"/>
  <c r="Q4792" i="1"/>
  <c r="P4792" i="1"/>
  <c r="Q4793" i="1"/>
  <c r="P4793" i="1"/>
  <c r="Q4794" i="1"/>
  <c r="P4794" i="1"/>
  <c r="B4791" i="1"/>
  <c r="H4791" i="1"/>
  <c r="J4791" i="1"/>
  <c r="K4791" i="1"/>
  <c r="Q4791" i="1"/>
  <c r="P4791" i="1"/>
  <c r="B4790" i="1"/>
  <c r="H4790" i="1"/>
  <c r="J4790" i="1"/>
  <c r="K4790" i="1"/>
  <c r="Q4790" i="1"/>
  <c r="P4790" i="1"/>
  <c r="B4789" i="1"/>
  <c r="H4789" i="1"/>
  <c r="J4789" i="1"/>
  <c r="K4789" i="1"/>
  <c r="Q4789" i="1"/>
  <c r="P4789" i="1"/>
  <c r="B4788" i="1"/>
  <c r="H4788" i="1"/>
  <c r="J4788" i="1"/>
  <c r="K4788" i="1"/>
  <c r="Q4788" i="1"/>
  <c r="P4788" i="1"/>
  <c r="B4787" i="1"/>
  <c r="H4787" i="1"/>
  <c r="J4787" i="1"/>
  <c r="K4787" i="1"/>
  <c r="Q4787" i="1"/>
  <c r="P4787" i="1"/>
  <c r="B4786" i="1"/>
  <c r="H4786" i="1"/>
  <c r="J4786" i="1"/>
  <c r="K4786" i="1"/>
  <c r="Q4786" i="1"/>
  <c r="P4786" i="1"/>
  <c r="J4785" i="1"/>
  <c r="J4777" i="1"/>
  <c r="J4775" i="1"/>
  <c r="J4774" i="1"/>
  <c r="J4773" i="1"/>
  <c r="J4772" i="1"/>
  <c r="J4771" i="1"/>
  <c r="J4770" i="1"/>
  <c r="J4761" i="1"/>
  <c r="J4759" i="1"/>
  <c r="J4758" i="1"/>
  <c r="J4757" i="1"/>
  <c r="B4782" i="1"/>
  <c r="B4783" i="1"/>
  <c r="B4784" i="1"/>
  <c r="B4785" i="1"/>
  <c r="H4782" i="1"/>
  <c r="H4783" i="1"/>
  <c r="H4784" i="1"/>
  <c r="H4785" i="1"/>
  <c r="J4782" i="1"/>
  <c r="J4783" i="1"/>
  <c r="J4784" i="1"/>
  <c r="K4782" i="1"/>
  <c r="K4783" i="1"/>
  <c r="K4784" i="1"/>
  <c r="K4785" i="1"/>
  <c r="Q4782" i="1"/>
  <c r="P4782" i="1"/>
  <c r="Q4783" i="1"/>
  <c r="P4783" i="1"/>
  <c r="Q4784" i="1"/>
  <c r="P4784" i="1"/>
  <c r="Q4785" i="1"/>
  <c r="P4785" i="1"/>
  <c r="B4781" i="1"/>
  <c r="H4781" i="1"/>
  <c r="J4781" i="1"/>
  <c r="K4781" i="1"/>
  <c r="Q4781" i="1"/>
  <c r="P4781" i="1"/>
  <c r="B4780" i="1"/>
  <c r="H4780" i="1"/>
  <c r="J4780" i="1"/>
  <c r="K4780" i="1"/>
  <c r="Q4780" i="1"/>
  <c r="P4780" i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K4755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J4760" i="1"/>
  <c r="J4762" i="1"/>
  <c r="J4763" i="1"/>
  <c r="J4764" i="1"/>
  <c r="J4765" i="1"/>
  <c r="J4766" i="1"/>
  <c r="J4767" i="1"/>
  <c r="J4768" i="1"/>
  <c r="J4769" i="1"/>
  <c r="J4776" i="1"/>
  <c r="J4778" i="1"/>
  <c r="J4779" i="1"/>
  <c r="Q4757" i="1"/>
  <c r="P4757" i="1"/>
  <c r="Q4758" i="1"/>
  <c r="P4758" i="1"/>
  <c r="Q4759" i="1"/>
  <c r="P4759" i="1"/>
  <c r="Q4760" i="1"/>
  <c r="P4760" i="1"/>
  <c r="Q4761" i="1"/>
  <c r="P4761" i="1"/>
  <c r="Q4762" i="1"/>
  <c r="P4762" i="1"/>
  <c r="Q4763" i="1"/>
  <c r="P4763" i="1"/>
  <c r="Q4764" i="1"/>
  <c r="P4764" i="1"/>
  <c r="Q4765" i="1"/>
  <c r="P4765" i="1"/>
  <c r="Q4766" i="1"/>
  <c r="P4766" i="1"/>
  <c r="Q4767" i="1"/>
  <c r="P4767" i="1"/>
  <c r="Q4768" i="1"/>
  <c r="P4768" i="1"/>
  <c r="Q4769" i="1"/>
  <c r="P4769" i="1"/>
  <c r="Q4770" i="1"/>
  <c r="P4770" i="1"/>
  <c r="Q4771" i="1"/>
  <c r="P4771" i="1"/>
  <c r="Q4772" i="1"/>
  <c r="P4772" i="1"/>
  <c r="Q4773" i="1"/>
  <c r="P4773" i="1"/>
  <c r="Q4774" i="1"/>
  <c r="P4774" i="1"/>
  <c r="Q4775" i="1"/>
  <c r="P4775" i="1"/>
  <c r="Q4776" i="1"/>
  <c r="P4776" i="1"/>
  <c r="Q4777" i="1"/>
  <c r="P4777" i="1"/>
  <c r="Q4778" i="1"/>
  <c r="P4778" i="1"/>
  <c r="Q4779" i="1"/>
  <c r="P4779" i="1"/>
  <c r="B4756" i="1"/>
  <c r="H4756" i="1"/>
  <c r="J4756" i="1"/>
  <c r="Q4756" i="1"/>
  <c r="P4756" i="1"/>
  <c r="B4755" i="1"/>
  <c r="H4755" i="1"/>
  <c r="J4755" i="1"/>
  <c r="Q4755" i="1"/>
  <c r="P4755" i="1"/>
  <c r="K4754" i="1"/>
  <c r="K4753" i="1"/>
  <c r="K4752" i="1"/>
  <c r="B4754" i="1"/>
  <c r="H4754" i="1"/>
  <c r="J4754" i="1"/>
  <c r="Q4754" i="1"/>
  <c r="P4754" i="1"/>
  <c r="B4753" i="1"/>
  <c r="H4753" i="1"/>
  <c r="J4753" i="1"/>
  <c r="Q4753" i="1"/>
  <c r="P4753" i="1"/>
  <c r="B4752" i="1"/>
  <c r="H4752" i="1"/>
  <c r="J4752" i="1"/>
  <c r="Q4752" i="1"/>
  <c r="P4752" i="1"/>
  <c r="J4746" i="1"/>
  <c r="J4742" i="1"/>
  <c r="J4741" i="1"/>
  <c r="J4740" i="1"/>
  <c r="J4739" i="1"/>
  <c r="J4738" i="1"/>
  <c r="J4737" i="1"/>
  <c r="J4736" i="1"/>
  <c r="J4730" i="1"/>
  <c r="J4726" i="1"/>
  <c r="J4723" i="1"/>
  <c r="J4722" i="1"/>
  <c r="J4721" i="1"/>
  <c r="J4720" i="1"/>
  <c r="Q4727" i="1"/>
  <c r="P4727" i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J4729" i="1"/>
  <c r="J4731" i="1"/>
  <c r="J4732" i="1"/>
  <c r="J4733" i="1"/>
  <c r="J4734" i="1"/>
  <c r="J4735" i="1"/>
  <c r="J4743" i="1"/>
  <c r="J4744" i="1"/>
  <c r="J4745" i="1"/>
  <c r="J4747" i="1"/>
  <c r="J4748" i="1"/>
  <c r="J4749" i="1"/>
  <c r="J4750" i="1"/>
  <c r="J4751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Q4729" i="1"/>
  <c r="P4729" i="1"/>
  <c r="Q4730" i="1"/>
  <c r="P4730" i="1"/>
  <c r="Q4731" i="1"/>
  <c r="P4731" i="1"/>
  <c r="Q4732" i="1"/>
  <c r="P4732" i="1"/>
  <c r="Q4733" i="1"/>
  <c r="P4733" i="1"/>
  <c r="Q4734" i="1"/>
  <c r="P4734" i="1"/>
  <c r="Q4735" i="1"/>
  <c r="P4735" i="1"/>
  <c r="Q4736" i="1"/>
  <c r="P4736" i="1"/>
  <c r="Q4737" i="1"/>
  <c r="P4737" i="1"/>
  <c r="Q4738" i="1"/>
  <c r="P4738" i="1"/>
  <c r="Q4739" i="1"/>
  <c r="P4739" i="1"/>
  <c r="Q4740" i="1"/>
  <c r="P4740" i="1"/>
  <c r="Q4741" i="1"/>
  <c r="P4741" i="1"/>
  <c r="Q4742" i="1"/>
  <c r="P4742" i="1"/>
  <c r="Q4743" i="1"/>
  <c r="P4743" i="1"/>
  <c r="Q4744" i="1"/>
  <c r="P4744" i="1"/>
  <c r="Q4745" i="1"/>
  <c r="P4745" i="1"/>
  <c r="Q4746" i="1"/>
  <c r="P4746" i="1"/>
  <c r="Q4747" i="1"/>
  <c r="P4747" i="1"/>
  <c r="Q4748" i="1"/>
  <c r="P4748" i="1"/>
  <c r="Q4749" i="1"/>
  <c r="P4749" i="1"/>
  <c r="Q4750" i="1"/>
  <c r="P4750" i="1"/>
  <c r="Q4751" i="1"/>
  <c r="P4751" i="1"/>
  <c r="B4728" i="1"/>
  <c r="H4728" i="1"/>
  <c r="J4728" i="1"/>
  <c r="K4728" i="1"/>
  <c r="Q4728" i="1"/>
  <c r="P4728" i="1"/>
  <c r="B4723" i="1"/>
  <c r="B4724" i="1"/>
  <c r="B4725" i="1"/>
  <c r="B4726" i="1"/>
  <c r="B4727" i="1"/>
  <c r="H4723" i="1"/>
  <c r="H4724" i="1"/>
  <c r="H4725" i="1"/>
  <c r="H4726" i="1"/>
  <c r="H4727" i="1"/>
  <c r="J4724" i="1"/>
  <c r="J4725" i="1"/>
  <c r="J4727" i="1"/>
  <c r="K4723" i="1"/>
  <c r="K4724" i="1"/>
  <c r="K4725" i="1"/>
  <c r="K4726" i="1"/>
  <c r="K4727" i="1"/>
  <c r="Q4723" i="1"/>
  <c r="P4723" i="1"/>
  <c r="Q4724" i="1"/>
  <c r="P4724" i="1"/>
  <c r="Q4725" i="1"/>
  <c r="P4725" i="1"/>
  <c r="Q4726" i="1"/>
  <c r="P4726" i="1"/>
  <c r="B4722" i="1"/>
  <c r="H4722" i="1"/>
  <c r="K4722" i="1"/>
  <c r="Q4722" i="1"/>
  <c r="P4722" i="1"/>
  <c r="J4716" i="1"/>
  <c r="J4715" i="1"/>
  <c r="J4714" i="1"/>
  <c r="B4715" i="1"/>
  <c r="B4716" i="1"/>
  <c r="B4717" i="1"/>
  <c r="B4718" i="1"/>
  <c r="B4719" i="1"/>
  <c r="B4720" i="1"/>
  <c r="B4721" i="1"/>
  <c r="H4715" i="1"/>
  <c r="H4716" i="1"/>
  <c r="H4717" i="1"/>
  <c r="H4718" i="1"/>
  <c r="H4719" i="1"/>
  <c r="H4720" i="1"/>
  <c r="H4721" i="1"/>
  <c r="J4717" i="1"/>
  <c r="J4718" i="1"/>
  <c r="J4719" i="1"/>
  <c r="K4715" i="1"/>
  <c r="K4716" i="1"/>
  <c r="K4717" i="1"/>
  <c r="K4718" i="1"/>
  <c r="K4719" i="1"/>
  <c r="K4720" i="1"/>
  <c r="K4721" i="1"/>
  <c r="Q4715" i="1"/>
  <c r="P4715" i="1"/>
  <c r="Q4716" i="1"/>
  <c r="P4716" i="1"/>
  <c r="Q4717" i="1"/>
  <c r="P4717" i="1"/>
  <c r="Q4718" i="1"/>
  <c r="P4718" i="1"/>
  <c r="Q4719" i="1"/>
  <c r="P4719" i="1"/>
  <c r="Q4720" i="1"/>
  <c r="P4720" i="1"/>
  <c r="Q4721" i="1"/>
  <c r="P4721" i="1"/>
  <c r="J4713" i="1"/>
  <c r="J4711" i="1"/>
  <c r="J4709" i="1"/>
  <c r="J4708" i="1"/>
  <c r="J4706" i="1"/>
  <c r="J4702" i="1"/>
  <c r="K4714" i="1"/>
  <c r="Q4714" i="1"/>
  <c r="P4714" i="1"/>
  <c r="B4714" i="1"/>
  <c r="H4714" i="1"/>
  <c r="Q4713" i="1"/>
  <c r="P4713" i="1"/>
  <c r="B4713" i="1"/>
  <c r="H4713" i="1"/>
  <c r="K4713" i="1"/>
  <c r="H4712" i="1"/>
  <c r="J4712" i="1"/>
  <c r="K4712" i="1"/>
  <c r="Q4712" i="1"/>
  <c r="P4712" i="1"/>
  <c r="B4712" i="1"/>
  <c r="H4711" i="1"/>
  <c r="K4711" i="1"/>
  <c r="Q4711" i="1"/>
  <c r="P4711" i="1"/>
  <c r="B4711" i="1"/>
  <c r="H4710" i="1"/>
  <c r="J4710" i="1"/>
  <c r="K4710" i="1"/>
  <c r="Q4710" i="1"/>
  <c r="P4710" i="1"/>
  <c r="B4710" i="1"/>
  <c r="Q4708" i="1"/>
  <c r="P4708" i="1"/>
  <c r="Q4709" i="1"/>
  <c r="P4709" i="1"/>
  <c r="B4709" i="1"/>
  <c r="H4709" i="1"/>
  <c r="K4709" i="1"/>
  <c r="B4708" i="1"/>
  <c r="H4708" i="1"/>
  <c r="K4708" i="1"/>
  <c r="Q4706" i="1"/>
  <c r="P4706" i="1"/>
  <c r="Q4707" i="1"/>
  <c r="P4707" i="1"/>
  <c r="B4707" i="1"/>
  <c r="H4707" i="1"/>
  <c r="J4707" i="1"/>
  <c r="K4707" i="1"/>
  <c r="B4706" i="1"/>
  <c r="H4706" i="1"/>
  <c r="K4706" i="1"/>
  <c r="Q4705" i="1"/>
  <c r="P4705" i="1"/>
  <c r="B4705" i="1"/>
  <c r="H4705" i="1"/>
  <c r="J4705" i="1"/>
  <c r="K4705" i="1"/>
  <c r="B4704" i="1"/>
  <c r="H4704" i="1"/>
  <c r="J4704" i="1"/>
  <c r="K4704" i="1"/>
  <c r="Q4704" i="1"/>
  <c r="P4704" i="1"/>
  <c r="B4703" i="1"/>
  <c r="H4703" i="1"/>
  <c r="J4703" i="1"/>
  <c r="K4703" i="1"/>
  <c r="Q4703" i="1"/>
  <c r="P4703" i="1"/>
  <c r="B4702" i="1"/>
  <c r="H4702" i="1"/>
  <c r="K4702" i="1"/>
  <c r="Q4702" i="1"/>
  <c r="P4702" i="1"/>
  <c r="B4701" i="1"/>
  <c r="H4701" i="1"/>
  <c r="J4701" i="1"/>
  <c r="K4701" i="1"/>
  <c r="Q4701" i="1"/>
  <c r="P4701" i="1"/>
  <c r="B4700" i="1"/>
  <c r="H4700" i="1"/>
  <c r="J4700" i="1"/>
  <c r="K4700" i="1"/>
  <c r="Q4700" i="1"/>
  <c r="P4700" i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/>
  <c r="Q4689" i="1"/>
  <c r="P4689" i="1"/>
  <c r="Q4690" i="1"/>
  <c r="P4690" i="1"/>
  <c r="Q4691" i="1"/>
  <c r="P4691" i="1"/>
  <c r="Q4692" i="1"/>
  <c r="P4692" i="1"/>
  <c r="Q4693" i="1"/>
  <c r="P4693" i="1"/>
  <c r="Q4694" i="1"/>
  <c r="P4694" i="1"/>
  <c r="Q4695" i="1"/>
  <c r="P4695" i="1"/>
  <c r="Q4696" i="1"/>
  <c r="P4696" i="1"/>
  <c r="Q4697" i="1"/>
  <c r="P4697" i="1"/>
  <c r="Q4698" i="1"/>
  <c r="P4698" i="1"/>
  <c r="Q4699" i="1"/>
  <c r="P4699" i="1"/>
  <c r="B4687" i="1"/>
  <c r="H4687" i="1"/>
  <c r="J4687" i="1"/>
  <c r="K4687" i="1"/>
  <c r="Q4687" i="1"/>
  <c r="P4687" i="1"/>
  <c r="B4686" i="1"/>
  <c r="H4686" i="1"/>
  <c r="J4686" i="1"/>
  <c r="K4686" i="1"/>
  <c r="Q4686" i="1"/>
  <c r="P4686" i="1"/>
  <c r="B4685" i="1"/>
  <c r="H4685" i="1"/>
  <c r="J4685" i="1"/>
  <c r="K4685" i="1"/>
  <c r="Q4685" i="1"/>
  <c r="P4685" i="1"/>
  <c r="B4684" i="1"/>
  <c r="H4684" i="1"/>
  <c r="J4684" i="1"/>
  <c r="K4684" i="1"/>
  <c r="Q4684" i="1"/>
  <c r="P4684" i="1"/>
  <c r="B4679" i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/>
  <c r="Q4680" i="1"/>
  <c r="P4680" i="1"/>
  <c r="Q4681" i="1"/>
  <c r="P4681" i="1"/>
  <c r="Q4682" i="1"/>
  <c r="P4682" i="1"/>
  <c r="Q4683" i="1"/>
  <c r="P4683" i="1"/>
  <c r="B4678" i="1"/>
  <c r="H4678" i="1"/>
  <c r="J4678" i="1"/>
  <c r="K4678" i="1"/>
  <c r="Q4678" i="1"/>
  <c r="P4678" i="1"/>
  <c r="B4677" i="1"/>
  <c r="H4677" i="1"/>
  <c r="J4677" i="1"/>
  <c r="K4677" i="1"/>
  <c r="Q4677" i="1"/>
  <c r="P4677" i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/>
  <c r="Q4657" i="1"/>
  <c r="P4657" i="1"/>
  <c r="Q4658" i="1"/>
  <c r="P4658" i="1"/>
  <c r="Q4659" i="1"/>
  <c r="P4659" i="1"/>
  <c r="Q4660" i="1"/>
  <c r="P4660" i="1"/>
  <c r="Q4661" i="1"/>
  <c r="P4661" i="1"/>
  <c r="Q4662" i="1"/>
  <c r="P4662" i="1"/>
  <c r="Q4663" i="1"/>
  <c r="P4663" i="1"/>
  <c r="Q4664" i="1"/>
  <c r="P4664" i="1"/>
  <c r="Q4665" i="1"/>
  <c r="P4665" i="1"/>
  <c r="Q4666" i="1"/>
  <c r="P4666" i="1"/>
  <c r="Q4667" i="1"/>
  <c r="P4667" i="1"/>
  <c r="Q4668" i="1"/>
  <c r="P4668" i="1"/>
  <c r="Q4669" i="1"/>
  <c r="P4669" i="1"/>
  <c r="Q4670" i="1"/>
  <c r="P4670" i="1"/>
  <c r="Q4671" i="1"/>
  <c r="P4671" i="1"/>
  <c r="Q4672" i="1"/>
  <c r="P4672" i="1"/>
  <c r="Q4673" i="1"/>
  <c r="P4673" i="1"/>
  <c r="Q4674" i="1"/>
  <c r="P4674" i="1"/>
  <c r="Q4675" i="1"/>
  <c r="P4675" i="1"/>
  <c r="Q4676" i="1"/>
  <c r="P4676" i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/>
  <c r="Q4620" i="1"/>
  <c r="P4620" i="1"/>
  <c r="Q4621" i="1"/>
  <c r="P4621" i="1"/>
  <c r="Q4622" i="1"/>
  <c r="P4622" i="1"/>
  <c r="Q4623" i="1"/>
  <c r="P4623" i="1"/>
  <c r="Q4624" i="1"/>
  <c r="P4624" i="1"/>
  <c r="Q4625" i="1"/>
  <c r="P4625" i="1"/>
  <c r="Q4626" i="1"/>
  <c r="P4626" i="1"/>
  <c r="Q4627" i="1"/>
  <c r="P4627" i="1"/>
  <c r="Q4628" i="1"/>
  <c r="P4628" i="1"/>
  <c r="Q4629" i="1"/>
  <c r="P4629" i="1"/>
  <c r="Q4630" i="1"/>
  <c r="P4630" i="1"/>
  <c r="Q4631" i="1"/>
  <c r="P4631" i="1"/>
  <c r="Q4632" i="1"/>
  <c r="P4632" i="1"/>
  <c r="Q4633" i="1"/>
  <c r="P4633" i="1"/>
  <c r="Q4634" i="1"/>
  <c r="P4634" i="1"/>
  <c r="Q4635" i="1"/>
  <c r="P4635" i="1"/>
  <c r="Q4636" i="1"/>
  <c r="P4636" i="1"/>
  <c r="Q4637" i="1"/>
  <c r="P4637" i="1"/>
  <c r="Q4638" i="1"/>
  <c r="P4638" i="1"/>
  <c r="Q4639" i="1"/>
  <c r="P4639" i="1"/>
  <c r="Q4640" i="1"/>
  <c r="P4640" i="1"/>
  <c r="Q4641" i="1"/>
  <c r="P4641" i="1"/>
  <c r="Q4642" i="1"/>
  <c r="P4642" i="1"/>
  <c r="Q4643" i="1"/>
  <c r="P4643" i="1"/>
  <c r="Q4644" i="1"/>
  <c r="P4644" i="1"/>
  <c r="Q4645" i="1"/>
  <c r="P4645" i="1"/>
  <c r="Q4646" i="1"/>
  <c r="P4646" i="1"/>
  <c r="Q4647" i="1"/>
  <c r="P4647" i="1"/>
  <c r="Q4648" i="1"/>
  <c r="P4648" i="1"/>
  <c r="Q4649" i="1"/>
  <c r="P4649" i="1"/>
  <c r="Q4650" i="1"/>
  <c r="P4650" i="1"/>
  <c r="Q4651" i="1"/>
  <c r="P4651" i="1"/>
  <c r="Q4652" i="1"/>
  <c r="P4652" i="1"/>
  <c r="Q4653" i="1"/>
  <c r="P4653" i="1"/>
  <c r="Q4654" i="1"/>
  <c r="P4654" i="1"/>
  <c r="Q4655" i="1"/>
  <c r="P4655" i="1"/>
  <c r="B4618" i="1"/>
  <c r="J4618" i="1"/>
  <c r="K4618" i="1"/>
  <c r="Q4618" i="1"/>
  <c r="P4618" i="1"/>
  <c r="B4617" i="1"/>
  <c r="H4617" i="1"/>
  <c r="J4617" i="1"/>
  <c r="K4617" i="1"/>
  <c r="Q4617" i="1"/>
  <c r="P4617" i="1"/>
  <c r="B4616" i="1"/>
  <c r="H4616" i="1"/>
  <c r="J4616" i="1"/>
  <c r="K4616" i="1"/>
  <c r="Q4616" i="1"/>
  <c r="P4616" i="1"/>
  <c r="B4615" i="1"/>
  <c r="H4615" i="1"/>
  <c r="J4615" i="1"/>
  <c r="K4615" i="1"/>
  <c r="Q4615" i="1"/>
  <c r="P4615" i="1"/>
  <c r="B4614" i="1"/>
  <c r="H4614" i="1"/>
  <c r="J4614" i="1"/>
  <c r="K4614" i="1"/>
  <c r="Q4614" i="1"/>
  <c r="P4614" i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/>
  <c r="Q4591" i="1"/>
  <c r="P4591" i="1"/>
  <c r="Q4592" i="1"/>
  <c r="P4592" i="1"/>
  <c r="Q4593" i="1"/>
  <c r="P4593" i="1"/>
  <c r="Q4594" i="1"/>
  <c r="P4594" i="1"/>
  <c r="Q4595" i="1"/>
  <c r="P4595" i="1"/>
  <c r="Q4596" i="1"/>
  <c r="P4596" i="1"/>
  <c r="Q4597" i="1"/>
  <c r="P4597" i="1"/>
  <c r="Q4598" i="1"/>
  <c r="P4598" i="1"/>
  <c r="Q4599" i="1"/>
  <c r="P4599" i="1"/>
  <c r="Q4600" i="1"/>
  <c r="P4600" i="1"/>
  <c r="Q4601" i="1"/>
  <c r="P4601" i="1"/>
  <c r="Q4602" i="1"/>
  <c r="P4602" i="1"/>
  <c r="Q4603" i="1"/>
  <c r="P4603" i="1"/>
  <c r="Q4604" i="1"/>
  <c r="P4604" i="1"/>
  <c r="Q4605" i="1"/>
  <c r="P4605" i="1"/>
  <c r="Q4606" i="1"/>
  <c r="P4606" i="1"/>
  <c r="Q4607" i="1"/>
  <c r="P4607" i="1"/>
  <c r="Q4608" i="1"/>
  <c r="P4608" i="1"/>
  <c r="Q4609" i="1"/>
  <c r="P4609" i="1"/>
  <c r="Q4610" i="1"/>
  <c r="P4610" i="1"/>
  <c r="Q4611" i="1"/>
  <c r="P4611" i="1"/>
  <c r="Q4612" i="1"/>
  <c r="P4612" i="1"/>
  <c r="Q4613" i="1"/>
  <c r="P4613" i="1"/>
  <c r="B4589" i="1"/>
  <c r="H4589" i="1"/>
  <c r="J4589" i="1"/>
  <c r="K4589" i="1"/>
  <c r="Q4589" i="1"/>
  <c r="P4589" i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/>
  <c r="Q4587" i="1"/>
  <c r="P4587" i="1"/>
  <c r="Q4588" i="1"/>
  <c r="P4588" i="1"/>
  <c r="B4585" i="1"/>
  <c r="H4585" i="1"/>
  <c r="J4585" i="1"/>
  <c r="K4585" i="1"/>
  <c r="Q4585" i="1"/>
  <c r="P4585" i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/>
  <c r="Q4561" i="1"/>
  <c r="P4561" i="1"/>
  <c r="Q4562" i="1"/>
  <c r="P4562" i="1"/>
  <c r="Q4563" i="1"/>
  <c r="P4563" i="1"/>
  <c r="Q4564" i="1"/>
  <c r="P4564" i="1"/>
  <c r="Q4565" i="1"/>
  <c r="P4565" i="1"/>
  <c r="Q4566" i="1"/>
  <c r="P4566" i="1"/>
  <c r="Q4567" i="1"/>
  <c r="P4567" i="1"/>
  <c r="Q4568" i="1"/>
  <c r="P4568" i="1"/>
  <c r="Q4569" i="1"/>
  <c r="P4569" i="1"/>
  <c r="Q4570" i="1"/>
  <c r="P4570" i="1"/>
  <c r="Q4571" i="1"/>
  <c r="P4571" i="1"/>
  <c r="Q4572" i="1"/>
  <c r="P4572" i="1"/>
  <c r="Q4573" i="1"/>
  <c r="P4573" i="1"/>
  <c r="Q4574" i="1"/>
  <c r="P4574" i="1"/>
  <c r="Q4575" i="1"/>
  <c r="P4575" i="1"/>
  <c r="Q4576" i="1"/>
  <c r="P4576" i="1"/>
  <c r="Q4577" i="1"/>
  <c r="P4577" i="1"/>
  <c r="Q4578" i="1"/>
  <c r="P4578" i="1"/>
  <c r="Q4579" i="1"/>
  <c r="P4579" i="1"/>
  <c r="Q4580" i="1"/>
  <c r="P4580" i="1"/>
  <c r="Q4581" i="1"/>
  <c r="P4581" i="1"/>
  <c r="Q4582" i="1"/>
  <c r="P4582" i="1"/>
  <c r="Q4583" i="1"/>
  <c r="P4583" i="1"/>
  <c r="Q4584" i="1"/>
  <c r="P4584" i="1"/>
  <c r="B4559" i="1"/>
  <c r="H4559" i="1"/>
  <c r="J4559" i="1"/>
  <c r="K4559" i="1"/>
  <c r="Q4559" i="1"/>
  <c r="P4559" i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/>
  <c r="Q4515" i="1"/>
  <c r="P4515" i="1"/>
  <c r="Q4516" i="1"/>
  <c r="P4516" i="1"/>
  <c r="Q4517" i="1"/>
  <c r="P4517" i="1"/>
  <c r="Q4518" i="1"/>
  <c r="P4518" i="1"/>
  <c r="Q4519" i="1"/>
  <c r="P4519" i="1"/>
  <c r="Q4520" i="1"/>
  <c r="P4520" i="1"/>
  <c r="Q4521" i="1"/>
  <c r="P4521" i="1"/>
  <c r="Q4522" i="1"/>
  <c r="P4522" i="1"/>
  <c r="Q4523" i="1"/>
  <c r="P4523" i="1"/>
  <c r="Q4524" i="1"/>
  <c r="P4524" i="1"/>
  <c r="Q4525" i="1"/>
  <c r="P4525" i="1"/>
  <c r="Q4526" i="1"/>
  <c r="P4526" i="1"/>
  <c r="Q4527" i="1"/>
  <c r="P4527" i="1"/>
  <c r="Q4528" i="1"/>
  <c r="P4528" i="1"/>
  <c r="Q4529" i="1"/>
  <c r="P4529" i="1"/>
  <c r="Q4530" i="1"/>
  <c r="P4530" i="1"/>
  <c r="Q4531" i="1"/>
  <c r="P4531" i="1"/>
  <c r="Q4532" i="1"/>
  <c r="P4532" i="1"/>
  <c r="Q4533" i="1"/>
  <c r="P4533" i="1"/>
  <c r="Q4534" i="1"/>
  <c r="P4534" i="1"/>
  <c r="Q4535" i="1"/>
  <c r="P4535" i="1"/>
  <c r="Q4536" i="1"/>
  <c r="P4536" i="1"/>
  <c r="Q4537" i="1"/>
  <c r="P4537" i="1"/>
  <c r="Q4538" i="1"/>
  <c r="P4538" i="1"/>
  <c r="Q4539" i="1"/>
  <c r="P4539" i="1"/>
  <c r="Q4540" i="1"/>
  <c r="P4540" i="1"/>
  <c r="Q4541" i="1"/>
  <c r="P4541" i="1"/>
  <c r="Q4542" i="1"/>
  <c r="P4542" i="1"/>
  <c r="Q4543" i="1"/>
  <c r="P4543" i="1"/>
  <c r="Q4544" i="1"/>
  <c r="P4544" i="1"/>
  <c r="Q4545" i="1"/>
  <c r="P4545" i="1"/>
  <c r="Q4546" i="1"/>
  <c r="P4546" i="1"/>
  <c r="Q4547" i="1"/>
  <c r="P4547" i="1"/>
  <c r="Q4548" i="1"/>
  <c r="P4548" i="1"/>
  <c r="Q4549" i="1"/>
  <c r="P4549" i="1"/>
  <c r="Q4550" i="1"/>
  <c r="P4550" i="1"/>
  <c r="Q4551" i="1"/>
  <c r="P4551" i="1"/>
  <c r="Q4552" i="1"/>
  <c r="P4552" i="1"/>
  <c r="Q4553" i="1"/>
  <c r="P4553" i="1"/>
  <c r="Q4554" i="1"/>
  <c r="P4554" i="1"/>
  <c r="Q4555" i="1"/>
  <c r="P4555" i="1"/>
  <c r="Q4556" i="1"/>
  <c r="P4556" i="1"/>
  <c r="Q4557" i="1"/>
  <c r="P4557" i="1"/>
  <c r="Q4558" i="1"/>
  <c r="P4558" i="1"/>
  <c r="B4513" i="1"/>
  <c r="H4513" i="1"/>
  <c r="J4513" i="1"/>
  <c r="K4513" i="1"/>
  <c r="Q4513" i="1"/>
  <c r="P4513" i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/>
  <c r="Q4494" i="1"/>
  <c r="P4494" i="1"/>
  <c r="Q4495" i="1"/>
  <c r="P4495" i="1"/>
  <c r="Q4496" i="1"/>
  <c r="P4496" i="1"/>
  <c r="Q4497" i="1"/>
  <c r="P4497" i="1"/>
  <c r="Q4498" i="1"/>
  <c r="P4498" i="1"/>
  <c r="Q4499" i="1"/>
  <c r="P4499" i="1"/>
  <c r="Q4500" i="1"/>
  <c r="P4500" i="1"/>
  <c r="Q4501" i="1"/>
  <c r="P4501" i="1"/>
  <c r="Q4502" i="1"/>
  <c r="P4502" i="1"/>
  <c r="Q4503" i="1"/>
  <c r="P4503" i="1"/>
  <c r="Q4504" i="1"/>
  <c r="P4504" i="1"/>
  <c r="Q4505" i="1"/>
  <c r="P4505" i="1"/>
  <c r="Q4506" i="1"/>
  <c r="P4506" i="1"/>
  <c r="Q4507" i="1"/>
  <c r="P4507" i="1"/>
  <c r="Q4508" i="1"/>
  <c r="P4508" i="1"/>
  <c r="Q4509" i="1"/>
  <c r="P4509" i="1"/>
  <c r="Q4510" i="1"/>
  <c r="P4510" i="1"/>
  <c r="Q4511" i="1"/>
  <c r="P4511" i="1"/>
  <c r="Q4512" i="1"/>
  <c r="P4512" i="1"/>
  <c r="B4492" i="1"/>
  <c r="H4492" i="1"/>
  <c r="K4492" i="1"/>
  <c r="Q4492" i="1"/>
  <c r="P4492" i="1"/>
  <c r="B4491" i="1"/>
  <c r="H4491" i="1"/>
  <c r="J4491" i="1"/>
  <c r="K4491" i="1"/>
  <c r="Q4491" i="1"/>
  <c r="P4491" i="1"/>
  <c r="B4490" i="1"/>
  <c r="H4490" i="1"/>
  <c r="K4490" i="1"/>
  <c r="Q4490" i="1"/>
  <c r="P4490" i="1"/>
  <c r="B4489" i="1"/>
  <c r="H4489" i="1"/>
  <c r="K4489" i="1"/>
  <c r="Q4489" i="1"/>
  <c r="P4489" i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/>
  <c r="Q4488" i="1"/>
  <c r="P4488" i="1"/>
  <c r="B4486" i="1"/>
  <c r="H4486" i="1"/>
  <c r="K4486" i="1"/>
  <c r="Q4486" i="1"/>
  <c r="P4486" i="1"/>
  <c r="B4485" i="1"/>
  <c r="H4485" i="1"/>
  <c r="K4485" i="1"/>
  <c r="Q4485" i="1"/>
  <c r="P4485" i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/>
  <c r="Q4451" i="1"/>
  <c r="P4451" i="1"/>
  <c r="Q4452" i="1"/>
  <c r="P4452" i="1"/>
  <c r="Q4453" i="1"/>
  <c r="P4453" i="1"/>
  <c r="Q4454" i="1"/>
  <c r="P4454" i="1"/>
  <c r="Q4455" i="1"/>
  <c r="P4455" i="1"/>
  <c r="Q4456" i="1"/>
  <c r="P4456" i="1"/>
  <c r="Q4457" i="1"/>
  <c r="P4457" i="1"/>
  <c r="Q4458" i="1"/>
  <c r="P4458" i="1"/>
  <c r="Q4459" i="1"/>
  <c r="P4459" i="1"/>
  <c r="Q4460" i="1"/>
  <c r="P4460" i="1"/>
  <c r="Q4461" i="1"/>
  <c r="P4461" i="1"/>
  <c r="Q4462" i="1"/>
  <c r="P4462" i="1"/>
  <c r="Q4463" i="1"/>
  <c r="P4463" i="1"/>
  <c r="Q4464" i="1"/>
  <c r="P4464" i="1"/>
  <c r="Q4465" i="1"/>
  <c r="P4465" i="1"/>
  <c r="Q4466" i="1"/>
  <c r="P4466" i="1"/>
  <c r="Q4467" i="1"/>
  <c r="P4467" i="1"/>
  <c r="Q4468" i="1"/>
  <c r="P4468" i="1"/>
  <c r="Q4469" i="1"/>
  <c r="P4469" i="1"/>
  <c r="Q4470" i="1"/>
  <c r="P4470" i="1"/>
  <c r="Q4471" i="1"/>
  <c r="P4471" i="1"/>
  <c r="Q4472" i="1"/>
  <c r="P4472" i="1"/>
  <c r="Q4473" i="1"/>
  <c r="P4473" i="1"/>
  <c r="Q4474" i="1"/>
  <c r="P4474" i="1"/>
  <c r="Q4475" i="1"/>
  <c r="P4475" i="1"/>
  <c r="Q4476" i="1"/>
  <c r="P4476" i="1"/>
  <c r="Q4477" i="1"/>
  <c r="P4477" i="1"/>
  <c r="Q4478" i="1"/>
  <c r="P4478" i="1"/>
  <c r="Q4479" i="1"/>
  <c r="P4479" i="1"/>
  <c r="Q4480" i="1"/>
  <c r="P4480" i="1"/>
  <c r="Q4481" i="1"/>
  <c r="P4481" i="1"/>
  <c r="Q4482" i="1"/>
  <c r="P4482" i="1"/>
  <c r="Q4483" i="1"/>
  <c r="P4483" i="1"/>
  <c r="Q4484" i="1"/>
  <c r="P4484" i="1"/>
  <c r="B4449" i="1"/>
  <c r="H4449" i="1"/>
  <c r="J4449" i="1"/>
  <c r="K4449" i="1"/>
  <c r="Q4449" i="1"/>
  <c r="P4449" i="1"/>
  <c r="B4448" i="1"/>
  <c r="H4448" i="1"/>
  <c r="K4448" i="1"/>
  <c r="Q4448" i="1"/>
  <c r="P4448" i="1"/>
  <c r="B4447" i="1"/>
  <c r="H4447" i="1"/>
  <c r="K4447" i="1"/>
  <c r="Q4447" i="1"/>
  <c r="P4447" i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/>
  <c r="H4434" i="1"/>
  <c r="J4434" i="1"/>
  <c r="H4435" i="1"/>
  <c r="J4435" i="1"/>
  <c r="H4436" i="1"/>
  <c r="J4436" i="1"/>
  <c r="H4437" i="1"/>
  <c r="J4437" i="1"/>
  <c r="H4438" i="1"/>
  <c r="J4438" i="1"/>
  <c r="H4439" i="1"/>
  <c r="H4440" i="1"/>
  <c r="H4441" i="1"/>
  <c r="H4442" i="1"/>
  <c r="H4443" i="1"/>
  <c r="H4444" i="1"/>
  <c r="H4445" i="1"/>
  <c r="J4445" i="1"/>
  <c r="H4446" i="1"/>
  <c r="J4446" i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/>
  <c r="Q4424" i="1"/>
  <c r="P4424" i="1"/>
  <c r="Q4425" i="1"/>
  <c r="P4425" i="1"/>
  <c r="Q4426" i="1"/>
  <c r="P4426" i="1"/>
  <c r="Q4427" i="1"/>
  <c r="P4427" i="1"/>
  <c r="Q4428" i="1"/>
  <c r="P4428" i="1"/>
  <c r="Q4429" i="1"/>
  <c r="P4429" i="1"/>
  <c r="Q4430" i="1"/>
  <c r="P4430" i="1"/>
  <c r="Q4431" i="1"/>
  <c r="P4431" i="1"/>
  <c r="Q4432" i="1"/>
  <c r="P4432" i="1"/>
  <c r="Q4433" i="1"/>
  <c r="P4433" i="1"/>
  <c r="Q4434" i="1"/>
  <c r="P4434" i="1"/>
  <c r="Q4435" i="1"/>
  <c r="P4435" i="1"/>
  <c r="Q4436" i="1"/>
  <c r="P4436" i="1"/>
  <c r="Q4437" i="1"/>
  <c r="P4437" i="1"/>
  <c r="Q4438" i="1"/>
  <c r="P4438" i="1"/>
  <c r="Q4439" i="1"/>
  <c r="P4439" i="1"/>
  <c r="Q4440" i="1"/>
  <c r="P4440" i="1"/>
  <c r="Q4441" i="1"/>
  <c r="P4441" i="1"/>
  <c r="Q4442" i="1"/>
  <c r="P4442" i="1"/>
  <c r="Q4443" i="1"/>
  <c r="P4443" i="1"/>
  <c r="Q4444" i="1"/>
  <c r="P4444" i="1"/>
  <c r="Q4445" i="1"/>
  <c r="P4445" i="1"/>
  <c r="Q4446" i="1"/>
  <c r="P4446" i="1"/>
  <c r="J4439" i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/>
  <c r="B4421" i="1"/>
  <c r="H4421" i="1"/>
  <c r="J4421" i="1"/>
  <c r="K4421" i="1"/>
  <c r="Q4421" i="1"/>
  <c r="P4421" i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/>
  <c r="Q4420" i="1"/>
  <c r="P4420" i="1"/>
  <c r="B4418" i="1"/>
  <c r="H4418" i="1"/>
  <c r="J4418" i="1"/>
  <c r="K4418" i="1"/>
  <c r="Q4418" i="1"/>
  <c r="P4418" i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/>
  <c r="Q4400" i="1"/>
  <c r="P4400" i="1"/>
  <c r="Q4401" i="1"/>
  <c r="P4401" i="1"/>
  <c r="Q4402" i="1"/>
  <c r="P4402" i="1"/>
  <c r="Q4403" i="1"/>
  <c r="P4403" i="1"/>
  <c r="Q4404" i="1"/>
  <c r="P4404" i="1"/>
  <c r="Q4405" i="1"/>
  <c r="P4405" i="1"/>
  <c r="Q4406" i="1"/>
  <c r="P4406" i="1"/>
  <c r="Q4407" i="1"/>
  <c r="P4407" i="1"/>
  <c r="Q4408" i="1"/>
  <c r="P4408" i="1"/>
  <c r="Q4409" i="1"/>
  <c r="P4409" i="1"/>
  <c r="Q4410" i="1"/>
  <c r="P4410" i="1"/>
  <c r="Q4411" i="1"/>
  <c r="P4411" i="1"/>
  <c r="Q4412" i="1"/>
  <c r="P4412" i="1"/>
  <c r="Q4413" i="1"/>
  <c r="P4413" i="1"/>
  <c r="Q4414" i="1"/>
  <c r="P4414" i="1"/>
  <c r="Q4415" i="1"/>
  <c r="P4415" i="1"/>
  <c r="Q4416" i="1"/>
  <c r="P4416" i="1"/>
  <c r="Q4417" i="1"/>
  <c r="P4417" i="1"/>
  <c r="B4398" i="1"/>
  <c r="H4398" i="1"/>
  <c r="K4398" i="1"/>
  <c r="Q4398" i="1"/>
  <c r="P4398" i="1"/>
  <c r="B4397" i="1"/>
  <c r="H4397" i="1"/>
  <c r="J4397" i="1"/>
  <c r="K4397" i="1"/>
  <c r="Q4397" i="1"/>
  <c r="P4397" i="1"/>
  <c r="B4396" i="1"/>
  <c r="H4396" i="1"/>
  <c r="J4396" i="1"/>
  <c r="K4396" i="1"/>
  <c r="Q4396" i="1"/>
  <c r="P4396" i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/>
  <c r="Q4394" i="1"/>
  <c r="P4394" i="1"/>
  <c r="Q4395" i="1"/>
  <c r="P4395" i="1"/>
  <c r="B4392" i="1"/>
  <c r="H4392" i="1"/>
  <c r="K4392" i="1"/>
  <c r="Q4392" i="1"/>
  <c r="P4392" i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/>
  <c r="Q4381" i="1"/>
  <c r="P4381" i="1"/>
  <c r="Q4382" i="1"/>
  <c r="P4382" i="1"/>
  <c r="Q4383" i="1"/>
  <c r="P4383" i="1"/>
  <c r="Q4384" i="1"/>
  <c r="P4384" i="1"/>
  <c r="Q4385" i="1"/>
  <c r="P4385" i="1"/>
  <c r="Q4386" i="1"/>
  <c r="P4386" i="1"/>
  <c r="Q4387" i="1"/>
  <c r="P4387" i="1"/>
  <c r="Q4388" i="1"/>
  <c r="P4388" i="1"/>
  <c r="Q4389" i="1"/>
  <c r="P4389" i="1"/>
  <c r="Q4390" i="1"/>
  <c r="P4390" i="1"/>
  <c r="Q4391" i="1"/>
  <c r="P4391" i="1"/>
  <c r="B4379" i="1"/>
  <c r="H4379" i="1"/>
  <c r="K4379" i="1"/>
  <c r="Q4379" i="1"/>
  <c r="P4379" i="1"/>
  <c r="B4378" i="1"/>
  <c r="H4378" i="1"/>
  <c r="K4378" i="1"/>
  <c r="Q4378" i="1"/>
  <c r="P4378" i="1"/>
  <c r="B4376" i="1"/>
  <c r="B4377" i="1"/>
  <c r="H4376" i="1"/>
  <c r="H4377" i="1"/>
  <c r="K4376" i="1"/>
  <c r="K4377" i="1"/>
  <c r="Q4376" i="1"/>
  <c r="P4376" i="1"/>
  <c r="Q4377" i="1"/>
  <c r="P4377" i="1"/>
  <c r="B4375" i="1"/>
  <c r="H4375" i="1"/>
  <c r="J4375" i="1"/>
  <c r="K4375" i="1"/>
  <c r="Q4375" i="1"/>
  <c r="P4375" i="1"/>
  <c r="J4374" i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/>
  <c r="Q4372" i="1"/>
  <c r="P4372" i="1"/>
  <c r="Q4373" i="1"/>
  <c r="P4373" i="1"/>
  <c r="Q4374" i="1"/>
  <c r="P4374" i="1"/>
  <c r="J4357" i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/>
  <c r="Q4361" i="1"/>
  <c r="P4361" i="1"/>
  <c r="Q4362" i="1"/>
  <c r="P4362" i="1"/>
  <c r="Q4363" i="1"/>
  <c r="P4363" i="1"/>
  <c r="Q4364" i="1"/>
  <c r="P4364" i="1"/>
  <c r="Q4365" i="1"/>
  <c r="P4365" i="1"/>
  <c r="Q4366" i="1"/>
  <c r="P4366" i="1"/>
  <c r="Q4367" i="1"/>
  <c r="P4367" i="1"/>
  <c r="Q4368" i="1"/>
  <c r="P4368" i="1"/>
  <c r="Q4369" i="1"/>
  <c r="P4369" i="1"/>
  <c r="Q4370" i="1"/>
  <c r="P4370" i="1"/>
  <c r="B4359" i="1"/>
  <c r="H4359" i="1"/>
  <c r="J4359" i="1"/>
  <c r="K4359" i="1"/>
  <c r="Q4359" i="1"/>
  <c r="P4359" i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/>
  <c r="Q4350" i="1"/>
  <c r="P4350" i="1"/>
  <c r="Q4351" i="1"/>
  <c r="P4351" i="1"/>
  <c r="Q4352" i="1"/>
  <c r="P4352" i="1"/>
  <c r="Q4353" i="1"/>
  <c r="P4353" i="1"/>
  <c r="Q4354" i="1"/>
  <c r="P4354" i="1"/>
  <c r="Q4355" i="1"/>
  <c r="P4355" i="1"/>
  <c r="Q4356" i="1"/>
  <c r="P4356" i="1"/>
  <c r="Q4357" i="1"/>
  <c r="P4357" i="1"/>
  <c r="Q4358" i="1"/>
  <c r="P4358" i="1"/>
  <c r="B4348" i="1"/>
  <c r="H4348" i="1"/>
  <c r="J4348" i="1"/>
  <c r="K4348" i="1"/>
  <c r="Q4348" i="1"/>
  <c r="P4348" i="1"/>
  <c r="B4347" i="1"/>
  <c r="H4347" i="1"/>
  <c r="J4347" i="1"/>
  <c r="K4347" i="1"/>
  <c r="Q4347" i="1"/>
  <c r="P4347" i="1"/>
  <c r="B4345" i="1"/>
  <c r="B4346" i="1"/>
  <c r="H4345" i="1"/>
  <c r="H4346" i="1"/>
  <c r="K4345" i="1"/>
  <c r="K4346" i="1"/>
  <c r="Q4345" i="1"/>
  <c r="P4345" i="1"/>
  <c r="Q4346" i="1"/>
  <c r="P4346" i="1"/>
  <c r="B4343" i="1"/>
  <c r="B4344" i="1"/>
  <c r="H4343" i="1"/>
  <c r="H4344" i="1"/>
  <c r="J4343" i="1"/>
  <c r="J4344" i="1"/>
  <c r="K4343" i="1"/>
  <c r="K4344" i="1"/>
  <c r="Q4343" i="1"/>
  <c r="P4343" i="1"/>
  <c r="Q4344" i="1"/>
  <c r="P4344" i="1"/>
  <c r="J4339" i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/>
  <c r="B4341" i="1"/>
  <c r="H4341" i="1"/>
  <c r="J4341" i="1"/>
  <c r="K4341" i="1"/>
  <c r="Q4341" i="1"/>
  <c r="P4341" i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/>
  <c r="B4339" i="1"/>
  <c r="H4339" i="1"/>
  <c r="K4339" i="1"/>
  <c r="Q4339" i="1"/>
  <c r="P4339" i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/>
  <c r="Q4319" i="1"/>
  <c r="P4319" i="1"/>
  <c r="Q4320" i="1"/>
  <c r="P4320" i="1"/>
  <c r="Q4321" i="1"/>
  <c r="P4321" i="1"/>
  <c r="Q4322" i="1"/>
  <c r="P4322" i="1"/>
  <c r="Q4323" i="1"/>
  <c r="P4323" i="1"/>
  <c r="Q4324" i="1"/>
  <c r="P4324" i="1"/>
  <c r="Q4325" i="1"/>
  <c r="P4325" i="1"/>
  <c r="Q4326" i="1"/>
  <c r="P4326" i="1"/>
  <c r="Q4327" i="1"/>
  <c r="P4327" i="1"/>
  <c r="Q4328" i="1"/>
  <c r="P4328" i="1"/>
  <c r="Q4329" i="1"/>
  <c r="P4329" i="1"/>
  <c r="Q4330" i="1"/>
  <c r="P4330" i="1"/>
  <c r="Q4331" i="1"/>
  <c r="P4331" i="1"/>
  <c r="Q4332" i="1"/>
  <c r="P4332" i="1"/>
  <c r="Q4333" i="1"/>
  <c r="P4333" i="1"/>
  <c r="Q4334" i="1"/>
  <c r="P4334" i="1"/>
  <c r="Q4335" i="1"/>
  <c r="P4335" i="1"/>
  <c r="Q4336" i="1"/>
  <c r="P4336" i="1"/>
  <c r="Q4337" i="1"/>
  <c r="P4337" i="1"/>
  <c r="Q4338" i="1"/>
  <c r="P4338" i="1"/>
  <c r="B4317" i="1"/>
  <c r="H4317" i="1"/>
  <c r="K4317" i="1"/>
  <c r="Q4317" i="1"/>
  <c r="P4317" i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/>
  <c r="Q4298" i="1"/>
  <c r="P4298" i="1"/>
  <c r="Q4299" i="1"/>
  <c r="P4299" i="1"/>
  <c r="Q4300" i="1"/>
  <c r="P4300" i="1"/>
  <c r="Q4301" i="1"/>
  <c r="P4301" i="1"/>
  <c r="Q4302" i="1"/>
  <c r="P4302" i="1"/>
  <c r="Q4303" i="1"/>
  <c r="P4303" i="1"/>
  <c r="Q4304" i="1"/>
  <c r="P4304" i="1"/>
  <c r="Q4305" i="1"/>
  <c r="P4305" i="1"/>
  <c r="Q4306" i="1"/>
  <c r="P4306" i="1"/>
  <c r="Q4307" i="1"/>
  <c r="P4307" i="1"/>
  <c r="Q4308" i="1"/>
  <c r="P4308" i="1"/>
  <c r="Q4309" i="1"/>
  <c r="P4309" i="1"/>
  <c r="Q4310" i="1"/>
  <c r="P4310" i="1"/>
  <c r="Q4311" i="1"/>
  <c r="P4311" i="1"/>
  <c r="Q4312" i="1"/>
  <c r="P4312" i="1"/>
  <c r="Q4313" i="1"/>
  <c r="P4313" i="1"/>
  <c r="Q4314" i="1"/>
  <c r="P4314" i="1"/>
  <c r="Q4315" i="1"/>
  <c r="P4315" i="1"/>
  <c r="Q4316" i="1"/>
  <c r="P4316" i="1"/>
  <c r="B4296" i="1"/>
  <c r="H4296" i="1"/>
  <c r="K4296" i="1"/>
  <c r="Q4296" i="1"/>
  <c r="P4296" i="1"/>
  <c r="B4294" i="1"/>
  <c r="B4295" i="1"/>
  <c r="H4294" i="1"/>
  <c r="H4295" i="1"/>
  <c r="J4294" i="1"/>
  <c r="J4295" i="1"/>
  <c r="K4294" i="1"/>
  <c r="K4295" i="1"/>
  <c r="Q4294" i="1"/>
  <c r="P4294" i="1"/>
  <c r="Q4295" i="1"/>
  <c r="P4295" i="1"/>
  <c r="B4289" i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/>
  <c r="Q4290" i="1"/>
  <c r="P4290" i="1"/>
  <c r="Q4291" i="1"/>
  <c r="P4291" i="1"/>
  <c r="Q4292" i="1"/>
  <c r="P4292" i="1"/>
  <c r="Q4293" i="1"/>
  <c r="P4293" i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/>
  <c r="Q4276" i="1"/>
  <c r="P4276" i="1"/>
  <c r="Q4277" i="1"/>
  <c r="P4277" i="1"/>
  <c r="Q4278" i="1"/>
  <c r="P4278" i="1"/>
  <c r="Q4279" i="1"/>
  <c r="P4279" i="1"/>
  <c r="Q4280" i="1"/>
  <c r="P4280" i="1"/>
  <c r="Q4281" i="1"/>
  <c r="P4281" i="1"/>
  <c r="Q4282" i="1"/>
  <c r="P4282" i="1"/>
  <c r="Q4283" i="1"/>
  <c r="P4283" i="1"/>
  <c r="Q4284" i="1"/>
  <c r="P4284" i="1"/>
  <c r="Q4285" i="1"/>
  <c r="P4285" i="1"/>
  <c r="Q4286" i="1"/>
  <c r="P4286" i="1"/>
  <c r="Q4287" i="1"/>
  <c r="P4287" i="1"/>
  <c r="Q4288" i="1"/>
  <c r="P4288" i="1"/>
  <c r="B4273" i="1"/>
  <c r="B4274" i="1"/>
  <c r="H4273" i="1"/>
  <c r="H4274" i="1"/>
  <c r="J4273" i="1"/>
  <c r="J4274" i="1"/>
  <c r="K4273" i="1"/>
  <c r="K4274" i="1"/>
  <c r="Q4273" i="1"/>
  <c r="P4273" i="1"/>
  <c r="Q4274" i="1"/>
  <c r="P4274" i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/>
  <c r="Q4226" i="1"/>
  <c r="P4226" i="1"/>
  <c r="Q4227" i="1"/>
  <c r="P4227" i="1"/>
  <c r="Q4228" i="1"/>
  <c r="P4228" i="1"/>
  <c r="Q4229" i="1"/>
  <c r="P4229" i="1"/>
  <c r="Q4230" i="1"/>
  <c r="P4230" i="1"/>
  <c r="Q4231" i="1"/>
  <c r="P4231" i="1"/>
  <c r="Q4232" i="1"/>
  <c r="P4232" i="1"/>
  <c r="Q4233" i="1"/>
  <c r="P4233" i="1"/>
  <c r="Q4234" i="1"/>
  <c r="P4234" i="1"/>
  <c r="Q4235" i="1"/>
  <c r="P4235" i="1"/>
  <c r="Q4236" i="1"/>
  <c r="P4236" i="1"/>
  <c r="Q4237" i="1"/>
  <c r="P4237" i="1"/>
  <c r="Q4238" i="1"/>
  <c r="P4238" i="1"/>
  <c r="Q4239" i="1"/>
  <c r="P4239" i="1"/>
  <c r="Q4240" i="1"/>
  <c r="P4240" i="1"/>
  <c r="Q4241" i="1"/>
  <c r="P4241" i="1"/>
  <c r="Q4242" i="1"/>
  <c r="P4242" i="1"/>
  <c r="Q4243" i="1"/>
  <c r="P4243" i="1"/>
  <c r="Q4244" i="1"/>
  <c r="P4244" i="1"/>
  <c r="Q4245" i="1"/>
  <c r="P4245" i="1"/>
  <c r="Q4246" i="1"/>
  <c r="P4246" i="1"/>
  <c r="Q4247" i="1"/>
  <c r="P4247" i="1"/>
  <c r="Q4248" i="1"/>
  <c r="P4248" i="1"/>
  <c r="Q4249" i="1"/>
  <c r="P4249" i="1"/>
  <c r="Q4250" i="1"/>
  <c r="P4250" i="1"/>
  <c r="Q4251" i="1"/>
  <c r="P4251" i="1"/>
  <c r="Q4252" i="1"/>
  <c r="P4252" i="1"/>
  <c r="Q4253" i="1"/>
  <c r="P4253" i="1"/>
  <c r="Q4254" i="1"/>
  <c r="P4254" i="1"/>
  <c r="Q4255" i="1"/>
  <c r="P4255" i="1"/>
  <c r="Q4256" i="1"/>
  <c r="P4256" i="1"/>
  <c r="Q4257" i="1"/>
  <c r="P4257" i="1"/>
  <c r="Q4258" i="1"/>
  <c r="P4258" i="1"/>
  <c r="Q4259" i="1"/>
  <c r="P4259" i="1"/>
  <c r="Q4260" i="1"/>
  <c r="P4260" i="1"/>
  <c r="Q4261" i="1"/>
  <c r="P4261" i="1"/>
  <c r="Q4262" i="1"/>
  <c r="P4262" i="1"/>
  <c r="Q4263" i="1"/>
  <c r="P4263" i="1"/>
  <c r="Q4264" i="1"/>
  <c r="P4264" i="1"/>
  <c r="Q4265" i="1"/>
  <c r="P4265" i="1"/>
  <c r="Q4266" i="1"/>
  <c r="P4266" i="1"/>
  <c r="Q4267" i="1"/>
  <c r="P4267" i="1"/>
  <c r="Q4268" i="1"/>
  <c r="P4268" i="1"/>
  <c r="Q4269" i="1"/>
  <c r="P4269" i="1"/>
  <c r="Q4270" i="1"/>
  <c r="P4270" i="1"/>
  <c r="Q4271" i="1"/>
  <c r="P4271" i="1"/>
  <c r="Q4272" i="1"/>
  <c r="P4272" i="1"/>
  <c r="B4224" i="1"/>
  <c r="H4224" i="1"/>
  <c r="K4224" i="1"/>
  <c r="Q4224" i="1"/>
  <c r="P4224" i="1"/>
  <c r="B4223" i="1"/>
  <c r="H4223" i="1"/>
  <c r="J4223" i="1"/>
  <c r="K4223" i="1"/>
  <c r="Q4223" i="1"/>
  <c r="P4223" i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/>
  <c r="Q4212" i="1"/>
  <c r="P4212" i="1"/>
  <c r="Q4213" i="1"/>
  <c r="P4213" i="1"/>
  <c r="Q4214" i="1"/>
  <c r="P4214" i="1"/>
  <c r="Q4215" i="1"/>
  <c r="P4215" i="1"/>
  <c r="Q4216" i="1"/>
  <c r="P4216" i="1"/>
  <c r="Q4217" i="1"/>
  <c r="P4217" i="1"/>
  <c r="Q4218" i="1"/>
  <c r="P4218" i="1"/>
  <c r="Q4219" i="1"/>
  <c r="P4219" i="1"/>
  <c r="Q4220" i="1"/>
  <c r="P4220" i="1"/>
  <c r="Q4221" i="1"/>
  <c r="P4221" i="1"/>
  <c r="Q4222" i="1"/>
  <c r="P4222" i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/>
  <c r="Q4201" i="1"/>
  <c r="P4201" i="1"/>
  <c r="Q4202" i="1"/>
  <c r="P4202" i="1"/>
  <c r="Q4203" i="1"/>
  <c r="P4203" i="1"/>
  <c r="Q4204" i="1"/>
  <c r="P4204" i="1"/>
  <c r="Q4205" i="1"/>
  <c r="P4205" i="1"/>
  <c r="Q4206" i="1"/>
  <c r="P4206" i="1"/>
  <c r="Q4207" i="1"/>
  <c r="P4207" i="1"/>
  <c r="Q4208" i="1"/>
  <c r="P4208" i="1"/>
  <c r="Q4209" i="1"/>
  <c r="P4209" i="1"/>
  <c r="Q4210" i="1"/>
  <c r="P4210" i="1"/>
  <c r="B4199" i="1"/>
  <c r="H4199" i="1"/>
  <c r="K4199" i="1"/>
  <c r="Q4199" i="1"/>
  <c r="P4199" i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/>
  <c r="Q4197" i="1"/>
  <c r="P4197" i="1"/>
  <c r="Q4198" i="1"/>
  <c r="P4198" i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/>
  <c r="Q4180" i="1"/>
  <c r="P4180" i="1"/>
  <c r="Q4181" i="1"/>
  <c r="P4181" i="1"/>
  <c r="Q4182" i="1"/>
  <c r="P4182" i="1"/>
  <c r="Q4183" i="1"/>
  <c r="P4183" i="1"/>
  <c r="Q4184" i="1"/>
  <c r="P4184" i="1"/>
  <c r="Q4185" i="1"/>
  <c r="P4185" i="1"/>
  <c r="Q4186" i="1"/>
  <c r="P4186" i="1"/>
  <c r="Q4187" i="1"/>
  <c r="P4187" i="1"/>
  <c r="Q4188" i="1"/>
  <c r="P4188" i="1"/>
  <c r="Q4189" i="1"/>
  <c r="P4189" i="1"/>
  <c r="Q4190" i="1"/>
  <c r="P4190" i="1"/>
  <c r="Q4191" i="1"/>
  <c r="P4191" i="1"/>
  <c r="Q4192" i="1"/>
  <c r="P4192" i="1"/>
  <c r="Q4193" i="1"/>
  <c r="P4193" i="1"/>
  <c r="Q4194" i="1"/>
  <c r="P4194" i="1"/>
  <c r="Q4195" i="1"/>
  <c r="P4195" i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/>
  <c r="Q4174" i="1"/>
  <c r="P4174" i="1"/>
  <c r="Q4175" i="1"/>
  <c r="P4175" i="1"/>
  <c r="Q4176" i="1"/>
  <c r="P4176" i="1"/>
  <c r="Q4177" i="1"/>
  <c r="P4177" i="1"/>
  <c r="Q4178" i="1"/>
  <c r="P4178" i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/>
  <c r="Q4164" i="1"/>
  <c r="P4164" i="1"/>
  <c r="Q4165" i="1"/>
  <c r="P4165" i="1"/>
  <c r="Q4166" i="1"/>
  <c r="P4166" i="1"/>
  <c r="Q4167" i="1"/>
  <c r="P4167" i="1"/>
  <c r="Q4168" i="1"/>
  <c r="P4168" i="1"/>
  <c r="Q4169" i="1"/>
  <c r="P4169" i="1"/>
  <c r="Q4170" i="1"/>
  <c r="P4170" i="1"/>
  <c r="Q4171" i="1"/>
  <c r="P4171" i="1"/>
  <c r="H4160" i="1"/>
  <c r="H4161" i="1"/>
  <c r="H4162" i="1"/>
  <c r="J4160" i="1"/>
  <c r="J4161" i="1"/>
  <c r="J4162" i="1"/>
  <c r="K4160" i="1"/>
  <c r="K4161" i="1"/>
  <c r="K4162" i="1"/>
  <c r="Q4160" i="1"/>
  <c r="P4160" i="1"/>
  <c r="Q4161" i="1"/>
  <c r="P4161" i="1"/>
  <c r="Q4162" i="1"/>
  <c r="P4162" i="1"/>
  <c r="K4159" i="1"/>
  <c r="K4158" i="1"/>
  <c r="K4157" i="1"/>
  <c r="K4156" i="1"/>
  <c r="K4155" i="1"/>
  <c r="H4158" i="1"/>
  <c r="H4159" i="1"/>
  <c r="J4158" i="1"/>
  <c r="J4159" i="1"/>
  <c r="Q4158" i="1"/>
  <c r="P4158" i="1"/>
  <c r="Q4159" i="1"/>
  <c r="P4159" i="1"/>
  <c r="H4157" i="1"/>
  <c r="J4157" i="1"/>
  <c r="Q4157" i="1"/>
  <c r="P4157" i="1"/>
  <c r="H4156" i="1"/>
  <c r="J4156" i="1"/>
  <c r="Q4156" i="1"/>
  <c r="P4156" i="1"/>
  <c r="H4155" i="1"/>
  <c r="J4155" i="1"/>
  <c r="Q4155" i="1"/>
  <c r="P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/>
  <c r="Q4153" i="1"/>
  <c r="P4153" i="1"/>
  <c r="Q4154" i="1"/>
  <c r="P4154" i="1"/>
  <c r="H4151" i="1"/>
  <c r="J4151" i="1"/>
  <c r="Q4151" i="1"/>
  <c r="P4151" i="1"/>
  <c r="H4150" i="1"/>
  <c r="J4150" i="1"/>
  <c r="Q4150" i="1"/>
  <c r="P4150" i="1"/>
  <c r="H4149" i="1"/>
  <c r="J4149" i="1"/>
  <c r="Q4149" i="1"/>
  <c r="P4149" i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/>
  <c r="Q4133" i="1"/>
  <c r="P4133" i="1"/>
  <c r="Q4134" i="1"/>
  <c r="P4134" i="1"/>
  <c r="Q4135" i="1"/>
  <c r="P4135" i="1"/>
  <c r="Q4136" i="1"/>
  <c r="P4136" i="1"/>
  <c r="Q4137" i="1"/>
  <c r="P4137" i="1"/>
  <c r="Q4138" i="1"/>
  <c r="P4138" i="1"/>
  <c r="Q4139" i="1"/>
  <c r="P4139" i="1"/>
  <c r="Q4140" i="1"/>
  <c r="P4140" i="1"/>
  <c r="Q4141" i="1"/>
  <c r="P4141" i="1"/>
  <c r="Q4142" i="1"/>
  <c r="P4142" i="1"/>
  <c r="Q4143" i="1"/>
  <c r="P4143" i="1"/>
  <c r="Q4144" i="1"/>
  <c r="P4144" i="1"/>
  <c r="Q4145" i="1"/>
  <c r="P4145" i="1"/>
  <c r="Q4146" i="1"/>
  <c r="P4146" i="1"/>
  <c r="Q4147" i="1"/>
  <c r="P4147" i="1"/>
  <c r="Q4148" i="1"/>
  <c r="P4148" i="1"/>
  <c r="J4131" i="1"/>
  <c r="J4129" i="1"/>
  <c r="J4128" i="1"/>
  <c r="J4126" i="1"/>
  <c r="J4124" i="1"/>
  <c r="J4123" i="1"/>
  <c r="J4122" i="1"/>
  <c r="J4121" i="1"/>
  <c r="Q4131" i="1"/>
  <c r="P4131" i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/>
  <c r="Q4121" i="1"/>
  <c r="P4121" i="1"/>
  <c r="Q4122" i="1"/>
  <c r="P4122" i="1"/>
  <c r="Q4123" i="1"/>
  <c r="P4123" i="1"/>
  <c r="Q4124" i="1"/>
  <c r="P4124" i="1"/>
  <c r="Q4125" i="1"/>
  <c r="P4125" i="1"/>
  <c r="Q4126" i="1"/>
  <c r="P4126" i="1"/>
  <c r="Q4127" i="1"/>
  <c r="P4127" i="1"/>
  <c r="Q4128" i="1"/>
  <c r="P4128" i="1"/>
  <c r="Q4129" i="1"/>
  <c r="P4129" i="1"/>
  <c r="Q4130" i="1"/>
  <c r="P4130" i="1"/>
  <c r="J4119" i="1"/>
  <c r="H4119" i="1"/>
  <c r="Q4119" i="1"/>
  <c r="P4119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/>
  <c r="Q4007" i="1"/>
  <c r="P4007" i="1"/>
  <c r="Q4008" i="1"/>
  <c r="P4008" i="1"/>
  <c r="Q4009" i="1"/>
  <c r="P4009" i="1"/>
  <c r="Q4010" i="1"/>
  <c r="P4010" i="1"/>
  <c r="Q4011" i="1"/>
  <c r="P4011" i="1"/>
  <c r="Q4012" i="1"/>
  <c r="P4012" i="1"/>
  <c r="Q4013" i="1"/>
  <c r="P4013" i="1"/>
  <c r="Q4014" i="1"/>
  <c r="P4014" i="1"/>
  <c r="Q4015" i="1"/>
  <c r="P4015" i="1"/>
  <c r="Q4016" i="1"/>
  <c r="P4016" i="1"/>
  <c r="Q4017" i="1"/>
  <c r="P4017" i="1"/>
  <c r="Q4018" i="1"/>
  <c r="P4018" i="1"/>
  <c r="Q4019" i="1"/>
  <c r="P4019" i="1"/>
  <c r="Q4020" i="1"/>
  <c r="P4020" i="1"/>
  <c r="Q4021" i="1"/>
  <c r="P4021" i="1"/>
  <c r="Q4022" i="1"/>
  <c r="P4022" i="1"/>
  <c r="Q4023" i="1"/>
  <c r="P4023" i="1"/>
  <c r="Q4024" i="1"/>
  <c r="P4024" i="1"/>
  <c r="Q4025" i="1"/>
  <c r="P4025" i="1"/>
  <c r="Q4026" i="1"/>
  <c r="P4026" i="1"/>
  <c r="Q4027" i="1"/>
  <c r="P4027" i="1"/>
  <c r="Q4028" i="1"/>
  <c r="P4028" i="1"/>
  <c r="Q4029" i="1"/>
  <c r="P4029" i="1"/>
  <c r="Q4030" i="1"/>
  <c r="P4030" i="1"/>
  <c r="Q4031" i="1"/>
  <c r="P4031" i="1"/>
  <c r="Q4032" i="1"/>
  <c r="P4032" i="1"/>
  <c r="Q4033" i="1"/>
  <c r="P4033" i="1"/>
  <c r="Q4034" i="1"/>
  <c r="P4034" i="1"/>
  <c r="Q4035" i="1"/>
  <c r="P4035" i="1"/>
  <c r="Q4036" i="1"/>
  <c r="P4036" i="1"/>
  <c r="Q4037" i="1"/>
  <c r="P4037" i="1"/>
  <c r="Q4038" i="1"/>
  <c r="P4038" i="1"/>
  <c r="Q4039" i="1"/>
  <c r="P4039" i="1"/>
  <c r="Q4040" i="1"/>
  <c r="P4040" i="1"/>
  <c r="Q4041" i="1"/>
  <c r="P4041" i="1"/>
  <c r="Q4042" i="1"/>
  <c r="P4042" i="1"/>
  <c r="Q4043" i="1"/>
  <c r="P4043" i="1"/>
  <c r="Q4044" i="1"/>
  <c r="P4044" i="1"/>
  <c r="Q4045" i="1"/>
  <c r="P4045" i="1"/>
  <c r="Q4046" i="1"/>
  <c r="P4046" i="1"/>
  <c r="Q4047" i="1"/>
  <c r="P4047" i="1"/>
  <c r="Q4048" i="1"/>
  <c r="P4048" i="1"/>
  <c r="Q4049" i="1"/>
  <c r="P4049" i="1"/>
  <c r="Q4050" i="1"/>
  <c r="P4050" i="1"/>
  <c r="Q4051" i="1"/>
  <c r="P4051" i="1"/>
  <c r="Q4052" i="1"/>
  <c r="P4052" i="1"/>
  <c r="Q4053" i="1"/>
  <c r="P4053" i="1"/>
  <c r="Q4054" i="1"/>
  <c r="P4054" i="1"/>
  <c r="Q4055" i="1"/>
  <c r="P4055" i="1"/>
  <c r="Q4056" i="1"/>
  <c r="P4056" i="1"/>
  <c r="Q4057" i="1"/>
  <c r="P4057" i="1"/>
  <c r="Q4058" i="1"/>
  <c r="P4058" i="1"/>
  <c r="Q4059" i="1"/>
  <c r="P4059" i="1"/>
  <c r="Q4060" i="1"/>
  <c r="P4060" i="1"/>
  <c r="Q4061" i="1"/>
  <c r="P4061" i="1"/>
  <c r="Q4062" i="1"/>
  <c r="P4062" i="1"/>
  <c r="Q4063" i="1"/>
  <c r="P4063" i="1"/>
  <c r="Q4064" i="1"/>
  <c r="P4064" i="1"/>
  <c r="Q4065" i="1"/>
  <c r="P4065" i="1"/>
  <c r="Q4066" i="1"/>
  <c r="P4066" i="1"/>
  <c r="Q4067" i="1"/>
  <c r="P4067" i="1"/>
  <c r="Q4068" i="1"/>
  <c r="P4068" i="1"/>
  <c r="Q4069" i="1"/>
  <c r="P4069" i="1"/>
  <c r="Q4070" i="1"/>
  <c r="P4070" i="1"/>
  <c r="Q4071" i="1"/>
  <c r="P4071" i="1"/>
  <c r="Q4072" i="1"/>
  <c r="P4072" i="1"/>
  <c r="Q4073" i="1"/>
  <c r="P4073" i="1"/>
  <c r="Q4074" i="1"/>
  <c r="P4074" i="1"/>
  <c r="Q4075" i="1"/>
  <c r="P4075" i="1"/>
  <c r="Q4076" i="1"/>
  <c r="P4076" i="1"/>
  <c r="Q4077" i="1"/>
  <c r="P4077" i="1"/>
  <c r="Q4078" i="1"/>
  <c r="P4078" i="1"/>
  <c r="Q4079" i="1"/>
  <c r="P4079" i="1"/>
  <c r="Q4080" i="1"/>
  <c r="P4080" i="1"/>
  <c r="Q4081" i="1"/>
  <c r="P4081" i="1"/>
  <c r="Q4082" i="1"/>
  <c r="P4082" i="1"/>
  <c r="Q4083" i="1"/>
  <c r="P4083" i="1"/>
  <c r="Q4084" i="1"/>
  <c r="P4084" i="1"/>
  <c r="Q4085" i="1"/>
  <c r="P4085" i="1"/>
  <c r="Q4086" i="1"/>
  <c r="P4086" i="1"/>
  <c r="Q4087" i="1"/>
  <c r="P4087" i="1"/>
  <c r="Q4088" i="1"/>
  <c r="P4088" i="1"/>
  <c r="Q4089" i="1"/>
  <c r="P4089" i="1"/>
  <c r="Q4090" i="1"/>
  <c r="P4090" i="1"/>
  <c r="Q4091" i="1"/>
  <c r="P4091" i="1"/>
  <c r="Q4092" i="1"/>
  <c r="P4092" i="1"/>
  <c r="Q4093" i="1"/>
  <c r="P4093" i="1"/>
  <c r="Q4094" i="1"/>
  <c r="P4094" i="1"/>
  <c r="Q4095" i="1"/>
  <c r="P4095" i="1"/>
  <c r="Q4096" i="1"/>
  <c r="P4096" i="1"/>
  <c r="Q4097" i="1"/>
  <c r="P4097" i="1"/>
  <c r="Q4098" i="1"/>
  <c r="P4098" i="1"/>
  <c r="Q4099" i="1"/>
  <c r="P4099" i="1"/>
  <c r="Q4100" i="1"/>
  <c r="P4100" i="1"/>
  <c r="Q4101" i="1"/>
  <c r="P4101" i="1"/>
  <c r="Q4102" i="1"/>
  <c r="P4102" i="1"/>
  <c r="Q4103" i="1"/>
  <c r="P4103" i="1"/>
  <c r="Q4104" i="1"/>
  <c r="P4104" i="1"/>
  <c r="Q4105" i="1"/>
  <c r="P4105" i="1"/>
  <c r="Q4106" i="1"/>
  <c r="P4106" i="1"/>
  <c r="Q4107" i="1"/>
  <c r="P4107" i="1"/>
  <c r="Q4108" i="1"/>
  <c r="P4108" i="1"/>
  <c r="Q4109" i="1"/>
  <c r="P4109" i="1"/>
  <c r="Q4110" i="1"/>
  <c r="P4110" i="1"/>
  <c r="Q4111" i="1"/>
  <c r="P4111" i="1"/>
  <c r="Q4112" i="1"/>
  <c r="P4112" i="1"/>
  <c r="Q4113" i="1"/>
  <c r="P4113" i="1"/>
  <c r="Q4114" i="1"/>
  <c r="P4114" i="1"/>
  <c r="Q4115" i="1"/>
  <c r="P4115" i="1"/>
  <c r="Q4116" i="1"/>
  <c r="P4116" i="1"/>
  <c r="Q4117" i="1"/>
  <c r="P4117" i="1"/>
  <c r="Q4118" i="1"/>
  <c r="P4118" i="1"/>
  <c r="H4005" i="1"/>
  <c r="J4005" i="1"/>
  <c r="Q4005" i="1"/>
  <c r="P4005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/>
  <c r="Q3989" i="1"/>
  <c r="P3989" i="1"/>
  <c r="Q3990" i="1"/>
  <c r="P3990" i="1"/>
  <c r="Q3991" i="1"/>
  <c r="P3991" i="1"/>
  <c r="Q3992" i="1"/>
  <c r="P3992" i="1"/>
  <c r="Q3993" i="1"/>
  <c r="P3993" i="1"/>
  <c r="Q3994" i="1"/>
  <c r="P3994" i="1"/>
  <c r="Q3995" i="1"/>
  <c r="P3995" i="1"/>
  <c r="Q3996" i="1"/>
  <c r="P3996" i="1"/>
  <c r="Q3997" i="1"/>
  <c r="P3997" i="1"/>
  <c r="Q3998" i="1"/>
  <c r="P3998" i="1"/>
  <c r="Q3999" i="1"/>
  <c r="P3999" i="1"/>
  <c r="Q4000" i="1"/>
  <c r="P4000" i="1"/>
  <c r="Q4001" i="1"/>
  <c r="P4001" i="1"/>
  <c r="Q4002" i="1"/>
  <c r="P4002" i="1"/>
  <c r="Q4003" i="1"/>
  <c r="P4003" i="1"/>
  <c r="Q4004" i="1"/>
  <c r="P4004" i="1"/>
  <c r="H3987" i="1"/>
  <c r="J3987" i="1"/>
  <c r="Q3987" i="1"/>
  <c r="P3987" i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/>
  <c r="Q3950" i="1"/>
  <c r="P3950" i="1"/>
  <c r="Q3951" i="1"/>
  <c r="P3951" i="1"/>
  <c r="Q3952" i="1"/>
  <c r="P3952" i="1"/>
  <c r="Q3953" i="1"/>
  <c r="P3953" i="1"/>
  <c r="Q3954" i="1"/>
  <c r="P3954" i="1"/>
  <c r="Q3955" i="1"/>
  <c r="P3955" i="1"/>
  <c r="Q3956" i="1"/>
  <c r="P3956" i="1"/>
  <c r="Q3957" i="1"/>
  <c r="P3957" i="1"/>
  <c r="Q3958" i="1"/>
  <c r="P3958" i="1"/>
  <c r="Q3959" i="1"/>
  <c r="P3959" i="1"/>
  <c r="Q3960" i="1"/>
  <c r="P3960" i="1"/>
  <c r="Q3961" i="1"/>
  <c r="P3961" i="1"/>
  <c r="Q3962" i="1"/>
  <c r="P3962" i="1"/>
  <c r="Q3963" i="1"/>
  <c r="P3963" i="1"/>
  <c r="Q3964" i="1"/>
  <c r="P3964" i="1"/>
  <c r="Q3965" i="1"/>
  <c r="P3965" i="1"/>
  <c r="Q3966" i="1"/>
  <c r="P3966" i="1"/>
  <c r="Q3967" i="1"/>
  <c r="P3967" i="1"/>
  <c r="Q3968" i="1"/>
  <c r="P3968" i="1"/>
  <c r="Q3969" i="1"/>
  <c r="P3969" i="1"/>
  <c r="Q3970" i="1"/>
  <c r="P3970" i="1"/>
  <c r="Q3971" i="1"/>
  <c r="P3971" i="1"/>
  <c r="Q3972" i="1"/>
  <c r="P3972" i="1"/>
  <c r="Q3973" i="1"/>
  <c r="P3973" i="1"/>
  <c r="Q3974" i="1"/>
  <c r="P3974" i="1"/>
  <c r="Q3975" i="1"/>
  <c r="P3975" i="1"/>
  <c r="Q3976" i="1"/>
  <c r="P3976" i="1"/>
  <c r="Q3977" i="1"/>
  <c r="P3977" i="1"/>
  <c r="Q3978" i="1"/>
  <c r="P3978" i="1"/>
  <c r="Q3979" i="1"/>
  <c r="P3979" i="1"/>
  <c r="Q3980" i="1"/>
  <c r="P3980" i="1"/>
  <c r="Q3981" i="1"/>
  <c r="P3981" i="1"/>
  <c r="Q3982" i="1"/>
  <c r="P3982" i="1"/>
  <c r="Q3983" i="1"/>
  <c r="P3983" i="1"/>
  <c r="Q3984" i="1"/>
  <c r="P3984" i="1"/>
  <c r="Q3985" i="1"/>
  <c r="P3985" i="1"/>
  <c r="Q3986" i="1"/>
  <c r="P3986" i="1"/>
  <c r="H3948" i="1"/>
  <c r="Q3948" i="1"/>
  <c r="P3948" i="1"/>
  <c r="H3947" i="1"/>
  <c r="J3947" i="1"/>
  <c r="Q3947" i="1"/>
  <c r="P3947" i="1"/>
  <c r="C2" i="2"/>
  <c r="B4" i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/>
  <c r="Q3946" i="1"/>
  <c r="P3946" i="1"/>
  <c r="H3944" i="1"/>
  <c r="Q3944" i="1"/>
  <c r="P3944" i="1"/>
  <c r="H3937" i="1"/>
  <c r="H3938" i="1"/>
  <c r="H3939" i="1"/>
  <c r="H3940" i="1"/>
  <c r="H3941" i="1"/>
  <c r="H3942" i="1"/>
  <c r="H3943" i="1"/>
  <c r="J3943" i="1"/>
  <c r="Q3937" i="1"/>
  <c r="P3937" i="1"/>
  <c r="Q3938" i="1"/>
  <c r="P3938" i="1"/>
  <c r="Q3939" i="1"/>
  <c r="P3939" i="1"/>
  <c r="Q3940" i="1"/>
  <c r="P3940" i="1"/>
  <c r="Q3941" i="1"/>
  <c r="P3941" i="1"/>
  <c r="Q3942" i="1"/>
  <c r="P3942" i="1"/>
  <c r="Q3943" i="1"/>
  <c r="P3943" i="1"/>
  <c r="H3932" i="1"/>
  <c r="H3933" i="1"/>
  <c r="H3934" i="1"/>
  <c r="H3935" i="1"/>
  <c r="H3936" i="1"/>
  <c r="Q3932" i="1"/>
  <c r="P3932" i="1"/>
  <c r="Q3933" i="1"/>
  <c r="P3933" i="1"/>
  <c r="Q3934" i="1"/>
  <c r="P3934" i="1"/>
  <c r="Q3935" i="1"/>
  <c r="P3935" i="1"/>
  <c r="Q3936" i="1"/>
  <c r="P3936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/>
  <c r="Q3819" i="1"/>
  <c r="P3819" i="1"/>
  <c r="Q3820" i="1"/>
  <c r="P3820" i="1"/>
  <c r="Q3821" i="1"/>
  <c r="P3821" i="1"/>
  <c r="Q3822" i="1"/>
  <c r="P3822" i="1"/>
  <c r="Q3823" i="1"/>
  <c r="P3823" i="1"/>
  <c r="Q3824" i="1"/>
  <c r="P3824" i="1"/>
  <c r="Q3825" i="1"/>
  <c r="P3825" i="1"/>
  <c r="Q3826" i="1"/>
  <c r="P3826" i="1"/>
  <c r="Q3827" i="1"/>
  <c r="P3827" i="1"/>
  <c r="Q3828" i="1"/>
  <c r="P3828" i="1"/>
  <c r="Q3829" i="1"/>
  <c r="P3829" i="1"/>
  <c r="Q3830" i="1"/>
  <c r="P3830" i="1"/>
  <c r="Q3831" i="1"/>
  <c r="P3831" i="1"/>
  <c r="Q3832" i="1"/>
  <c r="P3832" i="1"/>
  <c r="Q3833" i="1"/>
  <c r="P3833" i="1"/>
  <c r="Q3834" i="1"/>
  <c r="P3834" i="1"/>
  <c r="Q3835" i="1"/>
  <c r="P3835" i="1"/>
  <c r="Q3836" i="1"/>
  <c r="P3836" i="1"/>
  <c r="Q3837" i="1"/>
  <c r="P3837" i="1"/>
  <c r="Q3838" i="1"/>
  <c r="P3838" i="1"/>
  <c r="Q3839" i="1"/>
  <c r="P3839" i="1"/>
  <c r="Q3840" i="1"/>
  <c r="P3840" i="1"/>
  <c r="Q3841" i="1"/>
  <c r="P3841" i="1"/>
  <c r="Q3842" i="1"/>
  <c r="P3842" i="1"/>
  <c r="Q3843" i="1"/>
  <c r="P3843" i="1"/>
  <c r="Q3844" i="1"/>
  <c r="P3844" i="1"/>
  <c r="Q3845" i="1"/>
  <c r="P3845" i="1"/>
  <c r="Q3846" i="1"/>
  <c r="P3846" i="1"/>
  <c r="Q3847" i="1"/>
  <c r="P3847" i="1"/>
  <c r="Q3848" i="1"/>
  <c r="P3848" i="1"/>
  <c r="Q3849" i="1"/>
  <c r="P3849" i="1"/>
  <c r="Q3850" i="1"/>
  <c r="P3850" i="1"/>
  <c r="Q3851" i="1"/>
  <c r="P3851" i="1"/>
  <c r="Q3852" i="1"/>
  <c r="P3852" i="1"/>
  <c r="Q3853" i="1"/>
  <c r="P3853" i="1"/>
  <c r="Q3854" i="1"/>
  <c r="P3854" i="1"/>
  <c r="Q3855" i="1"/>
  <c r="P3855" i="1"/>
  <c r="Q3856" i="1"/>
  <c r="P3856" i="1"/>
  <c r="Q3857" i="1"/>
  <c r="P3857" i="1"/>
  <c r="Q3858" i="1"/>
  <c r="P3858" i="1"/>
  <c r="Q3859" i="1"/>
  <c r="P3859" i="1"/>
  <c r="Q3860" i="1"/>
  <c r="P3860" i="1"/>
  <c r="Q3861" i="1"/>
  <c r="P3861" i="1"/>
  <c r="Q3862" i="1"/>
  <c r="P3862" i="1"/>
  <c r="Q3863" i="1"/>
  <c r="P3863" i="1"/>
  <c r="Q3864" i="1"/>
  <c r="P3864" i="1"/>
  <c r="Q3865" i="1"/>
  <c r="P3865" i="1"/>
  <c r="Q3866" i="1"/>
  <c r="P3866" i="1"/>
  <c r="Q3867" i="1"/>
  <c r="P3867" i="1"/>
  <c r="Q3868" i="1"/>
  <c r="P3868" i="1"/>
  <c r="Q3869" i="1"/>
  <c r="P3869" i="1"/>
  <c r="Q3870" i="1"/>
  <c r="P3870" i="1"/>
  <c r="Q3871" i="1"/>
  <c r="P3871" i="1"/>
  <c r="Q3872" i="1"/>
  <c r="P3872" i="1"/>
  <c r="Q3873" i="1"/>
  <c r="P3873" i="1"/>
  <c r="Q3874" i="1"/>
  <c r="P3874" i="1"/>
  <c r="Q3875" i="1"/>
  <c r="P3875" i="1"/>
  <c r="Q3876" i="1"/>
  <c r="P3876" i="1"/>
  <c r="Q3877" i="1"/>
  <c r="P3877" i="1"/>
  <c r="Q3878" i="1"/>
  <c r="P3878" i="1"/>
  <c r="Q3879" i="1"/>
  <c r="P3879" i="1"/>
  <c r="Q3880" i="1"/>
  <c r="P3880" i="1"/>
  <c r="Q3881" i="1"/>
  <c r="P3881" i="1"/>
  <c r="Q3882" i="1"/>
  <c r="P3882" i="1"/>
  <c r="Q3883" i="1"/>
  <c r="P3883" i="1"/>
  <c r="Q3884" i="1"/>
  <c r="P3884" i="1"/>
  <c r="Q3885" i="1"/>
  <c r="P3885" i="1"/>
  <c r="Q3886" i="1"/>
  <c r="P3886" i="1"/>
  <c r="Q3887" i="1"/>
  <c r="P3887" i="1"/>
  <c r="Q3888" i="1"/>
  <c r="P3888" i="1"/>
  <c r="Q3889" i="1"/>
  <c r="P3889" i="1"/>
  <c r="Q3890" i="1"/>
  <c r="P3890" i="1"/>
  <c r="Q3891" i="1"/>
  <c r="P3891" i="1"/>
  <c r="Q3892" i="1"/>
  <c r="P3892" i="1"/>
  <c r="Q3893" i="1"/>
  <c r="P3893" i="1"/>
  <c r="Q3894" i="1"/>
  <c r="P3894" i="1"/>
  <c r="Q3895" i="1"/>
  <c r="P3895" i="1"/>
  <c r="Q3896" i="1"/>
  <c r="P3896" i="1"/>
  <c r="Q3897" i="1"/>
  <c r="P3897" i="1"/>
  <c r="Q3898" i="1"/>
  <c r="P3898" i="1"/>
  <c r="Q3899" i="1"/>
  <c r="P3899" i="1"/>
  <c r="Q3900" i="1"/>
  <c r="P3900" i="1"/>
  <c r="Q3901" i="1"/>
  <c r="P3901" i="1"/>
  <c r="Q3902" i="1"/>
  <c r="P3902" i="1"/>
  <c r="Q3903" i="1"/>
  <c r="P3903" i="1"/>
  <c r="Q3904" i="1"/>
  <c r="P3904" i="1"/>
  <c r="Q3905" i="1"/>
  <c r="P3905" i="1"/>
  <c r="Q3906" i="1"/>
  <c r="P3906" i="1"/>
  <c r="Q3907" i="1"/>
  <c r="P3907" i="1"/>
  <c r="Q3908" i="1"/>
  <c r="P3908" i="1"/>
  <c r="Q3909" i="1"/>
  <c r="P3909" i="1"/>
  <c r="Q3910" i="1"/>
  <c r="P3910" i="1"/>
  <c r="Q3911" i="1"/>
  <c r="P3911" i="1"/>
  <c r="Q3912" i="1"/>
  <c r="P3912" i="1"/>
  <c r="Q3913" i="1"/>
  <c r="P3913" i="1"/>
  <c r="Q3914" i="1"/>
  <c r="P3914" i="1"/>
  <c r="Q3915" i="1"/>
  <c r="P3915" i="1"/>
  <c r="Q3916" i="1"/>
  <c r="P3916" i="1"/>
  <c r="Q3917" i="1"/>
  <c r="P3917" i="1"/>
  <c r="Q3918" i="1"/>
  <c r="P3918" i="1"/>
  <c r="Q3919" i="1"/>
  <c r="P3919" i="1"/>
  <c r="Q3920" i="1"/>
  <c r="P3920" i="1"/>
  <c r="Q3921" i="1"/>
  <c r="P3921" i="1"/>
  <c r="Q3922" i="1"/>
  <c r="P3922" i="1"/>
  <c r="Q3923" i="1"/>
  <c r="P3923" i="1"/>
  <c r="Q3924" i="1"/>
  <c r="P3924" i="1"/>
  <c r="Q3925" i="1"/>
  <c r="P3925" i="1"/>
  <c r="Q3926" i="1"/>
  <c r="P3926" i="1"/>
  <c r="Q3927" i="1"/>
  <c r="P3927" i="1"/>
  <c r="Q3928" i="1"/>
  <c r="P3928" i="1"/>
  <c r="Q3929" i="1"/>
  <c r="P3929" i="1"/>
  <c r="Q3930" i="1"/>
  <c r="P3930" i="1"/>
  <c r="Q3931" i="1"/>
  <c r="P3931" i="1"/>
  <c r="J3718" i="1"/>
  <c r="J3702" i="1"/>
  <c r="Q3720" i="1"/>
  <c r="P3720" i="1"/>
  <c r="Q3721" i="1"/>
  <c r="P3721" i="1"/>
  <c r="Q3722" i="1"/>
  <c r="P3722" i="1"/>
  <c r="Q3723" i="1"/>
  <c r="P3723" i="1"/>
  <c r="Q3724" i="1"/>
  <c r="P3724" i="1"/>
  <c r="Q3725" i="1"/>
  <c r="P3725" i="1"/>
  <c r="Q3726" i="1"/>
  <c r="P3726" i="1"/>
  <c r="Q3727" i="1"/>
  <c r="P3727" i="1"/>
  <c r="Q3728" i="1"/>
  <c r="P3728" i="1"/>
  <c r="Q3729" i="1"/>
  <c r="P3729" i="1"/>
  <c r="Q3730" i="1"/>
  <c r="P3730" i="1"/>
  <c r="Q3695" i="1"/>
  <c r="P3695" i="1"/>
  <c r="Q3696" i="1"/>
  <c r="P3696" i="1"/>
  <c r="Q3697" i="1"/>
  <c r="P3697" i="1"/>
  <c r="Q3698" i="1"/>
  <c r="P3698" i="1"/>
  <c r="Q3699" i="1"/>
  <c r="P3699" i="1"/>
  <c r="Q3700" i="1"/>
  <c r="P3700" i="1"/>
  <c r="Q3701" i="1"/>
  <c r="P3701" i="1"/>
  <c r="Q3702" i="1"/>
  <c r="P3702" i="1"/>
  <c r="Q3703" i="1"/>
  <c r="P3703" i="1"/>
  <c r="Q3704" i="1"/>
  <c r="P3704" i="1"/>
  <c r="Q3705" i="1"/>
  <c r="P3705" i="1"/>
  <c r="Q3706" i="1"/>
  <c r="P3706" i="1"/>
  <c r="Q3707" i="1"/>
  <c r="P3707" i="1"/>
  <c r="Q3708" i="1"/>
  <c r="P3708" i="1"/>
  <c r="Q3709" i="1"/>
  <c r="P3709" i="1"/>
  <c r="Q3710" i="1"/>
  <c r="P3710" i="1"/>
  <c r="Q3711" i="1"/>
  <c r="P3711" i="1"/>
  <c r="Q3712" i="1"/>
  <c r="P3712" i="1"/>
  <c r="Q3713" i="1"/>
  <c r="P3713" i="1"/>
  <c r="Q3714" i="1"/>
  <c r="P3714" i="1"/>
  <c r="Q3715" i="1"/>
  <c r="P3715" i="1"/>
  <c r="Q3716" i="1"/>
  <c r="P3716" i="1"/>
  <c r="Q3717" i="1"/>
  <c r="P3717" i="1"/>
  <c r="Q3718" i="1"/>
  <c r="P3718" i="1"/>
  <c r="Q3719" i="1"/>
  <c r="P3719" i="1"/>
  <c r="Q3693" i="1"/>
  <c r="P3693" i="1"/>
  <c r="Q3692" i="1"/>
  <c r="P3692" i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/>
  <c r="Q3801" i="1"/>
  <c r="P3801" i="1"/>
  <c r="Q3802" i="1"/>
  <c r="P3802" i="1"/>
  <c r="Q3803" i="1"/>
  <c r="P3803" i="1"/>
  <c r="Q3804" i="1"/>
  <c r="P3804" i="1"/>
  <c r="Q3805" i="1"/>
  <c r="P3805" i="1"/>
  <c r="Q3806" i="1"/>
  <c r="P3806" i="1"/>
  <c r="Q3807" i="1"/>
  <c r="P3807" i="1"/>
  <c r="Q3808" i="1"/>
  <c r="P3808" i="1"/>
  <c r="Q3809" i="1"/>
  <c r="P3809" i="1"/>
  <c r="Q3810" i="1"/>
  <c r="P3810" i="1"/>
  <c r="Q3811" i="1"/>
  <c r="P3811" i="1"/>
  <c r="Q3812" i="1"/>
  <c r="P3812" i="1"/>
  <c r="Q3813" i="1"/>
  <c r="P3813" i="1"/>
  <c r="Q3814" i="1"/>
  <c r="P3814" i="1"/>
  <c r="Q3815" i="1"/>
  <c r="P3815" i="1"/>
  <c r="Q3816" i="1"/>
  <c r="P3816" i="1"/>
  <c r="Q3817" i="1"/>
  <c r="P3817" i="1"/>
  <c r="H3799" i="1"/>
  <c r="J3799" i="1"/>
  <c r="Q3799" i="1"/>
  <c r="P3799" i="1"/>
  <c r="H3796" i="1"/>
  <c r="H3797" i="1"/>
  <c r="H3798" i="1"/>
  <c r="J3797" i="1"/>
  <c r="Q3796" i="1"/>
  <c r="P3796" i="1"/>
  <c r="Q3797" i="1"/>
  <c r="P3797" i="1"/>
  <c r="Q3798" i="1"/>
  <c r="P3798" i="1"/>
  <c r="H3795" i="1"/>
  <c r="Q3795" i="1"/>
  <c r="P3795" i="1"/>
  <c r="H3794" i="1"/>
  <c r="Q3794" i="1"/>
  <c r="P3794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/>
  <c r="Q3737" i="1"/>
  <c r="P3737" i="1"/>
  <c r="Q3738" i="1"/>
  <c r="P3738" i="1"/>
  <c r="Q3739" i="1"/>
  <c r="P3739" i="1"/>
  <c r="Q3740" i="1"/>
  <c r="P3740" i="1"/>
  <c r="Q3741" i="1"/>
  <c r="P3741" i="1"/>
  <c r="Q3742" i="1"/>
  <c r="P3742" i="1"/>
  <c r="Q3743" i="1"/>
  <c r="P3743" i="1"/>
  <c r="Q3744" i="1"/>
  <c r="P3744" i="1"/>
  <c r="Q3745" i="1"/>
  <c r="P3745" i="1"/>
  <c r="Q3746" i="1"/>
  <c r="P3746" i="1"/>
  <c r="Q3747" i="1"/>
  <c r="P3747" i="1"/>
  <c r="Q3748" i="1"/>
  <c r="P3748" i="1"/>
  <c r="Q3749" i="1"/>
  <c r="P3749" i="1"/>
  <c r="Q3750" i="1"/>
  <c r="P3750" i="1"/>
  <c r="Q3751" i="1"/>
  <c r="P3751" i="1"/>
  <c r="Q3752" i="1"/>
  <c r="P3752" i="1"/>
  <c r="Q3753" i="1"/>
  <c r="P3753" i="1"/>
  <c r="Q3754" i="1"/>
  <c r="P3754" i="1"/>
  <c r="Q3755" i="1"/>
  <c r="P3755" i="1"/>
  <c r="Q3756" i="1"/>
  <c r="P3756" i="1"/>
  <c r="Q3757" i="1"/>
  <c r="P3757" i="1"/>
  <c r="Q3758" i="1"/>
  <c r="P3758" i="1"/>
  <c r="Q3759" i="1"/>
  <c r="P3759" i="1"/>
  <c r="Q3760" i="1"/>
  <c r="P3760" i="1"/>
  <c r="Q3761" i="1"/>
  <c r="P3761" i="1"/>
  <c r="Q3762" i="1"/>
  <c r="P3762" i="1"/>
  <c r="Q3763" i="1"/>
  <c r="P3763" i="1"/>
  <c r="Q3764" i="1"/>
  <c r="P3764" i="1"/>
  <c r="Q3765" i="1"/>
  <c r="P3765" i="1"/>
  <c r="Q3766" i="1"/>
  <c r="P3766" i="1"/>
  <c r="Q3767" i="1"/>
  <c r="P3767" i="1"/>
  <c r="Q3768" i="1"/>
  <c r="P3768" i="1"/>
  <c r="Q3769" i="1"/>
  <c r="P3769" i="1"/>
  <c r="Q3770" i="1"/>
  <c r="P3770" i="1"/>
  <c r="Q3771" i="1"/>
  <c r="P3771" i="1"/>
  <c r="Q3772" i="1"/>
  <c r="P3772" i="1"/>
  <c r="Q3773" i="1"/>
  <c r="P3773" i="1"/>
  <c r="Q3774" i="1"/>
  <c r="P3774" i="1"/>
  <c r="Q3775" i="1"/>
  <c r="P3775" i="1"/>
  <c r="Q3776" i="1"/>
  <c r="P3776" i="1"/>
  <c r="Q3777" i="1"/>
  <c r="P3777" i="1"/>
  <c r="Q3778" i="1"/>
  <c r="P3778" i="1"/>
  <c r="Q3779" i="1"/>
  <c r="P3779" i="1"/>
  <c r="Q3780" i="1"/>
  <c r="P3780" i="1"/>
  <c r="Q3781" i="1"/>
  <c r="P3781" i="1"/>
  <c r="Q3782" i="1"/>
  <c r="P3782" i="1"/>
  <c r="Q3783" i="1"/>
  <c r="P3783" i="1"/>
  <c r="Q3784" i="1"/>
  <c r="P3784" i="1"/>
  <c r="Q3785" i="1"/>
  <c r="P3785" i="1"/>
  <c r="Q3786" i="1"/>
  <c r="P3786" i="1"/>
  <c r="Q3787" i="1"/>
  <c r="P3787" i="1"/>
  <c r="Q3788" i="1"/>
  <c r="P3788" i="1"/>
  <c r="Q3789" i="1"/>
  <c r="P3789" i="1"/>
  <c r="Q3790" i="1"/>
  <c r="P3790" i="1"/>
  <c r="Q3791" i="1"/>
  <c r="P3791" i="1"/>
  <c r="Q3792" i="1"/>
  <c r="P3792" i="1"/>
  <c r="Q3793" i="1"/>
  <c r="P3793" i="1"/>
  <c r="H3735" i="1"/>
  <c r="Q3735" i="1"/>
  <c r="P3735" i="1"/>
  <c r="H3734" i="1"/>
  <c r="Q3734" i="1"/>
  <c r="P3734" i="1"/>
  <c r="H3733" i="1"/>
  <c r="J3733" i="1"/>
  <c r="Q3733" i="1"/>
  <c r="P3733" i="1"/>
  <c r="H3732" i="1"/>
  <c r="J3732" i="1"/>
  <c r="Q3732" i="1"/>
  <c r="P3732" i="1"/>
  <c r="H3731" i="1"/>
  <c r="J3731" i="1"/>
  <c r="Q3731" i="1"/>
  <c r="P373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/>
  <c r="Q3663" i="1"/>
  <c r="P3663" i="1"/>
  <c r="Q3664" i="1"/>
  <c r="P3664" i="1"/>
  <c r="Q3665" i="1"/>
  <c r="P3665" i="1"/>
  <c r="Q3666" i="1"/>
  <c r="P3666" i="1"/>
  <c r="Q3667" i="1"/>
  <c r="P3667" i="1"/>
  <c r="Q3668" i="1"/>
  <c r="P3668" i="1"/>
  <c r="Q3669" i="1"/>
  <c r="P3669" i="1"/>
  <c r="Q3670" i="1"/>
  <c r="P3670" i="1"/>
  <c r="Q3671" i="1"/>
  <c r="P3671" i="1"/>
  <c r="Q3672" i="1"/>
  <c r="P3672" i="1"/>
  <c r="Q3673" i="1"/>
  <c r="P3673" i="1"/>
  <c r="Q3674" i="1"/>
  <c r="P3674" i="1"/>
  <c r="Q3675" i="1"/>
  <c r="P3675" i="1"/>
  <c r="Q3676" i="1"/>
  <c r="P3676" i="1"/>
  <c r="Q3677" i="1"/>
  <c r="P3677" i="1"/>
  <c r="Q3678" i="1"/>
  <c r="P3678" i="1"/>
  <c r="Q3679" i="1"/>
  <c r="P3679" i="1"/>
  <c r="Q3680" i="1"/>
  <c r="P3680" i="1"/>
  <c r="Q3681" i="1"/>
  <c r="P3681" i="1"/>
  <c r="Q3682" i="1"/>
  <c r="P3682" i="1"/>
  <c r="Q3683" i="1"/>
  <c r="P3683" i="1"/>
  <c r="Q3684" i="1"/>
  <c r="P3684" i="1"/>
  <c r="Q3685" i="1"/>
  <c r="P3685" i="1"/>
  <c r="Q3686" i="1"/>
  <c r="P3686" i="1"/>
  <c r="Q3687" i="1"/>
  <c r="P3687" i="1"/>
  <c r="Q3688" i="1"/>
  <c r="P3688" i="1"/>
  <c r="Q3689" i="1"/>
  <c r="P3689" i="1"/>
  <c r="Q3690" i="1"/>
  <c r="P3690" i="1"/>
  <c r="Q3691" i="1"/>
  <c r="P3691" i="1"/>
  <c r="Q3694" i="1"/>
  <c r="P3694" i="1"/>
  <c r="H3661" i="1"/>
  <c r="J3661" i="1"/>
  <c r="Q3661" i="1"/>
  <c r="P3661" i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/>
  <c r="Q3651" i="1"/>
  <c r="P3651" i="1"/>
  <c r="Q3652" i="1"/>
  <c r="P3652" i="1"/>
  <c r="Q3653" i="1"/>
  <c r="P3653" i="1"/>
  <c r="Q3654" i="1"/>
  <c r="P3654" i="1"/>
  <c r="Q3655" i="1"/>
  <c r="P3655" i="1"/>
  <c r="Q3656" i="1"/>
  <c r="P3656" i="1"/>
  <c r="Q3657" i="1"/>
  <c r="P3657" i="1"/>
  <c r="Q3658" i="1"/>
  <c r="P3658" i="1"/>
  <c r="Q3659" i="1"/>
  <c r="P3659" i="1"/>
  <c r="Q3660" i="1"/>
  <c r="P3660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/>
  <c r="Q3634" i="1"/>
  <c r="P3634" i="1"/>
  <c r="Q3635" i="1"/>
  <c r="P3635" i="1"/>
  <c r="Q3636" i="1"/>
  <c r="P3636" i="1"/>
  <c r="Q3637" i="1"/>
  <c r="P3637" i="1"/>
  <c r="Q3638" i="1"/>
  <c r="P3638" i="1"/>
  <c r="Q3639" i="1"/>
  <c r="P3639" i="1"/>
  <c r="Q3640" i="1"/>
  <c r="P3640" i="1"/>
  <c r="Q3641" i="1"/>
  <c r="P3641" i="1"/>
  <c r="Q3642" i="1"/>
  <c r="P3642" i="1"/>
  <c r="Q3643" i="1"/>
  <c r="P3643" i="1"/>
  <c r="Q3644" i="1"/>
  <c r="P3644" i="1"/>
  <c r="Q3645" i="1"/>
  <c r="P3645" i="1"/>
  <c r="Q3646" i="1"/>
  <c r="P3646" i="1"/>
  <c r="Q3647" i="1"/>
  <c r="P3647" i="1"/>
  <c r="Q3648" i="1"/>
  <c r="P3648" i="1"/>
  <c r="Q3649" i="1"/>
  <c r="P3649" i="1"/>
  <c r="H3632" i="1"/>
  <c r="J3632" i="1"/>
  <c r="Q3632" i="1"/>
  <c r="P3632" i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/>
  <c r="J3620" i="1"/>
  <c r="J3615" i="1"/>
  <c r="J3603" i="1"/>
  <c r="J3602" i="1"/>
  <c r="J3538" i="1"/>
  <c r="J3537" i="1"/>
  <c r="J3536" i="1"/>
  <c r="H3630" i="1"/>
  <c r="J3630" i="1"/>
  <c r="Q3630" i="1"/>
  <c r="P3630" i="1"/>
  <c r="H3629" i="1"/>
  <c r="J3629" i="1"/>
  <c r="Q3629" i="1"/>
  <c r="P3629" i="1"/>
  <c r="H3628" i="1"/>
  <c r="J3628" i="1"/>
  <c r="Q3628" i="1"/>
  <c r="P3628" i="1"/>
  <c r="H3622" i="1"/>
  <c r="H3623" i="1"/>
  <c r="H3624" i="1"/>
  <c r="H3625" i="1"/>
  <c r="H3626" i="1"/>
  <c r="H3627" i="1"/>
  <c r="J3625" i="1"/>
  <c r="J3626" i="1"/>
  <c r="J3627" i="1"/>
  <c r="Q3622" i="1"/>
  <c r="P3622" i="1"/>
  <c r="Q3623" i="1"/>
  <c r="P3623" i="1"/>
  <c r="Q3624" i="1"/>
  <c r="P3624" i="1"/>
  <c r="Q3625" i="1"/>
  <c r="P3625" i="1"/>
  <c r="Q3626" i="1"/>
  <c r="P3626" i="1"/>
  <c r="Q3627" i="1"/>
  <c r="P3627" i="1"/>
  <c r="H3621" i="1"/>
  <c r="Q3621" i="1"/>
  <c r="P3621" i="1"/>
  <c r="H3620" i="1"/>
  <c r="Q3620" i="1"/>
  <c r="P3620" i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/>
  <c r="Q3610" i="1"/>
  <c r="P3610" i="1"/>
  <c r="Q3611" i="1"/>
  <c r="P3611" i="1"/>
  <c r="Q3612" i="1"/>
  <c r="P3612" i="1"/>
  <c r="Q3613" i="1"/>
  <c r="P3613" i="1"/>
  <c r="Q3614" i="1"/>
  <c r="P3614" i="1"/>
  <c r="Q3615" i="1"/>
  <c r="P3615" i="1"/>
  <c r="Q3616" i="1"/>
  <c r="P3616" i="1"/>
  <c r="Q3617" i="1"/>
  <c r="P3617" i="1"/>
  <c r="Q3618" i="1"/>
  <c r="P3618" i="1"/>
  <c r="Q3619" i="1"/>
  <c r="P3619" i="1"/>
  <c r="H3608" i="1"/>
  <c r="Q3608" i="1"/>
  <c r="P3608" i="1"/>
  <c r="H3607" i="1"/>
  <c r="J3607" i="1"/>
  <c r="Q3607" i="1"/>
  <c r="P3607" i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/>
  <c r="Q3604" i="1"/>
  <c r="P3604" i="1"/>
  <c r="Q3605" i="1"/>
  <c r="P3605" i="1"/>
  <c r="Q3606" i="1"/>
  <c r="P3606" i="1"/>
  <c r="H3602" i="1"/>
  <c r="Q3602" i="1"/>
  <c r="P3602" i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/>
  <c r="Q3591" i="1"/>
  <c r="P3591" i="1"/>
  <c r="Q3592" i="1"/>
  <c r="P3592" i="1"/>
  <c r="Q3593" i="1"/>
  <c r="P3593" i="1"/>
  <c r="Q3594" i="1"/>
  <c r="P3594" i="1"/>
  <c r="Q3595" i="1"/>
  <c r="P3595" i="1"/>
  <c r="Q3596" i="1"/>
  <c r="P3596" i="1"/>
  <c r="Q3597" i="1"/>
  <c r="P3597" i="1"/>
  <c r="Q3598" i="1"/>
  <c r="P3598" i="1"/>
  <c r="Q3599" i="1"/>
  <c r="P3599" i="1"/>
  <c r="Q3600" i="1"/>
  <c r="P3600" i="1"/>
  <c r="H3589" i="1"/>
  <c r="Q3589" i="1"/>
  <c r="P3589" i="1"/>
  <c r="H3584" i="1"/>
  <c r="H3585" i="1"/>
  <c r="H3586" i="1"/>
  <c r="H3587" i="1"/>
  <c r="H3588" i="1"/>
  <c r="J3584" i="1"/>
  <c r="J3585" i="1"/>
  <c r="Q3584" i="1"/>
  <c r="P3584" i="1"/>
  <c r="Q3585" i="1"/>
  <c r="P3585" i="1"/>
  <c r="Q3586" i="1"/>
  <c r="P3586" i="1"/>
  <c r="Q3587" i="1"/>
  <c r="P3587" i="1"/>
  <c r="Q3588" i="1"/>
  <c r="P3588" i="1"/>
  <c r="H3583" i="1"/>
  <c r="J3583" i="1"/>
  <c r="Q3583" i="1"/>
  <c r="P3583" i="1"/>
  <c r="J3488" i="1"/>
  <c r="J3486" i="1"/>
  <c r="H3582" i="1"/>
  <c r="J3582" i="1"/>
  <c r="Q3582" i="1"/>
  <c r="P3582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/>
  <c r="Q3490" i="1"/>
  <c r="P3490" i="1"/>
  <c r="Q3491" i="1"/>
  <c r="P3491" i="1"/>
  <c r="Q3492" i="1"/>
  <c r="P3492" i="1"/>
  <c r="Q3493" i="1"/>
  <c r="P3493" i="1"/>
  <c r="Q3494" i="1"/>
  <c r="P3494" i="1"/>
  <c r="Q3495" i="1"/>
  <c r="P3495" i="1"/>
  <c r="Q3496" i="1"/>
  <c r="P3496" i="1"/>
  <c r="Q3497" i="1"/>
  <c r="P3497" i="1"/>
  <c r="Q3498" i="1"/>
  <c r="P3498" i="1"/>
  <c r="Q3499" i="1"/>
  <c r="P3499" i="1"/>
  <c r="Q3500" i="1"/>
  <c r="P3500" i="1"/>
  <c r="Q3501" i="1"/>
  <c r="P3501" i="1"/>
  <c r="Q3502" i="1"/>
  <c r="P3502" i="1"/>
  <c r="Q3503" i="1"/>
  <c r="P3503" i="1"/>
  <c r="Q3504" i="1"/>
  <c r="P3504" i="1"/>
  <c r="Q3505" i="1"/>
  <c r="P3505" i="1"/>
  <c r="Q3506" i="1"/>
  <c r="P3506" i="1"/>
  <c r="Q3507" i="1"/>
  <c r="P3507" i="1"/>
  <c r="Q3508" i="1"/>
  <c r="P3508" i="1"/>
  <c r="Q3509" i="1"/>
  <c r="P3509" i="1"/>
  <c r="Q3510" i="1"/>
  <c r="P3510" i="1"/>
  <c r="Q3511" i="1"/>
  <c r="P3511" i="1"/>
  <c r="Q3512" i="1"/>
  <c r="P3512" i="1"/>
  <c r="Q3513" i="1"/>
  <c r="P3513" i="1"/>
  <c r="Q3514" i="1"/>
  <c r="P3514" i="1"/>
  <c r="Q3515" i="1"/>
  <c r="P3515" i="1"/>
  <c r="Q3516" i="1"/>
  <c r="P3516" i="1"/>
  <c r="Q3517" i="1"/>
  <c r="P3517" i="1"/>
  <c r="Q3518" i="1"/>
  <c r="P3518" i="1"/>
  <c r="Q3519" i="1"/>
  <c r="P3519" i="1"/>
  <c r="Q3520" i="1"/>
  <c r="P3520" i="1"/>
  <c r="Q3521" i="1"/>
  <c r="P3521" i="1"/>
  <c r="Q3522" i="1"/>
  <c r="P3522" i="1"/>
  <c r="Q3523" i="1"/>
  <c r="P3523" i="1"/>
  <c r="Q3524" i="1"/>
  <c r="P3524" i="1"/>
  <c r="Q3525" i="1"/>
  <c r="P3525" i="1"/>
  <c r="Q3526" i="1"/>
  <c r="P3526" i="1"/>
  <c r="Q3527" i="1"/>
  <c r="P3527" i="1"/>
  <c r="Q3528" i="1"/>
  <c r="P3528" i="1"/>
  <c r="Q3529" i="1"/>
  <c r="P3529" i="1"/>
  <c r="Q3530" i="1"/>
  <c r="P3530" i="1"/>
  <c r="Q3531" i="1"/>
  <c r="P3531" i="1"/>
  <c r="Q3532" i="1"/>
  <c r="P3532" i="1"/>
  <c r="Q3533" i="1"/>
  <c r="P3533" i="1"/>
  <c r="Q3534" i="1"/>
  <c r="P3534" i="1"/>
  <c r="Q3535" i="1"/>
  <c r="P3535" i="1"/>
  <c r="Q3536" i="1"/>
  <c r="P3536" i="1"/>
  <c r="Q3537" i="1"/>
  <c r="P3537" i="1"/>
  <c r="Q3538" i="1"/>
  <c r="P3538" i="1"/>
  <c r="Q3539" i="1"/>
  <c r="P3539" i="1"/>
  <c r="Q3540" i="1"/>
  <c r="P3540" i="1"/>
  <c r="Q3541" i="1"/>
  <c r="P3541" i="1"/>
  <c r="Q3542" i="1"/>
  <c r="P3542" i="1"/>
  <c r="Q3543" i="1"/>
  <c r="P3543" i="1"/>
  <c r="Q3544" i="1"/>
  <c r="P3544" i="1"/>
  <c r="Q3545" i="1"/>
  <c r="P3545" i="1"/>
  <c r="Q3546" i="1"/>
  <c r="P3546" i="1"/>
  <c r="Q3547" i="1"/>
  <c r="P3547" i="1"/>
  <c r="Q3548" i="1"/>
  <c r="P3548" i="1"/>
  <c r="Q3549" i="1"/>
  <c r="P3549" i="1"/>
  <c r="Q3550" i="1"/>
  <c r="P3550" i="1"/>
  <c r="Q3551" i="1"/>
  <c r="P3551" i="1"/>
  <c r="Q3552" i="1"/>
  <c r="P3552" i="1"/>
  <c r="Q3553" i="1"/>
  <c r="P3553" i="1"/>
  <c r="Q3554" i="1"/>
  <c r="P3554" i="1"/>
  <c r="Q3555" i="1"/>
  <c r="P3555" i="1"/>
  <c r="Q3556" i="1"/>
  <c r="P3556" i="1"/>
  <c r="Q3557" i="1"/>
  <c r="P3557" i="1"/>
  <c r="Q3558" i="1"/>
  <c r="P3558" i="1"/>
  <c r="Q3559" i="1"/>
  <c r="P3559" i="1"/>
  <c r="Q3560" i="1"/>
  <c r="P3560" i="1"/>
  <c r="Q3561" i="1"/>
  <c r="P3561" i="1"/>
  <c r="Q3562" i="1"/>
  <c r="P3562" i="1"/>
  <c r="Q3563" i="1"/>
  <c r="P3563" i="1"/>
  <c r="Q3564" i="1"/>
  <c r="P3564" i="1"/>
  <c r="Q3565" i="1"/>
  <c r="P3565" i="1"/>
  <c r="Q3566" i="1"/>
  <c r="P3566" i="1"/>
  <c r="Q3567" i="1"/>
  <c r="P3567" i="1"/>
  <c r="Q3568" i="1"/>
  <c r="P3568" i="1"/>
  <c r="Q3569" i="1"/>
  <c r="P3569" i="1"/>
  <c r="Q3570" i="1"/>
  <c r="P3570" i="1"/>
  <c r="Q3571" i="1"/>
  <c r="P3571" i="1"/>
  <c r="Q3572" i="1"/>
  <c r="P3572" i="1"/>
  <c r="Q3573" i="1"/>
  <c r="P3573" i="1"/>
  <c r="Q3574" i="1"/>
  <c r="P3574" i="1"/>
  <c r="Q3575" i="1"/>
  <c r="P3575" i="1"/>
  <c r="Q3576" i="1"/>
  <c r="P3576" i="1"/>
  <c r="Q3577" i="1"/>
  <c r="P3577" i="1"/>
  <c r="Q3578" i="1"/>
  <c r="P3578" i="1"/>
  <c r="Q3579" i="1"/>
  <c r="P3579" i="1"/>
  <c r="Q3580" i="1"/>
  <c r="P3580" i="1"/>
  <c r="Q3581" i="1"/>
  <c r="P3581" i="1"/>
  <c r="J3481" i="1"/>
  <c r="J3480" i="1"/>
  <c r="J3479" i="1"/>
  <c r="H3487" i="1"/>
  <c r="H3488" i="1"/>
  <c r="Q3487" i="1"/>
  <c r="P3487" i="1"/>
  <c r="Q3488" i="1"/>
  <c r="P3488" i="1"/>
  <c r="H3486" i="1"/>
  <c r="Q3486" i="1"/>
  <c r="P3486" i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/>
  <c r="Q3481" i="1"/>
  <c r="P3481" i="1"/>
  <c r="Q3482" i="1"/>
  <c r="P3482" i="1"/>
  <c r="Q3483" i="1"/>
  <c r="P3483" i="1"/>
  <c r="Q3484" i="1"/>
  <c r="P3484" i="1"/>
  <c r="Q3485" i="1"/>
  <c r="P3485" i="1"/>
  <c r="H3479" i="1"/>
  <c r="Q3479" i="1"/>
  <c r="P3479" i="1"/>
  <c r="H3478" i="1"/>
  <c r="Q3478" i="1"/>
  <c r="P3478" i="1"/>
  <c r="H3477" i="1"/>
  <c r="J3477" i="1"/>
  <c r="Q3477" i="1"/>
  <c r="P3477" i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/>
  <c r="Q3468" i="1"/>
  <c r="P3468" i="1"/>
  <c r="Q3469" i="1"/>
  <c r="P3469" i="1"/>
  <c r="Q3470" i="1"/>
  <c r="P3470" i="1"/>
  <c r="Q3471" i="1"/>
  <c r="P3471" i="1"/>
  <c r="Q3472" i="1"/>
  <c r="P3472" i="1"/>
  <c r="Q3473" i="1"/>
  <c r="P3473" i="1"/>
  <c r="Q3474" i="1"/>
  <c r="P3474" i="1"/>
  <c r="Q3475" i="1"/>
  <c r="P3475" i="1"/>
  <c r="Q3476" i="1"/>
  <c r="P3476" i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/>
  <c r="Q3461" i="1"/>
  <c r="P3461" i="1"/>
  <c r="Q3462" i="1"/>
  <c r="P3462" i="1"/>
  <c r="Q3463" i="1"/>
  <c r="P3463" i="1"/>
  <c r="Q3464" i="1"/>
  <c r="P3464" i="1"/>
  <c r="Q3465" i="1"/>
  <c r="P3465" i="1"/>
  <c r="Q3466" i="1"/>
  <c r="P3466" i="1"/>
  <c r="H3459" i="1"/>
  <c r="J3459" i="1"/>
  <c r="Q3459" i="1"/>
  <c r="P3459" i="1"/>
  <c r="H3458" i="1"/>
  <c r="J3458" i="1"/>
  <c r="Q3458" i="1"/>
  <c r="P3458" i="1"/>
  <c r="H3457" i="1"/>
  <c r="J3457" i="1"/>
  <c r="Q3457" i="1"/>
  <c r="P3457" i="1"/>
  <c r="H3456" i="1"/>
  <c r="J3456" i="1"/>
  <c r="Q3456" i="1"/>
  <c r="P3456" i="1"/>
  <c r="H3455" i="1"/>
  <c r="J3455" i="1"/>
  <c r="Q3455" i="1"/>
  <c r="P3455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/>
  <c r="Q3438" i="1"/>
  <c r="P3438" i="1"/>
  <c r="Q3439" i="1"/>
  <c r="P3439" i="1"/>
  <c r="Q3440" i="1"/>
  <c r="P3440" i="1"/>
  <c r="Q3441" i="1"/>
  <c r="P3441" i="1"/>
  <c r="Q3442" i="1"/>
  <c r="P3442" i="1"/>
  <c r="Q3443" i="1"/>
  <c r="P3443" i="1"/>
  <c r="Q3444" i="1"/>
  <c r="P3444" i="1"/>
  <c r="Q3445" i="1"/>
  <c r="P3445" i="1"/>
  <c r="Q3446" i="1"/>
  <c r="P3446" i="1"/>
  <c r="Q3447" i="1"/>
  <c r="P3447" i="1"/>
  <c r="Q3448" i="1"/>
  <c r="P3448" i="1"/>
  <c r="Q3449" i="1"/>
  <c r="P3449" i="1"/>
  <c r="Q3450" i="1"/>
  <c r="P3450" i="1"/>
  <c r="Q3451" i="1"/>
  <c r="P3451" i="1"/>
  <c r="Q3452" i="1"/>
  <c r="P3452" i="1"/>
  <c r="Q3453" i="1"/>
  <c r="P3453" i="1"/>
  <c r="Q3454" i="1"/>
  <c r="P3454" i="1"/>
  <c r="H3436" i="1"/>
  <c r="J3436" i="1"/>
  <c r="Q3436" i="1"/>
  <c r="P3436" i="1"/>
  <c r="H3435" i="1"/>
  <c r="Q3435" i="1"/>
  <c r="P3435" i="1"/>
  <c r="H3434" i="1"/>
  <c r="Q3434" i="1"/>
  <c r="P3434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/>
  <c r="Q3422" i="1"/>
  <c r="P3422" i="1"/>
  <c r="Q3423" i="1"/>
  <c r="P3423" i="1"/>
  <c r="Q3424" i="1"/>
  <c r="P3424" i="1"/>
  <c r="Q3425" i="1"/>
  <c r="P3425" i="1"/>
  <c r="Q3426" i="1"/>
  <c r="P3426" i="1"/>
  <c r="Q3427" i="1"/>
  <c r="P3427" i="1"/>
  <c r="Q3428" i="1"/>
  <c r="P3428" i="1"/>
  <c r="Q3429" i="1"/>
  <c r="P3429" i="1"/>
  <c r="Q3430" i="1"/>
  <c r="P3430" i="1"/>
  <c r="Q3431" i="1"/>
  <c r="P3431" i="1"/>
  <c r="Q3432" i="1"/>
  <c r="P3432" i="1"/>
  <c r="Q3433" i="1"/>
  <c r="P3433" i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/>
  <c r="Q3244" i="1"/>
  <c r="P3244" i="1"/>
  <c r="Q3245" i="1"/>
  <c r="P3245" i="1"/>
  <c r="Q3246" i="1"/>
  <c r="P3246" i="1"/>
  <c r="Q3247" i="1"/>
  <c r="P3247" i="1"/>
  <c r="Q3248" i="1"/>
  <c r="P3248" i="1"/>
  <c r="Q3249" i="1"/>
  <c r="P3249" i="1"/>
  <c r="Q3250" i="1"/>
  <c r="P3250" i="1"/>
  <c r="Q3251" i="1"/>
  <c r="P3251" i="1"/>
  <c r="Q3252" i="1"/>
  <c r="P3252" i="1"/>
  <c r="Q3253" i="1"/>
  <c r="P3253" i="1"/>
  <c r="Q3254" i="1"/>
  <c r="P3254" i="1"/>
  <c r="Q3255" i="1"/>
  <c r="P3255" i="1"/>
  <c r="Q3256" i="1"/>
  <c r="P3256" i="1"/>
  <c r="Q3257" i="1"/>
  <c r="P3257" i="1"/>
  <c r="Q3258" i="1"/>
  <c r="P3258" i="1"/>
  <c r="Q3259" i="1"/>
  <c r="P3259" i="1"/>
  <c r="Q3260" i="1"/>
  <c r="P3260" i="1"/>
  <c r="Q3261" i="1"/>
  <c r="P3261" i="1"/>
  <c r="Q3262" i="1"/>
  <c r="P3262" i="1"/>
  <c r="Q3263" i="1"/>
  <c r="P3263" i="1"/>
  <c r="Q3264" i="1"/>
  <c r="P3264" i="1"/>
  <c r="Q3265" i="1"/>
  <c r="P3265" i="1"/>
  <c r="Q3266" i="1"/>
  <c r="P3266" i="1"/>
  <c r="Q3267" i="1"/>
  <c r="P3267" i="1"/>
  <c r="Q3268" i="1"/>
  <c r="P3268" i="1"/>
  <c r="Q3269" i="1"/>
  <c r="P3269" i="1"/>
  <c r="Q3270" i="1"/>
  <c r="P3270" i="1"/>
  <c r="Q3271" i="1"/>
  <c r="P3271" i="1"/>
  <c r="Q3272" i="1"/>
  <c r="P3272" i="1"/>
  <c r="Q3273" i="1"/>
  <c r="P3273" i="1"/>
  <c r="Q3274" i="1"/>
  <c r="P3274" i="1"/>
  <c r="Q3275" i="1"/>
  <c r="P3275" i="1"/>
  <c r="Q3276" i="1"/>
  <c r="P3276" i="1"/>
  <c r="Q3277" i="1"/>
  <c r="P3277" i="1"/>
  <c r="Q3278" i="1"/>
  <c r="P3278" i="1"/>
  <c r="Q3279" i="1"/>
  <c r="P3279" i="1"/>
  <c r="Q3280" i="1"/>
  <c r="P3280" i="1"/>
  <c r="Q3281" i="1"/>
  <c r="P3281" i="1"/>
  <c r="Q3282" i="1"/>
  <c r="P3282" i="1"/>
  <c r="Q3283" i="1"/>
  <c r="P3283" i="1"/>
  <c r="Q3284" i="1"/>
  <c r="P3284" i="1"/>
  <c r="Q3285" i="1"/>
  <c r="P3285" i="1"/>
  <c r="Q3286" i="1"/>
  <c r="P3286" i="1"/>
  <c r="Q3287" i="1"/>
  <c r="P3287" i="1"/>
  <c r="Q3288" i="1"/>
  <c r="P3288" i="1"/>
  <c r="Q3289" i="1"/>
  <c r="P3289" i="1"/>
  <c r="Q3290" i="1"/>
  <c r="P3290" i="1"/>
  <c r="Q3291" i="1"/>
  <c r="P3291" i="1"/>
  <c r="Q3292" i="1"/>
  <c r="P3292" i="1"/>
  <c r="Q3293" i="1"/>
  <c r="P3293" i="1"/>
  <c r="Q3294" i="1"/>
  <c r="P3294" i="1"/>
  <c r="Q3295" i="1"/>
  <c r="P3295" i="1"/>
  <c r="Q3296" i="1"/>
  <c r="P3296" i="1"/>
  <c r="Q3297" i="1"/>
  <c r="P3297" i="1"/>
  <c r="Q3298" i="1"/>
  <c r="P3298" i="1"/>
  <c r="Q3299" i="1"/>
  <c r="P3299" i="1"/>
  <c r="Q3300" i="1"/>
  <c r="P3300" i="1"/>
  <c r="Q3301" i="1"/>
  <c r="P3301" i="1"/>
  <c r="Q3302" i="1"/>
  <c r="P3302" i="1"/>
  <c r="Q3303" i="1"/>
  <c r="P3303" i="1"/>
  <c r="Q3304" i="1"/>
  <c r="P3304" i="1"/>
  <c r="Q3305" i="1"/>
  <c r="P3305" i="1"/>
  <c r="Q3306" i="1"/>
  <c r="P3306" i="1"/>
  <c r="Q3307" i="1"/>
  <c r="P3307" i="1"/>
  <c r="Q3308" i="1"/>
  <c r="P3308" i="1"/>
  <c r="Q3309" i="1"/>
  <c r="P3309" i="1"/>
  <c r="Q3310" i="1"/>
  <c r="P3310" i="1"/>
  <c r="Q3311" i="1"/>
  <c r="P3311" i="1"/>
  <c r="Q3312" i="1"/>
  <c r="P3312" i="1"/>
  <c r="Q3313" i="1"/>
  <c r="P3313" i="1"/>
  <c r="Q3314" i="1"/>
  <c r="P3314" i="1"/>
  <c r="Q3315" i="1"/>
  <c r="P3315" i="1"/>
  <c r="Q3316" i="1"/>
  <c r="P3316" i="1"/>
  <c r="Q3317" i="1"/>
  <c r="P3317" i="1"/>
  <c r="Q3318" i="1"/>
  <c r="P3318" i="1"/>
  <c r="Q3319" i="1"/>
  <c r="P3319" i="1"/>
  <c r="Q3320" i="1"/>
  <c r="P3320" i="1"/>
  <c r="Q3321" i="1"/>
  <c r="P3321" i="1"/>
  <c r="Q3322" i="1"/>
  <c r="P3322" i="1"/>
  <c r="Q3323" i="1"/>
  <c r="P3323" i="1"/>
  <c r="Q3324" i="1"/>
  <c r="P3324" i="1"/>
  <c r="Q3325" i="1"/>
  <c r="P3325" i="1"/>
  <c r="Q3326" i="1"/>
  <c r="P3326" i="1"/>
  <c r="Q3327" i="1"/>
  <c r="P3327" i="1"/>
  <c r="Q3328" i="1"/>
  <c r="P3328" i="1"/>
  <c r="Q3329" i="1"/>
  <c r="P3329" i="1"/>
  <c r="Q3330" i="1"/>
  <c r="P3330" i="1"/>
  <c r="Q3331" i="1"/>
  <c r="P3331" i="1"/>
  <c r="Q3332" i="1"/>
  <c r="P3332" i="1"/>
  <c r="Q3333" i="1"/>
  <c r="P3333" i="1"/>
  <c r="Q3334" i="1"/>
  <c r="P3334" i="1"/>
  <c r="Q3335" i="1"/>
  <c r="P3335" i="1"/>
  <c r="Q3336" i="1"/>
  <c r="P3336" i="1"/>
  <c r="Q3337" i="1"/>
  <c r="P3337" i="1"/>
  <c r="Q3338" i="1"/>
  <c r="P3338" i="1"/>
  <c r="Q3339" i="1"/>
  <c r="P3339" i="1"/>
  <c r="Q3340" i="1"/>
  <c r="P3340" i="1"/>
  <c r="Q3341" i="1"/>
  <c r="P3341" i="1"/>
  <c r="Q3342" i="1"/>
  <c r="P3342" i="1"/>
  <c r="Q3343" i="1"/>
  <c r="P3343" i="1"/>
  <c r="Q3344" i="1"/>
  <c r="P3344" i="1"/>
  <c r="Q3345" i="1"/>
  <c r="P3345" i="1"/>
  <c r="Q3346" i="1"/>
  <c r="P3346" i="1"/>
  <c r="Q3347" i="1"/>
  <c r="P3347" i="1"/>
  <c r="Q3348" i="1"/>
  <c r="P3348" i="1"/>
  <c r="Q3349" i="1"/>
  <c r="P3349" i="1"/>
  <c r="Q3350" i="1"/>
  <c r="P3350" i="1"/>
  <c r="Q3351" i="1"/>
  <c r="P3351" i="1"/>
  <c r="Q3352" i="1"/>
  <c r="P3352" i="1"/>
  <c r="Q3353" i="1"/>
  <c r="P3353" i="1"/>
  <c r="Q3354" i="1"/>
  <c r="P3354" i="1"/>
  <c r="Q3355" i="1"/>
  <c r="P3355" i="1"/>
  <c r="Q3356" i="1"/>
  <c r="P3356" i="1"/>
  <c r="Q3357" i="1"/>
  <c r="P3357" i="1"/>
  <c r="Q3358" i="1"/>
  <c r="P3358" i="1"/>
  <c r="Q3359" i="1"/>
  <c r="P3359" i="1"/>
  <c r="Q3360" i="1"/>
  <c r="P3360" i="1"/>
  <c r="Q3361" i="1"/>
  <c r="P3361" i="1"/>
  <c r="Q3362" i="1"/>
  <c r="P3362" i="1"/>
  <c r="Q3363" i="1"/>
  <c r="P3363" i="1"/>
  <c r="Q3364" i="1"/>
  <c r="P3364" i="1"/>
  <c r="Q3365" i="1"/>
  <c r="P3365" i="1"/>
  <c r="Q3366" i="1"/>
  <c r="P3366" i="1"/>
  <c r="Q3367" i="1"/>
  <c r="P3367" i="1"/>
  <c r="Q3368" i="1"/>
  <c r="P3368" i="1"/>
  <c r="Q3369" i="1"/>
  <c r="P3369" i="1"/>
  <c r="Q3370" i="1"/>
  <c r="P3370" i="1"/>
  <c r="Q3371" i="1"/>
  <c r="P3371" i="1"/>
  <c r="Q3372" i="1"/>
  <c r="P3372" i="1"/>
  <c r="Q3373" i="1"/>
  <c r="P3373" i="1"/>
  <c r="Q3374" i="1"/>
  <c r="P3374" i="1"/>
  <c r="Q3375" i="1"/>
  <c r="P3375" i="1"/>
  <c r="Q3376" i="1"/>
  <c r="P3376" i="1"/>
  <c r="Q3377" i="1"/>
  <c r="P3377" i="1"/>
  <c r="Q3378" i="1"/>
  <c r="P3378" i="1"/>
  <c r="Q3379" i="1"/>
  <c r="P3379" i="1"/>
  <c r="Q3380" i="1"/>
  <c r="P3380" i="1"/>
  <c r="Q3381" i="1"/>
  <c r="P3381" i="1"/>
  <c r="Q3382" i="1"/>
  <c r="P3382" i="1"/>
  <c r="Q3383" i="1"/>
  <c r="P3383" i="1"/>
  <c r="Q3384" i="1"/>
  <c r="P3384" i="1"/>
  <c r="Q3385" i="1"/>
  <c r="P3385" i="1"/>
  <c r="Q3386" i="1"/>
  <c r="P3386" i="1"/>
  <c r="Q3387" i="1"/>
  <c r="P3387" i="1"/>
  <c r="Q3388" i="1"/>
  <c r="P3388" i="1"/>
  <c r="Q3389" i="1"/>
  <c r="P3389" i="1"/>
  <c r="Q3390" i="1"/>
  <c r="P3390" i="1"/>
  <c r="Q3391" i="1"/>
  <c r="P3391" i="1"/>
  <c r="Q3392" i="1"/>
  <c r="P3392" i="1"/>
  <c r="Q3393" i="1"/>
  <c r="P3393" i="1"/>
  <c r="Q3394" i="1"/>
  <c r="P3394" i="1"/>
  <c r="Q3395" i="1"/>
  <c r="P3395" i="1"/>
  <c r="Q3396" i="1"/>
  <c r="P3396" i="1"/>
  <c r="Q3397" i="1"/>
  <c r="P3397" i="1"/>
  <c r="Q3398" i="1"/>
  <c r="P3398" i="1"/>
  <c r="Q3399" i="1"/>
  <c r="P3399" i="1"/>
  <c r="Q3400" i="1"/>
  <c r="P3400" i="1"/>
  <c r="Q3401" i="1"/>
  <c r="P3401" i="1"/>
  <c r="Q3402" i="1"/>
  <c r="P3402" i="1"/>
  <c r="Q3403" i="1"/>
  <c r="P3403" i="1"/>
  <c r="Q3404" i="1"/>
  <c r="P3404" i="1"/>
  <c r="Q3405" i="1"/>
  <c r="P3405" i="1"/>
  <c r="Q3406" i="1"/>
  <c r="P3406" i="1"/>
  <c r="Q3407" i="1"/>
  <c r="P3407" i="1"/>
  <c r="Q3408" i="1"/>
  <c r="P3408" i="1"/>
  <c r="Q3409" i="1"/>
  <c r="P3409" i="1"/>
  <c r="Q3410" i="1"/>
  <c r="P3410" i="1"/>
  <c r="Q3411" i="1"/>
  <c r="P3411" i="1"/>
  <c r="Q3412" i="1"/>
  <c r="P3412" i="1"/>
  <c r="Q3413" i="1"/>
  <c r="P3413" i="1"/>
  <c r="Q3414" i="1"/>
  <c r="P3414" i="1"/>
  <c r="Q3415" i="1"/>
  <c r="P3415" i="1"/>
  <c r="Q3416" i="1"/>
  <c r="P3416" i="1"/>
  <c r="Q3417" i="1"/>
  <c r="P3417" i="1"/>
  <c r="Q3418" i="1"/>
  <c r="P3418" i="1"/>
  <c r="Q3419" i="1"/>
  <c r="P3419" i="1"/>
  <c r="Q3420" i="1"/>
  <c r="P3420" i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/>
  <c r="Q3233" i="1"/>
  <c r="P3233" i="1"/>
  <c r="Q3234" i="1"/>
  <c r="P3234" i="1"/>
  <c r="Q3235" i="1"/>
  <c r="P3235" i="1"/>
  <c r="Q3236" i="1"/>
  <c r="P3236" i="1"/>
  <c r="Q3237" i="1"/>
  <c r="P3237" i="1"/>
  <c r="Q3238" i="1"/>
  <c r="P3238" i="1"/>
  <c r="Q3239" i="1"/>
  <c r="P3239" i="1"/>
  <c r="Q3240" i="1"/>
  <c r="P3240" i="1"/>
  <c r="Q3241" i="1"/>
  <c r="P3241" i="1"/>
  <c r="Q3242" i="1"/>
  <c r="P3242" i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/>
  <c r="Q2938" i="1"/>
  <c r="P2938" i="1"/>
  <c r="Q2939" i="1"/>
  <c r="P2939" i="1"/>
  <c r="Q2940" i="1"/>
  <c r="P2940" i="1"/>
  <c r="Q2941" i="1"/>
  <c r="P2941" i="1"/>
  <c r="Q2942" i="1"/>
  <c r="P2942" i="1"/>
  <c r="Q2943" i="1"/>
  <c r="P2943" i="1"/>
  <c r="Q2944" i="1"/>
  <c r="P2944" i="1"/>
  <c r="Q2945" i="1"/>
  <c r="P2945" i="1"/>
  <c r="Q2946" i="1"/>
  <c r="P2946" i="1"/>
  <c r="Q2947" i="1"/>
  <c r="P2947" i="1"/>
  <c r="Q2948" i="1"/>
  <c r="P2948" i="1"/>
  <c r="Q2949" i="1"/>
  <c r="P2949" i="1"/>
  <c r="Q2950" i="1"/>
  <c r="P2950" i="1"/>
  <c r="Q2951" i="1"/>
  <c r="P2951" i="1"/>
  <c r="Q2952" i="1"/>
  <c r="P2952" i="1"/>
  <c r="Q2953" i="1"/>
  <c r="P2953" i="1"/>
  <c r="Q2954" i="1"/>
  <c r="P2954" i="1"/>
  <c r="Q2955" i="1"/>
  <c r="P2955" i="1"/>
  <c r="Q2956" i="1"/>
  <c r="P2956" i="1"/>
  <c r="Q2957" i="1"/>
  <c r="P2957" i="1"/>
  <c r="Q2958" i="1"/>
  <c r="P2958" i="1"/>
  <c r="Q2959" i="1"/>
  <c r="P2959" i="1"/>
  <c r="Q2960" i="1"/>
  <c r="P2960" i="1"/>
  <c r="Q2961" i="1"/>
  <c r="P2961" i="1"/>
  <c r="Q2962" i="1"/>
  <c r="P2962" i="1"/>
  <c r="Q2963" i="1"/>
  <c r="P2963" i="1"/>
  <c r="Q2964" i="1"/>
  <c r="P2964" i="1"/>
  <c r="Q2965" i="1"/>
  <c r="P2965" i="1"/>
  <c r="Q2966" i="1"/>
  <c r="P2966" i="1"/>
  <c r="Q2967" i="1"/>
  <c r="P2967" i="1"/>
  <c r="Q2968" i="1"/>
  <c r="P2968" i="1"/>
  <c r="Q2969" i="1"/>
  <c r="P2969" i="1"/>
  <c r="Q2970" i="1"/>
  <c r="P2970" i="1"/>
  <c r="Q2971" i="1"/>
  <c r="P2971" i="1"/>
  <c r="Q2972" i="1"/>
  <c r="P2972" i="1"/>
  <c r="Q2973" i="1"/>
  <c r="P2973" i="1"/>
  <c r="Q2974" i="1"/>
  <c r="P2974" i="1"/>
  <c r="Q2975" i="1"/>
  <c r="P2975" i="1"/>
  <c r="Q2976" i="1"/>
  <c r="P2976" i="1"/>
  <c r="Q2977" i="1"/>
  <c r="P2977" i="1"/>
  <c r="Q2978" i="1"/>
  <c r="P2978" i="1"/>
  <c r="Q2979" i="1"/>
  <c r="P2979" i="1"/>
  <c r="Q2980" i="1"/>
  <c r="P2980" i="1"/>
  <c r="Q2981" i="1"/>
  <c r="P2981" i="1"/>
  <c r="Q2982" i="1"/>
  <c r="P2982" i="1"/>
  <c r="Q2983" i="1"/>
  <c r="P2983" i="1"/>
  <c r="Q2984" i="1"/>
  <c r="P2984" i="1"/>
  <c r="Q2985" i="1"/>
  <c r="P2985" i="1"/>
  <c r="Q2986" i="1"/>
  <c r="P2986" i="1"/>
  <c r="Q2987" i="1"/>
  <c r="P2987" i="1"/>
  <c r="Q2988" i="1"/>
  <c r="P2988" i="1"/>
  <c r="Q2989" i="1"/>
  <c r="P2989" i="1"/>
  <c r="Q2990" i="1"/>
  <c r="P2990" i="1"/>
  <c r="Q2991" i="1"/>
  <c r="P2991" i="1"/>
  <c r="Q2992" i="1"/>
  <c r="P2992" i="1"/>
  <c r="Q2993" i="1"/>
  <c r="P2993" i="1"/>
  <c r="Q2994" i="1"/>
  <c r="P2994" i="1"/>
  <c r="Q2995" i="1"/>
  <c r="P2995" i="1"/>
  <c r="Q2996" i="1"/>
  <c r="P2996" i="1"/>
  <c r="Q2997" i="1"/>
  <c r="P2997" i="1"/>
  <c r="Q2998" i="1"/>
  <c r="P2998" i="1"/>
  <c r="Q2999" i="1"/>
  <c r="P2999" i="1"/>
  <c r="Q3000" i="1"/>
  <c r="P3000" i="1"/>
  <c r="Q3001" i="1"/>
  <c r="P3001" i="1"/>
  <c r="Q3002" i="1"/>
  <c r="P3002" i="1"/>
  <c r="Q3003" i="1"/>
  <c r="P3003" i="1"/>
  <c r="Q3004" i="1"/>
  <c r="P3004" i="1"/>
  <c r="Q3005" i="1"/>
  <c r="P3005" i="1"/>
  <c r="Q3006" i="1"/>
  <c r="P3006" i="1"/>
  <c r="Q3007" i="1"/>
  <c r="P3007" i="1"/>
  <c r="Q3008" i="1"/>
  <c r="P3008" i="1"/>
  <c r="Q3009" i="1"/>
  <c r="P3009" i="1"/>
  <c r="Q3010" i="1"/>
  <c r="P3010" i="1"/>
  <c r="Q3011" i="1"/>
  <c r="P3011" i="1"/>
  <c r="Q3012" i="1"/>
  <c r="P3012" i="1"/>
  <c r="Q3013" i="1"/>
  <c r="P3013" i="1"/>
  <c r="Q3014" i="1"/>
  <c r="P3014" i="1"/>
  <c r="Q3015" i="1"/>
  <c r="P3015" i="1"/>
  <c r="Q3016" i="1"/>
  <c r="P3016" i="1"/>
  <c r="Q3017" i="1"/>
  <c r="P3017" i="1"/>
  <c r="Q3018" i="1"/>
  <c r="P3018" i="1"/>
  <c r="Q3019" i="1"/>
  <c r="P3019" i="1"/>
  <c r="Q3020" i="1"/>
  <c r="P3020" i="1"/>
  <c r="Q3021" i="1"/>
  <c r="P3021" i="1"/>
  <c r="Q3022" i="1"/>
  <c r="P3022" i="1"/>
  <c r="Q3023" i="1"/>
  <c r="P3023" i="1"/>
  <c r="Q3024" i="1"/>
  <c r="P3024" i="1"/>
  <c r="Q3025" i="1"/>
  <c r="P3025" i="1"/>
  <c r="Q3026" i="1"/>
  <c r="P3026" i="1"/>
  <c r="Q3027" i="1"/>
  <c r="P3027" i="1"/>
  <c r="Q3028" i="1"/>
  <c r="P3028" i="1"/>
  <c r="Q3029" i="1"/>
  <c r="P3029" i="1"/>
  <c r="Q3030" i="1"/>
  <c r="P3030" i="1"/>
  <c r="Q3031" i="1"/>
  <c r="P3031" i="1"/>
  <c r="Q3032" i="1"/>
  <c r="P3032" i="1"/>
  <c r="Q3033" i="1"/>
  <c r="P3033" i="1"/>
  <c r="Q3034" i="1"/>
  <c r="P3034" i="1"/>
  <c r="Q3035" i="1"/>
  <c r="P3035" i="1"/>
  <c r="Q3036" i="1"/>
  <c r="P3036" i="1"/>
  <c r="Q3037" i="1"/>
  <c r="P3037" i="1"/>
  <c r="Q3038" i="1"/>
  <c r="P3038" i="1"/>
  <c r="Q3039" i="1"/>
  <c r="P3039" i="1"/>
  <c r="Q3040" i="1"/>
  <c r="P3040" i="1"/>
  <c r="Q3041" i="1"/>
  <c r="P3041" i="1"/>
  <c r="Q3042" i="1"/>
  <c r="P3042" i="1"/>
  <c r="Q3043" i="1"/>
  <c r="P3043" i="1"/>
  <c r="Q3044" i="1"/>
  <c r="P3044" i="1"/>
  <c r="Q3045" i="1"/>
  <c r="P3045" i="1"/>
  <c r="Q3046" i="1"/>
  <c r="P3046" i="1"/>
  <c r="Q3047" i="1"/>
  <c r="P3047" i="1"/>
  <c r="Q3048" i="1"/>
  <c r="P3048" i="1"/>
  <c r="Q3049" i="1"/>
  <c r="P3049" i="1"/>
  <c r="Q3050" i="1"/>
  <c r="P3050" i="1"/>
  <c r="Q3051" i="1"/>
  <c r="P3051" i="1"/>
  <c r="Q3052" i="1"/>
  <c r="P3052" i="1"/>
  <c r="Q3053" i="1"/>
  <c r="P3053" i="1"/>
  <c r="Q3054" i="1"/>
  <c r="P3054" i="1"/>
  <c r="Q3055" i="1"/>
  <c r="P3055" i="1"/>
  <c r="Q3056" i="1"/>
  <c r="P3056" i="1"/>
  <c r="Q3057" i="1"/>
  <c r="P3057" i="1"/>
  <c r="Q3058" i="1"/>
  <c r="P3058" i="1"/>
  <c r="Q3059" i="1"/>
  <c r="P3059" i="1"/>
  <c r="Q3060" i="1"/>
  <c r="P3060" i="1"/>
  <c r="Q3061" i="1"/>
  <c r="P3061" i="1"/>
  <c r="Q3062" i="1"/>
  <c r="P3062" i="1"/>
  <c r="Q3063" i="1"/>
  <c r="P3063" i="1"/>
  <c r="Q3064" i="1"/>
  <c r="P3064" i="1"/>
  <c r="Q3065" i="1"/>
  <c r="P3065" i="1"/>
  <c r="Q3066" i="1"/>
  <c r="P3066" i="1"/>
  <c r="Q3067" i="1"/>
  <c r="P3067" i="1"/>
  <c r="Q3068" i="1"/>
  <c r="P3068" i="1"/>
  <c r="Q3069" i="1"/>
  <c r="P3069" i="1"/>
  <c r="Q3070" i="1"/>
  <c r="P3070" i="1"/>
  <c r="Q3071" i="1"/>
  <c r="P3071" i="1"/>
  <c r="Q3072" i="1"/>
  <c r="P3072" i="1"/>
  <c r="Q3073" i="1"/>
  <c r="P3073" i="1"/>
  <c r="Q3074" i="1"/>
  <c r="P3074" i="1"/>
  <c r="Q3075" i="1"/>
  <c r="P3075" i="1"/>
  <c r="Q3076" i="1"/>
  <c r="P3076" i="1"/>
  <c r="Q3077" i="1"/>
  <c r="P3077" i="1"/>
  <c r="Q3078" i="1"/>
  <c r="P3078" i="1"/>
  <c r="Q3079" i="1"/>
  <c r="P3079" i="1"/>
  <c r="Q3080" i="1"/>
  <c r="P3080" i="1"/>
  <c r="Q3081" i="1"/>
  <c r="P3081" i="1"/>
  <c r="Q3082" i="1"/>
  <c r="P3082" i="1"/>
  <c r="Q3083" i="1"/>
  <c r="P3083" i="1"/>
  <c r="Q3084" i="1"/>
  <c r="P3084" i="1"/>
  <c r="Q3085" i="1"/>
  <c r="P3085" i="1"/>
  <c r="Q3086" i="1"/>
  <c r="P3086" i="1"/>
  <c r="Q3087" i="1"/>
  <c r="P3087" i="1"/>
  <c r="Q3088" i="1"/>
  <c r="P3088" i="1"/>
  <c r="Q3089" i="1"/>
  <c r="P3089" i="1"/>
  <c r="Q3090" i="1"/>
  <c r="P3090" i="1"/>
  <c r="Q3091" i="1"/>
  <c r="P3091" i="1"/>
  <c r="Q3092" i="1"/>
  <c r="P3092" i="1"/>
  <c r="Q3093" i="1"/>
  <c r="P3093" i="1"/>
  <c r="Q3094" i="1"/>
  <c r="P3094" i="1"/>
  <c r="Q3095" i="1"/>
  <c r="P3095" i="1"/>
  <c r="Q3096" i="1"/>
  <c r="P3096" i="1"/>
  <c r="Q3097" i="1"/>
  <c r="P3097" i="1"/>
  <c r="Q3098" i="1"/>
  <c r="P3098" i="1"/>
  <c r="Q3099" i="1"/>
  <c r="P3099" i="1"/>
  <c r="Q3100" i="1"/>
  <c r="P3100" i="1"/>
  <c r="Q3101" i="1"/>
  <c r="P3101" i="1"/>
  <c r="Q3102" i="1"/>
  <c r="P3102" i="1"/>
  <c r="Q3103" i="1"/>
  <c r="P3103" i="1"/>
  <c r="Q3104" i="1"/>
  <c r="P3104" i="1"/>
  <c r="Q3105" i="1"/>
  <c r="P3105" i="1"/>
  <c r="Q3106" i="1"/>
  <c r="P3106" i="1"/>
  <c r="Q3107" i="1"/>
  <c r="P3107" i="1"/>
  <c r="Q3108" i="1"/>
  <c r="P3108" i="1"/>
  <c r="Q3109" i="1"/>
  <c r="P3109" i="1"/>
  <c r="Q3110" i="1"/>
  <c r="P3110" i="1"/>
  <c r="Q3111" i="1"/>
  <c r="P3111" i="1"/>
  <c r="Q3112" i="1"/>
  <c r="P3112" i="1"/>
  <c r="Q3113" i="1"/>
  <c r="P3113" i="1"/>
  <c r="Q3114" i="1"/>
  <c r="P3114" i="1"/>
  <c r="Q3115" i="1"/>
  <c r="P3115" i="1"/>
  <c r="Q3116" i="1"/>
  <c r="P3116" i="1"/>
  <c r="Q3117" i="1"/>
  <c r="P3117" i="1"/>
  <c r="Q3118" i="1"/>
  <c r="P3118" i="1"/>
  <c r="Q3119" i="1"/>
  <c r="P3119" i="1"/>
  <c r="Q3120" i="1"/>
  <c r="P3120" i="1"/>
  <c r="Q3121" i="1"/>
  <c r="P3121" i="1"/>
  <c r="Q3122" i="1"/>
  <c r="P3122" i="1"/>
  <c r="Q3123" i="1"/>
  <c r="P3123" i="1"/>
  <c r="Q3124" i="1"/>
  <c r="P3124" i="1"/>
  <c r="Q3125" i="1"/>
  <c r="P3125" i="1"/>
  <c r="Q3126" i="1"/>
  <c r="P3126" i="1"/>
  <c r="Q3127" i="1"/>
  <c r="P3127" i="1"/>
  <c r="Q3128" i="1"/>
  <c r="P3128" i="1"/>
  <c r="Q3129" i="1"/>
  <c r="P3129" i="1"/>
  <c r="Q3130" i="1"/>
  <c r="P3130" i="1"/>
  <c r="Q3131" i="1"/>
  <c r="P3131" i="1"/>
  <c r="Q3132" i="1"/>
  <c r="P3132" i="1"/>
  <c r="Q3133" i="1"/>
  <c r="P3133" i="1"/>
  <c r="Q3134" i="1"/>
  <c r="P3134" i="1"/>
  <c r="Q3135" i="1"/>
  <c r="P3135" i="1"/>
  <c r="Q3136" i="1"/>
  <c r="P3136" i="1"/>
  <c r="Q3137" i="1"/>
  <c r="P3137" i="1"/>
  <c r="Q3138" i="1"/>
  <c r="P3138" i="1"/>
  <c r="Q3139" i="1"/>
  <c r="P3139" i="1"/>
  <c r="Q3140" i="1"/>
  <c r="P3140" i="1"/>
  <c r="Q3141" i="1"/>
  <c r="P3141" i="1"/>
  <c r="Q3142" i="1"/>
  <c r="P3142" i="1"/>
  <c r="Q3143" i="1"/>
  <c r="P3143" i="1"/>
  <c r="Q3144" i="1"/>
  <c r="P3144" i="1"/>
  <c r="Q3145" i="1"/>
  <c r="P3145" i="1"/>
  <c r="Q3146" i="1"/>
  <c r="P3146" i="1"/>
  <c r="Q3147" i="1"/>
  <c r="P3147" i="1"/>
  <c r="Q3148" i="1"/>
  <c r="P3148" i="1"/>
  <c r="Q3149" i="1"/>
  <c r="P3149" i="1"/>
  <c r="Q3150" i="1"/>
  <c r="P3150" i="1"/>
  <c r="Q3151" i="1"/>
  <c r="P3151" i="1"/>
  <c r="Q3152" i="1"/>
  <c r="P3152" i="1"/>
  <c r="Q3153" i="1"/>
  <c r="P3153" i="1"/>
  <c r="Q3154" i="1"/>
  <c r="P3154" i="1"/>
  <c r="Q3155" i="1"/>
  <c r="P3155" i="1"/>
  <c r="Q3156" i="1"/>
  <c r="P3156" i="1"/>
  <c r="Q3157" i="1"/>
  <c r="P3157" i="1"/>
  <c r="Q3158" i="1"/>
  <c r="P3158" i="1"/>
  <c r="Q3159" i="1"/>
  <c r="P3159" i="1"/>
  <c r="Q3160" i="1"/>
  <c r="P3160" i="1"/>
  <c r="Q3161" i="1"/>
  <c r="P3161" i="1"/>
  <c r="Q3162" i="1"/>
  <c r="P3162" i="1"/>
  <c r="Q3163" i="1"/>
  <c r="P3163" i="1"/>
  <c r="Q3164" i="1"/>
  <c r="P3164" i="1"/>
  <c r="Q3165" i="1"/>
  <c r="P3165" i="1"/>
  <c r="Q3166" i="1"/>
  <c r="P3166" i="1"/>
  <c r="Q3167" i="1"/>
  <c r="P3167" i="1"/>
  <c r="Q3168" i="1"/>
  <c r="P3168" i="1"/>
  <c r="Q3169" i="1"/>
  <c r="P3169" i="1"/>
  <c r="Q3170" i="1"/>
  <c r="P3170" i="1"/>
  <c r="Q3171" i="1"/>
  <c r="P3171" i="1"/>
  <c r="Q3172" i="1"/>
  <c r="P3172" i="1"/>
  <c r="Q3173" i="1"/>
  <c r="P3173" i="1"/>
  <c r="Q3174" i="1"/>
  <c r="P3174" i="1"/>
  <c r="Q3175" i="1"/>
  <c r="P3175" i="1"/>
  <c r="Q3176" i="1"/>
  <c r="P3176" i="1"/>
  <c r="Q3177" i="1"/>
  <c r="P3177" i="1"/>
  <c r="Q3178" i="1"/>
  <c r="P3178" i="1"/>
  <c r="Q3179" i="1"/>
  <c r="P3179" i="1"/>
  <c r="Q3180" i="1"/>
  <c r="P3180" i="1"/>
  <c r="Q3181" i="1"/>
  <c r="P3181" i="1"/>
  <c r="Q3182" i="1"/>
  <c r="P3182" i="1"/>
  <c r="Q3183" i="1"/>
  <c r="P3183" i="1"/>
  <c r="Q3184" i="1"/>
  <c r="P3184" i="1"/>
  <c r="Q3185" i="1"/>
  <c r="P3185" i="1"/>
  <c r="Q3186" i="1"/>
  <c r="P3186" i="1"/>
  <c r="Q3187" i="1"/>
  <c r="P3187" i="1"/>
  <c r="Q3188" i="1"/>
  <c r="P3188" i="1"/>
  <c r="Q3189" i="1"/>
  <c r="P3189" i="1"/>
  <c r="Q3190" i="1"/>
  <c r="P3190" i="1"/>
  <c r="Q3191" i="1"/>
  <c r="P3191" i="1"/>
  <c r="Q3192" i="1"/>
  <c r="P3192" i="1"/>
  <c r="Q3193" i="1"/>
  <c r="P3193" i="1"/>
  <c r="Q3194" i="1"/>
  <c r="P3194" i="1"/>
  <c r="Q3195" i="1"/>
  <c r="P3195" i="1"/>
  <c r="Q3196" i="1"/>
  <c r="P3196" i="1"/>
  <c r="Q3197" i="1"/>
  <c r="P3197" i="1"/>
  <c r="Q3198" i="1"/>
  <c r="P3198" i="1"/>
  <c r="Q3199" i="1"/>
  <c r="P3199" i="1"/>
  <c r="Q3200" i="1"/>
  <c r="P3200" i="1"/>
  <c r="Q3201" i="1"/>
  <c r="P3201" i="1"/>
  <c r="Q3202" i="1"/>
  <c r="P3202" i="1"/>
  <c r="Q3203" i="1"/>
  <c r="P3203" i="1"/>
  <c r="Q3204" i="1"/>
  <c r="P3204" i="1"/>
  <c r="Q3205" i="1"/>
  <c r="P3205" i="1"/>
  <c r="Q3206" i="1"/>
  <c r="P3206" i="1"/>
  <c r="Q3207" i="1"/>
  <c r="P3207" i="1"/>
  <c r="Q3208" i="1"/>
  <c r="P3208" i="1"/>
  <c r="Q3209" i="1"/>
  <c r="P3209" i="1"/>
  <c r="Q3210" i="1"/>
  <c r="P3210" i="1"/>
  <c r="Q3211" i="1"/>
  <c r="P3211" i="1"/>
  <c r="Q3212" i="1"/>
  <c r="P3212" i="1"/>
  <c r="Q3213" i="1"/>
  <c r="P3213" i="1"/>
  <c r="Q3214" i="1"/>
  <c r="P3214" i="1"/>
  <c r="Q3215" i="1"/>
  <c r="P3215" i="1"/>
  <c r="Q3216" i="1"/>
  <c r="P3216" i="1"/>
  <c r="Q3217" i="1"/>
  <c r="P3217" i="1"/>
  <c r="Q3218" i="1"/>
  <c r="P3218" i="1"/>
  <c r="Q3219" i="1"/>
  <c r="P3219" i="1"/>
  <c r="Q3220" i="1"/>
  <c r="P3220" i="1"/>
  <c r="Q3221" i="1"/>
  <c r="P3221" i="1"/>
  <c r="Q3222" i="1"/>
  <c r="P3222" i="1"/>
  <c r="Q3223" i="1"/>
  <c r="P3223" i="1"/>
  <c r="Q3224" i="1"/>
  <c r="P3224" i="1"/>
  <c r="Q3225" i="1"/>
  <c r="P3225" i="1"/>
  <c r="Q3226" i="1"/>
  <c r="P3226" i="1"/>
  <c r="Q3227" i="1"/>
  <c r="P3227" i="1"/>
  <c r="Q3228" i="1"/>
  <c r="P3228" i="1"/>
  <c r="Q3229" i="1"/>
  <c r="P3229" i="1"/>
  <c r="Q3230" i="1"/>
  <c r="P3230" i="1"/>
  <c r="Q3231" i="1"/>
  <c r="P3231" i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/>
  <c r="Q2921" i="1"/>
  <c r="P2921" i="1"/>
  <c r="Q2922" i="1"/>
  <c r="P2922" i="1"/>
  <c r="Q2923" i="1"/>
  <c r="P2923" i="1"/>
  <c r="Q2924" i="1"/>
  <c r="P2924" i="1"/>
  <c r="Q2925" i="1"/>
  <c r="P2925" i="1"/>
  <c r="Q2926" i="1"/>
  <c r="P2926" i="1"/>
  <c r="Q2927" i="1"/>
  <c r="P2927" i="1"/>
  <c r="Q2928" i="1"/>
  <c r="P2928" i="1"/>
  <c r="Q2929" i="1"/>
  <c r="P2929" i="1"/>
  <c r="Q2930" i="1"/>
  <c r="P2930" i="1"/>
  <c r="Q2931" i="1"/>
  <c r="P2931" i="1"/>
  <c r="Q2932" i="1"/>
  <c r="P2932" i="1"/>
  <c r="Q2933" i="1"/>
  <c r="P2933" i="1"/>
  <c r="Q2934" i="1"/>
  <c r="P2934" i="1"/>
  <c r="Q2935" i="1"/>
  <c r="P2935" i="1"/>
  <c r="Q2936" i="1"/>
  <c r="P2936" i="1"/>
  <c r="H2919" i="1"/>
  <c r="J2919" i="1"/>
  <c r="Q2919" i="1"/>
  <c r="P2919" i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/>
  <c r="Q2913" i="1"/>
  <c r="P2913" i="1"/>
  <c r="Q2914" i="1"/>
  <c r="P2914" i="1"/>
  <c r="Q2915" i="1"/>
  <c r="P2915" i="1"/>
  <c r="Q2916" i="1"/>
  <c r="P2916" i="1"/>
  <c r="Q2917" i="1"/>
  <c r="P2917" i="1"/>
  <c r="Q2918" i="1"/>
  <c r="P2918" i="1"/>
  <c r="J2905" i="1"/>
  <c r="J2903" i="1"/>
  <c r="H2911" i="1"/>
  <c r="J2911" i="1"/>
  <c r="Q2911" i="1"/>
  <c r="P2911" i="1"/>
  <c r="H2908" i="1"/>
  <c r="H2909" i="1"/>
  <c r="H2910" i="1"/>
  <c r="J2908" i="1"/>
  <c r="J2909" i="1"/>
  <c r="J2910" i="1"/>
  <c r="Q2908" i="1"/>
  <c r="P2908" i="1"/>
  <c r="Q2909" i="1"/>
  <c r="P2909" i="1"/>
  <c r="Q2910" i="1"/>
  <c r="P2910" i="1"/>
  <c r="H2907" i="1"/>
  <c r="J2907" i="1"/>
  <c r="Q2907" i="1"/>
  <c r="P2907" i="1"/>
  <c r="H2906" i="1"/>
  <c r="J2906" i="1"/>
  <c r="Q2906" i="1"/>
  <c r="P2906" i="1"/>
  <c r="H2905" i="1"/>
  <c r="Q2905" i="1"/>
  <c r="P2905" i="1"/>
  <c r="H2903" i="1"/>
  <c r="H2904" i="1"/>
  <c r="J2904" i="1"/>
  <c r="Q2903" i="1"/>
  <c r="P2903" i="1"/>
  <c r="Q2904" i="1"/>
  <c r="P2904" i="1"/>
  <c r="H2902" i="1"/>
  <c r="J2902" i="1"/>
  <c r="Q2902" i="1"/>
  <c r="P2902" i="1"/>
  <c r="H2900" i="1"/>
  <c r="H2901" i="1"/>
  <c r="J2900" i="1"/>
  <c r="J2901" i="1"/>
  <c r="Q2900" i="1"/>
  <c r="P2900" i="1"/>
  <c r="Q2901" i="1"/>
  <c r="P2901" i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/>
  <c r="Q2899" i="1"/>
  <c r="P2899" i="1"/>
  <c r="H2897" i="1"/>
  <c r="J2897" i="1"/>
  <c r="Q2897" i="1"/>
  <c r="P2897" i="1"/>
  <c r="H2890" i="1"/>
  <c r="H2891" i="1"/>
  <c r="H2892" i="1"/>
  <c r="H2893" i="1"/>
  <c r="H2894" i="1"/>
  <c r="H2895" i="1"/>
  <c r="H2896" i="1"/>
  <c r="J2890" i="1"/>
  <c r="Q2890" i="1"/>
  <c r="P2890" i="1"/>
  <c r="Q2891" i="1"/>
  <c r="P2891" i="1"/>
  <c r="Q2892" i="1"/>
  <c r="P2892" i="1"/>
  <c r="Q2893" i="1"/>
  <c r="P2893" i="1"/>
  <c r="Q2894" i="1"/>
  <c r="P2894" i="1"/>
  <c r="Q2895" i="1"/>
  <c r="P2895" i="1"/>
  <c r="Q2896" i="1"/>
  <c r="P2896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/>
  <c r="Q2874" i="1"/>
  <c r="P2874" i="1"/>
  <c r="Q2875" i="1"/>
  <c r="P2875" i="1"/>
  <c r="Q2876" i="1"/>
  <c r="P2876" i="1"/>
  <c r="Q2877" i="1"/>
  <c r="P2877" i="1"/>
  <c r="Q2878" i="1"/>
  <c r="P2878" i="1"/>
  <c r="Q2879" i="1"/>
  <c r="P2879" i="1"/>
  <c r="Q2880" i="1"/>
  <c r="P2880" i="1"/>
  <c r="Q2881" i="1"/>
  <c r="P2881" i="1"/>
  <c r="Q2882" i="1"/>
  <c r="P2882" i="1"/>
  <c r="Q2883" i="1"/>
  <c r="P2883" i="1"/>
  <c r="Q2884" i="1"/>
  <c r="P2884" i="1"/>
  <c r="Q2885" i="1"/>
  <c r="P2885" i="1"/>
  <c r="Q2886" i="1"/>
  <c r="P2886" i="1"/>
  <c r="Q2887" i="1"/>
  <c r="P2887" i="1"/>
  <c r="Q2888" i="1"/>
  <c r="P2888" i="1"/>
  <c r="Q2889" i="1"/>
  <c r="P2889" i="1"/>
  <c r="H2872" i="1"/>
  <c r="Q2872" i="1"/>
  <c r="P2872" i="1"/>
  <c r="J2870" i="1"/>
  <c r="J2869" i="1"/>
  <c r="J2868" i="1"/>
  <c r="J2867" i="1"/>
  <c r="J2866" i="1"/>
  <c r="J2863" i="1"/>
  <c r="J2860" i="1"/>
  <c r="H2871" i="1"/>
  <c r="Q2871" i="1"/>
  <c r="P2871" i="1"/>
  <c r="J2861" i="1"/>
  <c r="J2865" i="1"/>
  <c r="H2870" i="1"/>
  <c r="Q2870" i="1"/>
  <c r="P2870" i="1"/>
  <c r="H2869" i="1"/>
  <c r="Q2869" i="1"/>
  <c r="P2869" i="1"/>
  <c r="H2868" i="1"/>
  <c r="Q2868" i="1"/>
  <c r="P2868" i="1"/>
  <c r="H2864" i="1"/>
  <c r="H2865" i="1"/>
  <c r="H2866" i="1"/>
  <c r="H2867" i="1"/>
  <c r="Q2864" i="1"/>
  <c r="P2864" i="1"/>
  <c r="Q2865" i="1"/>
  <c r="P2865" i="1"/>
  <c r="Q2866" i="1"/>
  <c r="P2866" i="1"/>
  <c r="Q2867" i="1"/>
  <c r="P2867" i="1"/>
  <c r="H2863" i="1"/>
  <c r="Q2863" i="1"/>
  <c r="P2863" i="1"/>
  <c r="J2862" i="1"/>
  <c r="J2859" i="1"/>
  <c r="J2858" i="1"/>
  <c r="J2857" i="1"/>
  <c r="H2862" i="1"/>
  <c r="Q2862" i="1"/>
  <c r="P2862" i="1"/>
  <c r="H2861" i="1"/>
  <c r="Q2861" i="1"/>
  <c r="P2861" i="1"/>
  <c r="H2860" i="1"/>
  <c r="Q2860" i="1"/>
  <c r="P2860" i="1"/>
  <c r="H2858" i="1"/>
  <c r="H2859" i="1"/>
  <c r="Q2858" i="1"/>
  <c r="P2858" i="1"/>
  <c r="Q2859" i="1"/>
  <c r="P2859" i="1"/>
  <c r="H2857" i="1"/>
  <c r="Q2857" i="1"/>
  <c r="P2857" i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/>
  <c r="H2855" i="1"/>
  <c r="J2855" i="1"/>
  <c r="Q2855" i="1"/>
  <c r="P2855" i="1"/>
  <c r="H2854" i="1"/>
  <c r="J2854" i="1"/>
  <c r="Q2854" i="1"/>
  <c r="P2854" i="1"/>
  <c r="J2853" i="1"/>
  <c r="J2852" i="1"/>
  <c r="J2851" i="1"/>
  <c r="J2848" i="1"/>
  <c r="J2843" i="1"/>
  <c r="J2850" i="1"/>
  <c r="J2849" i="1"/>
  <c r="H2853" i="1"/>
  <c r="Q2853" i="1"/>
  <c r="P2853" i="1"/>
  <c r="H2852" i="1"/>
  <c r="Q2852" i="1"/>
  <c r="P2852" i="1"/>
  <c r="H2850" i="1"/>
  <c r="H2851" i="1"/>
  <c r="Q2850" i="1"/>
  <c r="P2850" i="1"/>
  <c r="Q2851" i="1"/>
  <c r="P2851" i="1"/>
  <c r="H2849" i="1"/>
  <c r="Q2849" i="1"/>
  <c r="P2849" i="1"/>
  <c r="H2848" i="1"/>
  <c r="Q2848" i="1"/>
  <c r="P2848" i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/>
  <c r="Q2847" i="1"/>
  <c r="P2847" i="1"/>
  <c r="H2845" i="1"/>
  <c r="Q2845" i="1"/>
  <c r="P2845" i="1"/>
  <c r="J2838" i="1"/>
  <c r="H2844" i="1"/>
  <c r="Q2844" i="1"/>
  <c r="P2844" i="1"/>
  <c r="H2843" i="1"/>
  <c r="Q2843" i="1"/>
  <c r="P2843" i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/>
  <c r="Q2837" i="1"/>
  <c r="P2837" i="1"/>
  <c r="Q2838" i="1"/>
  <c r="P2838" i="1"/>
  <c r="Q2839" i="1"/>
  <c r="P2839" i="1"/>
  <c r="Q2840" i="1"/>
  <c r="P2840" i="1"/>
  <c r="Q2841" i="1"/>
  <c r="P2841" i="1"/>
  <c r="Q2842" i="1"/>
  <c r="P2842" i="1"/>
  <c r="H2835" i="1"/>
  <c r="Q2835" i="1"/>
  <c r="P2835" i="1"/>
  <c r="H2833" i="1"/>
  <c r="H2834" i="1"/>
  <c r="J2833" i="1"/>
  <c r="J2834" i="1"/>
  <c r="Q2833" i="1"/>
  <c r="P2833" i="1"/>
  <c r="Q2834" i="1"/>
  <c r="P2834" i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/>
  <c r="Q2823" i="1"/>
  <c r="P2823" i="1"/>
  <c r="Q2824" i="1"/>
  <c r="P2824" i="1"/>
  <c r="Q2825" i="1"/>
  <c r="P2825" i="1"/>
  <c r="Q2826" i="1"/>
  <c r="P2826" i="1"/>
  <c r="Q2827" i="1"/>
  <c r="P2827" i="1"/>
  <c r="Q2828" i="1"/>
  <c r="P2828" i="1"/>
  <c r="Q2829" i="1"/>
  <c r="P2829" i="1"/>
  <c r="Q2830" i="1"/>
  <c r="P2830" i="1"/>
  <c r="Q2831" i="1"/>
  <c r="P2831" i="1"/>
  <c r="Q2832" i="1"/>
  <c r="P2832" i="1"/>
  <c r="H2821" i="1"/>
  <c r="J2821" i="1"/>
  <c r="Q2821" i="1"/>
  <c r="P2821" i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/>
  <c r="Q2815" i="1"/>
  <c r="P2815" i="1"/>
  <c r="Q2816" i="1"/>
  <c r="P2816" i="1"/>
  <c r="Q2817" i="1"/>
  <c r="P2817" i="1"/>
  <c r="Q2818" i="1"/>
  <c r="P2818" i="1"/>
  <c r="Q2819" i="1"/>
  <c r="P2819" i="1"/>
  <c r="Q2820" i="1"/>
  <c r="P2820" i="1"/>
  <c r="H2813" i="1"/>
  <c r="J2813" i="1"/>
  <c r="Q2813" i="1"/>
  <c r="P2813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/>
  <c r="Q2504" i="1"/>
  <c r="P2504" i="1"/>
  <c r="Q2505" i="1"/>
  <c r="P2505" i="1"/>
  <c r="Q2506" i="1"/>
  <c r="P2506" i="1"/>
  <c r="Q2507" i="1"/>
  <c r="P2507" i="1"/>
  <c r="Q2508" i="1"/>
  <c r="P2508" i="1"/>
  <c r="Q2509" i="1"/>
  <c r="P2509" i="1"/>
  <c r="Q2510" i="1"/>
  <c r="P2510" i="1"/>
  <c r="Q2511" i="1"/>
  <c r="P2511" i="1"/>
  <c r="Q2512" i="1"/>
  <c r="P2512" i="1"/>
  <c r="Q2513" i="1"/>
  <c r="P2513" i="1"/>
  <c r="Q2514" i="1"/>
  <c r="P2514" i="1"/>
  <c r="Q2515" i="1"/>
  <c r="P2515" i="1"/>
  <c r="Q2516" i="1"/>
  <c r="P2516" i="1"/>
  <c r="Q2517" i="1"/>
  <c r="P2517" i="1"/>
  <c r="Q2518" i="1"/>
  <c r="P2518" i="1"/>
  <c r="Q2519" i="1"/>
  <c r="P2519" i="1"/>
  <c r="Q2520" i="1"/>
  <c r="P2520" i="1"/>
  <c r="Q2521" i="1"/>
  <c r="P2521" i="1"/>
  <c r="Q2522" i="1"/>
  <c r="P2522" i="1"/>
  <c r="Q2523" i="1"/>
  <c r="P2523" i="1"/>
  <c r="Q2524" i="1"/>
  <c r="P2524" i="1"/>
  <c r="Q2525" i="1"/>
  <c r="P2525" i="1"/>
  <c r="Q2526" i="1"/>
  <c r="P2526" i="1"/>
  <c r="Q2527" i="1"/>
  <c r="P2527" i="1"/>
  <c r="Q2528" i="1"/>
  <c r="P2528" i="1"/>
  <c r="Q2529" i="1"/>
  <c r="P2529" i="1"/>
  <c r="Q2530" i="1"/>
  <c r="P2530" i="1"/>
  <c r="Q2531" i="1"/>
  <c r="P2531" i="1"/>
  <c r="Q2532" i="1"/>
  <c r="P2532" i="1"/>
  <c r="Q2533" i="1"/>
  <c r="P2533" i="1"/>
  <c r="Q2534" i="1"/>
  <c r="P2534" i="1"/>
  <c r="Q2535" i="1"/>
  <c r="P2535" i="1"/>
  <c r="Q2536" i="1"/>
  <c r="P2536" i="1"/>
  <c r="Q2537" i="1"/>
  <c r="P2537" i="1"/>
  <c r="Q2538" i="1"/>
  <c r="P2538" i="1"/>
  <c r="Q2539" i="1"/>
  <c r="P2539" i="1"/>
  <c r="Q2540" i="1"/>
  <c r="P2540" i="1"/>
  <c r="Q2541" i="1"/>
  <c r="P2541" i="1"/>
  <c r="Q2542" i="1"/>
  <c r="P2542" i="1"/>
  <c r="Q2543" i="1"/>
  <c r="P2543" i="1"/>
  <c r="Q2544" i="1"/>
  <c r="P2544" i="1"/>
  <c r="Q2545" i="1"/>
  <c r="P2545" i="1"/>
  <c r="Q2546" i="1"/>
  <c r="P2546" i="1"/>
  <c r="Q2547" i="1"/>
  <c r="P2547" i="1"/>
  <c r="Q2548" i="1"/>
  <c r="P2548" i="1"/>
  <c r="Q2549" i="1"/>
  <c r="P2549" i="1"/>
  <c r="Q2550" i="1"/>
  <c r="P2550" i="1"/>
  <c r="Q2551" i="1"/>
  <c r="P2551" i="1"/>
  <c r="Q2552" i="1"/>
  <c r="P2552" i="1"/>
  <c r="Q2553" i="1"/>
  <c r="P2553" i="1"/>
  <c r="Q2554" i="1"/>
  <c r="P2554" i="1"/>
  <c r="Q2555" i="1"/>
  <c r="P2555" i="1"/>
  <c r="Q2556" i="1"/>
  <c r="P2556" i="1"/>
  <c r="Q2557" i="1"/>
  <c r="P2557" i="1"/>
  <c r="Q2558" i="1"/>
  <c r="P2558" i="1"/>
  <c r="Q2559" i="1"/>
  <c r="P2559" i="1"/>
  <c r="Q2560" i="1"/>
  <c r="P2560" i="1"/>
  <c r="Q2561" i="1"/>
  <c r="P2561" i="1"/>
  <c r="Q2562" i="1"/>
  <c r="P2562" i="1"/>
  <c r="Q2563" i="1"/>
  <c r="P2563" i="1"/>
  <c r="Q2564" i="1"/>
  <c r="P2564" i="1"/>
  <c r="Q2565" i="1"/>
  <c r="P2565" i="1"/>
  <c r="Q2566" i="1"/>
  <c r="P2566" i="1"/>
  <c r="Q2567" i="1"/>
  <c r="P2567" i="1"/>
  <c r="Q2568" i="1"/>
  <c r="P2568" i="1"/>
  <c r="Q2569" i="1"/>
  <c r="P2569" i="1"/>
  <c r="Q2570" i="1"/>
  <c r="P2570" i="1"/>
  <c r="Q2571" i="1"/>
  <c r="P2571" i="1"/>
  <c r="Q2572" i="1"/>
  <c r="P2572" i="1"/>
  <c r="Q2573" i="1"/>
  <c r="P2573" i="1"/>
  <c r="Q2574" i="1"/>
  <c r="P2574" i="1"/>
  <c r="Q2575" i="1"/>
  <c r="P2575" i="1"/>
  <c r="Q2576" i="1"/>
  <c r="P2576" i="1"/>
  <c r="Q2577" i="1"/>
  <c r="P2577" i="1"/>
  <c r="Q2578" i="1"/>
  <c r="P2578" i="1"/>
  <c r="Q2579" i="1"/>
  <c r="P2579" i="1"/>
  <c r="Q2580" i="1"/>
  <c r="P2580" i="1"/>
  <c r="Q2581" i="1"/>
  <c r="P2581" i="1"/>
  <c r="Q2582" i="1"/>
  <c r="P2582" i="1"/>
  <c r="Q2583" i="1"/>
  <c r="P2583" i="1"/>
  <c r="Q2584" i="1"/>
  <c r="P2584" i="1"/>
  <c r="Q2585" i="1"/>
  <c r="P2585" i="1"/>
  <c r="Q2586" i="1"/>
  <c r="P2586" i="1"/>
  <c r="Q2587" i="1"/>
  <c r="P2587" i="1"/>
  <c r="Q2588" i="1"/>
  <c r="P2588" i="1"/>
  <c r="Q2589" i="1"/>
  <c r="P2589" i="1"/>
  <c r="Q2590" i="1"/>
  <c r="P2590" i="1"/>
  <c r="Q2591" i="1"/>
  <c r="P2591" i="1"/>
  <c r="Q2592" i="1"/>
  <c r="P2592" i="1"/>
  <c r="Q2593" i="1"/>
  <c r="P2593" i="1"/>
  <c r="Q2594" i="1"/>
  <c r="P2594" i="1"/>
  <c r="Q2595" i="1"/>
  <c r="P2595" i="1"/>
  <c r="Q2596" i="1"/>
  <c r="P2596" i="1"/>
  <c r="Q2597" i="1"/>
  <c r="P2597" i="1"/>
  <c r="Q2598" i="1"/>
  <c r="P2598" i="1"/>
  <c r="Q2599" i="1"/>
  <c r="P2599" i="1"/>
  <c r="Q2600" i="1"/>
  <c r="P2600" i="1"/>
  <c r="Q2601" i="1"/>
  <c r="P2601" i="1"/>
  <c r="Q2602" i="1"/>
  <c r="P2602" i="1"/>
  <c r="Q2603" i="1"/>
  <c r="P2603" i="1"/>
  <c r="Q2604" i="1"/>
  <c r="P2604" i="1"/>
  <c r="Q2605" i="1"/>
  <c r="P2605" i="1"/>
  <c r="Q2606" i="1"/>
  <c r="P2606" i="1"/>
  <c r="Q2607" i="1"/>
  <c r="P2607" i="1"/>
  <c r="Q2608" i="1"/>
  <c r="P2608" i="1"/>
  <c r="Q2609" i="1"/>
  <c r="P2609" i="1"/>
  <c r="Q2610" i="1"/>
  <c r="P2610" i="1"/>
  <c r="Q2611" i="1"/>
  <c r="P2611" i="1"/>
  <c r="Q2612" i="1"/>
  <c r="P2612" i="1"/>
  <c r="Q2613" i="1"/>
  <c r="P2613" i="1"/>
  <c r="Q2614" i="1"/>
  <c r="P2614" i="1"/>
  <c r="Q2615" i="1"/>
  <c r="P2615" i="1"/>
  <c r="Q2616" i="1"/>
  <c r="P2616" i="1"/>
  <c r="Q2617" i="1"/>
  <c r="P2617" i="1"/>
  <c r="Q2618" i="1"/>
  <c r="P2618" i="1"/>
  <c r="Q2619" i="1"/>
  <c r="P2619" i="1"/>
  <c r="Q2620" i="1"/>
  <c r="P2620" i="1"/>
  <c r="Q2621" i="1"/>
  <c r="P2621" i="1"/>
  <c r="Q2622" i="1"/>
  <c r="P2622" i="1"/>
  <c r="Q2623" i="1"/>
  <c r="P2623" i="1"/>
  <c r="Q2624" i="1"/>
  <c r="P2624" i="1"/>
  <c r="Q2625" i="1"/>
  <c r="P2625" i="1"/>
  <c r="Q2626" i="1"/>
  <c r="P2626" i="1"/>
  <c r="Q2627" i="1"/>
  <c r="P2627" i="1"/>
  <c r="Q2628" i="1"/>
  <c r="P2628" i="1"/>
  <c r="Q2629" i="1"/>
  <c r="P2629" i="1"/>
  <c r="Q2630" i="1"/>
  <c r="P2630" i="1"/>
  <c r="Q2631" i="1"/>
  <c r="P2631" i="1"/>
  <c r="Q2632" i="1"/>
  <c r="P2632" i="1"/>
  <c r="Q2633" i="1"/>
  <c r="P2633" i="1"/>
  <c r="Q2634" i="1"/>
  <c r="P2634" i="1"/>
  <c r="Q2635" i="1"/>
  <c r="P2635" i="1"/>
  <c r="Q2636" i="1"/>
  <c r="P2636" i="1"/>
  <c r="Q2637" i="1"/>
  <c r="P2637" i="1"/>
  <c r="Q2638" i="1"/>
  <c r="P2638" i="1"/>
  <c r="Q2639" i="1"/>
  <c r="P2639" i="1"/>
  <c r="Q2640" i="1"/>
  <c r="P2640" i="1"/>
  <c r="Q2641" i="1"/>
  <c r="P2641" i="1"/>
  <c r="Q2642" i="1"/>
  <c r="P2642" i="1"/>
  <c r="Q2643" i="1"/>
  <c r="P2643" i="1"/>
  <c r="Q2644" i="1"/>
  <c r="P2644" i="1"/>
  <c r="Q2645" i="1"/>
  <c r="P2645" i="1"/>
  <c r="Q2646" i="1"/>
  <c r="P2646" i="1"/>
  <c r="Q2647" i="1"/>
  <c r="P2647" i="1"/>
  <c r="Q2648" i="1"/>
  <c r="P2648" i="1"/>
  <c r="Q2649" i="1"/>
  <c r="P2649" i="1"/>
  <c r="Q2650" i="1"/>
  <c r="P2650" i="1"/>
  <c r="Q2651" i="1"/>
  <c r="P2651" i="1"/>
  <c r="Q2652" i="1"/>
  <c r="P2652" i="1"/>
  <c r="Q2653" i="1"/>
  <c r="P2653" i="1"/>
  <c r="Q2654" i="1"/>
  <c r="P2654" i="1"/>
  <c r="Q2655" i="1"/>
  <c r="P2655" i="1"/>
  <c r="Q2656" i="1"/>
  <c r="P2656" i="1"/>
  <c r="Q2657" i="1"/>
  <c r="P2657" i="1"/>
  <c r="Q2658" i="1"/>
  <c r="P2658" i="1"/>
  <c r="Q2659" i="1"/>
  <c r="P2659" i="1"/>
  <c r="Q2660" i="1"/>
  <c r="P2660" i="1"/>
  <c r="Q2661" i="1"/>
  <c r="P2661" i="1"/>
  <c r="Q2662" i="1"/>
  <c r="P2662" i="1"/>
  <c r="Q2663" i="1"/>
  <c r="P2663" i="1"/>
  <c r="Q2664" i="1"/>
  <c r="P2664" i="1"/>
  <c r="Q2665" i="1"/>
  <c r="P2665" i="1"/>
  <c r="Q2666" i="1"/>
  <c r="P2666" i="1"/>
  <c r="Q2667" i="1"/>
  <c r="P2667" i="1"/>
  <c r="Q2668" i="1"/>
  <c r="P2668" i="1"/>
  <c r="Q2669" i="1"/>
  <c r="P2669" i="1"/>
  <c r="Q2670" i="1"/>
  <c r="P2670" i="1"/>
  <c r="Q2671" i="1"/>
  <c r="P2671" i="1"/>
  <c r="Q2672" i="1"/>
  <c r="P2672" i="1"/>
  <c r="Q2673" i="1"/>
  <c r="P2673" i="1"/>
  <c r="Q2674" i="1"/>
  <c r="P2674" i="1"/>
  <c r="Q2675" i="1"/>
  <c r="P2675" i="1"/>
  <c r="Q2676" i="1"/>
  <c r="P2676" i="1"/>
  <c r="Q2677" i="1"/>
  <c r="P2677" i="1"/>
  <c r="Q2678" i="1"/>
  <c r="P2678" i="1"/>
  <c r="Q2679" i="1"/>
  <c r="P2679" i="1"/>
  <c r="Q2680" i="1"/>
  <c r="P2680" i="1"/>
  <c r="Q2681" i="1"/>
  <c r="P2681" i="1"/>
  <c r="Q2682" i="1"/>
  <c r="P2682" i="1"/>
  <c r="Q2683" i="1"/>
  <c r="P2683" i="1"/>
  <c r="Q2684" i="1"/>
  <c r="P2684" i="1"/>
  <c r="Q2685" i="1"/>
  <c r="P2685" i="1"/>
  <c r="Q2686" i="1"/>
  <c r="P2686" i="1"/>
  <c r="Q2687" i="1"/>
  <c r="P2687" i="1"/>
  <c r="Q2688" i="1"/>
  <c r="P2688" i="1"/>
  <c r="Q2689" i="1"/>
  <c r="P2689" i="1"/>
  <c r="Q2690" i="1"/>
  <c r="P2690" i="1"/>
  <c r="Q2691" i="1"/>
  <c r="P2691" i="1"/>
  <c r="Q2692" i="1"/>
  <c r="P2692" i="1"/>
  <c r="Q2693" i="1"/>
  <c r="P2693" i="1"/>
  <c r="Q2694" i="1"/>
  <c r="P2694" i="1"/>
  <c r="Q2695" i="1"/>
  <c r="P2695" i="1"/>
  <c r="Q2696" i="1"/>
  <c r="P2696" i="1"/>
  <c r="Q2697" i="1"/>
  <c r="P2697" i="1"/>
  <c r="Q2698" i="1"/>
  <c r="P2698" i="1"/>
  <c r="Q2699" i="1"/>
  <c r="P2699" i="1"/>
  <c r="Q2700" i="1"/>
  <c r="P2700" i="1"/>
  <c r="Q2701" i="1"/>
  <c r="P2701" i="1"/>
  <c r="Q2702" i="1"/>
  <c r="P2702" i="1"/>
  <c r="Q2703" i="1"/>
  <c r="P2703" i="1"/>
  <c r="Q2704" i="1"/>
  <c r="P2704" i="1"/>
  <c r="Q2705" i="1"/>
  <c r="P2705" i="1"/>
  <c r="Q2706" i="1"/>
  <c r="P2706" i="1"/>
  <c r="Q2707" i="1"/>
  <c r="P2707" i="1"/>
  <c r="Q2708" i="1"/>
  <c r="P2708" i="1"/>
  <c r="Q2709" i="1"/>
  <c r="P2709" i="1"/>
  <c r="Q2710" i="1"/>
  <c r="P2710" i="1"/>
  <c r="Q2711" i="1"/>
  <c r="P2711" i="1"/>
  <c r="Q2712" i="1"/>
  <c r="P2712" i="1"/>
  <c r="Q2713" i="1"/>
  <c r="P2713" i="1"/>
  <c r="Q2714" i="1"/>
  <c r="P2714" i="1"/>
  <c r="Q2715" i="1"/>
  <c r="P2715" i="1"/>
  <c r="Q2716" i="1"/>
  <c r="P2716" i="1"/>
  <c r="Q2717" i="1"/>
  <c r="P2717" i="1"/>
  <c r="Q2718" i="1"/>
  <c r="P2718" i="1"/>
  <c r="Q2719" i="1"/>
  <c r="P2719" i="1"/>
  <c r="Q2720" i="1"/>
  <c r="P2720" i="1"/>
  <c r="Q2721" i="1"/>
  <c r="P2721" i="1"/>
  <c r="Q2722" i="1"/>
  <c r="P2722" i="1"/>
  <c r="Q2723" i="1"/>
  <c r="P2723" i="1"/>
  <c r="Q2724" i="1"/>
  <c r="P2724" i="1"/>
  <c r="Q2725" i="1"/>
  <c r="P2725" i="1"/>
  <c r="Q2726" i="1"/>
  <c r="P2726" i="1"/>
  <c r="Q2727" i="1"/>
  <c r="P2727" i="1"/>
  <c r="Q2728" i="1"/>
  <c r="P2728" i="1"/>
  <c r="Q2729" i="1"/>
  <c r="P2729" i="1"/>
  <c r="Q2730" i="1"/>
  <c r="P2730" i="1"/>
  <c r="Q2731" i="1"/>
  <c r="P2731" i="1"/>
  <c r="Q2732" i="1"/>
  <c r="P2732" i="1"/>
  <c r="Q2733" i="1"/>
  <c r="P2733" i="1"/>
  <c r="Q2734" i="1"/>
  <c r="P2734" i="1"/>
  <c r="Q2735" i="1"/>
  <c r="P2735" i="1"/>
  <c r="Q2736" i="1"/>
  <c r="P2736" i="1"/>
  <c r="Q2737" i="1"/>
  <c r="P2737" i="1"/>
  <c r="Q2738" i="1"/>
  <c r="P2738" i="1"/>
  <c r="Q2739" i="1"/>
  <c r="P2739" i="1"/>
  <c r="Q2740" i="1"/>
  <c r="P2740" i="1"/>
  <c r="Q2741" i="1"/>
  <c r="P2741" i="1"/>
  <c r="Q2742" i="1"/>
  <c r="P2742" i="1"/>
  <c r="Q2743" i="1"/>
  <c r="P2743" i="1"/>
  <c r="Q2744" i="1"/>
  <c r="P2744" i="1"/>
  <c r="Q2745" i="1"/>
  <c r="P2745" i="1"/>
  <c r="Q2746" i="1"/>
  <c r="P2746" i="1"/>
  <c r="Q2747" i="1"/>
  <c r="P2747" i="1"/>
  <c r="Q2748" i="1"/>
  <c r="P2748" i="1"/>
  <c r="Q2749" i="1"/>
  <c r="P2749" i="1"/>
  <c r="Q2750" i="1"/>
  <c r="P2750" i="1"/>
  <c r="Q2751" i="1"/>
  <c r="P2751" i="1"/>
  <c r="Q2752" i="1"/>
  <c r="P2752" i="1"/>
  <c r="Q2753" i="1"/>
  <c r="P2753" i="1"/>
  <c r="Q2754" i="1"/>
  <c r="P2754" i="1"/>
  <c r="Q2755" i="1"/>
  <c r="P2755" i="1"/>
  <c r="Q2756" i="1"/>
  <c r="P2756" i="1"/>
  <c r="Q2757" i="1"/>
  <c r="P2757" i="1"/>
  <c r="Q2758" i="1"/>
  <c r="P2758" i="1"/>
  <c r="Q2759" i="1"/>
  <c r="P2759" i="1"/>
  <c r="Q2760" i="1"/>
  <c r="P2760" i="1"/>
  <c r="Q2761" i="1"/>
  <c r="P2761" i="1"/>
  <c r="Q2762" i="1"/>
  <c r="P2762" i="1"/>
  <c r="Q2763" i="1"/>
  <c r="P2763" i="1"/>
  <c r="Q2764" i="1"/>
  <c r="P2764" i="1"/>
  <c r="Q2765" i="1"/>
  <c r="P2765" i="1"/>
  <c r="Q2766" i="1"/>
  <c r="P2766" i="1"/>
  <c r="Q2767" i="1"/>
  <c r="P2767" i="1"/>
  <c r="Q2768" i="1"/>
  <c r="P2768" i="1"/>
  <c r="Q2769" i="1"/>
  <c r="P2769" i="1"/>
  <c r="Q2770" i="1"/>
  <c r="P2770" i="1"/>
  <c r="Q2771" i="1"/>
  <c r="P2771" i="1"/>
  <c r="Q2772" i="1"/>
  <c r="P2772" i="1"/>
  <c r="Q2773" i="1"/>
  <c r="P2773" i="1"/>
  <c r="Q2774" i="1"/>
  <c r="P2774" i="1"/>
  <c r="Q2775" i="1"/>
  <c r="P2775" i="1"/>
  <c r="Q2776" i="1"/>
  <c r="P2776" i="1"/>
  <c r="Q2777" i="1"/>
  <c r="P2777" i="1"/>
  <c r="Q2778" i="1"/>
  <c r="P2778" i="1"/>
  <c r="Q2779" i="1"/>
  <c r="P2779" i="1"/>
  <c r="Q2780" i="1"/>
  <c r="P2780" i="1"/>
  <c r="Q2781" i="1"/>
  <c r="P2781" i="1"/>
  <c r="Q2782" i="1"/>
  <c r="P2782" i="1"/>
  <c r="Q2783" i="1"/>
  <c r="P2783" i="1"/>
  <c r="Q2784" i="1"/>
  <c r="P2784" i="1"/>
  <c r="Q2785" i="1"/>
  <c r="P2785" i="1"/>
  <c r="Q2786" i="1"/>
  <c r="P2786" i="1"/>
  <c r="Q2787" i="1"/>
  <c r="P2787" i="1"/>
  <c r="Q2788" i="1"/>
  <c r="P2788" i="1"/>
  <c r="Q2789" i="1"/>
  <c r="P2789" i="1"/>
  <c r="Q2790" i="1"/>
  <c r="P2790" i="1"/>
  <c r="Q2791" i="1"/>
  <c r="P2791" i="1"/>
  <c r="Q2792" i="1"/>
  <c r="P2792" i="1"/>
  <c r="Q2793" i="1"/>
  <c r="P2793" i="1"/>
  <c r="Q2794" i="1"/>
  <c r="P2794" i="1"/>
  <c r="Q2795" i="1"/>
  <c r="P2795" i="1"/>
  <c r="Q2796" i="1"/>
  <c r="P2796" i="1"/>
  <c r="Q2797" i="1"/>
  <c r="P2797" i="1"/>
  <c r="Q2798" i="1"/>
  <c r="P2798" i="1"/>
  <c r="Q2799" i="1"/>
  <c r="P2799" i="1"/>
  <c r="Q2800" i="1"/>
  <c r="P2800" i="1"/>
  <c r="Q2801" i="1"/>
  <c r="P2801" i="1"/>
  <c r="Q2802" i="1"/>
  <c r="P2802" i="1"/>
  <c r="Q2803" i="1"/>
  <c r="P2803" i="1"/>
  <c r="Q2804" i="1"/>
  <c r="P2804" i="1"/>
  <c r="Q2805" i="1"/>
  <c r="P2805" i="1"/>
  <c r="Q2806" i="1"/>
  <c r="P2806" i="1"/>
  <c r="Q2807" i="1"/>
  <c r="P2807" i="1"/>
  <c r="Q2808" i="1"/>
  <c r="P2808" i="1"/>
  <c r="Q2809" i="1"/>
  <c r="P2809" i="1"/>
  <c r="Q2810" i="1"/>
  <c r="P2810" i="1"/>
  <c r="Q2811" i="1"/>
  <c r="P2811" i="1"/>
  <c r="Q2812" i="1"/>
  <c r="P2812" i="1"/>
  <c r="H2502" i="1"/>
  <c r="J2502" i="1"/>
  <c r="Q2502" i="1"/>
  <c r="P2502" i="1"/>
  <c r="H2501" i="1"/>
  <c r="J2501" i="1"/>
  <c r="Q2501" i="1"/>
  <c r="P2501" i="1"/>
  <c r="H2500" i="1"/>
  <c r="J2500" i="1"/>
  <c r="Q2500" i="1"/>
  <c r="P2500" i="1"/>
  <c r="H2499" i="1"/>
  <c r="J2499" i="1"/>
  <c r="Q2499" i="1"/>
  <c r="P2499" i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/>
  <c r="Q2489" i="1"/>
  <c r="P2489" i="1"/>
  <c r="Q2490" i="1"/>
  <c r="P2490" i="1"/>
  <c r="Q2491" i="1"/>
  <c r="P2491" i="1"/>
  <c r="Q2492" i="1"/>
  <c r="P2492" i="1"/>
  <c r="Q2493" i="1"/>
  <c r="P2493" i="1"/>
  <c r="Q2494" i="1"/>
  <c r="P2494" i="1"/>
  <c r="Q2495" i="1"/>
  <c r="P2495" i="1"/>
  <c r="Q2496" i="1"/>
  <c r="P2496" i="1"/>
  <c r="Q2497" i="1"/>
  <c r="P2497" i="1"/>
  <c r="Q2498" i="1"/>
  <c r="P2498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/>
  <c r="Q2432" i="1"/>
  <c r="P2432" i="1"/>
  <c r="Q2433" i="1"/>
  <c r="P2433" i="1"/>
  <c r="Q2434" i="1"/>
  <c r="P2434" i="1"/>
  <c r="Q2435" i="1"/>
  <c r="P2435" i="1"/>
  <c r="Q2436" i="1"/>
  <c r="P2436" i="1"/>
  <c r="Q2437" i="1"/>
  <c r="P2437" i="1"/>
  <c r="Q2438" i="1"/>
  <c r="P2438" i="1"/>
  <c r="Q2439" i="1"/>
  <c r="P2439" i="1"/>
  <c r="Q2440" i="1"/>
  <c r="P2440" i="1"/>
  <c r="Q2441" i="1"/>
  <c r="P2441" i="1"/>
  <c r="Q2442" i="1"/>
  <c r="P2442" i="1"/>
  <c r="Q2443" i="1"/>
  <c r="P2443" i="1"/>
  <c r="Q2444" i="1"/>
  <c r="P2444" i="1"/>
  <c r="Q2445" i="1"/>
  <c r="P2445" i="1"/>
  <c r="Q2446" i="1"/>
  <c r="P2446" i="1"/>
  <c r="Q2447" i="1"/>
  <c r="P2447" i="1"/>
  <c r="Q2448" i="1"/>
  <c r="P2448" i="1"/>
  <c r="Q2449" i="1"/>
  <c r="P2449" i="1"/>
  <c r="Q2450" i="1"/>
  <c r="P2450" i="1"/>
  <c r="Q2451" i="1"/>
  <c r="P2451" i="1"/>
  <c r="Q2452" i="1"/>
  <c r="P2452" i="1"/>
  <c r="Q2453" i="1"/>
  <c r="P2453" i="1"/>
  <c r="Q2454" i="1"/>
  <c r="P2454" i="1"/>
  <c r="Q2455" i="1"/>
  <c r="P2455" i="1"/>
  <c r="Q2456" i="1"/>
  <c r="P2456" i="1"/>
  <c r="Q2457" i="1"/>
  <c r="P2457" i="1"/>
  <c r="Q2458" i="1"/>
  <c r="P2458" i="1"/>
  <c r="Q2459" i="1"/>
  <c r="P2459" i="1"/>
  <c r="Q2460" i="1"/>
  <c r="P2460" i="1"/>
  <c r="Q2461" i="1"/>
  <c r="P2461" i="1"/>
  <c r="Q2462" i="1"/>
  <c r="P2462" i="1"/>
  <c r="Q2463" i="1"/>
  <c r="P2463" i="1"/>
  <c r="Q2464" i="1"/>
  <c r="P2464" i="1"/>
  <c r="Q2465" i="1"/>
  <c r="P2465" i="1"/>
  <c r="Q2466" i="1"/>
  <c r="P2466" i="1"/>
  <c r="Q2467" i="1"/>
  <c r="P2467" i="1"/>
  <c r="Q2468" i="1"/>
  <c r="P2468" i="1"/>
  <c r="Q2469" i="1"/>
  <c r="P2469" i="1"/>
  <c r="Q2470" i="1"/>
  <c r="P2470" i="1"/>
  <c r="Q2471" i="1"/>
  <c r="P2471" i="1"/>
  <c r="Q2472" i="1"/>
  <c r="P2472" i="1"/>
  <c r="Q2473" i="1"/>
  <c r="P2473" i="1"/>
  <c r="Q2474" i="1"/>
  <c r="P2474" i="1"/>
  <c r="Q2475" i="1"/>
  <c r="P2475" i="1"/>
  <c r="Q2476" i="1"/>
  <c r="P2476" i="1"/>
  <c r="Q2477" i="1"/>
  <c r="P2477" i="1"/>
  <c r="Q2478" i="1"/>
  <c r="P2478" i="1"/>
  <c r="Q2479" i="1"/>
  <c r="P2479" i="1"/>
  <c r="Q2480" i="1"/>
  <c r="P2480" i="1"/>
  <c r="Q2481" i="1"/>
  <c r="P2481" i="1"/>
  <c r="Q2482" i="1"/>
  <c r="P2482" i="1"/>
  <c r="Q2483" i="1"/>
  <c r="P2483" i="1"/>
  <c r="Q2484" i="1"/>
  <c r="P2484" i="1"/>
  <c r="Q2485" i="1"/>
  <c r="P2485" i="1"/>
  <c r="Q2486" i="1"/>
  <c r="P2486" i="1"/>
  <c r="Q2487" i="1"/>
  <c r="P2487" i="1"/>
  <c r="H2430" i="1"/>
  <c r="J2430" i="1"/>
  <c r="Q2430" i="1"/>
  <c r="P2430" i="1"/>
  <c r="H2429" i="1"/>
  <c r="J2429" i="1"/>
  <c r="Q2429" i="1"/>
  <c r="P2429" i="1"/>
  <c r="H2428" i="1"/>
  <c r="J2428" i="1"/>
  <c r="Q2428" i="1"/>
  <c r="P2428" i="1"/>
  <c r="H2427" i="1"/>
  <c r="J2427" i="1"/>
  <c r="Q2427" i="1"/>
  <c r="P2427" i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/>
  <c r="Q2420" i="1"/>
  <c r="P2420" i="1"/>
  <c r="Q2421" i="1"/>
  <c r="P2421" i="1"/>
  <c r="Q2422" i="1"/>
  <c r="P2422" i="1"/>
  <c r="Q2423" i="1"/>
  <c r="P2423" i="1"/>
  <c r="Q2424" i="1"/>
  <c r="P2424" i="1"/>
  <c r="Q2425" i="1"/>
  <c r="P2425" i="1"/>
  <c r="Q2426" i="1"/>
  <c r="P2426" i="1"/>
  <c r="H2418" i="1"/>
  <c r="J2418" i="1"/>
  <c r="Q2418" i="1"/>
  <c r="P2418" i="1"/>
  <c r="H2417" i="1"/>
  <c r="J2417" i="1"/>
  <c r="Q2417" i="1"/>
  <c r="P2417" i="1"/>
  <c r="H2416" i="1"/>
  <c r="J2416" i="1"/>
  <c r="Q2416" i="1"/>
  <c r="P2416" i="1"/>
  <c r="H2415" i="1"/>
  <c r="J2415" i="1"/>
  <c r="Q2415" i="1"/>
  <c r="P2415" i="1"/>
  <c r="H2414" i="1"/>
  <c r="J2414" i="1"/>
  <c r="Q2414" i="1"/>
  <c r="P2414" i="1"/>
  <c r="H2413" i="1"/>
  <c r="J2413" i="1"/>
  <c r="Q2413" i="1"/>
  <c r="P2413" i="1"/>
  <c r="H2409" i="1"/>
  <c r="H2410" i="1"/>
  <c r="H2411" i="1"/>
  <c r="H2412" i="1"/>
  <c r="J2409" i="1"/>
  <c r="J2410" i="1"/>
  <c r="J2411" i="1"/>
  <c r="J2412" i="1"/>
  <c r="Q2409" i="1"/>
  <c r="P2409" i="1"/>
  <c r="Q2410" i="1"/>
  <c r="P2410" i="1"/>
  <c r="Q2411" i="1"/>
  <c r="P2411" i="1"/>
  <c r="Q2412" i="1"/>
  <c r="P2412" i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/>
  <c r="H2407" i="1"/>
  <c r="J2407" i="1"/>
  <c r="Q2407" i="1"/>
  <c r="P2407" i="1"/>
  <c r="H2406" i="1"/>
  <c r="Q2406" i="1"/>
  <c r="P2406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/>
  <c r="Q2393" i="1"/>
  <c r="P2393" i="1"/>
  <c r="Q2394" i="1"/>
  <c r="P2394" i="1"/>
  <c r="Q2395" i="1"/>
  <c r="P2395" i="1"/>
  <c r="Q2396" i="1"/>
  <c r="P2396" i="1"/>
  <c r="Q2397" i="1"/>
  <c r="P2397" i="1"/>
  <c r="Q2398" i="1"/>
  <c r="P2398" i="1"/>
  <c r="Q2399" i="1"/>
  <c r="P2399" i="1"/>
  <c r="Q2400" i="1"/>
  <c r="P2400" i="1"/>
  <c r="Q2401" i="1"/>
  <c r="P2401" i="1"/>
  <c r="Q2402" i="1"/>
  <c r="P2402" i="1"/>
  <c r="Q2403" i="1"/>
  <c r="P2403" i="1"/>
  <c r="Q2404" i="1"/>
  <c r="P2404" i="1"/>
  <c r="Q2405" i="1"/>
  <c r="P2405" i="1"/>
  <c r="Q2391" i="1"/>
  <c r="P2391" i="1"/>
  <c r="Q2390" i="1"/>
  <c r="P2390" i="1"/>
  <c r="Q2389" i="1"/>
  <c r="P2389" i="1"/>
  <c r="Q2388" i="1"/>
  <c r="P2388" i="1"/>
  <c r="Q2387" i="1"/>
  <c r="P2387" i="1"/>
  <c r="Q2386" i="1"/>
  <c r="P2386" i="1"/>
  <c r="Q2385" i="1"/>
  <c r="P2385" i="1"/>
  <c r="Q2384" i="1"/>
  <c r="P2384" i="1"/>
  <c r="Q2383" i="1"/>
  <c r="P2383" i="1"/>
  <c r="Q2382" i="1"/>
  <c r="P2382" i="1"/>
  <c r="Q2381" i="1"/>
  <c r="P2381" i="1"/>
  <c r="Q2380" i="1"/>
  <c r="P2380" i="1"/>
  <c r="Q2379" i="1"/>
  <c r="P2379" i="1"/>
  <c r="Q2378" i="1"/>
  <c r="P2378" i="1"/>
  <c r="Q2377" i="1"/>
  <c r="P2377" i="1"/>
  <c r="Q2376" i="1"/>
  <c r="P2376" i="1"/>
  <c r="Q2375" i="1"/>
  <c r="P2375" i="1"/>
  <c r="Q2374" i="1"/>
  <c r="P2374" i="1"/>
  <c r="Q2373" i="1"/>
  <c r="P2373" i="1"/>
  <c r="Q2372" i="1"/>
  <c r="P2372" i="1"/>
  <c r="Q2371" i="1"/>
  <c r="P2371" i="1"/>
  <c r="Q2370" i="1"/>
  <c r="P2370" i="1"/>
  <c r="Q2369" i="1"/>
  <c r="P2369" i="1"/>
  <c r="Q2368" i="1"/>
  <c r="P2368" i="1"/>
  <c r="Q2367" i="1"/>
  <c r="P2367" i="1"/>
  <c r="Q2366" i="1"/>
  <c r="P2366" i="1"/>
  <c r="Q2365" i="1"/>
  <c r="P2365" i="1"/>
  <c r="Q2364" i="1"/>
  <c r="P2364" i="1"/>
  <c r="Q2363" i="1"/>
  <c r="P2363" i="1"/>
  <c r="Q2362" i="1"/>
  <c r="P2362" i="1"/>
  <c r="Q2361" i="1"/>
  <c r="P2361" i="1"/>
  <c r="Q2360" i="1"/>
  <c r="P2360" i="1"/>
  <c r="Q2359" i="1"/>
  <c r="P2359" i="1"/>
  <c r="Q2358" i="1"/>
  <c r="P2358" i="1"/>
  <c r="Q2357" i="1"/>
  <c r="P2357" i="1"/>
  <c r="Q2356" i="1"/>
  <c r="P2356" i="1"/>
  <c r="Q2355" i="1"/>
  <c r="P2355" i="1"/>
  <c r="Q2354" i="1"/>
  <c r="P2354" i="1"/>
  <c r="Q2353" i="1"/>
  <c r="P2353" i="1"/>
  <c r="Q2352" i="1"/>
  <c r="P2352" i="1"/>
  <c r="Q2351" i="1"/>
  <c r="P2351" i="1"/>
  <c r="Q2350" i="1"/>
  <c r="P2350" i="1"/>
  <c r="Q2349" i="1"/>
  <c r="P2349" i="1"/>
  <c r="Q2348" i="1"/>
  <c r="P2348" i="1"/>
  <c r="Q2347" i="1"/>
  <c r="P2347" i="1"/>
  <c r="Q2346" i="1"/>
  <c r="P2346" i="1"/>
  <c r="Q2345" i="1"/>
  <c r="P2345" i="1"/>
  <c r="Q2344" i="1"/>
  <c r="P2344" i="1"/>
  <c r="Q2343" i="1"/>
  <c r="P2343" i="1"/>
  <c r="Q2342" i="1"/>
  <c r="P2342" i="1"/>
  <c r="Q2341" i="1"/>
  <c r="P2341" i="1"/>
  <c r="Q2340" i="1"/>
  <c r="P2340" i="1"/>
  <c r="Q2339" i="1"/>
  <c r="P2339" i="1"/>
  <c r="Q2338" i="1"/>
  <c r="P2338" i="1"/>
  <c r="Q2337" i="1"/>
  <c r="P2337" i="1"/>
  <c r="Q2336" i="1"/>
  <c r="P2336" i="1"/>
  <c r="Q2335" i="1"/>
  <c r="P2335" i="1"/>
  <c r="Q2334" i="1"/>
  <c r="P2334" i="1"/>
  <c r="Q2333" i="1"/>
  <c r="P2333" i="1"/>
  <c r="Q2332" i="1"/>
  <c r="P2332" i="1"/>
  <c r="Q2331" i="1"/>
  <c r="P2331" i="1"/>
  <c r="Q2330" i="1"/>
  <c r="P2330" i="1"/>
  <c r="Q2329" i="1"/>
  <c r="P2329" i="1"/>
  <c r="Q2328" i="1"/>
  <c r="P2328" i="1"/>
  <c r="Q2327" i="1"/>
  <c r="P2327" i="1"/>
  <c r="Q2326" i="1"/>
  <c r="P2326" i="1"/>
  <c r="Q2325" i="1"/>
  <c r="P2325" i="1"/>
  <c r="Q2324" i="1"/>
  <c r="P2324" i="1"/>
  <c r="Q2323" i="1"/>
  <c r="P2323" i="1"/>
  <c r="Q2322" i="1"/>
  <c r="P2322" i="1"/>
  <c r="Q2321" i="1"/>
  <c r="P2321" i="1"/>
  <c r="Q2320" i="1"/>
  <c r="P2320" i="1"/>
  <c r="Q2319" i="1"/>
  <c r="P2319" i="1"/>
  <c r="Q2318" i="1"/>
  <c r="P2318" i="1"/>
  <c r="Q2317" i="1"/>
  <c r="P2317" i="1"/>
  <c r="Q2316" i="1"/>
  <c r="P2316" i="1"/>
  <c r="Q2315" i="1"/>
  <c r="P2315" i="1"/>
  <c r="Q2314" i="1"/>
  <c r="P2314" i="1"/>
  <c r="Q2313" i="1"/>
  <c r="P2313" i="1"/>
  <c r="Q2312" i="1"/>
  <c r="P2312" i="1"/>
  <c r="Q2311" i="1"/>
  <c r="P2311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/>
  <c r="H2305" i="1"/>
  <c r="H2306" i="1"/>
  <c r="H2307" i="1"/>
  <c r="H2308" i="1"/>
  <c r="H2309" i="1"/>
  <c r="J2305" i="1"/>
  <c r="J2306" i="1"/>
  <c r="J2309" i="1"/>
  <c r="Q2305" i="1"/>
  <c r="P2305" i="1"/>
  <c r="Q2306" i="1"/>
  <c r="P2306" i="1"/>
  <c r="Q2307" i="1"/>
  <c r="P2307" i="1"/>
  <c r="Q2308" i="1"/>
  <c r="P2308" i="1"/>
  <c r="Q2309" i="1"/>
  <c r="P2309" i="1"/>
  <c r="H2304" i="1"/>
  <c r="J2304" i="1"/>
  <c r="Q2304" i="1"/>
  <c r="P2304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/>
  <c r="Q2271" i="1"/>
  <c r="P2271" i="1"/>
  <c r="Q2272" i="1"/>
  <c r="P2272" i="1"/>
  <c r="Q2273" i="1"/>
  <c r="P2273" i="1"/>
  <c r="Q2274" i="1"/>
  <c r="P2274" i="1"/>
  <c r="Q2275" i="1"/>
  <c r="P2275" i="1"/>
  <c r="Q2276" i="1"/>
  <c r="P2276" i="1"/>
  <c r="Q2277" i="1"/>
  <c r="P2277" i="1"/>
  <c r="Q2278" i="1"/>
  <c r="P2278" i="1"/>
  <c r="Q2279" i="1"/>
  <c r="P2279" i="1"/>
  <c r="Q2280" i="1"/>
  <c r="P2280" i="1"/>
  <c r="Q2281" i="1"/>
  <c r="P2281" i="1"/>
  <c r="Q2282" i="1"/>
  <c r="P2282" i="1"/>
  <c r="Q2283" i="1"/>
  <c r="P2283" i="1"/>
  <c r="Q2284" i="1"/>
  <c r="P2284" i="1"/>
  <c r="Q2285" i="1"/>
  <c r="P2285" i="1"/>
  <c r="Q2286" i="1"/>
  <c r="P2286" i="1"/>
  <c r="Q2287" i="1"/>
  <c r="P2287" i="1"/>
  <c r="Q2288" i="1"/>
  <c r="P2288" i="1"/>
  <c r="Q2289" i="1"/>
  <c r="P2289" i="1"/>
  <c r="Q2290" i="1"/>
  <c r="P2290" i="1"/>
  <c r="Q2291" i="1"/>
  <c r="P2291" i="1"/>
  <c r="Q2292" i="1"/>
  <c r="P2292" i="1"/>
  <c r="Q2293" i="1"/>
  <c r="P2293" i="1"/>
  <c r="Q2294" i="1"/>
  <c r="P2294" i="1"/>
  <c r="Q2295" i="1"/>
  <c r="P2295" i="1"/>
  <c r="Q2296" i="1"/>
  <c r="P2296" i="1"/>
  <c r="Q2297" i="1"/>
  <c r="P2297" i="1"/>
  <c r="Q2298" i="1"/>
  <c r="P2298" i="1"/>
  <c r="Q2299" i="1"/>
  <c r="P2299" i="1"/>
  <c r="Q2300" i="1"/>
  <c r="P2300" i="1"/>
  <c r="Q2301" i="1"/>
  <c r="P2301" i="1"/>
  <c r="Q2302" i="1"/>
  <c r="P2302" i="1"/>
  <c r="Q2303" i="1"/>
  <c r="P2303" i="1"/>
  <c r="H2269" i="1"/>
  <c r="J2269" i="1"/>
  <c r="Q2269" i="1"/>
  <c r="P2269" i="1"/>
  <c r="H1513" i="1"/>
  <c r="H1515" i="1"/>
  <c r="J1515" i="1"/>
  <c r="Q1515" i="1"/>
  <c r="P1515" i="1"/>
  <c r="H1516" i="1"/>
  <c r="J1516" i="1"/>
  <c r="Q1516" i="1"/>
  <c r="P1516" i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/>
  <c r="Q2263" i="1"/>
  <c r="P2263" i="1"/>
  <c r="Q2264" i="1"/>
  <c r="P2264" i="1"/>
  <c r="Q2265" i="1"/>
  <c r="P2265" i="1"/>
  <c r="Q2266" i="1"/>
  <c r="P2266" i="1"/>
  <c r="Q2267" i="1"/>
  <c r="P2267" i="1"/>
  <c r="Q2268" i="1"/>
  <c r="P2268" i="1"/>
  <c r="H2261" i="1"/>
  <c r="J2261" i="1"/>
  <c r="Q2261" i="1"/>
  <c r="P2261" i="1"/>
  <c r="H2259" i="1"/>
  <c r="H2260" i="1"/>
  <c r="J2259" i="1"/>
  <c r="J2260" i="1"/>
  <c r="Q2259" i="1"/>
  <c r="P2259" i="1"/>
  <c r="Q2260" i="1"/>
  <c r="P2260" i="1"/>
  <c r="H2258" i="1"/>
  <c r="J2258" i="1"/>
  <c r="Q2258" i="1"/>
  <c r="P2258" i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/>
  <c r="Q2251" i="1"/>
  <c r="P2251" i="1"/>
  <c r="Q2252" i="1"/>
  <c r="P2252" i="1"/>
  <c r="Q2253" i="1"/>
  <c r="P2253" i="1"/>
  <c r="Q2254" i="1"/>
  <c r="P2254" i="1"/>
  <c r="Q2255" i="1"/>
  <c r="P2255" i="1"/>
  <c r="Q2256" i="1"/>
  <c r="P2256" i="1"/>
  <c r="Q2257" i="1"/>
  <c r="P2257" i="1"/>
  <c r="H2249" i="1"/>
  <c r="J2249" i="1"/>
  <c r="Q2249" i="1"/>
  <c r="P2249" i="1"/>
  <c r="H2248" i="1"/>
  <c r="J2248" i="1"/>
  <c r="Q2248" i="1"/>
  <c r="P2248" i="1"/>
  <c r="H2247" i="1"/>
  <c r="J2247" i="1"/>
  <c r="Q2247" i="1"/>
  <c r="P2247" i="1"/>
  <c r="H2246" i="1"/>
  <c r="J2246" i="1"/>
  <c r="Q2246" i="1"/>
  <c r="P2246" i="1"/>
  <c r="H2245" i="1"/>
  <c r="J2245" i="1"/>
  <c r="Q2245" i="1"/>
  <c r="P2245" i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/>
  <c r="Q2240" i="1"/>
  <c r="P2240" i="1"/>
  <c r="Q2241" i="1"/>
  <c r="P2241" i="1"/>
  <c r="Q2242" i="1"/>
  <c r="P2242" i="1"/>
  <c r="Q2243" i="1"/>
  <c r="P2243" i="1"/>
  <c r="Q2244" i="1"/>
  <c r="P2244" i="1"/>
  <c r="H2238" i="1"/>
  <c r="J2238" i="1"/>
  <c r="Q2238" i="1"/>
  <c r="P2238" i="1"/>
  <c r="H2234" i="1"/>
  <c r="H2235" i="1"/>
  <c r="H2236" i="1"/>
  <c r="H2237" i="1"/>
  <c r="J2234" i="1"/>
  <c r="J2235" i="1"/>
  <c r="J2236" i="1"/>
  <c r="J2237" i="1"/>
  <c r="Q2234" i="1"/>
  <c r="P2234" i="1"/>
  <c r="Q2235" i="1"/>
  <c r="P2235" i="1"/>
  <c r="Q2236" i="1"/>
  <c r="P2236" i="1"/>
  <c r="Q2237" i="1"/>
  <c r="P2237" i="1"/>
  <c r="H2233" i="1"/>
  <c r="J2233" i="1"/>
  <c r="Q2233" i="1"/>
  <c r="P2233" i="1"/>
  <c r="H2232" i="1"/>
  <c r="J2232" i="1"/>
  <c r="Q2232" i="1"/>
  <c r="P2232" i="1"/>
  <c r="H2231" i="1"/>
  <c r="J2231" i="1"/>
  <c r="Q2231" i="1"/>
  <c r="P2231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/>
  <c r="Q1914" i="1"/>
  <c r="P1914" i="1"/>
  <c r="Q1915" i="1"/>
  <c r="P1915" i="1"/>
  <c r="Q1916" i="1"/>
  <c r="P1916" i="1"/>
  <c r="Q1917" i="1"/>
  <c r="P1917" i="1"/>
  <c r="Q1918" i="1"/>
  <c r="P1918" i="1"/>
  <c r="Q1919" i="1"/>
  <c r="P1919" i="1"/>
  <c r="Q1920" i="1"/>
  <c r="P1920" i="1"/>
  <c r="Q1921" i="1"/>
  <c r="P1921" i="1"/>
  <c r="Q1922" i="1"/>
  <c r="P1922" i="1"/>
  <c r="Q1923" i="1"/>
  <c r="P1923" i="1"/>
  <c r="Q1924" i="1"/>
  <c r="P1924" i="1"/>
  <c r="Q1925" i="1"/>
  <c r="P1925" i="1"/>
  <c r="Q1926" i="1"/>
  <c r="P1926" i="1"/>
  <c r="Q1927" i="1"/>
  <c r="P1927" i="1"/>
  <c r="Q1928" i="1"/>
  <c r="P1928" i="1"/>
  <c r="Q1929" i="1"/>
  <c r="P1929" i="1"/>
  <c r="Q1930" i="1"/>
  <c r="P1930" i="1"/>
  <c r="Q1931" i="1"/>
  <c r="P1931" i="1"/>
  <c r="Q1932" i="1"/>
  <c r="P1932" i="1"/>
  <c r="Q1933" i="1"/>
  <c r="P1933" i="1"/>
  <c r="Q1934" i="1"/>
  <c r="P1934" i="1"/>
  <c r="Q1935" i="1"/>
  <c r="P1935" i="1"/>
  <c r="Q1936" i="1"/>
  <c r="P1936" i="1"/>
  <c r="Q1937" i="1"/>
  <c r="P1937" i="1"/>
  <c r="Q1938" i="1"/>
  <c r="P1938" i="1"/>
  <c r="Q1939" i="1"/>
  <c r="P1939" i="1"/>
  <c r="Q1940" i="1"/>
  <c r="P1940" i="1"/>
  <c r="Q1941" i="1"/>
  <c r="P1941" i="1"/>
  <c r="Q1942" i="1"/>
  <c r="P1942" i="1"/>
  <c r="Q1943" i="1"/>
  <c r="P1943" i="1"/>
  <c r="Q1944" i="1"/>
  <c r="P1944" i="1"/>
  <c r="Q1945" i="1"/>
  <c r="P1945" i="1"/>
  <c r="Q1946" i="1"/>
  <c r="P1946" i="1"/>
  <c r="Q1947" i="1"/>
  <c r="P1947" i="1"/>
  <c r="Q1948" i="1"/>
  <c r="P1948" i="1"/>
  <c r="Q1949" i="1"/>
  <c r="P1949" i="1"/>
  <c r="Q1950" i="1"/>
  <c r="P1950" i="1"/>
  <c r="Q1951" i="1"/>
  <c r="P1951" i="1"/>
  <c r="Q1952" i="1"/>
  <c r="P1952" i="1"/>
  <c r="Q1953" i="1"/>
  <c r="P1953" i="1"/>
  <c r="Q1954" i="1"/>
  <c r="P1954" i="1"/>
  <c r="Q1955" i="1"/>
  <c r="P1955" i="1"/>
  <c r="Q1956" i="1"/>
  <c r="P1956" i="1"/>
  <c r="Q1957" i="1"/>
  <c r="P1957" i="1"/>
  <c r="Q1958" i="1"/>
  <c r="P1958" i="1"/>
  <c r="Q1959" i="1"/>
  <c r="P1959" i="1"/>
  <c r="Q1960" i="1"/>
  <c r="P1960" i="1"/>
  <c r="Q1961" i="1"/>
  <c r="P1961" i="1"/>
  <c r="Q1962" i="1"/>
  <c r="P1962" i="1"/>
  <c r="Q1963" i="1"/>
  <c r="P1963" i="1"/>
  <c r="Q1964" i="1"/>
  <c r="P1964" i="1"/>
  <c r="Q1965" i="1"/>
  <c r="P1965" i="1"/>
  <c r="Q1966" i="1"/>
  <c r="P1966" i="1"/>
  <c r="Q1967" i="1"/>
  <c r="P1967" i="1"/>
  <c r="Q1968" i="1"/>
  <c r="P1968" i="1"/>
  <c r="Q1969" i="1"/>
  <c r="P1969" i="1"/>
  <c r="Q1970" i="1"/>
  <c r="P1970" i="1"/>
  <c r="Q1971" i="1"/>
  <c r="P1971" i="1"/>
  <c r="Q1972" i="1"/>
  <c r="P1972" i="1"/>
  <c r="Q1973" i="1"/>
  <c r="P1973" i="1"/>
  <c r="Q1974" i="1"/>
  <c r="P1974" i="1"/>
  <c r="Q1975" i="1"/>
  <c r="P1975" i="1"/>
  <c r="Q1976" i="1"/>
  <c r="P1976" i="1"/>
  <c r="Q1977" i="1"/>
  <c r="P1977" i="1"/>
  <c r="Q1978" i="1"/>
  <c r="P1978" i="1"/>
  <c r="Q1979" i="1"/>
  <c r="P1979" i="1"/>
  <c r="Q1980" i="1"/>
  <c r="P1980" i="1"/>
  <c r="Q1981" i="1"/>
  <c r="P1981" i="1"/>
  <c r="Q1982" i="1"/>
  <c r="P1982" i="1"/>
  <c r="Q1983" i="1"/>
  <c r="P1983" i="1"/>
  <c r="Q1984" i="1"/>
  <c r="P1984" i="1"/>
  <c r="Q1985" i="1"/>
  <c r="P1985" i="1"/>
  <c r="Q1986" i="1"/>
  <c r="P1986" i="1"/>
  <c r="Q1987" i="1"/>
  <c r="P1987" i="1"/>
  <c r="Q1988" i="1"/>
  <c r="P1988" i="1"/>
  <c r="Q1989" i="1"/>
  <c r="P1989" i="1"/>
  <c r="Q1990" i="1"/>
  <c r="P1990" i="1"/>
  <c r="Q1991" i="1"/>
  <c r="P1991" i="1"/>
  <c r="Q1992" i="1"/>
  <c r="P1992" i="1"/>
  <c r="Q1993" i="1"/>
  <c r="P1993" i="1"/>
  <c r="Q1994" i="1"/>
  <c r="P1994" i="1"/>
  <c r="Q1995" i="1"/>
  <c r="P1995" i="1"/>
  <c r="Q1996" i="1"/>
  <c r="P1996" i="1"/>
  <c r="Q1997" i="1"/>
  <c r="P1997" i="1"/>
  <c r="Q1998" i="1"/>
  <c r="P1998" i="1"/>
  <c r="Q1999" i="1"/>
  <c r="P1999" i="1"/>
  <c r="Q2000" i="1"/>
  <c r="P2000" i="1"/>
  <c r="Q2001" i="1"/>
  <c r="P2001" i="1"/>
  <c r="Q2002" i="1"/>
  <c r="P2002" i="1"/>
  <c r="Q2003" i="1"/>
  <c r="P2003" i="1"/>
  <c r="Q2004" i="1"/>
  <c r="P2004" i="1"/>
  <c r="Q2005" i="1"/>
  <c r="P2005" i="1"/>
  <c r="Q2006" i="1"/>
  <c r="P2006" i="1"/>
  <c r="Q2007" i="1"/>
  <c r="P2007" i="1"/>
  <c r="Q2008" i="1"/>
  <c r="P2008" i="1"/>
  <c r="Q2009" i="1"/>
  <c r="P2009" i="1"/>
  <c r="Q2010" i="1"/>
  <c r="P2010" i="1"/>
  <c r="Q2011" i="1"/>
  <c r="P2011" i="1"/>
  <c r="Q2012" i="1"/>
  <c r="P2012" i="1"/>
  <c r="Q2013" i="1"/>
  <c r="P2013" i="1"/>
  <c r="Q2014" i="1"/>
  <c r="P2014" i="1"/>
  <c r="Q2015" i="1"/>
  <c r="P2015" i="1"/>
  <c r="Q2016" i="1"/>
  <c r="P2016" i="1"/>
  <c r="Q2017" i="1"/>
  <c r="P2017" i="1"/>
  <c r="Q2018" i="1"/>
  <c r="P2018" i="1"/>
  <c r="Q2019" i="1"/>
  <c r="P2019" i="1"/>
  <c r="Q2020" i="1"/>
  <c r="P2020" i="1"/>
  <c r="Q2021" i="1"/>
  <c r="P2021" i="1"/>
  <c r="Q2022" i="1"/>
  <c r="P2022" i="1"/>
  <c r="Q2023" i="1"/>
  <c r="P2023" i="1"/>
  <c r="Q2024" i="1"/>
  <c r="P2024" i="1"/>
  <c r="Q2025" i="1"/>
  <c r="P2025" i="1"/>
  <c r="Q2026" i="1"/>
  <c r="P2026" i="1"/>
  <c r="Q2027" i="1"/>
  <c r="P2027" i="1"/>
  <c r="Q2028" i="1"/>
  <c r="P2028" i="1"/>
  <c r="Q2029" i="1"/>
  <c r="P2029" i="1"/>
  <c r="Q2030" i="1"/>
  <c r="P2030" i="1"/>
  <c r="Q2031" i="1"/>
  <c r="P2031" i="1"/>
  <c r="Q2032" i="1"/>
  <c r="P2032" i="1"/>
  <c r="Q2033" i="1"/>
  <c r="P2033" i="1"/>
  <c r="Q2034" i="1"/>
  <c r="P2034" i="1"/>
  <c r="Q2035" i="1"/>
  <c r="P2035" i="1"/>
  <c r="Q2036" i="1"/>
  <c r="P2036" i="1"/>
  <c r="Q2037" i="1"/>
  <c r="P2037" i="1"/>
  <c r="Q2038" i="1"/>
  <c r="P2038" i="1"/>
  <c r="Q2039" i="1"/>
  <c r="P2039" i="1"/>
  <c r="Q2040" i="1"/>
  <c r="P2040" i="1"/>
  <c r="Q2041" i="1"/>
  <c r="P2041" i="1"/>
  <c r="Q2042" i="1"/>
  <c r="P2042" i="1"/>
  <c r="Q2043" i="1"/>
  <c r="P2043" i="1"/>
  <c r="Q2044" i="1"/>
  <c r="P2044" i="1"/>
  <c r="Q2045" i="1"/>
  <c r="P2045" i="1"/>
  <c r="Q2046" i="1"/>
  <c r="P2046" i="1"/>
  <c r="Q2047" i="1"/>
  <c r="P2047" i="1"/>
  <c r="Q2048" i="1"/>
  <c r="P2048" i="1"/>
  <c r="Q2049" i="1"/>
  <c r="P2049" i="1"/>
  <c r="Q2050" i="1"/>
  <c r="P2050" i="1"/>
  <c r="Q2051" i="1"/>
  <c r="P2051" i="1"/>
  <c r="Q2052" i="1"/>
  <c r="P2052" i="1"/>
  <c r="Q2053" i="1"/>
  <c r="P2053" i="1"/>
  <c r="Q2054" i="1"/>
  <c r="P2054" i="1"/>
  <c r="Q2055" i="1"/>
  <c r="P2055" i="1"/>
  <c r="Q2056" i="1"/>
  <c r="P2056" i="1"/>
  <c r="Q2057" i="1"/>
  <c r="P2057" i="1"/>
  <c r="Q2058" i="1"/>
  <c r="P2058" i="1"/>
  <c r="Q2059" i="1"/>
  <c r="P2059" i="1"/>
  <c r="Q2060" i="1"/>
  <c r="P2060" i="1"/>
  <c r="Q2061" i="1"/>
  <c r="P2061" i="1"/>
  <c r="Q2062" i="1"/>
  <c r="P2062" i="1"/>
  <c r="Q2063" i="1"/>
  <c r="P2063" i="1"/>
  <c r="Q2064" i="1"/>
  <c r="P2064" i="1"/>
  <c r="Q2065" i="1"/>
  <c r="P2065" i="1"/>
  <c r="Q2066" i="1"/>
  <c r="P2066" i="1"/>
  <c r="Q2067" i="1"/>
  <c r="P2067" i="1"/>
  <c r="Q2068" i="1"/>
  <c r="P2068" i="1"/>
  <c r="Q2069" i="1"/>
  <c r="P2069" i="1"/>
  <c r="Q2070" i="1"/>
  <c r="P2070" i="1"/>
  <c r="Q2071" i="1"/>
  <c r="P2071" i="1"/>
  <c r="Q2072" i="1"/>
  <c r="P2072" i="1"/>
  <c r="Q2073" i="1"/>
  <c r="P2073" i="1"/>
  <c r="Q2074" i="1"/>
  <c r="P2074" i="1"/>
  <c r="Q2075" i="1"/>
  <c r="P2075" i="1"/>
  <c r="Q2076" i="1"/>
  <c r="P2076" i="1"/>
  <c r="Q2077" i="1"/>
  <c r="P2077" i="1"/>
  <c r="Q2078" i="1"/>
  <c r="P2078" i="1"/>
  <c r="Q2079" i="1"/>
  <c r="P2079" i="1"/>
  <c r="Q2080" i="1"/>
  <c r="P2080" i="1"/>
  <c r="Q2081" i="1"/>
  <c r="P2081" i="1"/>
  <c r="Q2082" i="1"/>
  <c r="P2082" i="1"/>
  <c r="Q2083" i="1"/>
  <c r="P2083" i="1"/>
  <c r="Q2084" i="1"/>
  <c r="P2084" i="1"/>
  <c r="Q2085" i="1"/>
  <c r="P2085" i="1"/>
  <c r="Q2086" i="1"/>
  <c r="P2086" i="1"/>
  <c r="Q2087" i="1"/>
  <c r="P2087" i="1"/>
  <c r="Q2088" i="1"/>
  <c r="P2088" i="1"/>
  <c r="Q2089" i="1"/>
  <c r="P2089" i="1"/>
  <c r="Q2090" i="1"/>
  <c r="P2090" i="1"/>
  <c r="Q2091" i="1"/>
  <c r="P2091" i="1"/>
  <c r="Q2092" i="1"/>
  <c r="P2092" i="1"/>
  <c r="Q2093" i="1"/>
  <c r="P2093" i="1"/>
  <c r="Q2094" i="1"/>
  <c r="P2094" i="1"/>
  <c r="Q2095" i="1"/>
  <c r="P2095" i="1"/>
  <c r="Q2096" i="1"/>
  <c r="P2096" i="1"/>
  <c r="Q2097" i="1"/>
  <c r="P2097" i="1"/>
  <c r="Q2098" i="1"/>
  <c r="P2098" i="1"/>
  <c r="Q2099" i="1"/>
  <c r="P2099" i="1"/>
  <c r="Q2100" i="1"/>
  <c r="P2100" i="1"/>
  <c r="Q2101" i="1"/>
  <c r="P2101" i="1"/>
  <c r="Q2102" i="1"/>
  <c r="P2102" i="1"/>
  <c r="Q2103" i="1"/>
  <c r="P2103" i="1"/>
  <c r="Q2104" i="1"/>
  <c r="P2104" i="1"/>
  <c r="Q2105" i="1"/>
  <c r="P2105" i="1"/>
  <c r="Q2106" i="1"/>
  <c r="P2106" i="1"/>
  <c r="Q2107" i="1"/>
  <c r="P2107" i="1"/>
  <c r="Q2108" i="1"/>
  <c r="P2108" i="1"/>
  <c r="Q2109" i="1"/>
  <c r="P2109" i="1"/>
  <c r="Q2110" i="1"/>
  <c r="P2110" i="1"/>
  <c r="Q2111" i="1"/>
  <c r="P2111" i="1"/>
  <c r="Q2112" i="1"/>
  <c r="P2112" i="1"/>
  <c r="Q2113" i="1"/>
  <c r="P2113" i="1"/>
  <c r="Q2114" i="1"/>
  <c r="P2114" i="1"/>
  <c r="Q2115" i="1"/>
  <c r="P2115" i="1"/>
  <c r="Q2116" i="1"/>
  <c r="P2116" i="1"/>
  <c r="Q2117" i="1"/>
  <c r="P2117" i="1"/>
  <c r="Q2118" i="1"/>
  <c r="P2118" i="1"/>
  <c r="Q2119" i="1"/>
  <c r="P2119" i="1"/>
  <c r="Q2120" i="1"/>
  <c r="P2120" i="1"/>
  <c r="Q2121" i="1"/>
  <c r="P2121" i="1"/>
  <c r="Q2122" i="1"/>
  <c r="P2122" i="1"/>
  <c r="Q2123" i="1"/>
  <c r="P2123" i="1"/>
  <c r="Q2124" i="1"/>
  <c r="P2124" i="1"/>
  <c r="Q2125" i="1"/>
  <c r="P2125" i="1"/>
  <c r="Q2126" i="1"/>
  <c r="P2126" i="1"/>
  <c r="Q2127" i="1"/>
  <c r="P2127" i="1"/>
  <c r="Q2128" i="1"/>
  <c r="P2128" i="1"/>
  <c r="Q2129" i="1"/>
  <c r="P2129" i="1"/>
  <c r="Q2130" i="1"/>
  <c r="P2130" i="1"/>
  <c r="Q2131" i="1"/>
  <c r="P2131" i="1"/>
  <c r="Q2132" i="1"/>
  <c r="P2132" i="1"/>
  <c r="Q2133" i="1"/>
  <c r="P2133" i="1"/>
  <c r="Q2134" i="1"/>
  <c r="P2134" i="1"/>
  <c r="Q2135" i="1"/>
  <c r="P2135" i="1"/>
  <c r="Q2136" i="1"/>
  <c r="P2136" i="1"/>
  <c r="Q2137" i="1"/>
  <c r="P2137" i="1"/>
  <c r="Q2138" i="1"/>
  <c r="P2138" i="1"/>
  <c r="Q2139" i="1"/>
  <c r="P2139" i="1"/>
  <c r="Q2140" i="1"/>
  <c r="P2140" i="1"/>
  <c r="Q2141" i="1"/>
  <c r="P2141" i="1"/>
  <c r="Q2142" i="1"/>
  <c r="P2142" i="1"/>
  <c r="Q2143" i="1"/>
  <c r="P2143" i="1"/>
  <c r="Q2144" i="1"/>
  <c r="P2144" i="1"/>
  <c r="Q2145" i="1"/>
  <c r="P2145" i="1"/>
  <c r="Q2146" i="1"/>
  <c r="P2146" i="1"/>
  <c r="Q2147" i="1"/>
  <c r="P2147" i="1"/>
  <c r="Q2148" i="1"/>
  <c r="P2148" i="1"/>
  <c r="Q2149" i="1"/>
  <c r="P2149" i="1"/>
  <c r="Q2150" i="1"/>
  <c r="P2150" i="1"/>
  <c r="Q2151" i="1"/>
  <c r="P2151" i="1"/>
  <c r="Q2152" i="1"/>
  <c r="P2152" i="1"/>
  <c r="Q2153" i="1"/>
  <c r="P2153" i="1"/>
  <c r="Q2154" i="1"/>
  <c r="P2154" i="1"/>
  <c r="Q2155" i="1"/>
  <c r="P2155" i="1"/>
  <c r="Q2156" i="1"/>
  <c r="P2156" i="1"/>
  <c r="Q2157" i="1"/>
  <c r="P2157" i="1"/>
  <c r="Q2158" i="1"/>
  <c r="P2158" i="1"/>
  <c r="Q2159" i="1"/>
  <c r="P2159" i="1"/>
  <c r="Q2160" i="1"/>
  <c r="P2160" i="1"/>
  <c r="Q2161" i="1"/>
  <c r="P2161" i="1"/>
  <c r="Q2162" i="1"/>
  <c r="P2162" i="1"/>
  <c r="Q2163" i="1"/>
  <c r="P2163" i="1"/>
  <c r="Q2164" i="1"/>
  <c r="P2164" i="1"/>
  <c r="Q2165" i="1"/>
  <c r="P2165" i="1"/>
  <c r="Q2166" i="1"/>
  <c r="P2166" i="1"/>
  <c r="Q2167" i="1"/>
  <c r="P2167" i="1"/>
  <c r="Q2168" i="1"/>
  <c r="P2168" i="1"/>
  <c r="Q2169" i="1"/>
  <c r="P2169" i="1"/>
  <c r="Q2170" i="1"/>
  <c r="P2170" i="1"/>
  <c r="Q2171" i="1"/>
  <c r="P2171" i="1"/>
  <c r="Q2172" i="1"/>
  <c r="P2172" i="1"/>
  <c r="Q2173" i="1"/>
  <c r="P2173" i="1"/>
  <c r="Q2174" i="1"/>
  <c r="P2174" i="1"/>
  <c r="Q2175" i="1"/>
  <c r="P2175" i="1"/>
  <c r="Q2176" i="1"/>
  <c r="P2176" i="1"/>
  <c r="Q2177" i="1"/>
  <c r="P2177" i="1"/>
  <c r="Q2178" i="1"/>
  <c r="P2178" i="1"/>
  <c r="Q2179" i="1"/>
  <c r="P2179" i="1"/>
  <c r="Q2180" i="1"/>
  <c r="P2180" i="1"/>
  <c r="Q2181" i="1"/>
  <c r="P2181" i="1"/>
  <c r="Q2182" i="1"/>
  <c r="P2182" i="1"/>
  <c r="Q2183" i="1"/>
  <c r="P2183" i="1"/>
  <c r="Q2184" i="1"/>
  <c r="P2184" i="1"/>
  <c r="Q2185" i="1"/>
  <c r="P2185" i="1"/>
  <c r="Q2186" i="1"/>
  <c r="P2186" i="1"/>
  <c r="Q2187" i="1"/>
  <c r="P2187" i="1"/>
  <c r="Q2188" i="1"/>
  <c r="P2188" i="1"/>
  <c r="Q2189" i="1"/>
  <c r="P2189" i="1"/>
  <c r="Q2190" i="1"/>
  <c r="P2190" i="1"/>
  <c r="Q2191" i="1"/>
  <c r="P2191" i="1"/>
  <c r="Q2192" i="1"/>
  <c r="P2192" i="1"/>
  <c r="Q2193" i="1"/>
  <c r="P2193" i="1"/>
  <c r="Q2194" i="1"/>
  <c r="P2194" i="1"/>
  <c r="Q2195" i="1"/>
  <c r="P2195" i="1"/>
  <c r="Q2196" i="1"/>
  <c r="P2196" i="1"/>
  <c r="Q2197" i="1"/>
  <c r="P2197" i="1"/>
  <c r="Q2198" i="1"/>
  <c r="P2198" i="1"/>
  <c r="Q2199" i="1"/>
  <c r="P2199" i="1"/>
  <c r="Q2200" i="1"/>
  <c r="P2200" i="1"/>
  <c r="Q2201" i="1"/>
  <c r="P2201" i="1"/>
  <c r="Q2202" i="1"/>
  <c r="P2202" i="1"/>
  <c r="Q2203" i="1"/>
  <c r="P2203" i="1"/>
  <c r="Q2204" i="1"/>
  <c r="P2204" i="1"/>
  <c r="Q2205" i="1"/>
  <c r="P2205" i="1"/>
  <c r="Q2206" i="1"/>
  <c r="P2206" i="1"/>
  <c r="Q2207" i="1"/>
  <c r="P2207" i="1"/>
  <c r="Q2208" i="1"/>
  <c r="P2208" i="1"/>
  <c r="Q2209" i="1"/>
  <c r="P2209" i="1"/>
  <c r="Q2210" i="1"/>
  <c r="P2210" i="1"/>
  <c r="Q2211" i="1"/>
  <c r="P2211" i="1"/>
  <c r="Q2212" i="1"/>
  <c r="P2212" i="1"/>
  <c r="Q2213" i="1"/>
  <c r="P2213" i="1"/>
  <c r="Q2214" i="1"/>
  <c r="P2214" i="1"/>
  <c r="Q2215" i="1"/>
  <c r="P2215" i="1"/>
  <c r="Q2216" i="1"/>
  <c r="P2216" i="1"/>
  <c r="Q2217" i="1"/>
  <c r="P2217" i="1"/>
  <c r="Q2218" i="1"/>
  <c r="P2218" i="1"/>
  <c r="Q2219" i="1"/>
  <c r="P2219" i="1"/>
  <c r="Q2220" i="1"/>
  <c r="P2220" i="1"/>
  <c r="Q2221" i="1"/>
  <c r="P2221" i="1"/>
  <c r="Q2222" i="1"/>
  <c r="P2222" i="1"/>
  <c r="Q2223" i="1"/>
  <c r="P2223" i="1"/>
  <c r="Q2224" i="1"/>
  <c r="P2224" i="1"/>
  <c r="Q2225" i="1"/>
  <c r="P2225" i="1"/>
  <c r="Q2226" i="1"/>
  <c r="P2226" i="1"/>
  <c r="Q2227" i="1"/>
  <c r="P2227" i="1"/>
  <c r="Q2228" i="1"/>
  <c r="P2228" i="1"/>
  <c r="Q2229" i="1"/>
  <c r="P2229" i="1"/>
  <c r="Q2230" i="1"/>
  <c r="P2230" i="1"/>
  <c r="H1912" i="1"/>
  <c r="J1912" i="1"/>
  <c r="Q1912" i="1"/>
  <c r="P1912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/>
  <c r="Q1816" i="1"/>
  <c r="P1816" i="1"/>
  <c r="Q1817" i="1"/>
  <c r="P1817" i="1"/>
  <c r="Q1818" i="1"/>
  <c r="P1818" i="1"/>
  <c r="Q1819" i="1"/>
  <c r="P1819" i="1"/>
  <c r="Q1820" i="1"/>
  <c r="P1820" i="1"/>
  <c r="Q1821" i="1"/>
  <c r="P1821" i="1"/>
  <c r="Q1822" i="1"/>
  <c r="P1822" i="1"/>
  <c r="Q1823" i="1"/>
  <c r="P1823" i="1"/>
  <c r="Q1824" i="1"/>
  <c r="P1824" i="1"/>
  <c r="Q1825" i="1"/>
  <c r="P1825" i="1"/>
  <c r="Q1826" i="1"/>
  <c r="P1826" i="1"/>
  <c r="Q1827" i="1"/>
  <c r="P1827" i="1"/>
  <c r="Q1828" i="1"/>
  <c r="P1828" i="1"/>
  <c r="Q1829" i="1"/>
  <c r="P1829" i="1"/>
  <c r="Q1830" i="1"/>
  <c r="P1830" i="1"/>
  <c r="Q1831" i="1"/>
  <c r="P1831" i="1"/>
  <c r="Q1832" i="1"/>
  <c r="P1832" i="1"/>
  <c r="Q1833" i="1"/>
  <c r="P1833" i="1"/>
  <c r="Q1834" i="1"/>
  <c r="P1834" i="1"/>
  <c r="Q1835" i="1"/>
  <c r="P1835" i="1"/>
  <c r="Q1836" i="1"/>
  <c r="P1836" i="1"/>
  <c r="Q1837" i="1"/>
  <c r="P1837" i="1"/>
  <c r="Q1838" i="1"/>
  <c r="P1838" i="1"/>
  <c r="Q1839" i="1"/>
  <c r="P1839" i="1"/>
  <c r="Q1840" i="1"/>
  <c r="P1840" i="1"/>
  <c r="Q1841" i="1"/>
  <c r="P1841" i="1"/>
  <c r="Q1842" i="1"/>
  <c r="P1842" i="1"/>
  <c r="Q1843" i="1"/>
  <c r="P1843" i="1"/>
  <c r="Q1844" i="1"/>
  <c r="P1844" i="1"/>
  <c r="Q1845" i="1"/>
  <c r="P1845" i="1"/>
  <c r="Q1846" i="1"/>
  <c r="P1846" i="1"/>
  <c r="Q1847" i="1"/>
  <c r="P1847" i="1"/>
  <c r="Q1848" i="1"/>
  <c r="P1848" i="1"/>
  <c r="Q1849" i="1"/>
  <c r="P1849" i="1"/>
  <c r="Q1850" i="1"/>
  <c r="P1850" i="1"/>
  <c r="Q1851" i="1"/>
  <c r="P1851" i="1"/>
  <c r="Q1852" i="1"/>
  <c r="P1852" i="1"/>
  <c r="Q1853" i="1"/>
  <c r="P1853" i="1"/>
  <c r="Q1854" i="1"/>
  <c r="P1854" i="1"/>
  <c r="Q1855" i="1"/>
  <c r="P1855" i="1"/>
  <c r="Q1856" i="1"/>
  <c r="P1856" i="1"/>
  <c r="Q1857" i="1"/>
  <c r="P1857" i="1"/>
  <c r="Q1858" i="1"/>
  <c r="P1858" i="1"/>
  <c r="Q1859" i="1"/>
  <c r="P1859" i="1"/>
  <c r="Q1860" i="1"/>
  <c r="P1860" i="1"/>
  <c r="Q1861" i="1"/>
  <c r="P1861" i="1"/>
  <c r="Q1862" i="1"/>
  <c r="P1862" i="1"/>
  <c r="Q1863" i="1"/>
  <c r="P1863" i="1"/>
  <c r="Q1864" i="1"/>
  <c r="P1864" i="1"/>
  <c r="Q1865" i="1"/>
  <c r="P1865" i="1"/>
  <c r="Q1866" i="1"/>
  <c r="P1866" i="1"/>
  <c r="Q1867" i="1"/>
  <c r="P1867" i="1"/>
  <c r="Q1868" i="1"/>
  <c r="P1868" i="1"/>
  <c r="Q1869" i="1"/>
  <c r="P1869" i="1"/>
  <c r="Q1870" i="1"/>
  <c r="P1870" i="1"/>
  <c r="Q1871" i="1"/>
  <c r="P1871" i="1"/>
  <c r="Q1872" i="1"/>
  <c r="P1872" i="1"/>
  <c r="Q1873" i="1"/>
  <c r="P1873" i="1"/>
  <c r="Q1874" i="1"/>
  <c r="P1874" i="1"/>
  <c r="Q1875" i="1"/>
  <c r="P1875" i="1"/>
  <c r="Q1876" i="1"/>
  <c r="P1876" i="1"/>
  <c r="Q1877" i="1"/>
  <c r="P1877" i="1"/>
  <c r="Q1878" i="1"/>
  <c r="P1878" i="1"/>
  <c r="Q1879" i="1"/>
  <c r="P1879" i="1"/>
  <c r="Q1880" i="1"/>
  <c r="P1880" i="1"/>
  <c r="Q1881" i="1"/>
  <c r="P1881" i="1"/>
  <c r="Q1882" i="1"/>
  <c r="P1882" i="1"/>
  <c r="Q1883" i="1"/>
  <c r="P1883" i="1"/>
  <c r="Q1884" i="1"/>
  <c r="P1884" i="1"/>
  <c r="Q1885" i="1"/>
  <c r="P1885" i="1"/>
  <c r="Q1886" i="1"/>
  <c r="P1886" i="1"/>
  <c r="Q1887" i="1"/>
  <c r="P1887" i="1"/>
  <c r="Q1888" i="1"/>
  <c r="P1888" i="1"/>
  <c r="Q1889" i="1"/>
  <c r="P1889" i="1"/>
  <c r="Q1890" i="1"/>
  <c r="P1890" i="1"/>
  <c r="Q1891" i="1"/>
  <c r="P1891" i="1"/>
  <c r="Q1892" i="1"/>
  <c r="P1892" i="1"/>
  <c r="Q1893" i="1"/>
  <c r="P1893" i="1"/>
  <c r="Q1894" i="1"/>
  <c r="P1894" i="1"/>
  <c r="Q1895" i="1"/>
  <c r="P1895" i="1"/>
  <c r="Q1896" i="1"/>
  <c r="P1896" i="1"/>
  <c r="Q1897" i="1"/>
  <c r="P1897" i="1"/>
  <c r="Q1898" i="1"/>
  <c r="P1898" i="1"/>
  <c r="Q1899" i="1"/>
  <c r="P1899" i="1"/>
  <c r="Q1900" i="1"/>
  <c r="P1900" i="1"/>
  <c r="Q1901" i="1"/>
  <c r="P1901" i="1"/>
  <c r="Q1902" i="1"/>
  <c r="P1902" i="1"/>
  <c r="Q1903" i="1"/>
  <c r="P1903" i="1"/>
  <c r="Q1904" i="1"/>
  <c r="P1904" i="1"/>
  <c r="Q1905" i="1"/>
  <c r="P1905" i="1"/>
  <c r="Q1906" i="1"/>
  <c r="P1906" i="1"/>
  <c r="Q1907" i="1"/>
  <c r="P1907" i="1"/>
  <c r="Q1908" i="1"/>
  <c r="P1908" i="1"/>
  <c r="Q1909" i="1"/>
  <c r="P1909" i="1"/>
  <c r="Q1910" i="1"/>
  <c r="P1910" i="1"/>
  <c r="Q1911" i="1"/>
  <c r="P1911" i="1"/>
  <c r="H1814" i="1"/>
  <c r="J1814" i="1"/>
  <c r="Q1814" i="1"/>
  <c r="P1814" i="1"/>
  <c r="H1813" i="1"/>
  <c r="J1813" i="1"/>
  <c r="Q1813" i="1"/>
  <c r="P1813" i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/>
  <c r="Q1809" i="1"/>
  <c r="P1809" i="1"/>
  <c r="Q1810" i="1"/>
  <c r="P1810" i="1"/>
  <c r="Q1811" i="1"/>
  <c r="P1811" i="1"/>
  <c r="Q1812" i="1"/>
  <c r="P1812" i="1"/>
  <c r="H1807" i="1"/>
  <c r="J1807" i="1"/>
  <c r="Q1807" i="1"/>
  <c r="P1807" i="1"/>
  <c r="H1806" i="1"/>
  <c r="J1806" i="1"/>
  <c r="Q1806" i="1"/>
  <c r="P1806" i="1"/>
  <c r="H1805" i="1"/>
  <c r="J1805" i="1"/>
  <c r="Q1805" i="1"/>
  <c r="P1805" i="1"/>
  <c r="H1804" i="1"/>
  <c r="J1804" i="1"/>
  <c r="Q1804" i="1"/>
  <c r="P1804" i="1"/>
  <c r="H1800" i="1"/>
  <c r="H1801" i="1"/>
  <c r="H1802" i="1"/>
  <c r="H1803" i="1"/>
  <c r="J1800" i="1"/>
  <c r="J1801" i="1"/>
  <c r="J1802" i="1"/>
  <c r="J1803" i="1"/>
  <c r="Q1800" i="1"/>
  <c r="P1800" i="1"/>
  <c r="Q1801" i="1"/>
  <c r="P1801" i="1"/>
  <c r="Q1802" i="1"/>
  <c r="P1802" i="1"/>
  <c r="Q1803" i="1"/>
  <c r="P1803" i="1"/>
  <c r="H1799" i="1"/>
  <c r="J1799" i="1"/>
  <c r="Q1799" i="1"/>
  <c r="P1799" i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/>
  <c r="Q1795" i="1"/>
  <c r="P1795" i="1"/>
  <c r="Q1796" i="1"/>
  <c r="P1796" i="1"/>
  <c r="Q1797" i="1"/>
  <c r="P1797" i="1"/>
  <c r="Q1798" i="1"/>
  <c r="P1798" i="1"/>
  <c r="H1793" i="1"/>
  <c r="J1793" i="1"/>
  <c r="Q1793" i="1"/>
  <c r="P1793" i="1"/>
  <c r="H1790" i="1"/>
  <c r="H1791" i="1"/>
  <c r="H1792" i="1"/>
  <c r="J1790" i="1"/>
  <c r="J1791" i="1"/>
  <c r="J1792" i="1"/>
  <c r="Q1790" i="1"/>
  <c r="P1790" i="1"/>
  <c r="Q1791" i="1"/>
  <c r="P1791" i="1"/>
  <c r="Q1792" i="1"/>
  <c r="P1792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/>
  <c r="Q1778" i="1"/>
  <c r="P1778" i="1"/>
  <c r="Q1779" i="1"/>
  <c r="P1779" i="1"/>
  <c r="Q1780" i="1"/>
  <c r="P1780" i="1"/>
  <c r="Q1781" i="1"/>
  <c r="P1781" i="1"/>
  <c r="Q1782" i="1"/>
  <c r="P1782" i="1"/>
  <c r="Q1783" i="1"/>
  <c r="P1783" i="1"/>
  <c r="Q1784" i="1"/>
  <c r="P1784" i="1"/>
  <c r="Q1785" i="1"/>
  <c r="P1785" i="1"/>
  <c r="Q1786" i="1"/>
  <c r="P1786" i="1"/>
  <c r="Q1787" i="1"/>
  <c r="P1787" i="1"/>
  <c r="Q1788" i="1"/>
  <c r="P1788" i="1"/>
  <c r="Q1789" i="1"/>
  <c r="P1789" i="1"/>
  <c r="H1776" i="1"/>
  <c r="J1776" i="1"/>
  <c r="Q1776" i="1"/>
  <c r="P1776" i="1"/>
  <c r="H1772" i="1"/>
  <c r="H1773" i="1"/>
  <c r="H1774" i="1"/>
  <c r="H1775" i="1"/>
  <c r="J1772" i="1"/>
  <c r="J1773" i="1"/>
  <c r="J1774" i="1"/>
  <c r="J1775" i="1"/>
  <c r="Q1772" i="1"/>
  <c r="P1772" i="1"/>
  <c r="Q1773" i="1"/>
  <c r="P1773" i="1"/>
  <c r="Q1774" i="1"/>
  <c r="P1774" i="1"/>
  <c r="Q1775" i="1"/>
  <c r="P1775" i="1"/>
  <c r="H1771" i="1"/>
  <c r="J1771" i="1"/>
  <c r="Q1771" i="1"/>
  <c r="P1771" i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/>
  <c r="Q1765" i="1"/>
  <c r="P1765" i="1"/>
  <c r="Q1766" i="1"/>
  <c r="P1766" i="1"/>
  <c r="Q1767" i="1"/>
  <c r="P1767" i="1"/>
  <c r="Q1768" i="1"/>
  <c r="P1768" i="1"/>
  <c r="Q1769" i="1"/>
  <c r="P1769" i="1"/>
  <c r="Q1770" i="1"/>
  <c r="P1770" i="1"/>
  <c r="H1763" i="1"/>
  <c r="J1763" i="1"/>
  <c r="Q1763" i="1"/>
  <c r="P1763" i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/>
  <c r="Q1758" i="1"/>
  <c r="P1758" i="1"/>
  <c r="Q1759" i="1"/>
  <c r="P1759" i="1"/>
  <c r="Q1760" i="1"/>
  <c r="P1760" i="1"/>
  <c r="Q1761" i="1"/>
  <c r="P1761" i="1"/>
  <c r="Q1762" i="1"/>
  <c r="P1762" i="1"/>
  <c r="H1756" i="1"/>
  <c r="J1756" i="1"/>
  <c r="Q1756" i="1"/>
  <c r="P1756" i="1"/>
  <c r="Q1755" i="1"/>
  <c r="P1755" i="1"/>
  <c r="Q1754" i="1"/>
  <c r="P1754" i="1"/>
  <c r="Q1753" i="1"/>
  <c r="P1753" i="1"/>
  <c r="Q1752" i="1"/>
  <c r="P1752" i="1"/>
  <c r="Q1751" i="1"/>
  <c r="P1751" i="1"/>
  <c r="Q1750" i="1"/>
  <c r="P1750" i="1"/>
  <c r="Q1749" i="1"/>
  <c r="P1749" i="1"/>
  <c r="Q1748" i="1"/>
  <c r="P1748" i="1"/>
  <c r="Q1747" i="1"/>
  <c r="P1747" i="1"/>
  <c r="Q1746" i="1"/>
  <c r="P1746" i="1"/>
  <c r="Q1745" i="1"/>
  <c r="P1745" i="1"/>
  <c r="Q1744" i="1"/>
  <c r="P1744" i="1"/>
  <c r="Q1743" i="1"/>
  <c r="P1743" i="1"/>
  <c r="Q1742" i="1"/>
  <c r="P1742" i="1"/>
  <c r="Q1741" i="1"/>
  <c r="P1741" i="1"/>
  <c r="Q1740" i="1"/>
  <c r="P1740" i="1"/>
  <c r="Q1739" i="1"/>
  <c r="P1739" i="1"/>
  <c r="Q1738" i="1"/>
  <c r="P1738" i="1"/>
  <c r="Q1737" i="1"/>
  <c r="P1737" i="1"/>
  <c r="Q1736" i="1"/>
  <c r="P1736" i="1"/>
  <c r="Q1735" i="1"/>
  <c r="P1735" i="1"/>
  <c r="Q1734" i="1"/>
  <c r="P1734" i="1"/>
  <c r="Q1733" i="1"/>
  <c r="P1733" i="1"/>
  <c r="Q1732" i="1"/>
  <c r="P1732" i="1"/>
  <c r="Q1731" i="1"/>
  <c r="P1731" i="1"/>
  <c r="Q1730" i="1"/>
  <c r="P1730" i="1"/>
  <c r="Q1729" i="1"/>
  <c r="P1729" i="1"/>
  <c r="Q1728" i="1"/>
  <c r="P1728" i="1"/>
  <c r="Q1727" i="1"/>
  <c r="P1727" i="1"/>
  <c r="Q1726" i="1"/>
  <c r="P1726" i="1"/>
  <c r="Q1725" i="1"/>
  <c r="P1725" i="1"/>
  <c r="Q1724" i="1"/>
  <c r="P1724" i="1"/>
  <c r="Q1723" i="1"/>
  <c r="P1723" i="1"/>
  <c r="Q1722" i="1"/>
  <c r="P1722" i="1"/>
  <c r="Q1721" i="1"/>
  <c r="P1721" i="1"/>
  <c r="Q1720" i="1"/>
  <c r="P1720" i="1"/>
  <c r="Q1719" i="1"/>
  <c r="P1719" i="1"/>
  <c r="Q1718" i="1"/>
  <c r="P1718" i="1"/>
  <c r="Q1717" i="1"/>
  <c r="P1717" i="1"/>
  <c r="Q1716" i="1"/>
  <c r="P1716" i="1"/>
  <c r="Q1715" i="1"/>
  <c r="P1715" i="1"/>
  <c r="Q1714" i="1"/>
  <c r="P1714" i="1"/>
  <c r="Q1713" i="1"/>
  <c r="P1713" i="1"/>
  <c r="Q1712" i="1"/>
  <c r="P1712" i="1"/>
  <c r="Q1711" i="1"/>
  <c r="P1711" i="1"/>
  <c r="Q1710" i="1"/>
  <c r="P1710" i="1"/>
  <c r="Q1709" i="1"/>
  <c r="P1709" i="1"/>
  <c r="Q1708" i="1"/>
  <c r="P1708" i="1"/>
  <c r="Q1707" i="1"/>
  <c r="P1707" i="1"/>
  <c r="Q1706" i="1"/>
  <c r="P1706" i="1"/>
  <c r="Q1705" i="1"/>
  <c r="P1705" i="1"/>
  <c r="Q1704" i="1"/>
  <c r="P1704" i="1"/>
  <c r="Q1703" i="1"/>
  <c r="P1703" i="1"/>
  <c r="Q1702" i="1"/>
  <c r="P1702" i="1"/>
  <c r="Q1701" i="1"/>
  <c r="P1701" i="1"/>
  <c r="Q1700" i="1"/>
  <c r="P1700" i="1"/>
  <c r="Q1699" i="1"/>
  <c r="P1699" i="1"/>
  <c r="Q1698" i="1"/>
  <c r="P1698" i="1"/>
  <c r="Q1697" i="1"/>
  <c r="P1697" i="1"/>
  <c r="Q1696" i="1"/>
  <c r="P1696" i="1"/>
  <c r="Q1695" i="1"/>
  <c r="P1695" i="1"/>
  <c r="Q1694" i="1"/>
  <c r="P1694" i="1"/>
  <c r="Q1693" i="1"/>
  <c r="P1693" i="1"/>
  <c r="Q1692" i="1"/>
  <c r="P1692" i="1"/>
  <c r="Q1691" i="1"/>
  <c r="P1691" i="1"/>
  <c r="Q1690" i="1"/>
  <c r="P1690" i="1"/>
  <c r="Q1689" i="1"/>
  <c r="P1689" i="1"/>
  <c r="Q1688" i="1"/>
  <c r="P1688" i="1"/>
  <c r="Q1687" i="1"/>
  <c r="P1687" i="1"/>
  <c r="Q1686" i="1"/>
  <c r="P1686" i="1"/>
  <c r="Q1685" i="1"/>
  <c r="P1685" i="1"/>
  <c r="Q1684" i="1"/>
  <c r="P1684" i="1"/>
  <c r="Q1683" i="1"/>
  <c r="P1683" i="1"/>
  <c r="Q1682" i="1"/>
  <c r="P1682" i="1"/>
  <c r="Q1681" i="1"/>
  <c r="P1681" i="1"/>
  <c r="Q1680" i="1"/>
  <c r="P1680" i="1"/>
  <c r="Q1679" i="1"/>
  <c r="P1679" i="1"/>
  <c r="Q1678" i="1"/>
  <c r="P1678" i="1"/>
  <c r="Q1677" i="1"/>
  <c r="P1677" i="1"/>
  <c r="Q1676" i="1"/>
  <c r="P1676" i="1"/>
  <c r="Q1675" i="1"/>
  <c r="P1675" i="1"/>
  <c r="Q1674" i="1"/>
  <c r="P1674" i="1"/>
  <c r="Q1673" i="1"/>
  <c r="P1673" i="1"/>
  <c r="Q1672" i="1"/>
  <c r="P1672" i="1"/>
  <c r="Q1671" i="1"/>
  <c r="P1671" i="1"/>
  <c r="Q1670" i="1"/>
  <c r="P1670" i="1"/>
  <c r="Q1669" i="1"/>
  <c r="P1669" i="1"/>
  <c r="Q1668" i="1"/>
  <c r="P1668" i="1"/>
  <c r="Q1667" i="1"/>
  <c r="P1667" i="1"/>
  <c r="Q1666" i="1"/>
  <c r="P1666" i="1"/>
  <c r="Q1665" i="1"/>
  <c r="P1665" i="1"/>
  <c r="Q1664" i="1"/>
  <c r="P1664" i="1"/>
  <c r="Q1663" i="1"/>
  <c r="P1663" i="1"/>
  <c r="Q1662" i="1"/>
  <c r="P1662" i="1"/>
  <c r="Q1661" i="1"/>
  <c r="P1661" i="1"/>
  <c r="Q1660" i="1"/>
  <c r="P1660" i="1"/>
  <c r="Q1659" i="1"/>
  <c r="P1659" i="1"/>
  <c r="Q1658" i="1"/>
  <c r="P1658" i="1"/>
  <c r="Q1657" i="1"/>
  <c r="P1657" i="1"/>
  <c r="Q1656" i="1"/>
  <c r="P1656" i="1"/>
  <c r="Q1655" i="1"/>
  <c r="P1655" i="1"/>
  <c r="Q1654" i="1"/>
  <c r="P1654" i="1"/>
  <c r="Q1653" i="1"/>
  <c r="P1653" i="1"/>
  <c r="Q1652" i="1"/>
  <c r="P1652" i="1"/>
  <c r="Q1651" i="1"/>
  <c r="P1651" i="1"/>
  <c r="Q1650" i="1"/>
  <c r="P1650" i="1"/>
  <c r="Q1649" i="1"/>
  <c r="P1649" i="1"/>
  <c r="Q1648" i="1"/>
  <c r="P1648" i="1"/>
  <c r="Q1647" i="1"/>
  <c r="P1647" i="1"/>
  <c r="Q1646" i="1"/>
  <c r="P1646" i="1"/>
  <c r="Q1645" i="1"/>
  <c r="P1645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/>
  <c r="H1643" i="1"/>
  <c r="J1643" i="1"/>
  <c r="Q1643" i="1"/>
  <c r="P1643" i="1"/>
  <c r="Q1642" i="1"/>
  <c r="P1642" i="1"/>
  <c r="Q1641" i="1"/>
  <c r="P1641" i="1"/>
  <c r="Q1640" i="1"/>
  <c r="P1640" i="1"/>
  <c r="Q1639" i="1"/>
  <c r="P1639" i="1"/>
  <c r="Q1638" i="1"/>
  <c r="P1638" i="1"/>
  <c r="Q1637" i="1"/>
  <c r="P1637" i="1"/>
  <c r="Q1636" i="1"/>
  <c r="P1636" i="1"/>
  <c r="Q1635" i="1"/>
  <c r="P1635" i="1"/>
  <c r="Q1634" i="1"/>
  <c r="P1634" i="1"/>
  <c r="Q1633" i="1"/>
  <c r="P1633" i="1"/>
  <c r="Q1632" i="1"/>
  <c r="P1632" i="1"/>
  <c r="Q1631" i="1"/>
  <c r="P1631" i="1"/>
  <c r="Q1630" i="1"/>
  <c r="P1630" i="1"/>
  <c r="Q1629" i="1"/>
  <c r="P1629" i="1"/>
  <c r="Q1628" i="1"/>
  <c r="P1628" i="1"/>
  <c r="Q1627" i="1"/>
  <c r="P1627" i="1"/>
  <c r="Q1626" i="1"/>
  <c r="P1626" i="1"/>
  <c r="Q1625" i="1"/>
  <c r="P1625" i="1"/>
  <c r="Q1624" i="1"/>
  <c r="P1624" i="1"/>
  <c r="Q1623" i="1"/>
  <c r="P1623" i="1"/>
  <c r="Q1622" i="1"/>
  <c r="P1622" i="1"/>
  <c r="Q1621" i="1"/>
  <c r="P1621" i="1"/>
  <c r="Q1620" i="1"/>
  <c r="P1620" i="1"/>
  <c r="Q1619" i="1"/>
  <c r="P1619" i="1"/>
  <c r="Q1618" i="1"/>
  <c r="P1618" i="1"/>
  <c r="Q1617" i="1"/>
  <c r="P1617" i="1"/>
  <c r="Q1616" i="1"/>
  <c r="P1616" i="1"/>
  <c r="Q1615" i="1"/>
  <c r="P1615" i="1"/>
  <c r="Q1614" i="1"/>
  <c r="P1614" i="1"/>
  <c r="Q1613" i="1"/>
  <c r="P1613" i="1"/>
  <c r="Q1612" i="1"/>
  <c r="P1612" i="1"/>
  <c r="Q1611" i="1"/>
  <c r="P1611" i="1"/>
  <c r="Q1610" i="1"/>
  <c r="P1610" i="1"/>
  <c r="Q1609" i="1"/>
  <c r="P1609" i="1"/>
  <c r="Q1608" i="1"/>
  <c r="P1608" i="1"/>
  <c r="Q1607" i="1"/>
  <c r="P1607" i="1"/>
  <c r="Q1606" i="1"/>
  <c r="P1606" i="1"/>
  <c r="Q1605" i="1"/>
  <c r="P1605" i="1"/>
  <c r="Q1604" i="1"/>
  <c r="P1604" i="1"/>
  <c r="Q1603" i="1"/>
  <c r="P1603" i="1"/>
  <c r="Q1602" i="1"/>
  <c r="P1602" i="1"/>
  <c r="Q1601" i="1"/>
  <c r="P1601" i="1"/>
  <c r="Q1600" i="1"/>
  <c r="P1600" i="1"/>
  <c r="Q1599" i="1"/>
  <c r="P1599" i="1"/>
  <c r="Q1598" i="1"/>
  <c r="P1598" i="1"/>
  <c r="Q1597" i="1"/>
  <c r="P1597" i="1"/>
  <c r="Q1596" i="1"/>
  <c r="P1596" i="1"/>
  <c r="Q1595" i="1"/>
  <c r="P1595" i="1"/>
  <c r="Q1594" i="1"/>
  <c r="P1594" i="1"/>
  <c r="Q1593" i="1"/>
  <c r="P1593" i="1"/>
  <c r="Q1592" i="1"/>
  <c r="P1592" i="1"/>
  <c r="Q1591" i="1"/>
  <c r="P1591" i="1"/>
  <c r="Q1590" i="1"/>
  <c r="P1590" i="1"/>
  <c r="Q1589" i="1"/>
  <c r="P1589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/>
  <c r="Q1581" i="1"/>
  <c r="P1581" i="1"/>
  <c r="Q1582" i="1"/>
  <c r="P1582" i="1"/>
  <c r="Q1583" i="1"/>
  <c r="P1583" i="1"/>
  <c r="Q1584" i="1"/>
  <c r="P1584" i="1"/>
  <c r="Q1585" i="1"/>
  <c r="P1585" i="1"/>
  <c r="Q1586" i="1"/>
  <c r="P1586" i="1"/>
  <c r="Q1587" i="1"/>
  <c r="P1587" i="1"/>
  <c r="H1579" i="1"/>
  <c r="J1579" i="1"/>
  <c r="Q1579" i="1"/>
  <c r="P1579" i="1"/>
  <c r="H1577" i="1"/>
  <c r="H1578" i="1"/>
  <c r="J1577" i="1"/>
  <c r="J1578" i="1"/>
  <c r="Q1577" i="1"/>
  <c r="P1577" i="1"/>
  <c r="Q1578" i="1"/>
  <c r="P1578" i="1"/>
  <c r="H1576" i="1"/>
  <c r="J1576" i="1"/>
  <c r="Q1576" i="1"/>
  <c r="P1576" i="1"/>
  <c r="H1575" i="1"/>
  <c r="J1575" i="1"/>
  <c r="Q1575" i="1"/>
  <c r="P1575" i="1"/>
  <c r="H1574" i="1"/>
  <c r="J1574" i="1"/>
  <c r="Q1574" i="1"/>
  <c r="P1574" i="1"/>
  <c r="H1573" i="1"/>
  <c r="J1573" i="1"/>
  <c r="Q1573" i="1"/>
  <c r="P1573" i="1"/>
  <c r="H1569" i="1"/>
  <c r="H1570" i="1"/>
  <c r="H1571" i="1"/>
  <c r="H1572" i="1"/>
  <c r="J1569" i="1"/>
  <c r="J1570" i="1"/>
  <c r="J1571" i="1"/>
  <c r="J1572" i="1"/>
  <c r="Q1569" i="1"/>
  <c r="P1569" i="1"/>
  <c r="Q1570" i="1"/>
  <c r="P1570" i="1"/>
  <c r="Q1571" i="1"/>
  <c r="P1571" i="1"/>
  <c r="Q1572" i="1"/>
  <c r="P1572" i="1"/>
  <c r="H1568" i="1"/>
  <c r="J1568" i="1"/>
  <c r="Q1568" i="1"/>
  <c r="P1568" i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/>
  <c r="Q1563" i="1"/>
  <c r="P1563" i="1"/>
  <c r="Q1564" i="1"/>
  <c r="P1564" i="1"/>
  <c r="Q1565" i="1"/>
  <c r="P1565" i="1"/>
  <c r="Q1566" i="1"/>
  <c r="P1566" i="1"/>
  <c r="Q1567" i="1"/>
  <c r="P1567" i="1"/>
  <c r="H1561" i="1"/>
  <c r="J1561" i="1"/>
  <c r="Q1561" i="1"/>
  <c r="P1561" i="1"/>
  <c r="H1560" i="1"/>
  <c r="J1560" i="1"/>
  <c r="Q1560" i="1"/>
  <c r="P1560" i="1"/>
  <c r="H1559" i="1"/>
  <c r="J1559" i="1"/>
  <c r="Q1559" i="1"/>
  <c r="P1559" i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/>
  <c r="Q1551" i="1"/>
  <c r="P1551" i="1"/>
  <c r="Q1552" i="1"/>
  <c r="P1552" i="1"/>
  <c r="Q1553" i="1"/>
  <c r="P1553" i="1"/>
  <c r="Q1554" i="1"/>
  <c r="P1554" i="1"/>
  <c r="Q1555" i="1"/>
  <c r="P1555" i="1"/>
  <c r="Q1556" i="1"/>
  <c r="P1556" i="1"/>
  <c r="Q1557" i="1"/>
  <c r="P1557" i="1"/>
  <c r="Q1558" i="1"/>
  <c r="P1558" i="1"/>
  <c r="H1549" i="1"/>
  <c r="J1549" i="1"/>
  <c r="Q1549" i="1"/>
  <c r="P1549" i="1"/>
  <c r="H1548" i="1"/>
  <c r="J1548" i="1"/>
  <c r="Q1548" i="1"/>
  <c r="P1548" i="1"/>
  <c r="H1547" i="1"/>
  <c r="J1547" i="1"/>
  <c r="Q1547" i="1"/>
  <c r="P1547" i="1"/>
  <c r="Q1546" i="1"/>
  <c r="P1546" i="1"/>
  <c r="Q1545" i="1"/>
  <c r="P1545" i="1"/>
  <c r="Q1544" i="1"/>
  <c r="P1544" i="1"/>
  <c r="Q1543" i="1"/>
  <c r="P1543" i="1"/>
  <c r="Q1542" i="1"/>
  <c r="P1542" i="1"/>
  <c r="Q1541" i="1"/>
  <c r="P1541" i="1"/>
  <c r="Q1540" i="1"/>
  <c r="P1540" i="1"/>
  <c r="Q1539" i="1"/>
  <c r="P1539" i="1"/>
  <c r="Q1538" i="1"/>
  <c r="P1538" i="1"/>
  <c r="Q1537" i="1"/>
  <c r="P1537" i="1"/>
  <c r="Q1536" i="1"/>
  <c r="P1536" i="1"/>
  <c r="Q1535" i="1"/>
  <c r="P1535" i="1"/>
  <c r="Q1534" i="1"/>
  <c r="P1534" i="1"/>
  <c r="Q1533" i="1"/>
  <c r="P1533" i="1"/>
  <c r="Q1532" i="1"/>
  <c r="P1532" i="1"/>
  <c r="Q1531" i="1"/>
  <c r="P1531" i="1"/>
  <c r="Q1530" i="1"/>
  <c r="P1530" i="1"/>
  <c r="Q1529" i="1"/>
  <c r="P1529" i="1"/>
  <c r="Q1528" i="1"/>
  <c r="P1528" i="1"/>
  <c r="Q1527" i="1"/>
  <c r="P1527" i="1"/>
  <c r="Q1526" i="1"/>
  <c r="P1526" i="1"/>
  <c r="Q1525" i="1"/>
  <c r="P1525" i="1"/>
  <c r="Q1524" i="1"/>
  <c r="P1524" i="1"/>
  <c r="Q1523" i="1"/>
  <c r="P1523" i="1"/>
  <c r="Q1522" i="1"/>
  <c r="P1522" i="1"/>
  <c r="Q1521" i="1"/>
  <c r="P1521" i="1"/>
  <c r="Q1520" i="1"/>
  <c r="P1520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/>
  <c r="H1518" i="1"/>
  <c r="J1518" i="1"/>
  <c r="Q1518" i="1"/>
  <c r="P1518" i="1"/>
  <c r="H1517" i="1"/>
  <c r="J1517" i="1"/>
  <c r="Q1517" i="1"/>
  <c r="P1517" i="1"/>
  <c r="H1514" i="1"/>
  <c r="J1513" i="1"/>
  <c r="J1514" i="1"/>
  <c r="Q1513" i="1"/>
  <c r="P1513" i="1"/>
  <c r="Q1514" i="1"/>
  <c r="P1514" i="1"/>
  <c r="H1512" i="1"/>
  <c r="J1512" i="1"/>
  <c r="Q1512" i="1"/>
  <c r="P1512" i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/>
  <c r="Q1503" i="1"/>
  <c r="P1503" i="1"/>
  <c r="Q1504" i="1"/>
  <c r="P1504" i="1"/>
  <c r="Q1505" i="1"/>
  <c r="P1505" i="1"/>
  <c r="Q1506" i="1"/>
  <c r="P1506" i="1"/>
  <c r="Q1507" i="1"/>
  <c r="P1507" i="1"/>
  <c r="Q1508" i="1"/>
  <c r="P1508" i="1"/>
  <c r="Q1509" i="1"/>
  <c r="P1509" i="1"/>
  <c r="Q1510" i="1"/>
  <c r="P1510" i="1"/>
  <c r="Q1511" i="1"/>
  <c r="P1511" i="1"/>
  <c r="H1501" i="1"/>
  <c r="J1501" i="1"/>
  <c r="Q1501" i="1"/>
  <c r="P1501" i="1"/>
  <c r="H1499" i="1"/>
  <c r="H1500" i="1"/>
  <c r="J1499" i="1"/>
  <c r="J1500" i="1"/>
  <c r="Q1499" i="1"/>
  <c r="P1499" i="1"/>
  <c r="Q1500" i="1"/>
  <c r="P1500" i="1"/>
  <c r="H1498" i="1"/>
  <c r="J1498" i="1"/>
  <c r="Q1498" i="1"/>
  <c r="P1498" i="1"/>
  <c r="H1497" i="1"/>
  <c r="J1497" i="1"/>
  <c r="Q1497" i="1"/>
  <c r="P1497" i="1"/>
  <c r="H1496" i="1"/>
  <c r="J1496" i="1"/>
  <c r="Q1496" i="1"/>
  <c r="P1496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/>
  <c r="Q1479" i="1"/>
  <c r="P1479" i="1"/>
  <c r="Q1480" i="1"/>
  <c r="P1480" i="1"/>
  <c r="Q1481" i="1"/>
  <c r="P1481" i="1"/>
  <c r="Q1482" i="1"/>
  <c r="P1482" i="1"/>
  <c r="Q1483" i="1"/>
  <c r="P1483" i="1"/>
  <c r="Q1484" i="1"/>
  <c r="P1484" i="1"/>
  <c r="Q1485" i="1"/>
  <c r="P1485" i="1"/>
  <c r="Q1486" i="1"/>
  <c r="P1486" i="1"/>
  <c r="Q1487" i="1"/>
  <c r="P1487" i="1"/>
  <c r="Q1488" i="1"/>
  <c r="P1488" i="1"/>
  <c r="Q1489" i="1"/>
  <c r="P1489" i="1"/>
  <c r="Q1490" i="1"/>
  <c r="P1490" i="1"/>
  <c r="Q1491" i="1"/>
  <c r="P1491" i="1"/>
  <c r="Q1492" i="1"/>
  <c r="P1492" i="1"/>
  <c r="Q1493" i="1"/>
  <c r="P1493" i="1"/>
  <c r="Q1494" i="1"/>
  <c r="P1494" i="1"/>
  <c r="Q1495" i="1"/>
  <c r="P1495" i="1"/>
  <c r="H1477" i="1"/>
  <c r="J1477" i="1"/>
  <c r="Q1477" i="1"/>
  <c r="P1477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/>
  <c r="Q1456" i="1"/>
  <c r="P1456" i="1"/>
  <c r="Q1457" i="1"/>
  <c r="P1457" i="1"/>
  <c r="Q1458" i="1"/>
  <c r="P1458" i="1"/>
  <c r="Q1459" i="1"/>
  <c r="P1459" i="1"/>
  <c r="Q1460" i="1"/>
  <c r="P1460" i="1"/>
  <c r="Q1461" i="1"/>
  <c r="P1461" i="1"/>
  <c r="Q1462" i="1"/>
  <c r="P1462" i="1"/>
  <c r="Q1463" i="1"/>
  <c r="P1463" i="1"/>
  <c r="Q1464" i="1"/>
  <c r="P1464" i="1"/>
  <c r="Q1465" i="1"/>
  <c r="P1465" i="1"/>
  <c r="Q1466" i="1"/>
  <c r="P1466" i="1"/>
  <c r="Q1467" i="1"/>
  <c r="P1467" i="1"/>
  <c r="Q1468" i="1"/>
  <c r="P1468" i="1"/>
  <c r="Q1469" i="1"/>
  <c r="P1469" i="1"/>
  <c r="Q1470" i="1"/>
  <c r="P1470" i="1"/>
  <c r="Q1471" i="1"/>
  <c r="P1471" i="1"/>
  <c r="Q1472" i="1"/>
  <c r="P1472" i="1"/>
  <c r="Q1473" i="1"/>
  <c r="P1473" i="1"/>
  <c r="Q1474" i="1"/>
  <c r="P1474" i="1"/>
  <c r="Q1475" i="1"/>
  <c r="P1475" i="1"/>
  <c r="Q1476" i="1"/>
  <c r="P1476" i="1"/>
  <c r="H1454" i="1"/>
  <c r="J1454" i="1"/>
  <c r="Q1454" i="1"/>
  <c r="P145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/>
  <c r="Q1436" i="1"/>
  <c r="P1436" i="1"/>
  <c r="Q1437" i="1"/>
  <c r="P1437" i="1"/>
  <c r="Q1438" i="1"/>
  <c r="P1438" i="1"/>
  <c r="Q1439" i="1"/>
  <c r="P1439" i="1"/>
  <c r="Q1440" i="1"/>
  <c r="P1440" i="1"/>
  <c r="Q1441" i="1"/>
  <c r="P1441" i="1"/>
  <c r="Q1442" i="1"/>
  <c r="P1442" i="1"/>
  <c r="Q1443" i="1"/>
  <c r="P1443" i="1"/>
  <c r="Q1444" i="1"/>
  <c r="P1444" i="1"/>
  <c r="Q1445" i="1"/>
  <c r="P1445" i="1"/>
  <c r="Q1446" i="1"/>
  <c r="P1446" i="1"/>
  <c r="Q1447" i="1"/>
  <c r="P1447" i="1"/>
  <c r="Q1448" i="1"/>
  <c r="P1448" i="1"/>
  <c r="Q1449" i="1"/>
  <c r="P1449" i="1"/>
  <c r="Q1450" i="1"/>
  <c r="P1450" i="1"/>
  <c r="Q1451" i="1"/>
  <c r="P1451" i="1"/>
  <c r="Q1452" i="1"/>
  <c r="P1452" i="1"/>
  <c r="Q1453" i="1"/>
  <c r="P1453" i="1"/>
  <c r="H1434" i="1"/>
  <c r="J1434" i="1"/>
  <c r="Q1434" i="1"/>
  <c r="P1434" i="1"/>
  <c r="H1433" i="1"/>
  <c r="J1433" i="1"/>
  <c r="Q1433" i="1"/>
  <c r="P1433" i="1"/>
  <c r="Q1432" i="1"/>
  <c r="P1432" i="1"/>
  <c r="H1432" i="1"/>
  <c r="J1432" i="1"/>
  <c r="H1431" i="1"/>
  <c r="J1431" i="1"/>
  <c r="Q1431" i="1"/>
  <c r="P1431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/>
  <c r="Q1355" i="1"/>
  <c r="P1355" i="1"/>
  <c r="Q1356" i="1"/>
  <c r="P1356" i="1"/>
  <c r="Q1357" i="1"/>
  <c r="P1357" i="1"/>
  <c r="Q1358" i="1"/>
  <c r="P1358" i="1"/>
  <c r="Q1359" i="1"/>
  <c r="P1359" i="1"/>
  <c r="Q1360" i="1"/>
  <c r="P1360" i="1"/>
  <c r="Q1361" i="1"/>
  <c r="P1361" i="1"/>
  <c r="Q1362" i="1"/>
  <c r="P1362" i="1"/>
  <c r="Q1363" i="1"/>
  <c r="P1363" i="1"/>
  <c r="Q1364" i="1"/>
  <c r="P1364" i="1"/>
  <c r="Q1365" i="1"/>
  <c r="P1365" i="1"/>
  <c r="Q1366" i="1"/>
  <c r="P1366" i="1"/>
  <c r="Q1367" i="1"/>
  <c r="P1367" i="1"/>
  <c r="Q1368" i="1"/>
  <c r="P1368" i="1"/>
  <c r="Q1369" i="1"/>
  <c r="P1369" i="1"/>
  <c r="Q1370" i="1"/>
  <c r="P1370" i="1"/>
  <c r="Q1371" i="1"/>
  <c r="P1371" i="1"/>
  <c r="Q1372" i="1"/>
  <c r="P1372" i="1"/>
  <c r="Q1373" i="1"/>
  <c r="P1373" i="1"/>
  <c r="Q1374" i="1"/>
  <c r="P1374" i="1"/>
  <c r="Q1375" i="1"/>
  <c r="P1375" i="1"/>
  <c r="Q1376" i="1"/>
  <c r="P1376" i="1"/>
  <c r="Q1377" i="1"/>
  <c r="P1377" i="1"/>
  <c r="Q1378" i="1"/>
  <c r="P1378" i="1"/>
  <c r="Q1379" i="1"/>
  <c r="P1379" i="1"/>
  <c r="Q1380" i="1"/>
  <c r="P1380" i="1"/>
  <c r="Q1381" i="1"/>
  <c r="P1381" i="1"/>
  <c r="Q1382" i="1"/>
  <c r="P1382" i="1"/>
  <c r="Q1383" i="1"/>
  <c r="P1383" i="1"/>
  <c r="Q1384" i="1"/>
  <c r="P1384" i="1"/>
  <c r="Q1385" i="1"/>
  <c r="P1385" i="1"/>
  <c r="Q1386" i="1"/>
  <c r="P1386" i="1"/>
  <c r="Q1387" i="1"/>
  <c r="P1387" i="1"/>
  <c r="Q1388" i="1"/>
  <c r="P1388" i="1"/>
  <c r="Q1389" i="1"/>
  <c r="P1389" i="1"/>
  <c r="Q1390" i="1"/>
  <c r="P1390" i="1"/>
  <c r="Q1391" i="1"/>
  <c r="P1391" i="1"/>
  <c r="Q1392" i="1"/>
  <c r="P1392" i="1"/>
  <c r="Q1393" i="1"/>
  <c r="P1393" i="1"/>
  <c r="Q1394" i="1"/>
  <c r="P1394" i="1"/>
  <c r="Q1395" i="1"/>
  <c r="P1395" i="1"/>
  <c r="Q1396" i="1"/>
  <c r="P1396" i="1"/>
  <c r="Q1397" i="1"/>
  <c r="P1397" i="1"/>
  <c r="Q1398" i="1"/>
  <c r="P1398" i="1"/>
  <c r="Q1399" i="1"/>
  <c r="P1399" i="1"/>
  <c r="Q1400" i="1"/>
  <c r="P1400" i="1"/>
  <c r="Q1401" i="1"/>
  <c r="P1401" i="1"/>
  <c r="Q1402" i="1"/>
  <c r="P1402" i="1"/>
  <c r="Q1403" i="1"/>
  <c r="P1403" i="1"/>
  <c r="Q1404" i="1"/>
  <c r="P1404" i="1"/>
  <c r="Q1405" i="1"/>
  <c r="P1405" i="1"/>
  <c r="Q1406" i="1"/>
  <c r="P1406" i="1"/>
  <c r="Q1407" i="1"/>
  <c r="P1407" i="1"/>
  <c r="Q1408" i="1"/>
  <c r="P1408" i="1"/>
  <c r="Q1409" i="1"/>
  <c r="P1409" i="1"/>
  <c r="Q1410" i="1"/>
  <c r="P1410" i="1"/>
  <c r="Q1411" i="1"/>
  <c r="P1411" i="1"/>
  <c r="Q1412" i="1"/>
  <c r="P1412" i="1"/>
  <c r="Q1413" i="1"/>
  <c r="P1413" i="1"/>
  <c r="Q1414" i="1"/>
  <c r="P1414" i="1"/>
  <c r="Q1415" i="1"/>
  <c r="P1415" i="1"/>
  <c r="Q1416" i="1"/>
  <c r="P1416" i="1"/>
  <c r="Q1417" i="1"/>
  <c r="P1417" i="1"/>
  <c r="Q1418" i="1"/>
  <c r="P1418" i="1"/>
  <c r="Q1419" i="1"/>
  <c r="P1419" i="1"/>
  <c r="Q1420" i="1"/>
  <c r="P1420" i="1"/>
  <c r="Q1421" i="1"/>
  <c r="P1421" i="1"/>
  <c r="Q1422" i="1"/>
  <c r="P1422" i="1"/>
  <c r="Q1423" i="1"/>
  <c r="P1423" i="1"/>
  <c r="Q1424" i="1"/>
  <c r="P1424" i="1"/>
  <c r="Q1425" i="1"/>
  <c r="P1425" i="1"/>
  <c r="Q1426" i="1"/>
  <c r="P1426" i="1"/>
  <c r="Q1427" i="1"/>
  <c r="P1427" i="1"/>
  <c r="Q1428" i="1"/>
  <c r="P1428" i="1"/>
  <c r="Q1429" i="1"/>
  <c r="P1429" i="1"/>
  <c r="Q1430" i="1"/>
  <c r="P1430" i="1"/>
  <c r="H1353" i="1"/>
  <c r="J1353" i="1"/>
  <c r="Q1353" i="1"/>
  <c r="P1353" i="1"/>
  <c r="H1352" i="1"/>
  <c r="J1352" i="1"/>
  <c r="Q1352" i="1"/>
  <c r="P1352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/>
  <c r="Q1336" i="1"/>
  <c r="P1336" i="1"/>
  <c r="Q1337" i="1"/>
  <c r="P1337" i="1"/>
  <c r="Q1338" i="1"/>
  <c r="P1338" i="1"/>
  <c r="Q1339" i="1"/>
  <c r="P1339" i="1"/>
  <c r="Q1340" i="1"/>
  <c r="P1340" i="1"/>
  <c r="Q1341" i="1"/>
  <c r="P1341" i="1"/>
  <c r="Q1342" i="1"/>
  <c r="P1342" i="1"/>
  <c r="Q1343" i="1"/>
  <c r="P1343" i="1"/>
  <c r="Q1344" i="1"/>
  <c r="P1344" i="1"/>
  <c r="Q1345" i="1"/>
  <c r="P1345" i="1"/>
  <c r="Q1346" i="1"/>
  <c r="P1346" i="1"/>
  <c r="Q1347" i="1"/>
  <c r="P1347" i="1"/>
  <c r="Q1348" i="1"/>
  <c r="P1348" i="1"/>
  <c r="Q1349" i="1"/>
  <c r="P1349" i="1"/>
  <c r="Q1350" i="1"/>
  <c r="P1350" i="1"/>
  <c r="Q1351" i="1"/>
  <c r="P1351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/>
  <c r="Q1300" i="1"/>
  <c r="P1300" i="1"/>
  <c r="Q1301" i="1"/>
  <c r="P1301" i="1"/>
  <c r="Q1302" i="1"/>
  <c r="P1302" i="1"/>
  <c r="Q1303" i="1"/>
  <c r="P1303" i="1"/>
  <c r="Q1304" i="1"/>
  <c r="P1304" i="1"/>
  <c r="Q1305" i="1"/>
  <c r="P1305" i="1"/>
  <c r="Q1306" i="1"/>
  <c r="P1306" i="1"/>
  <c r="Q1307" i="1"/>
  <c r="P1307" i="1"/>
  <c r="Q1308" i="1"/>
  <c r="P1308" i="1"/>
  <c r="Q1309" i="1"/>
  <c r="P1309" i="1"/>
  <c r="Q1310" i="1"/>
  <c r="P1310" i="1"/>
  <c r="Q1311" i="1"/>
  <c r="P1311" i="1"/>
  <c r="Q1312" i="1"/>
  <c r="P1312" i="1"/>
  <c r="Q1313" i="1"/>
  <c r="P1313" i="1"/>
  <c r="Q1314" i="1"/>
  <c r="P1314" i="1"/>
  <c r="Q1315" i="1"/>
  <c r="P1315" i="1"/>
  <c r="Q1316" i="1"/>
  <c r="P1316" i="1"/>
  <c r="Q1317" i="1"/>
  <c r="P1317" i="1"/>
  <c r="Q1318" i="1"/>
  <c r="P1318" i="1"/>
  <c r="Q1319" i="1"/>
  <c r="P1319" i="1"/>
  <c r="Q1320" i="1"/>
  <c r="P1320" i="1"/>
  <c r="Q1321" i="1"/>
  <c r="P1321" i="1"/>
  <c r="Q1322" i="1"/>
  <c r="P1322" i="1"/>
  <c r="Q1323" i="1"/>
  <c r="P1323" i="1"/>
  <c r="Q1324" i="1"/>
  <c r="P1324" i="1"/>
  <c r="Q1325" i="1"/>
  <c r="P1325" i="1"/>
  <c r="Q1326" i="1"/>
  <c r="P1326" i="1"/>
  <c r="Q1327" i="1"/>
  <c r="P1327" i="1"/>
  <c r="Q1328" i="1"/>
  <c r="P1328" i="1"/>
  <c r="Q1329" i="1"/>
  <c r="P1329" i="1"/>
  <c r="Q1330" i="1"/>
  <c r="P1330" i="1"/>
  <c r="Q1331" i="1"/>
  <c r="P1331" i="1"/>
  <c r="Q1332" i="1"/>
  <c r="P1332" i="1"/>
  <c r="Q1333" i="1"/>
  <c r="P1333" i="1"/>
  <c r="Q1334" i="1"/>
  <c r="P1334" i="1"/>
  <c r="H1298" i="1"/>
  <c r="J1298" i="1"/>
  <c r="Q1298" i="1"/>
  <c r="P1298" i="1"/>
  <c r="H1297" i="1"/>
  <c r="J1297" i="1"/>
  <c r="Q1297" i="1"/>
  <c r="P1297" i="1"/>
  <c r="H1296" i="1"/>
  <c r="J1296" i="1"/>
  <c r="Q1296" i="1"/>
  <c r="P1296" i="1"/>
  <c r="H1295" i="1"/>
  <c r="J1295" i="1"/>
  <c r="Q1295" i="1"/>
  <c r="P1295" i="1"/>
  <c r="H1294" i="1"/>
  <c r="J1294" i="1"/>
  <c r="Q1294" i="1"/>
  <c r="P1294" i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/>
  <c r="Q1195" i="1"/>
  <c r="P1195" i="1"/>
  <c r="Q1196" i="1"/>
  <c r="P1196" i="1"/>
  <c r="Q1197" i="1"/>
  <c r="P1197" i="1"/>
  <c r="Q1198" i="1"/>
  <c r="P1198" i="1"/>
  <c r="Q1199" i="1"/>
  <c r="P1199" i="1"/>
  <c r="Q1200" i="1"/>
  <c r="P1200" i="1"/>
  <c r="Q1201" i="1"/>
  <c r="P1201" i="1"/>
  <c r="Q1202" i="1"/>
  <c r="P1202" i="1"/>
  <c r="Q1203" i="1"/>
  <c r="P1203" i="1"/>
  <c r="Q1204" i="1"/>
  <c r="P1204" i="1"/>
  <c r="Q1205" i="1"/>
  <c r="P1205" i="1"/>
  <c r="Q1206" i="1"/>
  <c r="P1206" i="1"/>
  <c r="Q1207" i="1"/>
  <c r="P1207" i="1"/>
  <c r="Q1208" i="1"/>
  <c r="P1208" i="1"/>
  <c r="Q1209" i="1"/>
  <c r="P1209" i="1"/>
  <c r="Q1210" i="1"/>
  <c r="P1210" i="1"/>
  <c r="Q1211" i="1"/>
  <c r="P1211" i="1"/>
  <c r="Q1212" i="1"/>
  <c r="P1212" i="1"/>
  <c r="Q1213" i="1"/>
  <c r="P1213" i="1"/>
  <c r="Q1214" i="1"/>
  <c r="P1214" i="1"/>
  <c r="Q1215" i="1"/>
  <c r="P1215" i="1"/>
  <c r="Q1216" i="1"/>
  <c r="P1216" i="1"/>
  <c r="Q1217" i="1"/>
  <c r="P1217" i="1"/>
  <c r="Q1218" i="1"/>
  <c r="P1218" i="1"/>
  <c r="Q1219" i="1"/>
  <c r="P1219" i="1"/>
  <c r="Q1220" i="1"/>
  <c r="P1220" i="1"/>
  <c r="Q1221" i="1"/>
  <c r="P1221" i="1"/>
  <c r="Q1222" i="1"/>
  <c r="P1222" i="1"/>
  <c r="Q1223" i="1"/>
  <c r="P1223" i="1"/>
  <c r="Q1224" i="1"/>
  <c r="P1224" i="1"/>
  <c r="Q1225" i="1"/>
  <c r="P1225" i="1"/>
  <c r="Q1226" i="1"/>
  <c r="P1226" i="1"/>
  <c r="Q1227" i="1"/>
  <c r="P1227" i="1"/>
  <c r="Q1228" i="1"/>
  <c r="P1228" i="1"/>
  <c r="Q1229" i="1"/>
  <c r="P1229" i="1"/>
  <c r="Q1230" i="1"/>
  <c r="P1230" i="1"/>
  <c r="Q1231" i="1"/>
  <c r="P1231" i="1"/>
  <c r="Q1232" i="1"/>
  <c r="P1232" i="1"/>
  <c r="Q1233" i="1"/>
  <c r="P1233" i="1"/>
  <c r="Q1234" i="1"/>
  <c r="P1234" i="1"/>
  <c r="Q1235" i="1"/>
  <c r="P1235" i="1"/>
  <c r="Q1236" i="1"/>
  <c r="P1236" i="1"/>
  <c r="Q1237" i="1"/>
  <c r="P1237" i="1"/>
  <c r="Q1238" i="1"/>
  <c r="P1238" i="1"/>
  <c r="Q1239" i="1"/>
  <c r="P1239" i="1"/>
  <c r="Q1240" i="1"/>
  <c r="P1240" i="1"/>
  <c r="Q1241" i="1"/>
  <c r="P1241" i="1"/>
  <c r="Q1242" i="1"/>
  <c r="P1242" i="1"/>
  <c r="Q1243" i="1"/>
  <c r="P1243" i="1"/>
  <c r="Q1244" i="1"/>
  <c r="P1244" i="1"/>
  <c r="Q1245" i="1"/>
  <c r="P1245" i="1"/>
  <c r="Q1246" i="1"/>
  <c r="P1246" i="1"/>
  <c r="Q1247" i="1"/>
  <c r="P1247" i="1"/>
  <c r="Q1248" i="1"/>
  <c r="P1248" i="1"/>
  <c r="Q1249" i="1"/>
  <c r="P1249" i="1"/>
  <c r="Q1250" i="1"/>
  <c r="P1250" i="1"/>
  <c r="Q1251" i="1"/>
  <c r="P1251" i="1"/>
  <c r="Q1252" i="1"/>
  <c r="P1252" i="1"/>
  <c r="Q1253" i="1"/>
  <c r="P1253" i="1"/>
  <c r="Q1254" i="1"/>
  <c r="P1254" i="1"/>
  <c r="Q1255" i="1"/>
  <c r="P1255" i="1"/>
  <c r="Q1256" i="1"/>
  <c r="P1256" i="1"/>
  <c r="Q1257" i="1"/>
  <c r="P1257" i="1"/>
  <c r="Q1258" i="1"/>
  <c r="P1258" i="1"/>
  <c r="Q1259" i="1"/>
  <c r="P1259" i="1"/>
  <c r="Q1260" i="1"/>
  <c r="P1260" i="1"/>
  <c r="Q1261" i="1"/>
  <c r="P1261" i="1"/>
  <c r="Q1262" i="1"/>
  <c r="P1262" i="1"/>
  <c r="Q1263" i="1"/>
  <c r="P1263" i="1"/>
  <c r="Q1264" i="1"/>
  <c r="P1264" i="1"/>
  <c r="Q1265" i="1"/>
  <c r="P1265" i="1"/>
  <c r="Q1266" i="1"/>
  <c r="P1266" i="1"/>
  <c r="Q1267" i="1"/>
  <c r="P1267" i="1"/>
  <c r="Q1268" i="1"/>
  <c r="P1268" i="1"/>
  <c r="Q1269" i="1"/>
  <c r="P1269" i="1"/>
  <c r="Q1270" i="1"/>
  <c r="P1270" i="1"/>
  <c r="Q1271" i="1"/>
  <c r="P1271" i="1"/>
  <c r="Q1272" i="1"/>
  <c r="P1272" i="1"/>
  <c r="Q1273" i="1"/>
  <c r="P1273" i="1"/>
  <c r="Q1274" i="1"/>
  <c r="P1274" i="1"/>
  <c r="Q1275" i="1"/>
  <c r="P1275" i="1"/>
  <c r="Q1276" i="1"/>
  <c r="P1276" i="1"/>
  <c r="Q1277" i="1"/>
  <c r="P1277" i="1"/>
  <c r="Q1278" i="1"/>
  <c r="P1278" i="1"/>
  <c r="Q1279" i="1"/>
  <c r="P1279" i="1"/>
  <c r="Q1280" i="1"/>
  <c r="P1280" i="1"/>
  <c r="Q1281" i="1"/>
  <c r="P1281" i="1"/>
  <c r="Q1282" i="1"/>
  <c r="P1282" i="1"/>
  <c r="Q1283" i="1"/>
  <c r="P1283" i="1"/>
  <c r="Q1284" i="1"/>
  <c r="P1284" i="1"/>
  <c r="Q1285" i="1"/>
  <c r="P1285" i="1"/>
  <c r="Q1286" i="1"/>
  <c r="P1286" i="1"/>
  <c r="Q1287" i="1"/>
  <c r="P1287" i="1"/>
  <c r="Q1288" i="1"/>
  <c r="P1288" i="1"/>
  <c r="Q1289" i="1"/>
  <c r="P1289" i="1"/>
  <c r="Q1290" i="1"/>
  <c r="P1290" i="1"/>
  <c r="Q1291" i="1"/>
  <c r="P1291" i="1"/>
  <c r="Q1292" i="1"/>
  <c r="P1292" i="1"/>
  <c r="Q1293" i="1"/>
  <c r="P1293" i="1"/>
  <c r="H1193" i="1"/>
  <c r="J1193" i="1"/>
  <c r="Q1193" i="1"/>
  <c r="P1193" i="1"/>
  <c r="H1192" i="1"/>
  <c r="J1192" i="1"/>
  <c r="Q1192" i="1"/>
  <c r="P1192" i="1"/>
  <c r="H1191" i="1"/>
  <c r="J1191" i="1"/>
  <c r="Q1191" i="1"/>
  <c r="P1191" i="1"/>
  <c r="H1190" i="1"/>
  <c r="J1190" i="1"/>
  <c r="Q1190" i="1"/>
  <c r="P1190" i="1"/>
  <c r="H1186" i="1"/>
  <c r="H1187" i="1"/>
  <c r="H1188" i="1"/>
  <c r="H1189" i="1"/>
  <c r="J1186" i="1"/>
  <c r="J1187" i="1"/>
  <c r="J1188" i="1"/>
  <c r="J1189" i="1"/>
  <c r="Q1186" i="1"/>
  <c r="P1186" i="1"/>
  <c r="Q1187" i="1"/>
  <c r="P1187" i="1"/>
  <c r="Q1188" i="1"/>
  <c r="P1188" i="1"/>
  <c r="Q1189" i="1"/>
  <c r="P1189" i="1"/>
  <c r="H1185" i="1"/>
  <c r="J1185" i="1"/>
  <c r="Q1185" i="1"/>
  <c r="P1185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/>
  <c r="Q1178" i="1"/>
  <c r="P1178" i="1"/>
  <c r="Q1179" i="1"/>
  <c r="P1179" i="1"/>
  <c r="Q1180" i="1"/>
  <c r="P1180" i="1"/>
  <c r="Q1181" i="1"/>
  <c r="P1181" i="1"/>
  <c r="Q1182" i="1"/>
  <c r="P1182" i="1"/>
  <c r="Q1183" i="1"/>
  <c r="P1183" i="1"/>
  <c r="Q1184" i="1"/>
  <c r="P1184" i="1"/>
  <c r="H1176" i="1"/>
  <c r="J1176" i="1"/>
  <c r="Q1176" i="1"/>
  <c r="P1176" i="1"/>
  <c r="H1175" i="1"/>
  <c r="J1175" i="1"/>
  <c r="Q1175" i="1"/>
  <c r="P1175" i="1"/>
  <c r="H1174" i="1"/>
  <c r="J1174" i="1"/>
  <c r="Q1174" i="1"/>
  <c r="P1174" i="1"/>
  <c r="H1170" i="1"/>
  <c r="H1171" i="1"/>
  <c r="H1172" i="1"/>
  <c r="H1173" i="1"/>
  <c r="J1170" i="1"/>
  <c r="J1171" i="1"/>
  <c r="J1172" i="1"/>
  <c r="J1173" i="1"/>
  <c r="Q1170" i="1"/>
  <c r="P1170" i="1"/>
  <c r="Q1171" i="1"/>
  <c r="P1171" i="1"/>
  <c r="Q1172" i="1"/>
  <c r="P1172" i="1"/>
  <c r="Q1173" i="1"/>
  <c r="P1173" i="1"/>
  <c r="H1169" i="1"/>
  <c r="J1169" i="1"/>
  <c r="Q1169" i="1"/>
  <c r="P1169" i="1"/>
  <c r="H1168" i="1"/>
  <c r="J1168" i="1"/>
  <c r="Q1168" i="1"/>
  <c r="P1168" i="1"/>
  <c r="H1167" i="1"/>
  <c r="J1167" i="1"/>
  <c r="Q1167" i="1"/>
  <c r="P1167" i="1"/>
  <c r="H1164" i="1"/>
  <c r="H1165" i="1"/>
  <c r="H1166" i="1"/>
  <c r="J1164" i="1"/>
  <c r="J1165" i="1"/>
  <c r="J1166" i="1"/>
  <c r="Q1164" i="1"/>
  <c r="P1164" i="1"/>
  <c r="Q1165" i="1"/>
  <c r="P1165" i="1"/>
  <c r="Q1166" i="1"/>
  <c r="P1166" i="1"/>
  <c r="H1163" i="1"/>
  <c r="J1163" i="1"/>
  <c r="Q1163" i="1"/>
  <c r="P1163" i="1"/>
  <c r="H1162" i="1"/>
  <c r="J1162" i="1"/>
  <c r="Q1162" i="1"/>
  <c r="P1162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/>
  <c r="Q1157" i="1"/>
  <c r="P1157" i="1"/>
  <c r="Q1158" i="1"/>
  <c r="P1158" i="1"/>
  <c r="Q1159" i="1"/>
  <c r="P1159" i="1"/>
  <c r="Q1160" i="1"/>
  <c r="P1160" i="1"/>
  <c r="Q1161" i="1"/>
  <c r="P1161" i="1"/>
  <c r="H1155" i="1"/>
  <c r="J1155" i="1"/>
  <c r="Q1155" i="1"/>
  <c r="P1155" i="1"/>
  <c r="H1152" i="1"/>
  <c r="H1153" i="1"/>
  <c r="H1154" i="1"/>
  <c r="J1152" i="1"/>
  <c r="J1153" i="1"/>
  <c r="J1154" i="1"/>
  <c r="Q1152" i="1"/>
  <c r="P1152" i="1"/>
  <c r="Q1153" i="1"/>
  <c r="P1153" i="1"/>
  <c r="Q1154" i="1"/>
  <c r="P1154" i="1"/>
  <c r="H1148" i="1"/>
  <c r="H1149" i="1"/>
  <c r="H1150" i="1"/>
  <c r="H1151" i="1"/>
  <c r="J1148" i="1"/>
  <c r="J1149" i="1"/>
  <c r="J1150" i="1"/>
  <c r="J1151" i="1"/>
  <c r="Q1148" i="1"/>
  <c r="P1148" i="1"/>
  <c r="Q1149" i="1"/>
  <c r="P1149" i="1"/>
  <c r="Q1150" i="1"/>
  <c r="P1150" i="1"/>
  <c r="Q1151" i="1"/>
  <c r="P1151" i="1"/>
  <c r="H1147" i="1"/>
  <c r="J1147" i="1"/>
  <c r="Q1147" i="1"/>
  <c r="P1147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/>
  <c r="Q1139" i="1"/>
  <c r="P1139" i="1"/>
  <c r="Q1140" i="1"/>
  <c r="P1140" i="1"/>
  <c r="Q1141" i="1"/>
  <c r="P1141" i="1"/>
  <c r="Q1142" i="1"/>
  <c r="P1142" i="1"/>
  <c r="Q1143" i="1"/>
  <c r="P1143" i="1"/>
  <c r="Q1144" i="1"/>
  <c r="P1144" i="1"/>
  <c r="Q1145" i="1"/>
  <c r="P1145" i="1"/>
  <c r="Q1146" i="1"/>
  <c r="P1146" i="1"/>
  <c r="H1137" i="1"/>
  <c r="J1137" i="1"/>
  <c r="Q1137" i="1"/>
  <c r="P1137" i="1"/>
  <c r="H1136" i="1"/>
  <c r="J1136" i="1"/>
  <c r="Q1136" i="1"/>
  <c r="P1136" i="1"/>
  <c r="H1135" i="1"/>
  <c r="J1135" i="1"/>
  <c r="Q1135" i="1"/>
  <c r="P1135" i="1"/>
  <c r="H1133" i="1"/>
  <c r="H1134" i="1"/>
  <c r="J1133" i="1"/>
  <c r="J1134" i="1"/>
  <c r="Q1133" i="1"/>
  <c r="P1133" i="1"/>
  <c r="Q1134" i="1"/>
  <c r="P1134" i="1"/>
  <c r="H1132" i="1"/>
  <c r="J1132" i="1"/>
  <c r="Q1132" i="1"/>
  <c r="P1132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/>
  <c r="Q1126" i="1"/>
  <c r="P1126" i="1"/>
  <c r="Q1127" i="1"/>
  <c r="P1127" i="1"/>
  <c r="Q1128" i="1"/>
  <c r="P1128" i="1"/>
  <c r="Q1129" i="1"/>
  <c r="P1129" i="1"/>
  <c r="Q1130" i="1"/>
  <c r="P1130" i="1"/>
  <c r="Q1131" i="1"/>
  <c r="P1131" i="1"/>
  <c r="H1124" i="1"/>
  <c r="J1124" i="1"/>
  <c r="Q1124" i="1"/>
  <c r="P1124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/>
  <c r="Q1074" i="1"/>
  <c r="P1074" i="1"/>
  <c r="Q1075" i="1"/>
  <c r="P1075" i="1"/>
  <c r="Q1076" i="1"/>
  <c r="P1076" i="1"/>
  <c r="Q1077" i="1"/>
  <c r="P1077" i="1"/>
  <c r="Q1078" i="1"/>
  <c r="P1078" i="1"/>
  <c r="Q1079" i="1"/>
  <c r="P1079" i="1"/>
  <c r="Q1080" i="1"/>
  <c r="P1080" i="1"/>
  <c r="Q1081" i="1"/>
  <c r="P1081" i="1"/>
  <c r="Q1082" i="1"/>
  <c r="P1082" i="1"/>
  <c r="Q1083" i="1"/>
  <c r="P1083" i="1"/>
  <c r="Q1084" i="1"/>
  <c r="P1084" i="1"/>
  <c r="Q1085" i="1"/>
  <c r="P1085" i="1"/>
  <c r="Q1086" i="1"/>
  <c r="P1086" i="1"/>
  <c r="Q1087" i="1"/>
  <c r="P1087" i="1"/>
  <c r="Q1088" i="1"/>
  <c r="P1088" i="1"/>
  <c r="Q1089" i="1"/>
  <c r="P1089" i="1"/>
  <c r="Q1090" i="1"/>
  <c r="P1090" i="1"/>
  <c r="Q1091" i="1"/>
  <c r="P1091" i="1"/>
  <c r="Q1092" i="1"/>
  <c r="P1092" i="1"/>
  <c r="Q1093" i="1"/>
  <c r="P1093" i="1"/>
  <c r="Q1094" i="1"/>
  <c r="P1094" i="1"/>
  <c r="Q1095" i="1"/>
  <c r="P1095" i="1"/>
  <c r="Q1096" i="1"/>
  <c r="P1096" i="1"/>
  <c r="Q1097" i="1"/>
  <c r="P1097" i="1"/>
  <c r="Q1098" i="1"/>
  <c r="P1098" i="1"/>
  <c r="Q1099" i="1"/>
  <c r="P1099" i="1"/>
  <c r="Q1100" i="1"/>
  <c r="P1100" i="1"/>
  <c r="Q1101" i="1"/>
  <c r="P1101" i="1"/>
  <c r="Q1102" i="1"/>
  <c r="P1102" i="1"/>
  <c r="Q1103" i="1"/>
  <c r="P1103" i="1"/>
  <c r="Q1104" i="1"/>
  <c r="P1104" i="1"/>
  <c r="Q1105" i="1"/>
  <c r="P1105" i="1"/>
  <c r="Q1106" i="1"/>
  <c r="P1106" i="1"/>
  <c r="Q1107" i="1"/>
  <c r="P1107" i="1"/>
  <c r="Q1108" i="1"/>
  <c r="P1108" i="1"/>
  <c r="Q1109" i="1"/>
  <c r="P1109" i="1"/>
  <c r="Q1110" i="1"/>
  <c r="P1110" i="1"/>
  <c r="Q1111" i="1"/>
  <c r="P1111" i="1"/>
  <c r="Q1112" i="1"/>
  <c r="P1112" i="1"/>
  <c r="Q1113" i="1"/>
  <c r="P1113" i="1"/>
  <c r="Q1114" i="1"/>
  <c r="P1114" i="1"/>
  <c r="Q1115" i="1"/>
  <c r="P1115" i="1"/>
  <c r="Q1116" i="1"/>
  <c r="P1116" i="1"/>
  <c r="Q1117" i="1"/>
  <c r="P1117" i="1"/>
  <c r="Q1118" i="1"/>
  <c r="P1118" i="1"/>
  <c r="Q1119" i="1"/>
  <c r="P1119" i="1"/>
  <c r="Q1120" i="1"/>
  <c r="P1120" i="1"/>
  <c r="Q1121" i="1"/>
  <c r="P1121" i="1"/>
  <c r="Q1122" i="1"/>
  <c r="P1122" i="1"/>
  <c r="Q1123" i="1"/>
  <c r="P1123" i="1"/>
  <c r="H1072" i="1"/>
  <c r="J1072" i="1"/>
  <c r="Q1072" i="1"/>
  <c r="P1072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/>
  <c r="Q1058" i="1"/>
  <c r="P1058" i="1"/>
  <c r="Q1059" i="1"/>
  <c r="P1059" i="1"/>
  <c r="Q1060" i="1"/>
  <c r="P1060" i="1"/>
  <c r="Q1061" i="1"/>
  <c r="P1061" i="1"/>
  <c r="Q1062" i="1"/>
  <c r="P1062" i="1"/>
  <c r="Q1063" i="1"/>
  <c r="P1063" i="1"/>
  <c r="Q1064" i="1"/>
  <c r="P1064" i="1"/>
  <c r="Q1065" i="1"/>
  <c r="P1065" i="1"/>
  <c r="Q1066" i="1"/>
  <c r="P1066" i="1"/>
  <c r="Q1067" i="1"/>
  <c r="P1067" i="1"/>
  <c r="Q1068" i="1"/>
  <c r="P1068" i="1"/>
  <c r="Q1069" i="1"/>
  <c r="P1069" i="1"/>
  <c r="Q1070" i="1"/>
  <c r="P1070" i="1"/>
  <c r="Q1071" i="1"/>
  <c r="P1071" i="1"/>
  <c r="H1055" i="1"/>
  <c r="H1056" i="1"/>
  <c r="J1055" i="1"/>
  <c r="J1056" i="1"/>
  <c r="Q1055" i="1"/>
  <c r="P1055" i="1"/>
  <c r="Q1056" i="1"/>
  <c r="P1056" i="1"/>
  <c r="H1054" i="1"/>
  <c r="J1054" i="1"/>
  <c r="Q1054" i="1"/>
  <c r="P1054" i="1"/>
  <c r="H1023" i="1"/>
  <c r="J1023" i="1"/>
  <c r="Q1023" i="1"/>
  <c r="P1023" i="1"/>
  <c r="H1022" i="1"/>
  <c r="J1022" i="1"/>
  <c r="Q1022" i="1"/>
  <c r="P1022" i="1"/>
  <c r="H1015" i="1"/>
  <c r="J1015" i="1"/>
  <c r="Q1015" i="1"/>
  <c r="P1015" i="1"/>
  <c r="H1017" i="1"/>
  <c r="H1018" i="1"/>
  <c r="J1017" i="1"/>
  <c r="J1018" i="1"/>
  <c r="Q1017" i="1"/>
  <c r="P1017" i="1"/>
  <c r="Q1018" i="1"/>
  <c r="P1018" i="1"/>
  <c r="H1016" i="1"/>
  <c r="J1016" i="1"/>
  <c r="Q1016" i="1"/>
  <c r="P1016" i="1"/>
  <c r="H1014" i="1"/>
  <c r="J1014" i="1"/>
  <c r="Q1014" i="1"/>
  <c r="P1014" i="1"/>
  <c r="H1019" i="1"/>
  <c r="J1019" i="1"/>
  <c r="Q1019" i="1"/>
  <c r="P1019" i="1"/>
  <c r="H1021" i="1"/>
  <c r="J1021" i="1"/>
  <c r="Q1021" i="1"/>
  <c r="P1021" i="1"/>
  <c r="H1020" i="1"/>
  <c r="J1020" i="1"/>
  <c r="Q1020" i="1"/>
  <c r="P1020" i="1"/>
  <c r="H1053" i="1"/>
  <c r="J1053" i="1"/>
  <c r="Q1053" i="1"/>
  <c r="P1053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/>
  <c r="Q1028" i="1"/>
  <c r="P1028" i="1"/>
  <c r="Q1029" i="1"/>
  <c r="P1029" i="1"/>
  <c r="Q1030" i="1"/>
  <c r="P1030" i="1"/>
  <c r="Q1031" i="1"/>
  <c r="P1031" i="1"/>
  <c r="Q1032" i="1"/>
  <c r="P1032" i="1"/>
  <c r="Q1033" i="1"/>
  <c r="P1033" i="1"/>
  <c r="Q1034" i="1"/>
  <c r="P1034" i="1"/>
  <c r="Q1035" i="1"/>
  <c r="P1035" i="1"/>
  <c r="Q1036" i="1"/>
  <c r="P1036" i="1"/>
  <c r="Q1037" i="1"/>
  <c r="P1037" i="1"/>
  <c r="Q1038" i="1"/>
  <c r="P1038" i="1"/>
  <c r="Q1039" i="1"/>
  <c r="P1039" i="1"/>
  <c r="Q1040" i="1"/>
  <c r="P1040" i="1"/>
  <c r="Q1041" i="1"/>
  <c r="P1041" i="1"/>
  <c r="Q1042" i="1"/>
  <c r="P1042" i="1"/>
  <c r="Q1043" i="1"/>
  <c r="P1043" i="1"/>
  <c r="Q1044" i="1"/>
  <c r="P1044" i="1"/>
  <c r="Q1045" i="1"/>
  <c r="P1045" i="1"/>
  <c r="Q1046" i="1"/>
  <c r="P1046" i="1"/>
  <c r="Q1047" i="1"/>
  <c r="P1047" i="1"/>
  <c r="Q1048" i="1"/>
  <c r="P1048" i="1"/>
  <c r="Q1049" i="1"/>
  <c r="P1049" i="1"/>
  <c r="Q1050" i="1"/>
  <c r="P1050" i="1"/>
  <c r="Q1051" i="1"/>
  <c r="P1051" i="1"/>
  <c r="Q1052" i="1"/>
  <c r="P1052" i="1"/>
  <c r="H1024" i="1"/>
  <c r="H1025" i="1"/>
  <c r="H1026" i="1"/>
  <c r="J1024" i="1"/>
  <c r="J1025" i="1"/>
  <c r="J1026" i="1"/>
  <c r="Q1024" i="1"/>
  <c r="P1024" i="1"/>
  <c r="Q1025" i="1"/>
  <c r="P1025" i="1"/>
  <c r="Q1026" i="1"/>
  <c r="P1026" i="1"/>
  <c r="H1009" i="1"/>
  <c r="J1009" i="1"/>
  <c r="Q1009" i="1"/>
  <c r="P1009" i="1"/>
  <c r="H1008" i="1"/>
  <c r="J1008" i="1"/>
  <c r="Q1008" i="1"/>
  <c r="P1008" i="1"/>
  <c r="H1011" i="1"/>
  <c r="J1011" i="1"/>
  <c r="Q1011" i="1"/>
  <c r="P1011" i="1"/>
  <c r="H1010" i="1"/>
  <c r="J1010" i="1"/>
  <c r="Q1010" i="1"/>
  <c r="P1010" i="1"/>
  <c r="H1012" i="1"/>
  <c r="H1013" i="1"/>
  <c r="J1012" i="1"/>
  <c r="J1013" i="1"/>
  <c r="Q1012" i="1"/>
  <c r="P1012" i="1"/>
  <c r="Q1013" i="1"/>
  <c r="P1013" i="1"/>
  <c r="H969" i="1"/>
  <c r="J969" i="1"/>
  <c r="Q969" i="1"/>
  <c r="P969" i="1"/>
  <c r="H1002" i="1"/>
  <c r="H1003" i="1"/>
  <c r="H1004" i="1"/>
  <c r="H1005" i="1"/>
  <c r="J1002" i="1"/>
  <c r="J1003" i="1"/>
  <c r="J1004" i="1"/>
  <c r="J1005" i="1"/>
  <c r="Q1002" i="1"/>
  <c r="P1002" i="1"/>
  <c r="Q1003" i="1"/>
  <c r="P1003" i="1"/>
  <c r="Q1004" i="1"/>
  <c r="P1004" i="1"/>
  <c r="Q1005" i="1"/>
  <c r="P1005" i="1"/>
  <c r="H1001" i="1"/>
  <c r="J1001" i="1"/>
  <c r="Q1001" i="1"/>
  <c r="P1001" i="1"/>
  <c r="H1007" i="1"/>
  <c r="J1007" i="1"/>
  <c r="Q1007" i="1"/>
  <c r="P1007" i="1"/>
  <c r="H1006" i="1"/>
  <c r="J1006" i="1"/>
  <c r="Q1006" i="1"/>
  <c r="P1006" i="1"/>
  <c r="H965" i="1"/>
  <c r="J965" i="1"/>
  <c r="Q965" i="1"/>
  <c r="P965" i="1"/>
  <c r="H1000" i="1"/>
  <c r="J1000" i="1"/>
  <c r="Q1000" i="1"/>
  <c r="P1000" i="1"/>
  <c r="H988" i="1"/>
  <c r="H989" i="1"/>
  <c r="H990" i="1"/>
  <c r="J988" i="1"/>
  <c r="J989" i="1"/>
  <c r="J990" i="1"/>
  <c r="Q988" i="1"/>
  <c r="P988" i="1"/>
  <c r="Q989" i="1"/>
  <c r="P989" i="1"/>
  <c r="Q990" i="1"/>
  <c r="P990" i="1"/>
  <c r="H992" i="1"/>
  <c r="H993" i="1"/>
  <c r="H994" i="1"/>
  <c r="J992" i="1"/>
  <c r="J993" i="1"/>
  <c r="J994" i="1"/>
  <c r="Q992" i="1"/>
  <c r="P992" i="1"/>
  <c r="Q993" i="1"/>
  <c r="P993" i="1"/>
  <c r="Q994" i="1"/>
  <c r="P994" i="1"/>
  <c r="H991" i="1"/>
  <c r="J991" i="1"/>
  <c r="Q991" i="1"/>
  <c r="P991" i="1"/>
  <c r="H995" i="1"/>
  <c r="H996" i="1"/>
  <c r="H997" i="1"/>
  <c r="H998" i="1"/>
  <c r="J995" i="1"/>
  <c r="J996" i="1"/>
  <c r="J997" i="1"/>
  <c r="J998" i="1"/>
  <c r="Q995" i="1"/>
  <c r="P995" i="1"/>
  <c r="Q996" i="1"/>
  <c r="P996" i="1"/>
  <c r="Q997" i="1"/>
  <c r="P997" i="1"/>
  <c r="Q998" i="1"/>
  <c r="P998" i="1"/>
  <c r="H999" i="1"/>
  <c r="J999" i="1"/>
  <c r="Q999" i="1"/>
  <c r="P999" i="1"/>
  <c r="H966" i="1"/>
  <c r="J966" i="1"/>
  <c r="Q966" i="1"/>
  <c r="P966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/>
  <c r="Q981" i="1"/>
  <c r="P981" i="1"/>
  <c r="Q982" i="1"/>
  <c r="P982" i="1"/>
  <c r="Q983" i="1"/>
  <c r="P983" i="1"/>
  <c r="Q984" i="1"/>
  <c r="P984" i="1"/>
  <c r="Q985" i="1"/>
  <c r="P985" i="1"/>
  <c r="Q986" i="1"/>
  <c r="P986" i="1"/>
  <c r="Q987" i="1"/>
  <c r="P987" i="1"/>
  <c r="H977" i="1"/>
  <c r="J977" i="1"/>
  <c r="Q977" i="1"/>
  <c r="P977" i="1"/>
  <c r="H978" i="1"/>
  <c r="J978" i="1"/>
  <c r="Q978" i="1"/>
  <c r="P978" i="1"/>
  <c r="H979" i="1"/>
  <c r="J979" i="1"/>
  <c r="Q979" i="1"/>
  <c r="P979" i="1"/>
  <c r="H976" i="1"/>
  <c r="J976" i="1"/>
  <c r="Q976" i="1"/>
  <c r="P976" i="1"/>
  <c r="H968" i="1"/>
  <c r="J968" i="1"/>
  <c r="Q968" i="1"/>
  <c r="P968" i="1"/>
  <c r="H967" i="1"/>
  <c r="J967" i="1"/>
  <c r="Q967" i="1"/>
  <c r="P967" i="1"/>
  <c r="H970" i="1"/>
  <c r="J970" i="1"/>
  <c r="Q970" i="1"/>
  <c r="P970" i="1"/>
  <c r="H971" i="1"/>
  <c r="J971" i="1"/>
  <c r="Q971" i="1"/>
  <c r="P971" i="1"/>
  <c r="H972" i="1"/>
  <c r="J972" i="1"/>
  <c r="Q972" i="1"/>
  <c r="P972" i="1"/>
  <c r="H973" i="1"/>
  <c r="J973" i="1"/>
  <c r="Q973" i="1"/>
  <c r="P973" i="1"/>
  <c r="J866" i="1"/>
  <c r="H866" i="1"/>
  <c r="Q866" i="1"/>
  <c r="P866" i="1"/>
  <c r="H949" i="1"/>
  <c r="J949" i="1"/>
  <c r="Q949" i="1"/>
  <c r="P949" i="1"/>
  <c r="H950" i="1"/>
  <c r="J950" i="1"/>
  <c r="Q950" i="1"/>
  <c r="P950" i="1"/>
  <c r="H951" i="1"/>
  <c r="J951" i="1"/>
  <c r="Q951" i="1"/>
  <c r="P951" i="1"/>
  <c r="H952" i="1"/>
  <c r="J952" i="1"/>
  <c r="Q952" i="1"/>
  <c r="P952" i="1"/>
  <c r="H953" i="1"/>
  <c r="J953" i="1"/>
  <c r="Q953" i="1"/>
  <c r="P953" i="1"/>
  <c r="H954" i="1"/>
  <c r="J954" i="1"/>
  <c r="Q954" i="1"/>
  <c r="P954" i="1"/>
  <c r="H948" i="1"/>
  <c r="J948" i="1"/>
  <c r="Q948" i="1"/>
  <c r="P948" i="1"/>
  <c r="H946" i="1"/>
  <c r="J946" i="1"/>
  <c r="Q946" i="1"/>
  <c r="P946" i="1"/>
  <c r="H947" i="1"/>
  <c r="J947" i="1"/>
  <c r="Q947" i="1"/>
  <c r="P947" i="1"/>
  <c r="H938" i="1"/>
  <c r="J938" i="1"/>
  <c r="Q938" i="1"/>
  <c r="P938" i="1"/>
  <c r="H939" i="1"/>
  <c r="J939" i="1"/>
  <c r="Q939" i="1"/>
  <c r="P939" i="1"/>
  <c r="H940" i="1"/>
  <c r="J940" i="1"/>
  <c r="Q940" i="1"/>
  <c r="P940" i="1"/>
  <c r="H941" i="1"/>
  <c r="J941" i="1"/>
  <c r="Q941" i="1"/>
  <c r="P941" i="1"/>
  <c r="H942" i="1"/>
  <c r="J942" i="1"/>
  <c r="Q942" i="1"/>
  <c r="P942" i="1"/>
  <c r="H943" i="1"/>
  <c r="J943" i="1"/>
  <c r="Q943" i="1"/>
  <c r="P943" i="1"/>
  <c r="H944" i="1"/>
  <c r="J944" i="1"/>
  <c r="Q944" i="1"/>
  <c r="P944" i="1"/>
  <c r="H945" i="1"/>
  <c r="J945" i="1"/>
  <c r="Q945" i="1"/>
  <c r="P945" i="1"/>
  <c r="H975" i="1"/>
  <c r="J975" i="1"/>
  <c r="Q975" i="1"/>
  <c r="P975" i="1"/>
  <c r="H974" i="1"/>
  <c r="J974" i="1"/>
  <c r="Q974" i="1"/>
  <c r="P97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/>
  <c r="Q957" i="1"/>
  <c r="P957" i="1"/>
  <c r="Q958" i="1"/>
  <c r="P958" i="1"/>
  <c r="Q959" i="1"/>
  <c r="P959" i="1"/>
  <c r="Q960" i="1"/>
  <c r="P960" i="1"/>
  <c r="Q961" i="1"/>
  <c r="P961" i="1"/>
  <c r="Q962" i="1"/>
  <c r="P962" i="1"/>
  <c r="Q963" i="1"/>
  <c r="P963" i="1"/>
  <c r="Q964" i="1"/>
  <c r="P964" i="1"/>
  <c r="H955" i="1"/>
  <c r="J955" i="1"/>
  <c r="Q955" i="1"/>
  <c r="P955" i="1"/>
  <c r="H934" i="1"/>
  <c r="H935" i="1"/>
  <c r="H936" i="1"/>
  <c r="H937" i="1"/>
  <c r="J934" i="1"/>
  <c r="J935" i="1"/>
  <c r="J936" i="1"/>
  <c r="J937" i="1"/>
  <c r="Q934" i="1"/>
  <c r="P934" i="1"/>
  <c r="Q935" i="1"/>
  <c r="P935" i="1"/>
  <c r="Q936" i="1"/>
  <c r="P936" i="1"/>
  <c r="Q937" i="1"/>
  <c r="P937" i="1"/>
  <c r="H931" i="1"/>
  <c r="H932" i="1"/>
  <c r="H933" i="1"/>
  <c r="J931" i="1"/>
  <c r="J932" i="1"/>
  <c r="J933" i="1"/>
  <c r="Q931" i="1"/>
  <c r="P931" i="1"/>
  <c r="Q932" i="1"/>
  <c r="P932" i="1"/>
  <c r="Q933" i="1"/>
  <c r="P933" i="1"/>
  <c r="Q929" i="1"/>
  <c r="P929" i="1"/>
  <c r="Q928" i="1"/>
  <c r="P928" i="1"/>
  <c r="Q927" i="1"/>
  <c r="P927" i="1"/>
  <c r="H927" i="1"/>
  <c r="H928" i="1"/>
  <c r="H929" i="1"/>
  <c r="J927" i="1"/>
  <c r="J928" i="1"/>
  <c r="J929" i="1"/>
  <c r="H926" i="1"/>
  <c r="J926" i="1"/>
  <c r="Q926" i="1"/>
  <c r="P926" i="1"/>
  <c r="H930" i="1"/>
  <c r="J930" i="1"/>
  <c r="Q930" i="1"/>
  <c r="P930" i="1"/>
  <c r="H925" i="1"/>
  <c r="J925" i="1"/>
  <c r="Q925" i="1"/>
  <c r="P925" i="1"/>
  <c r="H924" i="1"/>
  <c r="J924" i="1"/>
  <c r="Q924" i="1"/>
  <c r="P924" i="1"/>
  <c r="H923" i="1"/>
  <c r="J923" i="1"/>
  <c r="Q923" i="1"/>
  <c r="P923" i="1"/>
  <c r="H922" i="1"/>
  <c r="J922" i="1"/>
  <c r="Q922" i="1"/>
  <c r="P922" i="1"/>
  <c r="H921" i="1"/>
  <c r="J921" i="1"/>
  <c r="Q921" i="1"/>
  <c r="P921" i="1"/>
  <c r="H920" i="1"/>
  <c r="J920" i="1"/>
  <c r="Q920" i="1"/>
  <c r="P920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/>
  <c r="Q910" i="1"/>
  <c r="P910" i="1"/>
  <c r="Q911" i="1"/>
  <c r="P911" i="1"/>
  <c r="Q912" i="1"/>
  <c r="P912" i="1"/>
  <c r="Q913" i="1"/>
  <c r="P913" i="1"/>
  <c r="Q914" i="1"/>
  <c r="P914" i="1"/>
  <c r="Q915" i="1"/>
  <c r="P915" i="1"/>
  <c r="Q916" i="1"/>
  <c r="P916" i="1"/>
  <c r="Q917" i="1"/>
  <c r="P917" i="1"/>
  <c r="Q918" i="1"/>
  <c r="P918" i="1"/>
  <c r="Q919" i="1"/>
  <c r="P919" i="1"/>
  <c r="H907" i="1"/>
  <c r="J907" i="1"/>
  <c r="Q907" i="1"/>
  <c r="P907" i="1"/>
  <c r="H883" i="1"/>
  <c r="J883" i="1"/>
  <c r="Q883" i="1"/>
  <c r="P883" i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/>
  <c r="H906" i="1"/>
  <c r="J906" i="1"/>
  <c r="Q906" i="1"/>
  <c r="P906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/>
  <c r="Q899" i="1"/>
  <c r="P899" i="1"/>
  <c r="Q900" i="1"/>
  <c r="P900" i="1"/>
  <c r="Q901" i="1"/>
  <c r="P901" i="1"/>
  <c r="Q902" i="1"/>
  <c r="P902" i="1"/>
  <c r="Q903" i="1"/>
  <c r="P903" i="1"/>
  <c r="Q904" i="1"/>
  <c r="P904" i="1"/>
  <c r="Q905" i="1"/>
  <c r="P905" i="1"/>
  <c r="H897" i="1"/>
  <c r="J897" i="1"/>
  <c r="Q897" i="1"/>
  <c r="P897" i="1"/>
  <c r="H891" i="1"/>
  <c r="H892" i="1"/>
  <c r="H893" i="1"/>
  <c r="H894" i="1"/>
  <c r="J891" i="1"/>
  <c r="J892" i="1"/>
  <c r="J893" i="1"/>
  <c r="J894" i="1"/>
  <c r="Q891" i="1"/>
  <c r="P891" i="1"/>
  <c r="Q892" i="1"/>
  <c r="P892" i="1"/>
  <c r="Q893" i="1"/>
  <c r="P893" i="1"/>
  <c r="Q894" i="1"/>
  <c r="P894" i="1"/>
  <c r="H895" i="1"/>
  <c r="J895" i="1"/>
  <c r="Q895" i="1"/>
  <c r="P895" i="1"/>
  <c r="H896" i="1"/>
  <c r="J896" i="1"/>
  <c r="Q896" i="1"/>
  <c r="P896" i="1"/>
  <c r="H886" i="1"/>
  <c r="H887" i="1"/>
  <c r="H888" i="1"/>
  <c r="H889" i="1"/>
  <c r="Q886" i="1"/>
  <c r="P886" i="1"/>
  <c r="Q887" i="1"/>
  <c r="P887" i="1"/>
  <c r="Q888" i="1"/>
  <c r="P888" i="1"/>
  <c r="Q889" i="1"/>
  <c r="P889" i="1"/>
  <c r="H890" i="1"/>
  <c r="J890" i="1"/>
  <c r="Q890" i="1"/>
  <c r="P890" i="1"/>
  <c r="H832" i="1"/>
  <c r="Q832" i="1"/>
  <c r="P832" i="1"/>
  <c r="J832" i="1"/>
  <c r="H884" i="1"/>
  <c r="H885" i="1"/>
  <c r="J884" i="1"/>
  <c r="J885" i="1"/>
  <c r="Q884" i="1"/>
  <c r="P884" i="1"/>
  <c r="Q885" i="1"/>
  <c r="P885" i="1"/>
  <c r="H882" i="1"/>
  <c r="J882" i="1"/>
  <c r="Q882" i="1"/>
  <c r="P882" i="1"/>
  <c r="H881" i="1"/>
  <c r="J881" i="1"/>
  <c r="Q881" i="1"/>
  <c r="P881" i="1"/>
  <c r="Q851" i="1"/>
  <c r="P851" i="1"/>
  <c r="Q850" i="1"/>
  <c r="P850" i="1"/>
  <c r="Q849" i="1"/>
  <c r="P849" i="1"/>
  <c r="Q848" i="1"/>
  <c r="P848" i="1"/>
  <c r="Q847" i="1"/>
  <c r="P847" i="1"/>
  <c r="Q846" i="1"/>
  <c r="P846" i="1"/>
  <c r="Q845" i="1"/>
  <c r="P845" i="1"/>
  <c r="Q844" i="1"/>
  <c r="P844" i="1"/>
  <c r="Q843" i="1"/>
  <c r="P843" i="1"/>
  <c r="Q842" i="1"/>
  <c r="P842" i="1"/>
  <c r="Q841" i="1"/>
  <c r="P841" i="1"/>
  <c r="Q840" i="1"/>
  <c r="P840" i="1"/>
  <c r="Q839" i="1"/>
  <c r="P839" i="1"/>
  <c r="Q838" i="1"/>
  <c r="P838" i="1"/>
  <c r="Q837" i="1"/>
  <c r="P837" i="1"/>
  <c r="Q836" i="1"/>
  <c r="P836" i="1"/>
  <c r="Q835" i="1"/>
  <c r="P835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/>
  <c r="H852" i="1"/>
  <c r="H853" i="1"/>
  <c r="H854" i="1"/>
  <c r="J852" i="1"/>
  <c r="J853" i="1"/>
  <c r="J854" i="1"/>
  <c r="Q852" i="1"/>
  <c r="P852" i="1"/>
  <c r="Q853" i="1"/>
  <c r="P853" i="1"/>
  <c r="Q854" i="1"/>
  <c r="P854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/>
  <c r="Q856" i="1"/>
  <c r="P856" i="1"/>
  <c r="Q857" i="1"/>
  <c r="P857" i="1"/>
  <c r="Q858" i="1"/>
  <c r="P858" i="1"/>
  <c r="Q859" i="1"/>
  <c r="P859" i="1"/>
  <c r="Q860" i="1"/>
  <c r="P860" i="1"/>
  <c r="Q879" i="1"/>
  <c r="P879" i="1"/>
  <c r="Q878" i="1"/>
  <c r="P878" i="1"/>
  <c r="Q877" i="1"/>
  <c r="P877" i="1"/>
  <c r="Q876" i="1"/>
  <c r="P876" i="1"/>
  <c r="Q875" i="1"/>
  <c r="P875" i="1"/>
  <c r="Q874" i="1"/>
  <c r="P874" i="1"/>
  <c r="Q873" i="1"/>
  <c r="P873" i="1"/>
  <c r="Q872" i="1"/>
  <c r="P872" i="1"/>
  <c r="Q871" i="1"/>
  <c r="P871" i="1"/>
  <c r="Q870" i="1"/>
  <c r="P870" i="1"/>
  <c r="Q869" i="1"/>
  <c r="P869" i="1"/>
  <c r="Q868" i="1"/>
  <c r="P868" i="1"/>
  <c r="Q867" i="1"/>
  <c r="P867" i="1"/>
  <c r="Q865" i="1"/>
  <c r="P865" i="1"/>
  <c r="Q864" i="1"/>
  <c r="P864" i="1"/>
  <c r="Q863" i="1"/>
  <c r="P863" i="1"/>
  <c r="Q862" i="1"/>
  <c r="P862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/>
  <c r="H880" i="1"/>
  <c r="J880" i="1"/>
  <c r="Q880" i="1"/>
  <c r="P880" i="1"/>
  <c r="H831" i="1"/>
  <c r="J831" i="1"/>
  <c r="Q831" i="1"/>
  <c r="P831" i="1"/>
  <c r="H833" i="1"/>
  <c r="Q833" i="1"/>
  <c r="P833" i="1"/>
  <c r="H808" i="1"/>
  <c r="H809" i="1"/>
  <c r="H810" i="1"/>
  <c r="H811" i="1"/>
  <c r="H812" i="1"/>
  <c r="J808" i="1"/>
  <c r="J809" i="1"/>
  <c r="J810" i="1"/>
  <c r="J811" i="1"/>
  <c r="J812" i="1"/>
  <c r="Q808" i="1"/>
  <c r="P808" i="1"/>
  <c r="Q809" i="1"/>
  <c r="P809" i="1"/>
  <c r="Q810" i="1"/>
  <c r="P810" i="1"/>
  <c r="Q811" i="1"/>
  <c r="P811" i="1"/>
  <c r="Q812" i="1"/>
  <c r="P812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/>
  <c r="Q815" i="1"/>
  <c r="P815" i="1"/>
  <c r="Q816" i="1"/>
  <c r="P816" i="1"/>
  <c r="Q817" i="1"/>
  <c r="P817" i="1"/>
  <c r="Q818" i="1"/>
  <c r="P818" i="1"/>
  <c r="Q819" i="1"/>
  <c r="P819" i="1"/>
  <c r="Q820" i="1"/>
  <c r="P820" i="1"/>
  <c r="Q821" i="1"/>
  <c r="P821" i="1"/>
  <c r="Q822" i="1"/>
  <c r="P822" i="1"/>
  <c r="Q823" i="1"/>
  <c r="P823" i="1"/>
  <c r="Q824" i="1"/>
  <c r="P824" i="1"/>
  <c r="Q825" i="1"/>
  <c r="P825" i="1"/>
  <c r="Q826" i="1"/>
  <c r="P826" i="1"/>
  <c r="Q827" i="1"/>
  <c r="P827" i="1"/>
  <c r="Q828" i="1"/>
  <c r="P828" i="1"/>
  <c r="Q829" i="1"/>
  <c r="P829" i="1"/>
  <c r="Q830" i="1"/>
  <c r="P830" i="1"/>
  <c r="H813" i="1"/>
  <c r="J813" i="1"/>
  <c r="Q813" i="1"/>
  <c r="P813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/>
  <c r="Q765" i="1"/>
  <c r="P765" i="1"/>
  <c r="Q766" i="1"/>
  <c r="P766" i="1"/>
  <c r="Q767" i="1"/>
  <c r="P767" i="1"/>
  <c r="Q768" i="1"/>
  <c r="P768" i="1"/>
  <c r="Q769" i="1"/>
  <c r="P769" i="1"/>
  <c r="Q770" i="1"/>
  <c r="P770" i="1"/>
  <c r="Q771" i="1"/>
  <c r="P771" i="1"/>
  <c r="Q773" i="1"/>
  <c r="P773" i="1"/>
  <c r="Q772" i="1"/>
  <c r="P772" i="1"/>
  <c r="J773" i="1"/>
  <c r="J772" i="1"/>
  <c r="H773" i="1"/>
  <c r="H772" i="1"/>
  <c r="H774" i="1"/>
  <c r="J774" i="1"/>
  <c r="Q774" i="1"/>
  <c r="P774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/>
  <c r="Q776" i="1"/>
  <c r="P776" i="1"/>
  <c r="Q777" i="1"/>
  <c r="P777" i="1"/>
  <c r="Q778" i="1"/>
  <c r="P778" i="1"/>
  <c r="Q779" i="1"/>
  <c r="P779" i="1"/>
  <c r="Q780" i="1"/>
  <c r="P780" i="1"/>
  <c r="Q781" i="1"/>
  <c r="P781" i="1"/>
  <c r="Q782" i="1"/>
  <c r="P782" i="1"/>
  <c r="Q783" i="1"/>
  <c r="P783" i="1"/>
  <c r="Q784" i="1"/>
  <c r="P784" i="1"/>
  <c r="Q785" i="1"/>
  <c r="P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/>
  <c r="Q787" i="1"/>
  <c r="P787" i="1"/>
  <c r="Q788" i="1"/>
  <c r="P788" i="1"/>
  <c r="Q789" i="1"/>
  <c r="P789" i="1"/>
  <c r="Q790" i="1"/>
  <c r="P790" i="1"/>
  <c r="Q791" i="1"/>
  <c r="P791" i="1"/>
  <c r="Q792" i="1"/>
  <c r="P792" i="1"/>
  <c r="Q793" i="1"/>
  <c r="P793" i="1"/>
  <c r="Q794" i="1"/>
  <c r="P794" i="1"/>
  <c r="Q795" i="1"/>
  <c r="P795" i="1"/>
  <c r="Q796" i="1"/>
  <c r="P796" i="1"/>
  <c r="Q797" i="1"/>
  <c r="P797" i="1"/>
  <c r="Q798" i="1"/>
  <c r="P798" i="1"/>
  <c r="Q799" i="1"/>
  <c r="P799" i="1"/>
  <c r="Q800" i="1"/>
  <c r="P800" i="1"/>
  <c r="Q801" i="1"/>
  <c r="P801" i="1"/>
  <c r="Q802" i="1"/>
  <c r="P802" i="1"/>
  <c r="Q803" i="1"/>
  <c r="P803" i="1"/>
  <c r="Q804" i="1"/>
  <c r="P804" i="1"/>
  <c r="Q805" i="1"/>
  <c r="P805" i="1"/>
  <c r="Q806" i="1"/>
  <c r="P806" i="1"/>
  <c r="Q807" i="1"/>
  <c r="P807" i="1"/>
  <c r="H761" i="1"/>
  <c r="J761" i="1"/>
  <c r="Q761" i="1"/>
  <c r="P761" i="1"/>
  <c r="H762" i="1"/>
  <c r="H763" i="1"/>
  <c r="J762" i="1"/>
  <c r="J763" i="1"/>
  <c r="Q762" i="1"/>
  <c r="P762" i="1"/>
  <c r="Q763" i="1"/>
  <c r="P763" i="1"/>
  <c r="H755" i="1"/>
  <c r="J755" i="1"/>
  <c r="Q755" i="1"/>
  <c r="P755" i="1"/>
  <c r="H754" i="1"/>
  <c r="J754" i="1"/>
  <c r="Q754" i="1"/>
  <c r="P754" i="1"/>
  <c r="H757" i="1"/>
  <c r="H758" i="1"/>
  <c r="H759" i="1"/>
  <c r="J757" i="1"/>
  <c r="J758" i="1"/>
  <c r="J759" i="1"/>
  <c r="Q757" i="1"/>
  <c r="P757" i="1"/>
  <c r="Q758" i="1"/>
  <c r="P758" i="1"/>
  <c r="Q759" i="1"/>
  <c r="P759" i="1"/>
  <c r="H756" i="1"/>
  <c r="J756" i="1"/>
  <c r="Q756" i="1"/>
  <c r="P756" i="1"/>
  <c r="H760" i="1"/>
  <c r="J760" i="1"/>
  <c r="Q760" i="1"/>
  <c r="P760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/>
  <c r="Q740" i="1"/>
  <c r="P740" i="1"/>
  <c r="Q741" i="1"/>
  <c r="P741" i="1"/>
  <c r="Q742" i="1"/>
  <c r="P742" i="1"/>
  <c r="Q743" i="1"/>
  <c r="P743" i="1"/>
  <c r="Q744" i="1"/>
  <c r="P744" i="1"/>
  <c r="Q745" i="1"/>
  <c r="P745" i="1"/>
  <c r="Q746" i="1"/>
  <c r="P746" i="1"/>
  <c r="Q747" i="1"/>
  <c r="P747" i="1"/>
  <c r="Q748" i="1"/>
  <c r="P748" i="1"/>
  <c r="Q749" i="1"/>
  <c r="P749" i="1"/>
  <c r="Q750" i="1"/>
  <c r="P750" i="1"/>
  <c r="Q751" i="1"/>
  <c r="P751" i="1"/>
  <c r="Q752" i="1"/>
  <c r="P752" i="1"/>
  <c r="Q753" i="1"/>
  <c r="P753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/>
  <c r="Q677" i="1"/>
  <c r="P677" i="1"/>
  <c r="Q678" i="1"/>
  <c r="P678" i="1"/>
  <c r="Q679" i="1"/>
  <c r="P679" i="1"/>
  <c r="Q680" i="1"/>
  <c r="P680" i="1"/>
  <c r="Q681" i="1"/>
  <c r="P681" i="1"/>
  <c r="Q682" i="1"/>
  <c r="P682" i="1"/>
  <c r="Q683" i="1"/>
  <c r="P683" i="1"/>
  <c r="Q684" i="1"/>
  <c r="P684" i="1"/>
  <c r="Q685" i="1"/>
  <c r="P685" i="1"/>
  <c r="Q686" i="1"/>
  <c r="P686" i="1"/>
  <c r="Q687" i="1"/>
  <c r="P687" i="1"/>
  <c r="Q688" i="1"/>
  <c r="P688" i="1"/>
  <c r="Q689" i="1"/>
  <c r="P689" i="1"/>
  <c r="Q735" i="1"/>
  <c r="P735" i="1"/>
  <c r="Q734" i="1"/>
  <c r="P734" i="1"/>
  <c r="Q733" i="1"/>
  <c r="P733" i="1"/>
  <c r="Q732" i="1"/>
  <c r="P732" i="1"/>
  <c r="Q731" i="1"/>
  <c r="P731" i="1"/>
  <c r="Q730" i="1"/>
  <c r="P730" i="1"/>
  <c r="Q729" i="1"/>
  <c r="P729" i="1"/>
  <c r="Q728" i="1"/>
  <c r="P728" i="1"/>
  <c r="Q727" i="1"/>
  <c r="P727" i="1"/>
  <c r="Q726" i="1"/>
  <c r="P726" i="1"/>
  <c r="Q725" i="1"/>
  <c r="P725" i="1"/>
  <c r="Q724" i="1"/>
  <c r="P724" i="1"/>
  <c r="Q723" i="1"/>
  <c r="P723" i="1"/>
  <c r="Q722" i="1"/>
  <c r="P722" i="1"/>
  <c r="Q721" i="1"/>
  <c r="P721" i="1"/>
  <c r="Q720" i="1"/>
  <c r="P720" i="1"/>
  <c r="Q719" i="1"/>
  <c r="P719" i="1"/>
  <c r="Q718" i="1"/>
  <c r="P718" i="1"/>
  <c r="Q717" i="1"/>
  <c r="P717" i="1"/>
  <c r="Q716" i="1"/>
  <c r="P716" i="1"/>
  <c r="Q715" i="1"/>
  <c r="P715" i="1"/>
  <c r="Q714" i="1"/>
  <c r="P714" i="1"/>
  <c r="Q713" i="1"/>
  <c r="P713" i="1"/>
  <c r="Q712" i="1"/>
  <c r="P712" i="1"/>
  <c r="Q711" i="1"/>
  <c r="P711" i="1"/>
  <c r="Q710" i="1"/>
  <c r="P710" i="1"/>
  <c r="Q709" i="1"/>
  <c r="P709" i="1"/>
  <c r="Q708" i="1"/>
  <c r="P708" i="1"/>
  <c r="Q707" i="1"/>
  <c r="P707" i="1"/>
  <c r="Q706" i="1"/>
  <c r="P706" i="1"/>
  <c r="Q705" i="1"/>
  <c r="P705" i="1"/>
  <c r="Q704" i="1"/>
  <c r="P704" i="1"/>
  <c r="Q703" i="1"/>
  <c r="P703" i="1"/>
  <c r="Q702" i="1"/>
  <c r="P702" i="1"/>
  <c r="Q701" i="1"/>
  <c r="P701" i="1"/>
  <c r="Q700" i="1"/>
  <c r="P700" i="1"/>
  <c r="Q699" i="1"/>
  <c r="P699" i="1"/>
  <c r="Q698" i="1"/>
  <c r="P698" i="1"/>
  <c r="Q697" i="1"/>
  <c r="P697" i="1"/>
  <c r="Q696" i="1"/>
  <c r="P696" i="1"/>
  <c r="Q695" i="1"/>
  <c r="P695" i="1"/>
  <c r="Q694" i="1"/>
  <c r="P694" i="1"/>
  <c r="Q693" i="1"/>
  <c r="P693" i="1"/>
  <c r="Q692" i="1"/>
  <c r="P692" i="1"/>
  <c r="Q691" i="1"/>
  <c r="P691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/>
  <c r="Q738" i="1"/>
  <c r="P738" i="1"/>
  <c r="Q737" i="1"/>
  <c r="P737" i="1"/>
  <c r="H737" i="1"/>
  <c r="H738" i="1"/>
  <c r="J737" i="1"/>
  <c r="J738" i="1"/>
  <c r="H736" i="1"/>
  <c r="J736" i="1"/>
  <c r="Q736" i="1"/>
  <c r="P736" i="1"/>
  <c r="H663" i="1"/>
  <c r="H664" i="1"/>
  <c r="H665" i="1"/>
  <c r="J663" i="1"/>
  <c r="J664" i="1"/>
  <c r="J665" i="1"/>
  <c r="Q663" i="1"/>
  <c r="P663" i="1"/>
  <c r="Q664" i="1"/>
  <c r="P664" i="1"/>
  <c r="Q665" i="1"/>
  <c r="P665" i="1"/>
  <c r="H662" i="1"/>
  <c r="J662" i="1"/>
  <c r="Q662" i="1"/>
  <c r="P662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/>
  <c r="Q668" i="1"/>
  <c r="P668" i="1"/>
  <c r="Q669" i="1"/>
  <c r="P669" i="1"/>
  <c r="Q670" i="1"/>
  <c r="P670" i="1"/>
  <c r="Q671" i="1"/>
  <c r="P671" i="1"/>
  <c r="Q672" i="1"/>
  <c r="P672" i="1"/>
  <c r="Q673" i="1"/>
  <c r="P673" i="1"/>
  <c r="Q674" i="1"/>
  <c r="P674" i="1"/>
  <c r="Q675" i="1"/>
  <c r="P675" i="1"/>
  <c r="H666" i="1"/>
  <c r="J666" i="1"/>
  <c r="Q666" i="1"/>
  <c r="P666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/>
  <c r="Q654" i="1"/>
  <c r="P654" i="1"/>
  <c r="Q655" i="1"/>
  <c r="P655" i="1"/>
  <c r="Q656" i="1"/>
  <c r="P656" i="1"/>
  <c r="Q657" i="1"/>
  <c r="P657" i="1"/>
  <c r="Q658" i="1"/>
  <c r="P658" i="1"/>
  <c r="Q659" i="1"/>
  <c r="P659" i="1"/>
  <c r="Q660" i="1"/>
  <c r="P660" i="1"/>
  <c r="Q661" i="1"/>
  <c r="P661" i="1"/>
  <c r="H652" i="1"/>
  <c r="J652" i="1"/>
  <c r="Q652" i="1"/>
  <c r="P652" i="1"/>
  <c r="H643" i="1"/>
  <c r="J643" i="1"/>
  <c r="Q643" i="1"/>
  <c r="P643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/>
  <c r="Q645" i="1"/>
  <c r="P645" i="1"/>
  <c r="Q646" i="1"/>
  <c r="P646" i="1"/>
  <c r="Q647" i="1"/>
  <c r="P647" i="1"/>
  <c r="Q648" i="1"/>
  <c r="P648" i="1"/>
  <c r="Q649" i="1"/>
  <c r="P649" i="1"/>
  <c r="Q650" i="1"/>
  <c r="P650" i="1"/>
  <c r="H651" i="1"/>
  <c r="J651" i="1"/>
  <c r="Q651" i="1"/>
  <c r="P651" i="1"/>
  <c r="H642" i="1"/>
  <c r="J642" i="1"/>
  <c r="Q642" i="1"/>
  <c r="P642" i="1"/>
  <c r="H641" i="1"/>
  <c r="J641" i="1"/>
  <c r="Q641" i="1"/>
  <c r="P641" i="1"/>
  <c r="H640" i="1"/>
  <c r="J640" i="1"/>
  <c r="Q640" i="1"/>
  <c r="P640" i="1"/>
  <c r="H633" i="1"/>
  <c r="H634" i="1"/>
  <c r="J633" i="1"/>
  <c r="J634" i="1"/>
  <c r="Q633" i="1"/>
  <c r="P633" i="1"/>
  <c r="Q634" i="1"/>
  <c r="P634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/>
  <c r="Q625" i="1"/>
  <c r="P625" i="1"/>
  <c r="Q626" i="1"/>
  <c r="P626" i="1"/>
  <c r="Q627" i="1"/>
  <c r="P627" i="1"/>
  <c r="Q628" i="1"/>
  <c r="P628" i="1"/>
  <c r="Q629" i="1"/>
  <c r="P629" i="1"/>
  <c r="Q630" i="1"/>
  <c r="P630" i="1"/>
  <c r="Q631" i="1"/>
  <c r="P631" i="1"/>
  <c r="Q632" i="1"/>
  <c r="P632" i="1"/>
  <c r="H623" i="1"/>
  <c r="J623" i="1"/>
  <c r="Q623" i="1"/>
  <c r="P623" i="1"/>
  <c r="H636" i="1"/>
  <c r="H637" i="1"/>
  <c r="H638" i="1"/>
  <c r="H639" i="1"/>
  <c r="J636" i="1"/>
  <c r="J637" i="1"/>
  <c r="J638" i="1"/>
  <c r="J639" i="1"/>
  <c r="Q636" i="1"/>
  <c r="P636" i="1"/>
  <c r="Q637" i="1"/>
  <c r="P637" i="1"/>
  <c r="Q638" i="1"/>
  <c r="P638" i="1"/>
  <c r="Q639" i="1"/>
  <c r="P639" i="1"/>
  <c r="H635" i="1"/>
  <c r="J635" i="1"/>
  <c r="Q635" i="1"/>
  <c r="P635" i="1"/>
  <c r="H377" i="1"/>
  <c r="J377" i="1"/>
  <c r="Q377" i="1"/>
  <c r="P377" i="1"/>
  <c r="H382" i="1"/>
  <c r="J382" i="1"/>
  <c r="Q382" i="1"/>
  <c r="P382" i="1"/>
  <c r="H499" i="1"/>
  <c r="J499" i="1"/>
  <c r="Q499" i="1"/>
  <c r="P499" i="1"/>
  <c r="H500" i="1"/>
  <c r="J500" i="1"/>
  <c r="Q500" i="1"/>
  <c r="P500" i="1"/>
  <c r="H501" i="1"/>
  <c r="J501" i="1"/>
  <c r="Q501" i="1"/>
  <c r="P501" i="1"/>
  <c r="H502" i="1"/>
  <c r="J502" i="1"/>
  <c r="Q502" i="1"/>
  <c r="P502" i="1"/>
  <c r="H503" i="1"/>
  <c r="J503" i="1"/>
  <c r="Q503" i="1"/>
  <c r="P503" i="1"/>
  <c r="H504" i="1"/>
  <c r="J504" i="1"/>
  <c r="Q504" i="1"/>
  <c r="P504" i="1"/>
  <c r="H505" i="1"/>
  <c r="J505" i="1"/>
  <c r="Q505" i="1"/>
  <c r="P505" i="1"/>
  <c r="H506" i="1"/>
  <c r="J506" i="1"/>
  <c r="Q506" i="1"/>
  <c r="P506" i="1"/>
  <c r="H507" i="1"/>
  <c r="J507" i="1"/>
  <c r="Q507" i="1"/>
  <c r="P507" i="1"/>
  <c r="H508" i="1"/>
  <c r="J508" i="1"/>
  <c r="Q508" i="1"/>
  <c r="P508" i="1"/>
  <c r="H514" i="1"/>
  <c r="J514" i="1"/>
  <c r="Q514" i="1"/>
  <c r="P514" i="1"/>
  <c r="H515" i="1"/>
  <c r="J515" i="1"/>
  <c r="Q515" i="1"/>
  <c r="P515" i="1"/>
  <c r="H516" i="1"/>
  <c r="J516" i="1"/>
  <c r="Q516" i="1"/>
  <c r="P516" i="1"/>
  <c r="H517" i="1"/>
  <c r="J517" i="1"/>
  <c r="Q517" i="1"/>
  <c r="P517" i="1"/>
  <c r="H518" i="1"/>
  <c r="J518" i="1"/>
  <c r="Q518" i="1"/>
  <c r="P518" i="1"/>
  <c r="H519" i="1"/>
  <c r="J519" i="1"/>
  <c r="Q519" i="1"/>
  <c r="P519" i="1"/>
  <c r="H520" i="1"/>
  <c r="J520" i="1"/>
  <c r="Q520" i="1"/>
  <c r="P520" i="1"/>
  <c r="H521" i="1"/>
  <c r="J521" i="1"/>
  <c r="Q521" i="1"/>
  <c r="P521" i="1"/>
  <c r="H522" i="1"/>
  <c r="J522" i="1"/>
  <c r="Q522" i="1"/>
  <c r="P522" i="1"/>
  <c r="H523" i="1"/>
  <c r="J523" i="1"/>
  <c r="Q523" i="1"/>
  <c r="P523" i="1"/>
  <c r="H524" i="1"/>
  <c r="J524" i="1"/>
  <c r="Q524" i="1"/>
  <c r="P524" i="1"/>
  <c r="H525" i="1"/>
  <c r="J525" i="1"/>
  <c r="Q525" i="1"/>
  <c r="P525" i="1"/>
  <c r="H526" i="1"/>
  <c r="J526" i="1"/>
  <c r="Q526" i="1"/>
  <c r="P526" i="1"/>
  <c r="H527" i="1"/>
  <c r="J527" i="1"/>
  <c r="Q527" i="1"/>
  <c r="P527" i="1"/>
  <c r="H528" i="1"/>
  <c r="J528" i="1"/>
  <c r="Q528" i="1"/>
  <c r="P528" i="1"/>
  <c r="H529" i="1"/>
  <c r="J529" i="1"/>
  <c r="Q529" i="1"/>
  <c r="P529" i="1"/>
  <c r="H530" i="1"/>
  <c r="J530" i="1"/>
  <c r="Q530" i="1"/>
  <c r="P530" i="1"/>
  <c r="H531" i="1"/>
  <c r="J531" i="1"/>
  <c r="Q531" i="1"/>
  <c r="P531" i="1"/>
  <c r="H532" i="1"/>
  <c r="J532" i="1"/>
  <c r="Q532" i="1"/>
  <c r="P532" i="1"/>
  <c r="H533" i="1"/>
  <c r="J533" i="1"/>
  <c r="Q533" i="1"/>
  <c r="P533" i="1"/>
  <c r="H534" i="1"/>
  <c r="J534" i="1"/>
  <c r="Q534" i="1"/>
  <c r="P534" i="1"/>
  <c r="H535" i="1"/>
  <c r="J535" i="1"/>
  <c r="Q535" i="1"/>
  <c r="P535" i="1"/>
  <c r="H536" i="1"/>
  <c r="J536" i="1"/>
  <c r="Q536" i="1"/>
  <c r="P536" i="1"/>
  <c r="H537" i="1"/>
  <c r="J537" i="1"/>
  <c r="Q537" i="1"/>
  <c r="P537" i="1"/>
  <c r="H538" i="1"/>
  <c r="J538" i="1"/>
  <c r="Q538" i="1"/>
  <c r="P538" i="1"/>
  <c r="H539" i="1"/>
  <c r="J539" i="1"/>
  <c r="Q539" i="1"/>
  <c r="P539" i="1"/>
  <c r="H540" i="1"/>
  <c r="J540" i="1"/>
  <c r="Q540" i="1"/>
  <c r="P540" i="1"/>
  <c r="H541" i="1"/>
  <c r="J541" i="1"/>
  <c r="Q541" i="1"/>
  <c r="P541" i="1"/>
  <c r="H542" i="1"/>
  <c r="J542" i="1"/>
  <c r="Q542" i="1"/>
  <c r="P542" i="1"/>
  <c r="H543" i="1"/>
  <c r="J543" i="1"/>
  <c r="Q543" i="1"/>
  <c r="P543" i="1"/>
  <c r="H544" i="1"/>
  <c r="J544" i="1"/>
  <c r="Q544" i="1"/>
  <c r="P544" i="1"/>
  <c r="H545" i="1"/>
  <c r="J545" i="1"/>
  <c r="Q545" i="1"/>
  <c r="P545" i="1"/>
  <c r="H546" i="1"/>
  <c r="J546" i="1"/>
  <c r="Q546" i="1"/>
  <c r="P546" i="1"/>
  <c r="H547" i="1"/>
  <c r="J547" i="1"/>
  <c r="Q547" i="1"/>
  <c r="P547" i="1"/>
  <c r="H548" i="1"/>
  <c r="J548" i="1"/>
  <c r="Q548" i="1"/>
  <c r="P548" i="1"/>
  <c r="H549" i="1"/>
  <c r="J549" i="1"/>
  <c r="Q549" i="1"/>
  <c r="P549" i="1"/>
  <c r="H550" i="1"/>
  <c r="J550" i="1"/>
  <c r="Q550" i="1"/>
  <c r="P550" i="1"/>
  <c r="H551" i="1"/>
  <c r="J551" i="1"/>
  <c r="Q551" i="1"/>
  <c r="P551" i="1"/>
  <c r="H552" i="1"/>
  <c r="J552" i="1"/>
  <c r="Q552" i="1"/>
  <c r="P552" i="1"/>
  <c r="H553" i="1"/>
  <c r="J553" i="1"/>
  <c r="Q553" i="1"/>
  <c r="P553" i="1"/>
  <c r="H554" i="1"/>
  <c r="J554" i="1"/>
  <c r="Q554" i="1"/>
  <c r="P554" i="1"/>
  <c r="H555" i="1"/>
  <c r="J555" i="1"/>
  <c r="Q555" i="1"/>
  <c r="P555" i="1"/>
  <c r="H556" i="1"/>
  <c r="J556" i="1"/>
  <c r="Q556" i="1"/>
  <c r="P556" i="1"/>
  <c r="H557" i="1"/>
  <c r="J557" i="1"/>
  <c r="Q557" i="1"/>
  <c r="P557" i="1"/>
  <c r="H558" i="1"/>
  <c r="J558" i="1"/>
  <c r="Q558" i="1"/>
  <c r="P558" i="1"/>
  <c r="H559" i="1"/>
  <c r="J559" i="1"/>
  <c r="Q559" i="1"/>
  <c r="P559" i="1"/>
  <c r="H560" i="1"/>
  <c r="J560" i="1"/>
  <c r="Q560" i="1"/>
  <c r="P560" i="1"/>
  <c r="H561" i="1"/>
  <c r="J561" i="1"/>
  <c r="Q561" i="1"/>
  <c r="P561" i="1"/>
  <c r="H562" i="1"/>
  <c r="J562" i="1"/>
  <c r="Q562" i="1"/>
  <c r="P562" i="1"/>
  <c r="H563" i="1"/>
  <c r="J563" i="1"/>
  <c r="Q563" i="1"/>
  <c r="P563" i="1"/>
  <c r="H564" i="1"/>
  <c r="J564" i="1"/>
  <c r="Q564" i="1"/>
  <c r="P564" i="1"/>
  <c r="H565" i="1"/>
  <c r="J565" i="1"/>
  <c r="Q565" i="1"/>
  <c r="P565" i="1"/>
  <c r="H566" i="1"/>
  <c r="J566" i="1"/>
  <c r="Q566" i="1"/>
  <c r="P566" i="1"/>
  <c r="H567" i="1"/>
  <c r="J567" i="1"/>
  <c r="Q567" i="1"/>
  <c r="P567" i="1"/>
  <c r="H568" i="1"/>
  <c r="J568" i="1"/>
  <c r="Q568" i="1"/>
  <c r="P568" i="1"/>
  <c r="H569" i="1"/>
  <c r="J569" i="1"/>
  <c r="Q569" i="1"/>
  <c r="P569" i="1"/>
  <c r="H570" i="1"/>
  <c r="J570" i="1"/>
  <c r="Q570" i="1"/>
  <c r="P570" i="1"/>
  <c r="H571" i="1"/>
  <c r="J571" i="1"/>
  <c r="Q571" i="1"/>
  <c r="P571" i="1"/>
  <c r="H572" i="1"/>
  <c r="J572" i="1"/>
  <c r="Q572" i="1"/>
  <c r="P572" i="1"/>
  <c r="H573" i="1"/>
  <c r="J573" i="1"/>
  <c r="Q573" i="1"/>
  <c r="P573" i="1"/>
  <c r="H574" i="1"/>
  <c r="J574" i="1"/>
  <c r="Q574" i="1"/>
  <c r="P574" i="1"/>
  <c r="H575" i="1"/>
  <c r="J575" i="1"/>
  <c r="Q575" i="1"/>
  <c r="P575" i="1"/>
  <c r="H576" i="1"/>
  <c r="J576" i="1"/>
  <c r="Q576" i="1"/>
  <c r="P576" i="1"/>
  <c r="H577" i="1"/>
  <c r="J577" i="1"/>
  <c r="Q577" i="1"/>
  <c r="P577" i="1"/>
  <c r="H578" i="1"/>
  <c r="J578" i="1"/>
  <c r="Q578" i="1"/>
  <c r="P578" i="1"/>
  <c r="H579" i="1"/>
  <c r="J579" i="1"/>
  <c r="Q579" i="1"/>
  <c r="P579" i="1"/>
  <c r="H580" i="1"/>
  <c r="J580" i="1"/>
  <c r="Q580" i="1"/>
  <c r="P580" i="1"/>
  <c r="H581" i="1"/>
  <c r="J581" i="1"/>
  <c r="Q581" i="1"/>
  <c r="P581" i="1"/>
  <c r="H582" i="1"/>
  <c r="J582" i="1"/>
  <c r="Q582" i="1"/>
  <c r="P582" i="1"/>
  <c r="H583" i="1"/>
  <c r="J583" i="1"/>
  <c r="Q583" i="1"/>
  <c r="P583" i="1"/>
  <c r="H584" i="1"/>
  <c r="J584" i="1"/>
  <c r="Q584" i="1"/>
  <c r="P584" i="1"/>
  <c r="H585" i="1"/>
  <c r="J585" i="1"/>
  <c r="Q585" i="1"/>
  <c r="P585" i="1"/>
  <c r="H586" i="1"/>
  <c r="J586" i="1"/>
  <c r="Q586" i="1"/>
  <c r="P586" i="1"/>
  <c r="H587" i="1"/>
  <c r="J587" i="1"/>
  <c r="Q587" i="1"/>
  <c r="P587" i="1"/>
  <c r="H588" i="1"/>
  <c r="J588" i="1"/>
  <c r="Q588" i="1"/>
  <c r="P588" i="1"/>
  <c r="H589" i="1"/>
  <c r="J589" i="1"/>
  <c r="Q589" i="1"/>
  <c r="P589" i="1"/>
  <c r="H590" i="1"/>
  <c r="J590" i="1"/>
  <c r="Q590" i="1"/>
  <c r="P590" i="1"/>
  <c r="H591" i="1"/>
  <c r="J591" i="1"/>
  <c r="Q591" i="1"/>
  <c r="P591" i="1"/>
  <c r="H592" i="1"/>
  <c r="J592" i="1"/>
  <c r="Q592" i="1"/>
  <c r="P592" i="1"/>
  <c r="H593" i="1"/>
  <c r="J593" i="1"/>
  <c r="Q593" i="1"/>
  <c r="P593" i="1"/>
  <c r="H594" i="1"/>
  <c r="J594" i="1"/>
  <c r="Q594" i="1"/>
  <c r="P594" i="1"/>
  <c r="H595" i="1"/>
  <c r="J595" i="1"/>
  <c r="Q595" i="1"/>
  <c r="P595" i="1"/>
  <c r="H596" i="1"/>
  <c r="J596" i="1"/>
  <c r="Q596" i="1"/>
  <c r="P596" i="1"/>
  <c r="H597" i="1"/>
  <c r="J597" i="1"/>
  <c r="Q597" i="1"/>
  <c r="P597" i="1"/>
  <c r="H598" i="1"/>
  <c r="J598" i="1"/>
  <c r="Q598" i="1"/>
  <c r="P598" i="1"/>
  <c r="H599" i="1"/>
  <c r="J599" i="1"/>
  <c r="Q599" i="1"/>
  <c r="P599" i="1"/>
  <c r="H600" i="1"/>
  <c r="J600" i="1"/>
  <c r="Q600" i="1"/>
  <c r="P600" i="1"/>
  <c r="H601" i="1"/>
  <c r="J601" i="1"/>
  <c r="Q601" i="1"/>
  <c r="P601" i="1"/>
  <c r="H602" i="1"/>
  <c r="J602" i="1"/>
  <c r="Q602" i="1"/>
  <c r="P602" i="1"/>
  <c r="H603" i="1"/>
  <c r="J603" i="1"/>
  <c r="Q603" i="1"/>
  <c r="P603" i="1"/>
  <c r="H604" i="1"/>
  <c r="J604" i="1"/>
  <c r="Q604" i="1"/>
  <c r="P604" i="1"/>
  <c r="H605" i="1"/>
  <c r="J605" i="1"/>
  <c r="Q605" i="1"/>
  <c r="P605" i="1"/>
  <c r="H606" i="1"/>
  <c r="J606" i="1"/>
  <c r="Q606" i="1"/>
  <c r="P606" i="1"/>
  <c r="H607" i="1"/>
  <c r="J607" i="1"/>
  <c r="Q607" i="1"/>
  <c r="P607" i="1"/>
  <c r="H608" i="1"/>
  <c r="J608" i="1"/>
  <c r="Q608" i="1"/>
  <c r="P608" i="1"/>
  <c r="H609" i="1"/>
  <c r="J609" i="1"/>
  <c r="Q609" i="1"/>
  <c r="P609" i="1"/>
  <c r="H610" i="1"/>
  <c r="J610" i="1"/>
  <c r="Q610" i="1"/>
  <c r="P610" i="1"/>
  <c r="H611" i="1"/>
  <c r="J611" i="1"/>
  <c r="Q611" i="1"/>
  <c r="P611" i="1"/>
  <c r="H612" i="1"/>
  <c r="J612" i="1"/>
  <c r="Q612" i="1"/>
  <c r="P612" i="1"/>
  <c r="H613" i="1"/>
  <c r="J613" i="1"/>
  <c r="Q613" i="1"/>
  <c r="P613" i="1"/>
  <c r="H614" i="1"/>
  <c r="J614" i="1"/>
  <c r="Q614" i="1"/>
  <c r="P614" i="1"/>
  <c r="H615" i="1"/>
  <c r="J615" i="1"/>
  <c r="Q615" i="1"/>
  <c r="P615" i="1"/>
  <c r="H616" i="1"/>
  <c r="J616" i="1"/>
  <c r="Q616" i="1"/>
  <c r="P616" i="1"/>
  <c r="H617" i="1"/>
  <c r="J617" i="1"/>
  <c r="Q617" i="1"/>
  <c r="P617" i="1"/>
  <c r="H618" i="1"/>
  <c r="J618" i="1"/>
  <c r="Q618" i="1"/>
  <c r="P618" i="1"/>
  <c r="H619" i="1"/>
  <c r="J619" i="1"/>
  <c r="Q619" i="1"/>
  <c r="P619" i="1"/>
  <c r="H620" i="1"/>
  <c r="J620" i="1"/>
  <c r="Q620" i="1"/>
  <c r="P620" i="1"/>
  <c r="H621" i="1"/>
  <c r="J621" i="1"/>
  <c r="Q621" i="1"/>
  <c r="P621" i="1"/>
  <c r="H622" i="1"/>
  <c r="J622" i="1"/>
  <c r="Q622" i="1"/>
  <c r="P622" i="1"/>
  <c r="H513" i="1"/>
  <c r="J513" i="1"/>
  <c r="Q513" i="1"/>
  <c r="P513" i="1"/>
  <c r="H512" i="1"/>
  <c r="J512" i="1"/>
  <c r="Q512" i="1"/>
  <c r="P512" i="1"/>
  <c r="H511" i="1"/>
  <c r="J511" i="1"/>
  <c r="Q511" i="1"/>
  <c r="P511" i="1"/>
  <c r="H510" i="1"/>
  <c r="J510" i="1"/>
  <c r="Q510" i="1"/>
  <c r="P510" i="1"/>
  <c r="H509" i="1"/>
  <c r="J509" i="1"/>
  <c r="Q509" i="1"/>
  <c r="P509" i="1"/>
  <c r="H498" i="1"/>
  <c r="J498" i="1"/>
  <c r="Q498" i="1"/>
  <c r="P498" i="1"/>
  <c r="H2" i="1"/>
  <c r="J2" i="1"/>
  <c r="K2" i="1"/>
  <c r="Q2" i="1"/>
  <c r="P2" i="1"/>
  <c r="H3" i="1"/>
  <c r="J3" i="1"/>
  <c r="Q3" i="1"/>
  <c r="P3" i="1"/>
  <c r="H4" i="1"/>
  <c r="J4" i="1"/>
  <c r="Q4" i="1"/>
  <c r="P4" i="1"/>
  <c r="H5" i="1"/>
  <c r="J5" i="1"/>
  <c r="Q5" i="1"/>
  <c r="P5" i="1"/>
  <c r="H6" i="1"/>
  <c r="J6" i="1"/>
  <c r="Q6" i="1"/>
  <c r="P6" i="1"/>
  <c r="H7" i="1"/>
  <c r="J7" i="1"/>
  <c r="Q7" i="1"/>
  <c r="P7" i="1"/>
  <c r="H8" i="1"/>
  <c r="J8" i="1"/>
  <c r="Q8" i="1"/>
  <c r="P8" i="1"/>
  <c r="H9" i="1"/>
  <c r="J9" i="1"/>
  <c r="Q9" i="1"/>
  <c r="P9" i="1"/>
  <c r="H10" i="1"/>
  <c r="J10" i="1"/>
  <c r="Q10" i="1"/>
  <c r="P10" i="1"/>
  <c r="H496" i="1"/>
  <c r="H497" i="1"/>
  <c r="J496" i="1"/>
  <c r="J497" i="1"/>
  <c r="Q496" i="1"/>
  <c r="P496" i="1"/>
  <c r="Q497" i="1"/>
  <c r="P497" i="1"/>
  <c r="H495" i="1"/>
  <c r="J495" i="1"/>
  <c r="Q495" i="1"/>
  <c r="P495" i="1"/>
  <c r="H494" i="1"/>
  <c r="J494" i="1"/>
  <c r="Q494" i="1"/>
  <c r="P494" i="1"/>
  <c r="H493" i="1"/>
  <c r="J493" i="1"/>
  <c r="Q493" i="1"/>
  <c r="P493" i="1"/>
  <c r="H488" i="1"/>
  <c r="H489" i="1"/>
  <c r="H490" i="1"/>
  <c r="H491" i="1"/>
  <c r="H492" i="1"/>
  <c r="J488" i="1"/>
  <c r="J489" i="1"/>
  <c r="J490" i="1"/>
  <c r="J491" i="1"/>
  <c r="J492" i="1"/>
  <c r="Q488" i="1"/>
  <c r="P488" i="1"/>
  <c r="Q489" i="1"/>
  <c r="P489" i="1"/>
  <c r="Q490" i="1"/>
  <c r="P490" i="1"/>
  <c r="Q491" i="1"/>
  <c r="P491" i="1"/>
  <c r="Q492" i="1"/>
  <c r="P492" i="1"/>
  <c r="H430" i="1"/>
  <c r="H431" i="1"/>
  <c r="J430" i="1"/>
  <c r="J431" i="1"/>
  <c r="Q430" i="1"/>
  <c r="P430" i="1"/>
  <c r="Q431" i="1"/>
  <c r="P431" i="1"/>
  <c r="H429" i="1"/>
  <c r="J429" i="1"/>
  <c r="Q429" i="1"/>
  <c r="P429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/>
  <c r="Q434" i="1"/>
  <c r="P434" i="1"/>
  <c r="Q435" i="1"/>
  <c r="P435" i="1"/>
  <c r="Q436" i="1"/>
  <c r="P436" i="1"/>
  <c r="Q437" i="1"/>
  <c r="P437" i="1"/>
  <c r="Q438" i="1"/>
  <c r="P438" i="1"/>
  <c r="Q439" i="1"/>
  <c r="P439" i="1"/>
  <c r="Q440" i="1"/>
  <c r="P440" i="1"/>
  <c r="Q441" i="1"/>
  <c r="P441" i="1"/>
  <c r="Q442" i="1"/>
  <c r="P442" i="1"/>
  <c r="Q443" i="1"/>
  <c r="P443" i="1"/>
  <c r="Q444" i="1"/>
  <c r="P444" i="1"/>
  <c r="Q445" i="1"/>
  <c r="P445" i="1"/>
  <c r="Q446" i="1"/>
  <c r="P446" i="1"/>
  <c r="Q447" i="1"/>
  <c r="P447" i="1"/>
  <c r="Q448" i="1"/>
  <c r="P448" i="1"/>
  <c r="Q449" i="1"/>
  <c r="P449" i="1"/>
  <c r="Q450" i="1"/>
  <c r="P450" i="1"/>
  <c r="Q451" i="1"/>
  <c r="P451" i="1"/>
  <c r="Q452" i="1"/>
  <c r="P452" i="1"/>
  <c r="Q453" i="1"/>
  <c r="P453" i="1"/>
  <c r="Q454" i="1"/>
  <c r="P454" i="1"/>
  <c r="Q455" i="1"/>
  <c r="P455" i="1"/>
  <c r="Q456" i="1"/>
  <c r="P456" i="1"/>
  <c r="Q457" i="1"/>
  <c r="P457" i="1"/>
  <c r="Q458" i="1"/>
  <c r="P458" i="1"/>
  <c r="Q459" i="1"/>
  <c r="P459" i="1"/>
  <c r="Q460" i="1"/>
  <c r="P460" i="1"/>
  <c r="Q461" i="1"/>
  <c r="P461" i="1"/>
  <c r="Q462" i="1"/>
  <c r="P462" i="1"/>
  <c r="Q463" i="1"/>
  <c r="P463" i="1"/>
  <c r="Q464" i="1"/>
  <c r="P464" i="1"/>
  <c r="Q465" i="1"/>
  <c r="P465" i="1"/>
  <c r="Q466" i="1"/>
  <c r="P466" i="1"/>
  <c r="Q467" i="1"/>
  <c r="P467" i="1"/>
  <c r="Q468" i="1"/>
  <c r="P468" i="1"/>
  <c r="Q469" i="1"/>
  <c r="P469" i="1"/>
  <c r="Q470" i="1"/>
  <c r="P470" i="1"/>
  <c r="Q471" i="1"/>
  <c r="P471" i="1"/>
  <c r="Q472" i="1"/>
  <c r="P472" i="1"/>
  <c r="Q473" i="1"/>
  <c r="P473" i="1"/>
  <c r="Q474" i="1"/>
  <c r="P474" i="1"/>
  <c r="Q475" i="1"/>
  <c r="P475" i="1"/>
  <c r="Q476" i="1"/>
  <c r="P476" i="1"/>
  <c r="Q477" i="1"/>
  <c r="P477" i="1"/>
  <c r="Q478" i="1"/>
  <c r="P478" i="1"/>
  <c r="Q479" i="1"/>
  <c r="P479" i="1"/>
  <c r="Q480" i="1"/>
  <c r="P480" i="1"/>
  <c r="Q481" i="1"/>
  <c r="P481" i="1"/>
  <c r="Q482" i="1"/>
  <c r="P482" i="1"/>
  <c r="Q483" i="1"/>
  <c r="P483" i="1"/>
  <c r="Q484" i="1"/>
  <c r="P484" i="1"/>
  <c r="Q485" i="1"/>
  <c r="P485" i="1"/>
  <c r="Q486" i="1"/>
  <c r="P486" i="1"/>
  <c r="Q487" i="1"/>
  <c r="P487" i="1"/>
  <c r="H432" i="1"/>
  <c r="J432" i="1"/>
  <c r="Q432" i="1"/>
  <c r="P432" i="1"/>
  <c r="H384" i="1"/>
  <c r="H385" i="1"/>
  <c r="H386" i="1"/>
  <c r="J384" i="1"/>
  <c r="J385" i="1"/>
  <c r="J386" i="1"/>
  <c r="Q384" i="1"/>
  <c r="P384" i="1"/>
  <c r="Q385" i="1"/>
  <c r="P385" i="1"/>
  <c r="Q386" i="1"/>
  <c r="P386" i="1"/>
  <c r="H383" i="1"/>
  <c r="J383" i="1"/>
  <c r="Q383" i="1"/>
  <c r="P383" i="1"/>
  <c r="H387" i="1"/>
  <c r="J387" i="1"/>
  <c r="Q387" i="1"/>
  <c r="P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/>
  <c r="Q389" i="1"/>
  <c r="P389" i="1"/>
  <c r="Q390" i="1"/>
  <c r="P390" i="1"/>
  <c r="Q391" i="1"/>
  <c r="P391" i="1"/>
  <c r="Q392" i="1"/>
  <c r="P392" i="1"/>
  <c r="Q393" i="1"/>
  <c r="P393" i="1"/>
  <c r="Q394" i="1"/>
  <c r="P394" i="1"/>
  <c r="Q395" i="1"/>
  <c r="P395" i="1"/>
  <c r="Q396" i="1"/>
  <c r="P396" i="1"/>
  <c r="Q397" i="1"/>
  <c r="P397" i="1"/>
  <c r="Q398" i="1"/>
  <c r="P398" i="1"/>
  <c r="Q399" i="1"/>
  <c r="P399" i="1"/>
  <c r="Q400" i="1"/>
  <c r="P400" i="1"/>
  <c r="Q401" i="1"/>
  <c r="P401" i="1"/>
  <c r="Q402" i="1"/>
  <c r="P402" i="1"/>
  <c r="Q403" i="1"/>
  <c r="P403" i="1"/>
  <c r="Q404" i="1"/>
  <c r="P404" i="1"/>
  <c r="Q405" i="1"/>
  <c r="P405" i="1"/>
  <c r="Q406" i="1"/>
  <c r="P406" i="1"/>
  <c r="Q407" i="1"/>
  <c r="P407" i="1"/>
  <c r="Q408" i="1"/>
  <c r="P408" i="1"/>
  <c r="Q409" i="1"/>
  <c r="P409" i="1"/>
  <c r="Q410" i="1"/>
  <c r="P410" i="1"/>
  <c r="Q411" i="1"/>
  <c r="P411" i="1"/>
  <c r="Q412" i="1"/>
  <c r="P412" i="1"/>
  <c r="Q413" i="1"/>
  <c r="P413" i="1"/>
  <c r="Q414" i="1"/>
  <c r="P414" i="1"/>
  <c r="Q415" i="1"/>
  <c r="P415" i="1"/>
  <c r="Q416" i="1"/>
  <c r="P416" i="1"/>
  <c r="Q417" i="1"/>
  <c r="P417" i="1"/>
  <c r="Q418" i="1"/>
  <c r="P418" i="1"/>
  <c r="Q419" i="1"/>
  <c r="P419" i="1"/>
  <c r="Q420" i="1"/>
  <c r="P420" i="1"/>
  <c r="Q421" i="1"/>
  <c r="P421" i="1"/>
  <c r="Q422" i="1"/>
  <c r="P422" i="1"/>
  <c r="Q423" i="1"/>
  <c r="P423" i="1"/>
  <c r="Q424" i="1"/>
  <c r="P424" i="1"/>
  <c r="Q425" i="1"/>
  <c r="P425" i="1"/>
  <c r="Q426" i="1"/>
  <c r="P426" i="1"/>
  <c r="Q427" i="1"/>
  <c r="P427" i="1"/>
  <c r="Q428" i="1"/>
  <c r="P428" i="1"/>
  <c r="H365" i="1"/>
  <c r="J365" i="1"/>
  <c r="Q365" i="1"/>
  <c r="P365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/>
  <c r="Q368" i="1"/>
  <c r="P368" i="1"/>
  <c r="Q369" i="1"/>
  <c r="P369" i="1"/>
  <c r="Q370" i="1"/>
  <c r="P370" i="1"/>
  <c r="Q371" i="1"/>
  <c r="P371" i="1"/>
  <c r="Q372" i="1"/>
  <c r="P372" i="1"/>
  <c r="Q373" i="1"/>
  <c r="P373" i="1"/>
  <c r="Q374" i="1"/>
  <c r="P374" i="1"/>
  <c r="Q375" i="1"/>
  <c r="P375" i="1"/>
  <c r="Q376" i="1"/>
  <c r="P376" i="1"/>
  <c r="Q378" i="1"/>
  <c r="P378" i="1"/>
  <c r="Q379" i="1"/>
  <c r="P379" i="1"/>
  <c r="Q380" i="1"/>
  <c r="P380" i="1"/>
  <c r="Q381" i="1"/>
  <c r="P381" i="1"/>
  <c r="H366" i="1"/>
  <c r="J366" i="1"/>
  <c r="Q366" i="1"/>
  <c r="P366" i="1"/>
  <c r="H342" i="1"/>
  <c r="H343" i="1"/>
  <c r="H344" i="1"/>
  <c r="H345" i="1"/>
  <c r="H346" i="1"/>
  <c r="J342" i="1"/>
  <c r="J343" i="1"/>
  <c r="J344" i="1"/>
  <c r="J345" i="1"/>
  <c r="J346" i="1"/>
  <c r="Q342" i="1"/>
  <c r="P342" i="1"/>
  <c r="Q343" i="1"/>
  <c r="P343" i="1"/>
  <c r="Q344" i="1"/>
  <c r="P344" i="1"/>
  <c r="Q345" i="1"/>
  <c r="P345" i="1"/>
  <c r="Q346" i="1"/>
  <c r="P346" i="1"/>
  <c r="H341" i="1"/>
  <c r="J341" i="1"/>
  <c r="Q341" i="1"/>
  <c r="P341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/>
  <c r="Q348" i="1"/>
  <c r="P348" i="1"/>
  <c r="Q349" i="1"/>
  <c r="P349" i="1"/>
  <c r="Q350" i="1"/>
  <c r="P350" i="1"/>
  <c r="Q351" i="1"/>
  <c r="P351" i="1"/>
  <c r="Q352" i="1"/>
  <c r="P352" i="1"/>
  <c r="Q353" i="1"/>
  <c r="P353" i="1"/>
  <c r="Q354" i="1"/>
  <c r="P354" i="1"/>
  <c r="Q355" i="1"/>
  <c r="P355" i="1"/>
  <c r="Q356" i="1"/>
  <c r="P356" i="1"/>
  <c r="Q357" i="1"/>
  <c r="P357" i="1"/>
  <c r="Q358" i="1"/>
  <c r="P358" i="1"/>
  <c r="Q359" i="1"/>
  <c r="P359" i="1"/>
  <c r="H361" i="1"/>
  <c r="H362" i="1"/>
  <c r="H363" i="1"/>
  <c r="J361" i="1"/>
  <c r="J362" i="1"/>
  <c r="J363" i="1"/>
  <c r="Q361" i="1"/>
  <c r="P361" i="1"/>
  <c r="Q362" i="1"/>
  <c r="P362" i="1"/>
  <c r="Q363" i="1"/>
  <c r="P363" i="1"/>
  <c r="H360" i="1"/>
  <c r="J360" i="1"/>
  <c r="Q360" i="1"/>
  <c r="P360" i="1"/>
  <c r="H364" i="1"/>
  <c r="J364" i="1"/>
  <c r="Q364" i="1"/>
  <c r="P364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/>
  <c r="Q324" i="1"/>
  <c r="P324" i="1"/>
  <c r="Q325" i="1"/>
  <c r="P325" i="1"/>
  <c r="Q326" i="1"/>
  <c r="P326" i="1"/>
  <c r="Q327" i="1"/>
  <c r="P327" i="1"/>
  <c r="Q328" i="1"/>
  <c r="P328" i="1"/>
  <c r="Q329" i="1"/>
  <c r="P329" i="1"/>
  <c r="Q330" i="1"/>
  <c r="P330" i="1"/>
  <c r="Q331" i="1"/>
  <c r="P331" i="1"/>
  <c r="Q332" i="1"/>
  <c r="P332" i="1"/>
  <c r="Q333" i="1"/>
  <c r="P333" i="1"/>
  <c r="Q334" i="1"/>
  <c r="P334" i="1"/>
  <c r="Q335" i="1"/>
  <c r="P335" i="1"/>
  <c r="Q336" i="1"/>
  <c r="P336" i="1"/>
  <c r="Q337" i="1"/>
  <c r="P337" i="1"/>
  <c r="Q338" i="1"/>
  <c r="P338" i="1"/>
  <c r="Q339" i="1"/>
  <c r="P339" i="1"/>
  <c r="Q340" i="1"/>
  <c r="P340" i="1"/>
  <c r="H315" i="1"/>
  <c r="J315" i="1"/>
  <c r="Q315" i="1"/>
  <c r="P315" i="1"/>
  <c r="H317" i="1"/>
  <c r="H318" i="1"/>
  <c r="H319" i="1"/>
  <c r="H320" i="1"/>
  <c r="H321" i="1"/>
  <c r="J317" i="1"/>
  <c r="J318" i="1"/>
  <c r="J319" i="1"/>
  <c r="J320" i="1"/>
  <c r="J321" i="1"/>
  <c r="Q317" i="1"/>
  <c r="P317" i="1"/>
  <c r="Q318" i="1"/>
  <c r="P318" i="1"/>
  <c r="Q319" i="1"/>
  <c r="P319" i="1"/>
  <c r="Q320" i="1"/>
  <c r="P320" i="1"/>
  <c r="Q321" i="1"/>
  <c r="P321" i="1"/>
  <c r="H316" i="1"/>
  <c r="J316" i="1"/>
  <c r="Q316" i="1"/>
  <c r="P316" i="1"/>
  <c r="H322" i="1"/>
  <c r="J322" i="1"/>
  <c r="Q322" i="1"/>
  <c r="P322" i="1"/>
  <c r="H314" i="1"/>
  <c r="J314" i="1"/>
  <c r="Q314" i="1"/>
  <c r="P314" i="1"/>
  <c r="H309" i="1"/>
  <c r="H310" i="1"/>
  <c r="H311" i="1"/>
  <c r="H312" i="1"/>
  <c r="H313" i="1"/>
  <c r="J309" i="1"/>
  <c r="J310" i="1"/>
  <c r="J311" i="1"/>
  <c r="J312" i="1"/>
  <c r="J313" i="1"/>
  <c r="Q309" i="1"/>
  <c r="P309" i="1"/>
  <c r="Q310" i="1"/>
  <c r="P310" i="1"/>
  <c r="Q311" i="1"/>
  <c r="P311" i="1"/>
  <c r="Q312" i="1"/>
  <c r="P312" i="1"/>
  <c r="Q313" i="1"/>
  <c r="P313" i="1"/>
  <c r="H308" i="1"/>
  <c r="J308" i="1"/>
  <c r="Q308" i="1"/>
  <c r="P308" i="1"/>
  <c r="H307" i="1"/>
  <c r="J307" i="1"/>
  <c r="Q307" i="1"/>
  <c r="P307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/>
  <c r="Q298" i="1"/>
  <c r="P298" i="1"/>
  <c r="Q299" i="1"/>
  <c r="P299" i="1"/>
  <c r="Q300" i="1"/>
  <c r="P300" i="1"/>
  <c r="Q301" i="1"/>
  <c r="P301" i="1"/>
  <c r="Q302" i="1"/>
  <c r="P302" i="1"/>
  <c r="Q303" i="1"/>
  <c r="P303" i="1"/>
  <c r="Q304" i="1"/>
  <c r="P304" i="1"/>
  <c r="Q305" i="1"/>
  <c r="P305" i="1"/>
  <c r="Q306" i="1"/>
  <c r="P306" i="1"/>
  <c r="H296" i="1"/>
  <c r="J296" i="1"/>
  <c r="Q296" i="1"/>
  <c r="P296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/>
  <c r="Q288" i="1"/>
  <c r="P288" i="1"/>
  <c r="Q289" i="1"/>
  <c r="P289" i="1"/>
  <c r="Q290" i="1"/>
  <c r="P290" i="1"/>
  <c r="Q291" i="1"/>
  <c r="P291" i="1"/>
  <c r="Q292" i="1"/>
  <c r="P292" i="1"/>
  <c r="Q293" i="1"/>
  <c r="P293" i="1"/>
  <c r="Q294" i="1"/>
  <c r="P294" i="1"/>
  <c r="Q295" i="1"/>
  <c r="P295" i="1"/>
  <c r="H286" i="1"/>
  <c r="J286" i="1"/>
  <c r="Q286" i="1"/>
  <c r="P286" i="1"/>
  <c r="H282" i="1"/>
  <c r="H283" i="1"/>
  <c r="H284" i="1"/>
  <c r="H285" i="1"/>
  <c r="J282" i="1"/>
  <c r="J283" i="1"/>
  <c r="J284" i="1"/>
  <c r="J285" i="1"/>
  <c r="Q282" i="1"/>
  <c r="P282" i="1"/>
  <c r="Q283" i="1"/>
  <c r="P283" i="1"/>
  <c r="Q284" i="1"/>
  <c r="P284" i="1"/>
  <c r="Q285" i="1"/>
  <c r="P285" i="1"/>
  <c r="H267" i="1"/>
  <c r="H268" i="1"/>
  <c r="H269" i="1"/>
  <c r="J267" i="1"/>
  <c r="J268" i="1"/>
  <c r="J269" i="1"/>
  <c r="Q267" i="1"/>
  <c r="P267" i="1"/>
  <c r="Q268" i="1"/>
  <c r="P268" i="1"/>
  <c r="Q269" i="1"/>
  <c r="P269" i="1"/>
  <c r="H266" i="1"/>
  <c r="J266" i="1"/>
  <c r="Q266" i="1"/>
  <c r="P266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/>
  <c r="Q272" i="1"/>
  <c r="P272" i="1"/>
  <c r="Q273" i="1"/>
  <c r="P273" i="1"/>
  <c r="Q274" i="1"/>
  <c r="P274" i="1"/>
  <c r="Q275" i="1"/>
  <c r="P275" i="1"/>
  <c r="Q276" i="1"/>
  <c r="P276" i="1"/>
  <c r="Q277" i="1"/>
  <c r="P277" i="1"/>
  <c r="Q278" i="1"/>
  <c r="P278" i="1"/>
  <c r="Q279" i="1"/>
  <c r="P279" i="1"/>
  <c r="Q280" i="1"/>
  <c r="P280" i="1"/>
  <c r="Q281" i="1"/>
  <c r="P281" i="1"/>
  <c r="H270" i="1"/>
  <c r="J270" i="1"/>
  <c r="Q270" i="1"/>
  <c r="P270" i="1"/>
  <c r="H263" i="1"/>
  <c r="H264" i="1"/>
  <c r="H265" i="1"/>
  <c r="J263" i="1"/>
  <c r="J264" i="1"/>
  <c r="J265" i="1"/>
  <c r="Q263" i="1"/>
  <c r="P263" i="1"/>
  <c r="Q264" i="1"/>
  <c r="P264" i="1"/>
  <c r="Q265" i="1"/>
  <c r="P265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/>
  <c r="Q257" i="1"/>
  <c r="P257" i="1"/>
  <c r="Q258" i="1"/>
  <c r="P258" i="1"/>
  <c r="Q259" i="1"/>
  <c r="P259" i="1"/>
  <c r="Q260" i="1"/>
  <c r="P260" i="1"/>
  <c r="Q261" i="1"/>
  <c r="P261" i="1"/>
  <c r="Q262" i="1"/>
  <c r="P262" i="1"/>
  <c r="H251" i="1"/>
  <c r="H252" i="1"/>
  <c r="H253" i="1"/>
  <c r="H254" i="1"/>
  <c r="H255" i="1"/>
  <c r="J251" i="1"/>
  <c r="J252" i="1"/>
  <c r="J253" i="1"/>
  <c r="J254" i="1"/>
  <c r="J255" i="1"/>
  <c r="Q251" i="1"/>
  <c r="P251" i="1"/>
  <c r="Q252" i="1"/>
  <c r="P252" i="1"/>
  <c r="Q253" i="1"/>
  <c r="P253" i="1"/>
  <c r="Q254" i="1"/>
  <c r="P254" i="1"/>
  <c r="Q255" i="1"/>
  <c r="P255" i="1"/>
  <c r="H250" i="1"/>
  <c r="J250" i="1"/>
  <c r="Q250" i="1"/>
  <c r="P250" i="1"/>
  <c r="H249" i="1"/>
  <c r="J249" i="1"/>
  <c r="Q249" i="1"/>
  <c r="P249" i="1"/>
  <c r="H245" i="1"/>
  <c r="H246" i="1"/>
  <c r="H247" i="1"/>
  <c r="H248" i="1"/>
  <c r="J245" i="1"/>
  <c r="J246" i="1"/>
  <c r="J247" i="1"/>
  <c r="J248" i="1"/>
  <c r="Q245" i="1"/>
  <c r="P245" i="1"/>
  <c r="Q246" i="1"/>
  <c r="P246" i="1"/>
  <c r="Q247" i="1"/>
  <c r="P247" i="1"/>
  <c r="Q248" i="1"/>
  <c r="P248" i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/>
  <c r="Q236" i="1"/>
  <c r="P236" i="1"/>
  <c r="Q237" i="1"/>
  <c r="P237" i="1"/>
  <c r="Q238" i="1"/>
  <c r="P238" i="1"/>
  <c r="Q239" i="1"/>
  <c r="P239" i="1"/>
  <c r="Q240" i="1"/>
  <c r="P240" i="1"/>
  <c r="Q241" i="1"/>
  <c r="P241" i="1"/>
  <c r="Q242" i="1"/>
  <c r="P242" i="1"/>
  <c r="Q243" i="1"/>
  <c r="P243" i="1"/>
  <c r="Q244" i="1"/>
  <c r="P24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/>
  <c r="Q209" i="1"/>
  <c r="P209" i="1"/>
  <c r="Q210" i="1"/>
  <c r="P210" i="1"/>
  <c r="Q211" i="1"/>
  <c r="P211" i="1"/>
  <c r="Q212" i="1"/>
  <c r="P212" i="1"/>
  <c r="Q213" i="1"/>
  <c r="P213" i="1"/>
  <c r="Q214" i="1"/>
  <c r="P214" i="1"/>
  <c r="Q215" i="1"/>
  <c r="P215" i="1"/>
  <c r="Q216" i="1"/>
  <c r="P216" i="1"/>
  <c r="Q217" i="1"/>
  <c r="P217" i="1"/>
  <c r="Q218" i="1"/>
  <c r="P218" i="1"/>
  <c r="Q219" i="1"/>
  <c r="P219" i="1"/>
  <c r="Q220" i="1"/>
  <c r="P220" i="1"/>
  <c r="Q221" i="1"/>
  <c r="P221" i="1"/>
  <c r="Q222" i="1"/>
  <c r="P222" i="1"/>
  <c r="Q223" i="1"/>
  <c r="P223" i="1"/>
  <c r="Q224" i="1"/>
  <c r="P224" i="1"/>
  <c r="Q225" i="1"/>
  <c r="P225" i="1"/>
  <c r="Q226" i="1"/>
  <c r="P226" i="1"/>
  <c r="Q227" i="1"/>
  <c r="P227" i="1"/>
  <c r="Q228" i="1"/>
  <c r="P228" i="1"/>
  <c r="Q229" i="1"/>
  <c r="P229" i="1"/>
  <c r="Q230" i="1"/>
  <c r="P230" i="1"/>
  <c r="Q231" i="1"/>
  <c r="P231" i="1"/>
  <c r="Q232" i="1"/>
  <c r="P232" i="1"/>
  <c r="Q233" i="1"/>
  <c r="P233" i="1"/>
  <c r="Q234" i="1"/>
  <c r="P234" i="1"/>
  <c r="H206" i="1"/>
  <c r="H207" i="1"/>
  <c r="J206" i="1"/>
  <c r="J207" i="1"/>
  <c r="Q206" i="1"/>
  <c r="P206" i="1"/>
  <c r="Q207" i="1"/>
  <c r="P207" i="1"/>
  <c r="H205" i="1"/>
  <c r="J205" i="1"/>
  <c r="Q205" i="1"/>
  <c r="P205" i="1"/>
  <c r="H204" i="1"/>
  <c r="J204" i="1"/>
  <c r="Q204" i="1"/>
  <c r="P204" i="1"/>
  <c r="H203" i="1"/>
  <c r="J203" i="1"/>
  <c r="Q203" i="1"/>
  <c r="P203" i="1"/>
  <c r="H190" i="1"/>
  <c r="J190" i="1"/>
  <c r="Q190" i="1"/>
  <c r="P190" i="1"/>
  <c r="H191" i="1"/>
  <c r="J191" i="1"/>
  <c r="Q191" i="1"/>
  <c r="P191" i="1"/>
  <c r="H192" i="1"/>
  <c r="H193" i="1"/>
  <c r="H194" i="1"/>
  <c r="H195" i="1"/>
  <c r="H196" i="1"/>
  <c r="J192" i="1"/>
  <c r="J193" i="1"/>
  <c r="J194" i="1"/>
  <c r="J195" i="1"/>
  <c r="J196" i="1"/>
  <c r="Q192" i="1"/>
  <c r="P192" i="1"/>
  <c r="Q193" i="1"/>
  <c r="P193" i="1"/>
  <c r="Q194" i="1"/>
  <c r="P194" i="1"/>
  <c r="Q195" i="1"/>
  <c r="P195" i="1"/>
  <c r="Q196" i="1"/>
  <c r="P196" i="1"/>
  <c r="H201" i="1"/>
  <c r="H202" i="1"/>
  <c r="J201" i="1"/>
  <c r="J202" i="1"/>
  <c r="Q201" i="1"/>
  <c r="P201" i="1"/>
  <c r="Q202" i="1"/>
  <c r="P202" i="1"/>
  <c r="H197" i="1"/>
  <c r="H198" i="1"/>
  <c r="H199" i="1"/>
  <c r="H200" i="1"/>
  <c r="J197" i="1"/>
  <c r="J198" i="1"/>
  <c r="J199" i="1"/>
  <c r="J200" i="1"/>
  <c r="Q197" i="1"/>
  <c r="P197" i="1"/>
  <c r="Q198" i="1"/>
  <c r="P198" i="1"/>
  <c r="Q199" i="1"/>
  <c r="P199" i="1"/>
  <c r="Q200" i="1"/>
  <c r="P200" i="1"/>
  <c r="H187" i="1"/>
  <c r="H188" i="1"/>
  <c r="H189" i="1"/>
  <c r="J187" i="1"/>
  <c r="J188" i="1"/>
  <c r="J189" i="1"/>
  <c r="Q187" i="1"/>
  <c r="P187" i="1"/>
  <c r="Q188" i="1"/>
  <c r="P188" i="1"/>
  <c r="Q189" i="1"/>
  <c r="P189" i="1"/>
  <c r="H164" i="1"/>
  <c r="Q164" i="1"/>
  <c r="P164" i="1"/>
  <c r="H165" i="1"/>
  <c r="H166" i="1"/>
  <c r="J165" i="1"/>
  <c r="J166" i="1"/>
  <c r="Q165" i="1"/>
  <c r="P165" i="1"/>
  <c r="Q166" i="1"/>
  <c r="P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/>
  <c r="Q168" i="1"/>
  <c r="P168" i="1"/>
  <c r="Q169" i="1"/>
  <c r="P169" i="1"/>
  <c r="Q170" i="1"/>
  <c r="P170" i="1"/>
  <c r="Q171" i="1"/>
  <c r="P171" i="1"/>
  <c r="Q172" i="1"/>
  <c r="P172" i="1"/>
  <c r="Q173" i="1"/>
  <c r="P173" i="1"/>
  <c r="Q174" i="1"/>
  <c r="P174" i="1"/>
  <c r="Q175" i="1"/>
  <c r="P175" i="1"/>
  <c r="Q176" i="1"/>
  <c r="P176" i="1"/>
  <c r="Q177" i="1"/>
  <c r="P177" i="1"/>
  <c r="Q178" i="1"/>
  <c r="P178" i="1"/>
  <c r="Q179" i="1"/>
  <c r="P179" i="1"/>
  <c r="Q180" i="1"/>
  <c r="P180" i="1"/>
  <c r="Q181" i="1"/>
  <c r="P181" i="1"/>
  <c r="Q182" i="1"/>
  <c r="P182" i="1"/>
  <c r="Q183" i="1"/>
  <c r="P183" i="1"/>
  <c r="Q184" i="1"/>
  <c r="P184" i="1"/>
  <c r="Q185" i="1"/>
  <c r="P185" i="1"/>
  <c r="Q186" i="1"/>
  <c r="P186" i="1"/>
  <c r="J164" i="1"/>
  <c r="H163" i="1"/>
  <c r="J163" i="1"/>
  <c r="Q163" i="1"/>
  <c r="P163" i="1"/>
  <c r="H162" i="1"/>
  <c r="J162" i="1"/>
  <c r="Q162" i="1"/>
  <c r="P162" i="1"/>
  <c r="H160" i="1"/>
  <c r="H161" i="1"/>
  <c r="J160" i="1"/>
  <c r="J161" i="1"/>
  <c r="Q160" i="1"/>
  <c r="P160" i="1"/>
  <c r="Q161" i="1"/>
  <c r="P161" i="1"/>
  <c r="H159" i="1"/>
  <c r="J159" i="1"/>
  <c r="Q159" i="1"/>
  <c r="P159" i="1"/>
  <c r="H157" i="1"/>
  <c r="H158" i="1"/>
  <c r="J157" i="1"/>
  <c r="J158" i="1"/>
  <c r="Q157" i="1"/>
  <c r="P157" i="1"/>
  <c r="Q158" i="1"/>
  <c r="P158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/>
  <c r="Q133" i="1"/>
  <c r="P133" i="1"/>
  <c r="Q134" i="1"/>
  <c r="P134" i="1"/>
  <c r="Q135" i="1"/>
  <c r="P135" i="1"/>
  <c r="Q136" i="1"/>
  <c r="P136" i="1"/>
  <c r="Q137" i="1"/>
  <c r="P137" i="1"/>
  <c r="Q138" i="1"/>
  <c r="P138" i="1"/>
  <c r="Q139" i="1"/>
  <c r="P139" i="1"/>
  <c r="Q140" i="1"/>
  <c r="P140" i="1"/>
  <c r="Q141" i="1"/>
  <c r="P141" i="1"/>
  <c r="Q142" i="1"/>
  <c r="P142" i="1"/>
  <c r="Q143" i="1"/>
  <c r="P143" i="1"/>
  <c r="Q144" i="1"/>
  <c r="P144" i="1"/>
  <c r="Q145" i="1"/>
  <c r="P145" i="1"/>
  <c r="Q146" i="1"/>
  <c r="P146" i="1"/>
  <c r="Q147" i="1"/>
  <c r="P147" i="1"/>
  <c r="Q148" i="1"/>
  <c r="P148" i="1"/>
  <c r="Q149" i="1"/>
  <c r="P149" i="1"/>
  <c r="Q150" i="1"/>
  <c r="P150" i="1"/>
  <c r="Q151" i="1"/>
  <c r="P151" i="1"/>
  <c r="Q152" i="1"/>
  <c r="P152" i="1"/>
  <c r="Q153" i="1"/>
  <c r="P153" i="1"/>
  <c r="Q154" i="1"/>
  <c r="P154" i="1"/>
  <c r="Q155" i="1"/>
  <c r="P155" i="1"/>
  <c r="Q156" i="1"/>
  <c r="P156" i="1"/>
  <c r="H130" i="1"/>
  <c r="H131" i="1"/>
  <c r="J130" i="1"/>
  <c r="J131" i="1"/>
  <c r="Q130" i="1"/>
  <c r="P130" i="1"/>
  <c r="Q131" i="1"/>
  <c r="P131" i="1"/>
  <c r="Q129" i="1"/>
  <c r="P129" i="1"/>
  <c r="Q128" i="1"/>
  <c r="P128" i="1"/>
  <c r="Q127" i="1"/>
  <c r="P127" i="1"/>
  <c r="Q126" i="1"/>
  <c r="P126" i="1"/>
  <c r="Q125" i="1"/>
  <c r="P125" i="1"/>
  <c r="Q124" i="1"/>
  <c r="P124" i="1"/>
  <c r="Q123" i="1"/>
  <c r="P123" i="1"/>
  <c r="Q122" i="1"/>
  <c r="P122" i="1"/>
  <c r="Q121" i="1"/>
  <c r="P121" i="1"/>
  <c r="Q120" i="1"/>
  <c r="P120" i="1"/>
  <c r="Q119" i="1"/>
  <c r="P119" i="1"/>
  <c r="Q118" i="1"/>
  <c r="P118" i="1"/>
  <c r="Q117" i="1"/>
  <c r="P117" i="1"/>
  <c r="Q116" i="1"/>
  <c r="P116" i="1"/>
  <c r="Q115" i="1"/>
  <c r="P115" i="1"/>
  <c r="Q114" i="1"/>
  <c r="P114" i="1"/>
  <c r="Q113" i="1"/>
  <c r="P113" i="1"/>
  <c r="Q112" i="1"/>
  <c r="P112" i="1"/>
  <c r="Q111" i="1"/>
  <c r="P111" i="1"/>
  <c r="Q110" i="1"/>
  <c r="P110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/>
  <c r="H86" i="1"/>
  <c r="H87" i="1"/>
  <c r="H88" i="1"/>
  <c r="J86" i="1"/>
  <c r="J87" i="1"/>
  <c r="J88" i="1"/>
  <c r="Q86" i="1"/>
  <c r="P86" i="1"/>
  <c r="Q87" i="1"/>
  <c r="P87" i="1"/>
  <c r="Q88" i="1"/>
  <c r="P8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/>
  <c r="Q91" i="1"/>
  <c r="P91" i="1"/>
  <c r="Q92" i="1"/>
  <c r="P92" i="1"/>
  <c r="Q93" i="1"/>
  <c r="P93" i="1"/>
  <c r="Q94" i="1"/>
  <c r="P94" i="1"/>
  <c r="Q95" i="1"/>
  <c r="P95" i="1"/>
  <c r="Q96" i="1"/>
  <c r="P96" i="1"/>
  <c r="Q97" i="1"/>
  <c r="P97" i="1"/>
  <c r="Q98" i="1"/>
  <c r="P98" i="1"/>
  <c r="Q99" i="1"/>
  <c r="P99" i="1"/>
  <c r="Q100" i="1"/>
  <c r="P100" i="1"/>
  <c r="Q101" i="1"/>
  <c r="P101" i="1"/>
  <c r="Q102" i="1"/>
  <c r="P102" i="1"/>
  <c r="Q103" i="1"/>
  <c r="P103" i="1"/>
  <c r="Q104" i="1"/>
  <c r="P104" i="1"/>
  <c r="Q105" i="1"/>
  <c r="P105" i="1"/>
  <c r="Q106" i="1"/>
  <c r="P106" i="1"/>
  <c r="Q107" i="1"/>
  <c r="P107" i="1"/>
  <c r="Q108" i="1"/>
  <c r="P108" i="1"/>
  <c r="H89" i="1"/>
  <c r="J89" i="1"/>
  <c r="Q89" i="1"/>
  <c r="P89" i="1"/>
  <c r="Q85" i="1"/>
  <c r="P85" i="1"/>
  <c r="Q84" i="1"/>
  <c r="P84" i="1"/>
  <c r="Q83" i="1"/>
  <c r="P83" i="1"/>
  <c r="Q82" i="1"/>
  <c r="P82" i="1"/>
  <c r="Q81" i="1"/>
  <c r="P81" i="1"/>
  <c r="Q80" i="1"/>
  <c r="P80" i="1"/>
  <c r="Q79" i="1"/>
  <c r="P79" i="1"/>
  <c r="Q78" i="1"/>
  <c r="P78" i="1"/>
  <c r="Q77" i="1"/>
  <c r="P77" i="1"/>
  <c r="Q76" i="1"/>
  <c r="P76" i="1"/>
  <c r="Q75" i="1"/>
  <c r="P75" i="1"/>
  <c r="Q74" i="1"/>
  <c r="P74" i="1"/>
  <c r="Q73" i="1"/>
  <c r="P73" i="1"/>
  <c r="Q72" i="1"/>
  <c r="P72" i="1"/>
  <c r="Q71" i="1"/>
  <c r="P71" i="1"/>
  <c r="Q70" i="1"/>
  <c r="P70" i="1"/>
  <c r="Q69" i="1"/>
  <c r="P69" i="1"/>
  <c r="Q68" i="1"/>
  <c r="P68" i="1"/>
  <c r="Q67" i="1"/>
  <c r="P67" i="1"/>
  <c r="Q66" i="1"/>
  <c r="P66" i="1"/>
  <c r="Q65" i="1"/>
  <c r="P65" i="1"/>
  <c r="Q64" i="1"/>
  <c r="P64" i="1"/>
  <c r="Q63" i="1"/>
  <c r="P63" i="1"/>
  <c r="Q62" i="1"/>
  <c r="P62" i="1"/>
  <c r="Q61" i="1"/>
  <c r="P61" i="1"/>
  <c r="Q60" i="1"/>
  <c r="P60" i="1"/>
  <c r="Q59" i="1"/>
  <c r="P59" i="1"/>
  <c r="Q58" i="1"/>
  <c r="P58" i="1"/>
  <c r="Q57" i="1"/>
  <c r="P57" i="1"/>
  <c r="Q56" i="1"/>
  <c r="P56" i="1"/>
  <c r="Q55" i="1"/>
  <c r="P55" i="1"/>
  <c r="Q54" i="1"/>
  <c r="P54" i="1"/>
  <c r="Q53" i="1"/>
  <c r="P53" i="1"/>
  <c r="Q52" i="1"/>
  <c r="P52" i="1"/>
  <c r="Q51" i="1"/>
  <c r="P51" i="1"/>
  <c r="Q50" i="1"/>
  <c r="P50" i="1"/>
  <c r="Q49" i="1"/>
  <c r="P49" i="1"/>
  <c r="Q48" i="1"/>
  <c r="P48" i="1"/>
  <c r="Q47" i="1"/>
  <c r="P47" i="1"/>
  <c r="Q46" i="1"/>
  <c r="P46" i="1"/>
  <c r="Q45" i="1"/>
  <c r="P45" i="1"/>
  <c r="Q44" i="1"/>
  <c r="P44" i="1"/>
  <c r="Q43" i="1"/>
  <c r="P43" i="1"/>
  <c r="Q42" i="1"/>
  <c r="P42" i="1"/>
  <c r="Q41" i="1"/>
  <c r="P41" i="1"/>
  <c r="Q40" i="1"/>
  <c r="P40" i="1"/>
  <c r="Q39" i="1"/>
  <c r="P39" i="1"/>
  <c r="Q38" i="1"/>
  <c r="P38" i="1"/>
  <c r="Q37" i="1"/>
  <c r="P37" i="1"/>
  <c r="Q36" i="1"/>
  <c r="P36" i="1"/>
  <c r="Q35" i="1"/>
  <c r="P35" i="1"/>
  <c r="Q34" i="1"/>
  <c r="P34" i="1"/>
  <c r="Q33" i="1"/>
  <c r="P33" i="1"/>
  <c r="Q32" i="1"/>
  <c r="P32" i="1"/>
  <c r="Q31" i="1"/>
  <c r="P31" i="1"/>
  <c r="Q30" i="1"/>
  <c r="P30" i="1"/>
  <c r="Q29" i="1"/>
  <c r="P29" i="1"/>
  <c r="Q28" i="1"/>
  <c r="P28" i="1"/>
  <c r="Q27" i="1"/>
  <c r="P27" i="1"/>
  <c r="Q26" i="1"/>
  <c r="P26" i="1"/>
  <c r="Q25" i="1"/>
  <c r="P2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/>
  <c r="Q23" i="1"/>
  <c r="P23" i="1"/>
  <c r="H23" i="1"/>
  <c r="J23" i="1"/>
  <c r="H17" i="1"/>
  <c r="H18" i="1"/>
  <c r="H19" i="1"/>
  <c r="H20" i="1"/>
  <c r="J17" i="1"/>
  <c r="J18" i="1"/>
  <c r="J19" i="1"/>
  <c r="J20" i="1"/>
  <c r="Q17" i="1"/>
  <c r="P17" i="1"/>
  <c r="Q18" i="1"/>
  <c r="P18" i="1"/>
  <c r="Q19" i="1"/>
  <c r="P19" i="1"/>
  <c r="Q20" i="1"/>
  <c r="P20" i="1"/>
  <c r="H21" i="1"/>
  <c r="H22" i="1"/>
  <c r="J21" i="1"/>
  <c r="J22" i="1"/>
  <c r="Q21" i="1"/>
  <c r="P21" i="1"/>
  <c r="Q22" i="1"/>
  <c r="P22" i="1"/>
  <c r="H11" i="1"/>
  <c r="J11" i="1"/>
  <c r="Q11" i="1"/>
  <c r="P11" i="1"/>
  <c r="H12" i="1"/>
  <c r="H13" i="1"/>
  <c r="H14" i="1"/>
  <c r="H15" i="1"/>
  <c r="H16" i="1"/>
  <c r="J12" i="1"/>
  <c r="J13" i="1"/>
  <c r="J14" i="1"/>
  <c r="J15" i="1"/>
  <c r="J16" i="1"/>
  <c r="Q12" i="1"/>
  <c r="P12" i="1"/>
  <c r="Q13" i="1"/>
  <c r="P13" i="1"/>
  <c r="Q14" i="1"/>
  <c r="P14" i="1"/>
  <c r="Q15" i="1"/>
  <c r="P15" i="1"/>
  <c r="Q16" i="1"/>
  <c r="P16" i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/>
  <c r="B2" i="1"/>
  <c r="B5" i="1"/>
  <c r="B6" i="1"/>
  <c r="B3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<sst xmlns="http://schemas.openxmlformats.org/spreadsheetml/2006/main" count="45362" uniqueCount="7401">
  <si>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</si>
  <si>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</si>
  <si>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</si>
  <si>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</si>
  <si>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</si>
  <si>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</si>
  <si>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</si>
  <si>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</si>
  <si>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</si>
  <si>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</si>
  <si>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</si>
  <si>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</si>
  <si>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</si>
  <si>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</si>
  <si>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</si>
  <si>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</si>
  <si>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</si>
  <si>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</si>
  <si>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</si>
  <si>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</si>
  <si>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</si>
  <si>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</si>
  <si>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</si>
  <si>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</si>
  <si>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</si>
  <si>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</si>
  <si>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</si>
  <si>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</si>
  <si>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</si>
  <si>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</si>
  <si>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</si>
  <si>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</si>
  <si>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</si>
  <si>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</si>
  <si>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</si>
  <si>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</si>
  <si>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</si>
  <si>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</si>
  <si>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</si>
  <si>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</si>
  <si>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</si>
  <si>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</si>
  <si>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</si>
  <si>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</si>
  <si>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</si>
  <si>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</si>
  <si>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</si>
  <si>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</si>
  <si>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</si>
  <si>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</si>
  <si>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</si>
  <si>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</si>
  <si>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</si>
  <si>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</si>
  <si>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</si>
  <si>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</si>
  <si>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</si>
  <si>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</si>
  <si>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</si>
  <si>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</si>
  <si>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</si>
  <si>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</si>
  <si>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</si>
  <si>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</si>
  <si>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</si>
  <si>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</si>
  <si>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</si>
  <si>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</si>
  <si>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</si>
  <si>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</si>
  <si>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</si>
  <si>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</si>
  <si>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</si>
  <si>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</si>
  <si>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</si>
  <si>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</si>
  <si>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</si>
  <si>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</si>
  <si>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</si>
  <si>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</si>
  <si>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</si>
  <si>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</si>
  <si>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</si>
  <si>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</si>
  <si>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</si>
  <si>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</si>
  <si>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</si>
  <si>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</si>
  <si>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</si>
  <si>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</si>
  <si>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</si>
  <si>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</si>
  <si>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</si>
  <si>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</si>
  <si>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</si>
  <si>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</si>
  <si>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</si>
  <si>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</si>
  <si>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</si>
  <si>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</si>
  <si>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</si>
  <si>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</si>
  <si>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</si>
  <si>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</si>
  <si>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</si>
  <si>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</si>
  <si>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</si>
  <si>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</si>
  <si>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</si>
  <si>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</si>
  <si>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</si>
  <si>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</si>
  <si>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</si>
  <si>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</si>
  <si>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</si>
  <si>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</si>
  <si>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</si>
  <si>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</si>
  <si>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</si>
  <si>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</si>
  <si>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</si>
  <si>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</si>
  <si>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</si>
  <si>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</si>
  <si>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</si>
  <si>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</si>
  <si>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</si>
  <si>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</si>
  <si>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</si>
  <si>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</si>
  <si>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</si>
  <si>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</si>
  <si>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</si>
  <si>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</si>
  <si>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</si>
  <si>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</si>
  <si>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</si>
  <si>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</si>
  <si>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</si>
  <si>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</si>
  <si>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</si>
  <si>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</si>
  <si>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</si>
  <si>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</si>
  <si>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</si>
  <si>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</si>
  <si>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</si>
  <si>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</si>
  <si>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</si>
  <si>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</si>
  <si>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</si>
  <si>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</si>
  <si>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</si>
  <si>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</si>
  <si>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</si>
  <si>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</si>
  <si>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</si>
  <si>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</si>
  <si>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</si>
  <si>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</si>
  <si>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</si>
  <si>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</si>
  <si>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</si>
  <si>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</si>
  <si>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</si>
  <si>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</si>
  <si>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</si>
  <si>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</si>
  <si>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</si>
  <si>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</si>
  <si>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</si>
  <si>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</si>
  <si>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</si>
  <si>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</si>
  <si>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</si>
  <si>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</si>
  <si>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</si>
  <si>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</si>
  <si>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</si>
  <si>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</si>
  <si>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</si>
  <si>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</si>
  <si>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</si>
  <si>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</si>
  <si>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</si>
  <si>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</si>
  <si>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</si>
  <si>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</si>
  <si>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</si>
  <si>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</si>
  <si>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</si>
  <si>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</si>
  <si>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</si>
  <si>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</si>
  <si>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</si>
  <si>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</si>
  <si>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</si>
  <si>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</si>
  <si>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</si>
  <si>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</si>
  <si>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</si>
  <si>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</si>
  <si>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</si>
  <si>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</si>
  <si>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</si>
  <si>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</si>
  <si>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</si>
  <si>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</si>
  <si>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</si>
  <si>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</si>
  <si>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</si>
  <si>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</si>
  <si>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</si>
  <si>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</si>
  <si>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</si>
  <si>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</si>
  <si>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</si>
  <si>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</si>
  <si>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</si>
  <si>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</si>
  <si>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</si>
  <si>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</si>
  <si>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</si>
  <si>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</si>
  <si>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</si>
  <si>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</si>
  <si>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</si>
  <si>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</si>
  <si>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</si>
  <si>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</si>
  <si>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</si>
  <si>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</si>
  <si>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</si>
  <si>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</si>
  <si>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</si>
  <si>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</si>
  <si>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</si>
  <si>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</si>
  <si>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</si>
  <si>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</si>
  <si>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</si>
  <si>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</si>
  <si>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</si>
  <si>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</si>
  <si>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</si>
  <si>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</si>
  <si>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</si>
  <si>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</si>
  <si>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</si>
  <si>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</si>
  <si>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</si>
  <si>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</si>
  <si>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</si>
  <si>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</si>
  <si>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</si>
  <si>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</si>
  <si>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</si>
  <si>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</si>
  <si>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</si>
  <si>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</si>
  <si>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</si>
  <si>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</si>
  <si>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</si>
  <si>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</si>
  <si>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</si>
  <si>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</si>
  <si>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</si>
  <si>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</si>
  <si>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</si>
  <si>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</si>
  <si>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</si>
  <si>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</si>
  <si>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</si>
  <si>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</si>
  <si>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</si>
  <si>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</si>
  <si>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</si>
  <si>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</si>
  <si>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</si>
  <si>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</si>
  <si>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</si>
  <si>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</si>
  <si>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</si>
  <si>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</si>
  <si>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</si>
  <si>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</si>
  <si>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</si>
  <si>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</si>
  <si>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</si>
  <si>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</si>
  <si>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</si>
  <si>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</si>
  <si>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</si>
  <si>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</si>
  <si>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</si>
  <si>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</si>
  <si>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</si>
  <si>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</si>
  <si>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</si>
  <si>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</si>
  <si>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</si>
  <si>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</si>
  <si>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</si>
  <si>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</si>
  <si>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</si>
  <si>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</si>
  <si>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</si>
  <si>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</si>
  <si>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</si>
  <si>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</si>
  <si>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</si>
  <si>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</si>
  <si>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</si>
  <si>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</si>
  <si>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</si>
  <si>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</si>
  <si>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</si>
  <si>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</si>
  <si>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</si>
  <si>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</si>
  <si>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</si>
  <si>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</si>
  <si>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</si>
  <si>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</si>
  <si>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</si>
  <si>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</si>
  <si>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</si>
  <si>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</si>
  <si>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</si>
  <si>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</si>
  <si>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</si>
  <si>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</si>
  <si>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</si>
  <si>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</si>
  <si>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</si>
  <si>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</si>
  <si>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</si>
  <si>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</si>
  <si>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</si>
  <si>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</si>
  <si>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</si>
  <si>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</si>
  <si>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</si>
  <si>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</si>
  <si>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</si>
  <si>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</si>
  <si>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</si>
  <si>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</si>
  <si>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</si>
  <si>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</si>
  <si>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</si>
  <si>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</si>
  <si>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</si>
  <si>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</si>
  <si>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</si>
  <si>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</si>
  <si>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</si>
  <si>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</si>
  <si>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</si>
  <si>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</si>
  <si>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</si>
  <si>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</si>
  <si>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</si>
  <si>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</si>
  <si>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</si>
  <si>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</si>
  <si>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</si>
  <si>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</si>
  <si>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</si>
  <si>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</si>
  <si>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</si>
  <si>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</si>
  <si>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</si>
  <si>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</si>
  <si>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</si>
  <si>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</si>
  <si>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</si>
  <si>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</si>
  <si>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</si>
  <si>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</si>
  <si>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</si>
  <si>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</si>
  <si>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</si>
  <si>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</si>
  <si>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</si>
  <si>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</si>
  <si>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</si>
  <si>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</si>
  <si>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</si>
  <si>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</si>
  <si>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</si>
  <si>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</si>
  <si>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</si>
  <si>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</si>
  <si>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</si>
  <si>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</si>
  <si>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</si>
  <si>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</si>
  <si>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</si>
  <si>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</si>
  <si>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</si>
  <si>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</si>
  <si>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</si>
  <si>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</si>
  <si>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</si>
  <si>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</si>
  <si>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</si>
  <si>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</si>
  <si>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</si>
  <si>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</si>
  <si>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</si>
  <si>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</si>
  <si>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</si>
  <si>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</si>
  <si>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</si>
  <si>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</si>
  <si>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</si>
  <si>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</si>
  <si>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</si>
  <si>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</si>
  <si>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</si>
  <si>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</si>
  <si>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</si>
  <si>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</si>
  <si>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</si>
  <si>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</si>
  <si>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</si>
  <si>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</si>
  <si>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</si>
  <si>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</si>
  <si>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</si>
  <si>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</si>
  <si>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</si>
  <si>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</si>
  <si>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</si>
  <si>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</si>
  <si>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</si>
  <si>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</si>
  <si>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</si>
  <si>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</si>
  <si>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</si>
  <si>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</si>
  <si>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</si>
  <si>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</si>
  <si>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</si>
  <si>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</si>
  <si>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</si>
  <si>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</si>
  <si>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</si>
  <si>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</si>
  <si>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</si>
  <si>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</si>
  <si>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</si>
  <si>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</si>
  <si>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</si>
  <si>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</si>
  <si>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</si>
  <si>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</si>
  <si>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</si>
  <si>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</si>
  <si>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</si>
  <si>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</si>
  <si>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</si>
  <si>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</si>
  <si>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</si>
  <si>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</si>
  <si>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</si>
  <si>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</si>
  <si>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</si>
  <si>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</si>
  <si>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</si>
  <si>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</si>
  <si>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</si>
  <si>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</si>
  <si>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</si>
  <si>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</si>
  <si>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</si>
  <si>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</si>
  <si>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</si>
  <si>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</si>
  <si>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</si>
  <si>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</si>
  <si>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</si>
  <si>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</si>
  <si>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</si>
  <si>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</si>
  <si>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</si>
  <si>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</si>
  <si>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</si>
  <si>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</si>
  <si>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</si>
  <si>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</si>
  <si>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</si>
  <si>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</si>
  <si>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</si>
  <si>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</si>
  <si>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</si>
  <si>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</si>
  <si>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</si>
  <si>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</si>
  <si>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</si>
  <si>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</si>
  <si>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</si>
  <si>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</si>
  <si>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</si>
  <si>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</si>
  <si>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</si>
  <si>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</si>
  <si>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</si>
  <si>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</si>
  <si>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</si>
  <si>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</si>
  <si>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</si>
  <si>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</si>
  <si>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</si>
  <si>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</si>
  <si>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</si>
  <si>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</si>
  <si>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</si>
  <si>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</si>
  <si>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</si>
  <si>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</si>
  <si>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</si>
  <si>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</si>
  <si>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</si>
  <si>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</si>
  <si>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</si>
  <si>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</si>
  <si>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</si>
  <si>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</si>
  <si>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</si>
  <si>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</si>
  <si>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</si>
  <si>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</si>
  <si>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</si>
  <si>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</si>
  <si>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</si>
  <si>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</si>
  <si>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</si>
  <si>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</si>
  <si>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</si>
  <si>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</si>
  <si>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</si>
  <si>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</si>
  <si>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</si>
  <si>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</si>
  <si>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</si>
  <si>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</si>
  <si>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</si>
  <si>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</si>
  <si>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</si>
  <si>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</si>
  <si>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</si>
  <si>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</si>
  <si>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</si>
  <si>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</si>
  <si>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</si>
  <si>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</si>
  <si>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</si>
  <si>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</si>
  <si>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</si>
  <si>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</si>
  <si>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</si>
  <si>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</si>
  <si>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</si>
  <si>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</si>
  <si>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</si>
  <si>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</si>
  <si>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</si>
  <si>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</si>
  <si>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</si>
  <si>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</si>
  <si>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</si>
  <si>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</si>
  <si>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</si>
  <si>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</si>
  <si>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</si>
  <si>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</si>
  <si>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</si>
  <si>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</si>
  <si>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</si>
  <si>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</si>
  <si>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</si>
  <si>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</si>
  <si>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</si>
  <si>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</si>
  <si>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</si>
  <si>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</si>
  <si>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</si>
  <si>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</si>
  <si>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</si>
  <si>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</si>
  <si>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</si>
  <si>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</si>
  <si>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</si>
  <si>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</si>
  <si>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</si>
  <si>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</si>
  <si>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</si>
  <si>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</si>
  <si>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</si>
  <si>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</si>
  <si>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</si>
  <si>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</si>
  <si>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</si>
  <si>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</si>
  <si>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</si>
  <si>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</si>
  <si>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</si>
  <si>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</si>
  <si>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</si>
  <si>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</si>
  <si>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</si>
  <si>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</si>
  <si>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</si>
  <si>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</si>
  <si>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</si>
  <si>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</si>
  <si>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</si>
  <si>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</si>
  <si>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</si>
  <si>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</si>
  <si>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</si>
  <si>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</si>
  <si>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</si>
  <si>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</si>
  <si>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</si>
  <si>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</si>
  <si>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</si>
  <si>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</si>
  <si>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</si>
  <si>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</si>
  <si>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</si>
  <si>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</si>
  <si>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</si>
  <si>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</si>
  <si>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</si>
  <si>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</si>
  <si>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</si>
  <si>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</si>
  <si>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</si>
  <si>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</si>
  <si>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</si>
  <si>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</si>
  <si>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</si>
  <si>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</si>
  <si>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</si>
  <si>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</si>
  <si>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</si>
  <si>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</si>
  <si>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</si>
  <si>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</si>
  <si>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</si>
  <si>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</si>
  <si>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</si>
  <si>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</si>
  <si>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</si>
  <si>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</si>
  <si>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</si>
  <si>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</si>
  <si>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</si>
  <si>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</si>
  <si>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</si>
  <si>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</si>
  <si>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</si>
  <si>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</si>
  <si>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</si>
  <si>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</si>
  <si>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</si>
  <si>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</si>
  <si>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</si>
  <si>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</si>
  <si>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</si>
  <si>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</si>
  <si>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</si>
  <si>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</si>
  <si>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</si>
  <si>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</si>
  <si>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</si>
  <si>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</si>
  <si>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</si>
  <si>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</si>
  <si>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</si>
  <si>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</si>
  <si>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</si>
  <si>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</si>
  <si>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</si>
  <si>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</si>
  <si>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</si>
  <si>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</si>
  <si>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</si>
  <si>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</si>
  <si>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</si>
  <si>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</si>
  <si>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</si>
  <si>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</si>
  <si>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</si>
  <si>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</si>
  <si>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</si>
  <si>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</si>
  <si>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</si>
  <si>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</si>
  <si>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</si>
  <si>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</si>
  <si>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</si>
  <si>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</si>
  <si>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</si>
  <si>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</si>
  <si>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</si>
  <si>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</si>
  <si>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</si>
  <si>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</si>
  <si>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</si>
  <si>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</si>
  <si>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</si>
  <si>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</si>
  <si>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</si>
  <si>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</si>
  <si>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</si>
  <si>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</si>
  <si>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</si>
  <si>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</si>
  <si>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</si>
  <si>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</si>
  <si>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</si>
  <si>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</si>
  <si>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</si>
  <si>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</si>
  <si>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</si>
  <si>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</si>
  <si>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</si>
  <si>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</si>
  <si>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</si>
  <si>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</si>
  <si>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</si>
  <si>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</si>
  <si>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</si>
  <si>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</si>
  <si>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</si>
  <si>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</si>
  <si>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</si>
  <si>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</si>
  <si>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</si>
  <si>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</si>
  <si>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</si>
  <si>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</si>
  <si>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</si>
  <si>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</si>
  <si>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</si>
  <si>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</si>
  <si>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</si>
  <si>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</si>
  <si>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</si>
  <si>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</si>
  <si>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</si>
  <si>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</si>
  <si>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</si>
  <si>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</si>
  <si>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</si>
  <si>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</si>
  <si>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</si>
  <si>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</si>
  <si>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</si>
  <si>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</si>
  <si>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</si>
  <si>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</si>
  <si>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</si>
  <si>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</si>
  <si>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</si>
  <si>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</si>
  <si>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</si>
  <si>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</si>
  <si>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</si>
  <si>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</si>
  <si>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</si>
  <si>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</si>
  <si>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</si>
  <si>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</si>
  <si>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</si>
  <si>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</si>
  <si>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</si>
  <si>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</si>
  <si>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</si>
  <si>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</si>
  <si>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</si>
  <si>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</si>
  <si>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</si>
  <si>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</si>
  <si>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</si>
  <si>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</si>
  <si>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</si>
  <si>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</si>
  <si>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</si>
  <si>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</si>
  <si>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</si>
  <si>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</si>
  <si>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</si>
  <si>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</si>
  <si>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</si>
  <si>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</si>
  <si>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</si>
  <si>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</si>
  <si>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</si>
  <si>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</si>
  <si>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</si>
  <si>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</si>
  <si>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</si>
  <si>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</si>
  <si>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</si>
  <si>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</si>
  <si>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</si>
  <si>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</si>
  <si>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</si>
  <si>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</si>
  <si>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</si>
  <si>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</si>
  <si>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</si>
  <si>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</si>
  <si>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</si>
  <si>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</si>
  <si>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</si>
  <si>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</si>
  <si>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</si>
  <si>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</si>
  <si>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</si>
  <si>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</si>
  <si>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</si>
  <si>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</si>
  <si>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</si>
  <si>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</si>
  <si>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</si>
  <si>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</si>
  <si>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</si>
  <si>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</si>
  <si>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</si>
  <si>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</si>
  <si>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</si>
  <si>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</si>
  <si>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</si>
  <si>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</si>
  <si>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</si>
  <si>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</si>
  <si>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</si>
  <si>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</si>
  <si>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</si>
  <si>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</si>
  <si>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</si>
  <si>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</si>
  <si>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</si>
  <si>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</si>
  <si>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</si>
  <si>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</si>
  <si>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</si>
  <si>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</si>
  <si>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</si>
  <si>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</si>
  <si>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</si>
  <si>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</si>
  <si>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</si>
  <si>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</si>
  <si>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</si>
  <si>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</si>
  <si>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</si>
  <si>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</si>
  <si>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</si>
  <si>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</si>
  <si>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</si>
  <si>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</si>
  <si>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</si>
  <si>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</si>
  <si>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</si>
  <si>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</si>
  <si>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</si>
  <si>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</si>
  <si>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</si>
  <si>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</si>
  <si>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</si>
  <si>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</si>
  <si>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</si>
  <si>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</si>
  <si>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</si>
  <si>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</si>
  <si>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</si>
  <si>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</si>
  <si>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</si>
  <si>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</si>
  <si>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</si>
  <si>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</si>
  <si>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</si>
  <si>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</si>
  <si>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</si>
  <si>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</si>
  <si>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</si>
  <si>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</si>
  <si>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</si>
  <si>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</si>
  <si>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</si>
  <si>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</si>
  <si>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</si>
  <si>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</si>
  <si>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</si>
  <si>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</si>
  <si>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</si>
  <si>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</si>
  <si>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</si>
  <si>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</si>
  <si>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</si>
  <si>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</si>
  <si>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</si>
  <si>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</si>
  <si>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</si>
  <si>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</si>
  <si>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</si>
  <si>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</si>
  <si>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</si>
  <si>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</si>
  <si>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</si>
  <si>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</si>
  <si>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</si>
  <si>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</si>
  <si>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</si>
  <si>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</si>
  <si>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</si>
  <si>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</si>
  <si>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</si>
  <si>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</si>
  <si>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</si>
  <si>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</si>
  <si>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</si>
  <si>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</si>
  <si>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</si>
  <si>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</si>
  <si>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</si>
  <si>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</si>
  <si>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</si>
  <si>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</si>
  <si>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</si>
  <si>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</si>
  <si>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</si>
  <si>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</si>
  <si>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</si>
  <si>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</si>
  <si>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</si>
  <si>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</si>
  <si>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</si>
  <si>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</si>
  <si>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</si>
  <si>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</si>
  <si>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</si>
  <si>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</si>
  <si>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</si>
  <si>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</si>
  <si>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</si>
  <si>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</si>
  <si>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</si>
  <si>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</si>
  <si>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</si>
  <si>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</si>
  <si>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</si>
  <si>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</si>
  <si>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</si>
  <si>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</si>
  <si>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</si>
  <si>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</si>
  <si>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</si>
  <si>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</si>
  <si>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</si>
  <si>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</si>
  <si>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</si>
  <si>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</si>
  <si>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</si>
  <si>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</si>
  <si>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</si>
  <si>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</si>
  <si>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</si>
  <si>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</si>
  <si>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</si>
  <si>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</si>
  <si>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</si>
  <si>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</si>
  <si>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</si>
  <si>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</si>
  <si>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</si>
  <si>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</si>
  <si>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</si>
  <si>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</si>
  <si>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</si>
  <si>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</si>
  <si>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</si>
  <si>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</si>
  <si>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</si>
  <si>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</si>
  <si>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</si>
  <si>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</si>
  <si>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</si>
  <si>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</si>
  <si>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</si>
  <si>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</si>
  <si>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</si>
  <si>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</si>
  <si>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</si>
  <si>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</si>
  <si>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</si>
  <si>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</si>
  <si>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</si>
  <si>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</si>
  <si>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</si>
  <si>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</si>
  <si>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</si>
  <si>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</si>
  <si>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</si>
  <si>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</si>
  <si>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</si>
  <si>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</si>
  <si>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</si>
  <si>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</si>
  <si>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</si>
  <si>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</si>
  <si>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</si>
  <si>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</si>
  <si>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</si>
  <si>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</si>
  <si>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</si>
  <si>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</si>
  <si>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</si>
  <si>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</si>
  <si>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</si>
  <si>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</si>
  <si>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</si>
  <si>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</si>
  <si>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</si>
  <si>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</si>
  <si>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</si>
  <si>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</si>
  <si>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</si>
  <si>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</si>
  <si>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</si>
  <si>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</si>
  <si>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</si>
  <si>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</si>
  <si>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</si>
  <si>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</si>
  <si>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</si>
  <si>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</si>
  <si>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</si>
  <si>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</si>
  <si>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</si>
  <si>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</si>
  <si>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</si>
  <si>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</si>
  <si>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</si>
  <si>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</si>
  <si>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</si>
  <si>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</si>
  <si>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</si>
  <si>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</si>
  <si>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</si>
  <si>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</si>
  <si>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</si>
  <si>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</si>
  <si>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</si>
  <si>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</si>
  <si>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</si>
  <si>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</si>
  <si>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</si>
  <si>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</si>
  <si>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</si>
  <si>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</si>
  <si>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</si>
  <si>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</si>
  <si>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</si>
  <si>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</si>
  <si>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</si>
  <si>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</si>
  <si>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</si>
  <si>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</si>
  <si>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</si>
  <si>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</si>
  <si>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</si>
  <si>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</si>
  <si>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</si>
  <si>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</si>
  <si>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</si>
  <si>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</si>
  <si>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</si>
  <si>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</si>
  <si>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</si>
  <si>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</si>
  <si>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</si>
  <si>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</si>
  <si>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</si>
  <si>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</si>
  <si>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</si>
  <si>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</si>
  <si>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</si>
  <si>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</si>
  <si>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</si>
  <si>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</si>
  <si>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</si>
  <si>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</si>
  <si>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</si>
  <si>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</si>
  <si>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</si>
  <si>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</si>
  <si>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</si>
  <si>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</si>
  <si>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</si>
  <si>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</si>
  <si>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</si>
  <si>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</si>
  <si>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</si>
  <si>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</si>
  <si>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</si>
  <si>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</si>
  <si>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</si>
  <si>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</si>
  <si>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</si>
  <si>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</si>
  <si>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</si>
  <si>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</si>
  <si>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</si>
  <si>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</si>
  <si>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</si>
  <si>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</si>
  <si>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</si>
  <si>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</si>
  <si>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</si>
  <si>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</si>
  <si>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</si>
  <si>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</si>
  <si>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</si>
  <si>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</si>
  <si>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</si>
  <si>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</si>
  <si>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</si>
  <si>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</si>
  <si>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</si>
  <si>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</si>
  <si>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</si>
  <si>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</si>
  <si>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</si>
  <si>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</si>
  <si>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</si>
  <si>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</si>
  <si>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</si>
  <si>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</si>
  <si>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</si>
  <si>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</si>
  <si>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</si>
  <si>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</si>
  <si>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</si>
  <si>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</si>
  <si>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</si>
  <si>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</si>
  <si>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</si>
  <si>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</si>
  <si>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</si>
  <si>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</si>
  <si>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</si>
  <si>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</si>
  <si>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</si>
  <si>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</si>
  <si>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</si>
  <si>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</si>
  <si>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</si>
  <si>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</si>
  <si>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</si>
  <si>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</si>
  <si>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</si>
  <si>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</si>
  <si>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</si>
  <si>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</si>
  <si>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</si>
  <si>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</si>
  <si>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</si>
  <si>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</si>
  <si>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</si>
  <si>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</si>
  <si>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</si>
  <si>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</si>
  <si>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</si>
  <si>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</si>
  <si>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</si>
  <si>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</si>
  <si>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</si>
  <si>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</si>
  <si>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</si>
  <si>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</si>
  <si>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</si>
  <si>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</si>
  <si>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</si>
  <si>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</si>
  <si>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</si>
  <si>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</si>
  <si>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</si>
  <si>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</si>
  <si>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</si>
  <si>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</si>
  <si>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</si>
  <si>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</si>
  <si>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</si>
  <si>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</si>
  <si>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</si>
  <si>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</si>
  <si>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</si>
  <si>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</si>
  <si>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</si>
  <si>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</si>
  <si>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</si>
  <si>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</si>
  <si>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</si>
  <si>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</si>
  <si>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</si>
  <si>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</si>
  <si>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</si>
  <si>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</si>
  <si>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</si>
  <si>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</si>
  <si>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</si>
  <si>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</si>
  <si>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</si>
  <si>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</si>
  <si>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</si>
  <si>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</si>
  <si>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</si>
  <si>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</si>
  <si>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</si>
  <si>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</si>
  <si>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</si>
  <si>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</si>
  <si>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</si>
  <si>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</si>
  <si>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</si>
  <si>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</si>
  <si>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</si>
  <si>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</si>
  <si>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</si>
  <si>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</si>
  <si>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</si>
  <si>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</si>
  <si>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</si>
  <si>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</si>
  <si>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</si>
  <si>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</si>
  <si>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</si>
  <si>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</si>
  <si>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</si>
  <si>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</si>
  <si>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</si>
  <si>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</si>
  <si>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</si>
  <si>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</si>
  <si>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</si>
  <si>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</si>
  <si>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</si>
  <si>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</si>
  <si>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</si>
  <si>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</si>
  <si>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</si>
  <si>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</si>
  <si>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</si>
  <si>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</si>
  <si>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</si>
  <si>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</si>
  <si>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</si>
  <si>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</si>
  <si>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</si>
  <si>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</si>
  <si>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</si>
  <si>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</si>
  <si>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</si>
  <si>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</si>
  <si>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</si>
  <si>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</si>
  <si>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</si>
  <si>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</si>
  <si>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</si>
  <si>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</si>
  <si>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</si>
  <si>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</si>
  <si>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</si>
  <si>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</si>
  <si>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</si>
  <si>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</si>
  <si>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</si>
  <si>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</si>
  <si>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</si>
  <si>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</si>
  <si>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</si>
  <si>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</si>
  <si>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</si>
  <si>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</si>
  <si>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</si>
  <si>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</si>
  <si>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</si>
  <si>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</si>
  <si>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</si>
  <si>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</si>
  <si>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</si>
  <si>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</si>
  <si>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</si>
  <si>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</si>
  <si>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</si>
  <si>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</si>
  <si>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</si>
  <si>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</si>
  <si>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</si>
  <si>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</si>
  <si>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</si>
  <si>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</si>
  <si>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</si>
  <si>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</si>
  <si>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</si>
  <si>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</si>
  <si>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</si>
  <si>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</si>
  <si>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</si>
  <si>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</si>
  <si>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</si>
  <si>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</si>
  <si>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</si>
  <si>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</si>
  <si>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</si>
  <si>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</si>
  <si>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</si>
  <si>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</si>
  <si>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</si>
  <si>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</si>
  <si>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</si>
  <si>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</si>
  <si>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</si>
  <si>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</si>
  <si>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</si>
  <si>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</si>
  <si>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</si>
  <si>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</si>
  <si>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</si>
  <si>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</si>
  <si>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</si>
  <si>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</si>
  <si>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</si>
  <si>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</si>
  <si>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</si>
  <si>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</si>
  <si>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</si>
  <si>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</si>
  <si>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</si>
  <si>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</si>
  <si>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</si>
  <si>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</si>
  <si>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</si>
  <si>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</si>
  <si>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</si>
  <si>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</si>
  <si>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</si>
  <si>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</si>
  <si>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</si>
  <si>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</si>
  <si>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</si>
  <si>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</si>
  <si>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</si>
  <si>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</si>
  <si>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</si>
  <si>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</si>
  <si>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</si>
  <si>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</si>
  <si>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</si>
  <si>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</si>
  <si>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</si>
  <si>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</si>
  <si>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</si>
  <si>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</si>
  <si>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</si>
  <si>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</si>
  <si>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</si>
  <si>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</si>
  <si>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</si>
  <si>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</si>
  <si>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</si>
  <si>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</si>
  <si>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</si>
  <si>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</si>
  <si>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</si>
  <si>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</si>
  <si>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</si>
  <si>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</si>
  <si>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</si>
  <si>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</si>
  <si>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</si>
  <si>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</si>
  <si>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</si>
  <si>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</si>
  <si>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</si>
  <si>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</si>
  <si>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</si>
  <si>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</si>
  <si>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</si>
  <si>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</si>
  <si>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</si>
  <si>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</si>
  <si>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</si>
  <si>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</si>
  <si>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</si>
  <si>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</si>
  <si>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</si>
  <si>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</si>
  <si>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</si>
  <si>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</si>
  <si>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</si>
  <si>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</si>
  <si>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</si>
  <si>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</si>
  <si>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</si>
  <si>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</si>
  <si>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</si>
  <si>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</si>
  <si>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</si>
  <si>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</si>
  <si>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</si>
  <si>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</si>
  <si>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</si>
  <si>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</si>
  <si>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</si>
  <si>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</si>
  <si>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</si>
  <si>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</si>
  <si>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</si>
  <si>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</si>
  <si>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</si>
  <si>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</si>
  <si>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</si>
  <si>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</si>
  <si>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</si>
  <si>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</si>
  <si>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</si>
  <si>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</si>
  <si>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</si>
  <si>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</si>
  <si>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</si>
  <si>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</si>
  <si>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</si>
  <si>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</si>
  <si>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</si>
  <si>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</si>
  <si>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</si>
  <si>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</si>
  <si>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</si>
  <si>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</si>
  <si>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</si>
  <si>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</si>
  <si>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</si>
  <si>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</si>
  <si>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</si>
  <si>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</si>
  <si>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</si>
  <si>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</si>
  <si>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</si>
  <si>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</si>
  <si>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</si>
  <si>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</si>
  <si>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</si>
  <si>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</si>
  <si>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</si>
  <si>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</si>
  <si>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</si>
  <si>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</si>
  <si>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</si>
  <si>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</si>
  <si>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</si>
  <si>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</si>
  <si>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</si>
  <si>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</si>
  <si>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</si>
  <si>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</si>
  <si>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</si>
  <si>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</si>
  <si>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</si>
  <si>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</si>
  <si>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</si>
  <si>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</si>
  <si>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</si>
  <si>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</si>
  <si>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</si>
  <si>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</si>
  <si>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</si>
  <si>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</si>
  <si>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</si>
  <si>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</si>
  <si>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</si>
  <si>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</si>
  <si>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</si>
  <si>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</si>
  <si>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</si>
  <si>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</si>
  <si>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</si>
  <si>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</si>
  <si>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</si>
  <si>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</si>
  <si>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</si>
  <si>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</si>
  <si>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</si>
  <si>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</si>
  <si>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</si>
  <si>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</si>
  <si>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</si>
  <si>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</si>
  <si>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</si>
  <si>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</si>
  <si>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</si>
  <si>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</si>
  <si>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</si>
  <si>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</si>
  <si>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</si>
  <si>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</si>
  <si>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</si>
  <si>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</si>
  <si>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</si>
  <si>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</si>
  <si>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</si>
  <si>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</si>
  <si>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</si>
  <si>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</si>
  <si>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</si>
  <si>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</si>
  <si>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</si>
  <si>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</si>
  <si>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</si>
  <si>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</si>
  <si>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</si>
  <si>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</si>
  <si>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</si>
  <si>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</si>
  <si>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</si>
  <si>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</si>
  <si>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</si>
  <si>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</si>
  <si>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</si>
  <si>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</si>
  <si>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</si>
  <si>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</si>
  <si>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</si>
  <si>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</si>
  <si>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</si>
  <si>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</si>
  <si>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</si>
  <si>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</si>
  <si>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</si>
  <si>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</si>
  <si>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</si>
  <si>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</si>
  <si>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</si>
  <si>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</si>
  <si>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</si>
  <si>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</si>
  <si>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</si>
  <si>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</si>
  <si>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</si>
  <si>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</si>
  <si>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</si>
  <si>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</si>
  <si>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</si>
  <si>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</si>
  <si>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</si>
  <si>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</si>
  <si>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</si>
  <si>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</si>
  <si>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</si>
  <si>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</si>
  <si>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</si>
  <si>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</si>
  <si>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</si>
  <si>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</si>
  <si>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</si>
  <si>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</si>
  <si>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</si>
  <si>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</si>
  <si>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</si>
  <si>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</si>
  <si>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</si>
  <si>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</si>
  <si>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</si>
  <si>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</si>
  <si>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</si>
  <si>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</si>
  <si>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</si>
  <si>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</si>
  <si>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</si>
  <si>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</si>
  <si>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</si>
  <si>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</si>
  <si>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</si>
  <si>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</si>
  <si>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</si>
  <si>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</si>
  <si>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</si>
  <si>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</si>
  <si>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</si>
  <si>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</si>
  <si>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</si>
  <si>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</si>
  <si>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</si>
  <si>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</si>
  <si>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</si>
  <si>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</si>
  <si>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</si>
  <si>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</si>
  <si>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</si>
  <si>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</si>
  <si>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</si>
  <si>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</si>
  <si>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</si>
  <si>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</si>
  <si>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</si>
  <si>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</si>
  <si>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</si>
  <si>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</si>
  <si>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</si>
  <si>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</si>
  <si>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</si>
  <si>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</si>
  <si>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</si>
  <si>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</si>
  <si>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</si>
  <si>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</si>
  <si>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</si>
  <si>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</si>
  <si>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</si>
  <si>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</si>
  <si>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</si>
  <si>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</si>
  <si>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</si>
  <si>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</si>
  <si>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</si>
  <si>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</si>
  <si>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</si>
  <si>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</si>
  <si>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</si>
  <si>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</si>
  <si>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</si>
  <si>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</si>
  <si>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</si>
  <si>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</si>
  <si>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</si>
  <si>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</si>
  <si>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</si>
  <si>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</si>
  <si>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</si>
  <si>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</si>
  <si>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</si>
  <si>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</si>
  <si>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</si>
  <si>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</si>
  <si>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</si>
  <si>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</si>
  <si>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</si>
  <si>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</si>
  <si>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</si>
  <si>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</si>
  <si>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</si>
  <si>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</si>
  <si>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</si>
  <si>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</si>
  <si>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</si>
  <si>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</si>
  <si>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</si>
  <si>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</si>
  <si>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</si>
  <si>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</si>
  <si>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</si>
  <si>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</si>
  <si>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</si>
  <si>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</si>
  <si>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</si>
  <si>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</si>
  <si>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</si>
  <si>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</si>
  <si>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</si>
  <si>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</si>
  <si>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</si>
  <si>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</si>
  <si>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</si>
  <si>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</si>
  <si>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</si>
  <si>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</si>
  <si>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</si>
  <si>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</si>
  <si>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</si>
  <si>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</si>
  <si>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</si>
  <si>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</si>
  <si>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</si>
  <si>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</si>
  <si>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</si>
  <si>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</si>
  <si>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</si>
  <si>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</si>
  <si>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</si>
  <si>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</si>
  <si>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</si>
  <si>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</si>
  <si>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</si>
  <si>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</si>
  <si>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</si>
  <si>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</si>
  <si>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</si>
  <si>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</si>
  <si>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</si>
  <si>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</si>
  <si>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</si>
  <si>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</si>
  <si>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</si>
  <si>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</si>
  <si>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</si>
  <si>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</si>
  <si>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</si>
  <si>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</si>
  <si>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</si>
  <si>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</si>
  <si>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</si>
  <si>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</si>
  <si>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</si>
  <si>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</si>
  <si>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</si>
  <si>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</si>
  <si>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</si>
  <si>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</si>
  <si>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</si>
  <si>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</si>
  <si>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</si>
  <si>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</si>
  <si>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</si>
  <si>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</si>
  <si>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</si>
  <si>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</si>
  <si>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</si>
  <si>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</si>
  <si>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</si>
  <si>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</si>
  <si>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</si>
  <si>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</si>
  <si>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</si>
  <si>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</si>
  <si>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</si>
  <si>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</si>
  <si>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</si>
  <si>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</si>
  <si>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</si>
  <si>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</si>
  <si>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</si>
  <si>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</si>
  <si>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</si>
  <si>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</si>
  <si>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</si>
  <si>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</si>
  <si>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</si>
  <si>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</si>
  <si>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</si>
  <si>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</si>
  <si>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</si>
  <si>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</si>
  <si>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</si>
  <si>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</si>
  <si>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</si>
  <si>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</si>
  <si>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</si>
  <si>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</si>
  <si>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</si>
  <si>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</si>
  <si>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</si>
  <si>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</si>
  <si>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</si>
  <si>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</si>
  <si>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</si>
  <si>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</si>
  <si>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</si>
  <si>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</si>
  <si>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</si>
  <si>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</si>
  <si>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</si>
  <si>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</si>
  <si>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</si>
  <si>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</si>
  <si>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</si>
  <si>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</si>
  <si>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</si>
  <si>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</si>
  <si>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</si>
  <si>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</si>
  <si>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</si>
  <si>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</si>
  <si>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</si>
  <si>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</si>
  <si>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</si>
  <si>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</si>
  <si>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</si>
  <si>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</si>
  <si>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</si>
  <si>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</si>
  <si>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</si>
  <si>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</si>
  <si>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</si>
  <si>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</si>
  <si>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</si>
  <si>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</si>
  <si>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</si>
  <si>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</si>
  <si>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</si>
  <si>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</si>
  <si>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</si>
  <si>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</si>
  <si>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</si>
  <si>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</si>
  <si>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</si>
  <si>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</si>
  <si>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</si>
  <si>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</si>
  <si>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</si>
  <si>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</si>
  <si>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</si>
  <si>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</si>
  <si>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</si>
  <si>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</si>
  <si>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</si>
  <si>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</si>
  <si>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</si>
  <si>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</si>
  <si>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</si>
  <si>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</si>
  <si>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</si>
  <si>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</si>
  <si>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</si>
  <si>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</si>
  <si>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</si>
  <si>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</si>
  <si>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</si>
  <si>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</si>
  <si>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</si>
  <si>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</si>
  <si>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</si>
  <si>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</si>
  <si>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</si>
  <si>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</si>
  <si>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</si>
  <si>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</si>
  <si>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</si>
  <si>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</si>
  <si>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</si>
  <si>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</si>
  <si>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</si>
  <si>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</si>
  <si>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</si>
  <si>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</si>
  <si>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</si>
  <si>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</si>
  <si>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</si>
  <si>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</si>
  <si>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</si>
  <si>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</si>
  <si>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</si>
  <si>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</si>
  <si>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</si>
  <si>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</si>
  <si>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</si>
  <si>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</si>
  <si>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</si>
  <si>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</si>
  <si>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</si>
  <si>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</si>
  <si>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</si>
  <si>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</si>
  <si>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</si>
  <si>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</si>
  <si>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</si>
  <si>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</si>
  <si>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</si>
  <si>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</si>
  <si>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</si>
  <si>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</si>
  <si>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</si>
  <si>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</si>
  <si>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</si>
  <si>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</si>
  <si>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</si>
  <si>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</si>
  <si>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</si>
  <si>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</si>
  <si>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</si>
  <si>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</si>
  <si>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</si>
  <si>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</si>
  <si>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</si>
  <si>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</si>
  <si>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</si>
  <si>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</si>
  <si>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</si>
  <si>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</si>
  <si>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</si>
  <si>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</si>
  <si>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</si>
  <si>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</si>
  <si>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</si>
  <si>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</si>
  <si>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</si>
  <si>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</si>
  <si>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</si>
  <si>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</si>
  <si>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</si>
  <si>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</si>
  <si>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</si>
  <si>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</si>
  <si>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</si>
  <si>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</si>
  <si>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</si>
  <si>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</si>
  <si>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</si>
  <si>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</si>
  <si>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</si>
  <si>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</si>
  <si>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</si>
  <si>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</si>
  <si>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</si>
  <si>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</si>
  <si>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</si>
  <si>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</si>
  <si>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</si>
  <si>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</si>
  <si>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</si>
  <si>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</si>
  <si>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</si>
  <si>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</si>
  <si>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</si>
  <si>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</si>
  <si>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</si>
  <si>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</si>
  <si>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</si>
  <si>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</si>
  <si>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</si>
  <si>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</si>
  <si>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</si>
  <si>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</si>
  <si>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</si>
  <si>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</si>
  <si>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</si>
  <si>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</si>
  <si>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</si>
  <si>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</si>
  <si>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</si>
  <si>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</si>
  <si>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</si>
  <si>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</si>
  <si>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</si>
  <si>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</si>
  <si>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</si>
  <si>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</si>
  <si>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</si>
  <si>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</si>
  <si>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</si>
  <si>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</si>
  <si>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</si>
  <si>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</si>
  <si>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</si>
  <si>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</si>
  <si>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</si>
  <si>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</si>
  <si>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</si>
  <si>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</si>
  <si>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</si>
  <si>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</si>
  <si>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</si>
  <si>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</si>
  <si>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</si>
  <si>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</si>
  <si>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</si>
  <si>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</si>
  <si>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</si>
  <si>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</si>
  <si>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</si>
  <si>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</si>
  <si>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</si>
  <si>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</si>
  <si>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</si>
  <si>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</si>
  <si>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</si>
  <si>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</si>
  <si>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</si>
  <si>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</si>
  <si>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</si>
  <si>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</si>
  <si>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</si>
  <si>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</si>
  <si>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</si>
  <si>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</si>
  <si>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</si>
  <si>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</si>
  <si>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</si>
  <si>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</si>
  <si>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</si>
  <si>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</si>
  <si>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</si>
  <si>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</si>
  <si>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</si>
  <si>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</si>
  <si>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</si>
  <si>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</si>
  <si>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</si>
  <si>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</si>
  <si>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</si>
  <si>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</si>
  <si>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</si>
  <si>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</si>
  <si>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</si>
  <si>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</si>
  <si>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</si>
  <si>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</si>
  <si>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</si>
  <si>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</si>
  <si>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</si>
  <si>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</si>
  <si>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</si>
  <si>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</si>
  <si>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</si>
  <si>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</si>
  <si>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</si>
  <si>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</si>
  <si>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</si>
  <si>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</si>
  <si>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</si>
  <si>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</si>
  <si>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</si>
  <si>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</si>
  <si>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</si>
  <si>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</si>
  <si>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</si>
  <si>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</si>
  <si>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</si>
  <si>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</si>
  <si>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</si>
  <si>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</si>
  <si>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</si>
  <si>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</si>
  <si>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</si>
  <si>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</si>
  <si>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</si>
  <si>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</si>
  <si>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</si>
  <si>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</si>
  <si>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</si>
  <si>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</si>
  <si>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</si>
  <si>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</si>
  <si>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</si>
  <si>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</si>
  <si>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</si>
  <si>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</si>
  <si>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</si>
  <si>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</si>
  <si>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</si>
  <si>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</si>
  <si>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</si>
  <si>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</si>
  <si>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</si>
  <si>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</si>
  <si>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</si>
  <si>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</si>
  <si>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</si>
  <si>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</si>
  <si>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</si>
  <si>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</si>
  <si>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</si>
  <si>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</si>
  <si>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</si>
  <si>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</si>
  <si>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</si>
  <si>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</si>
  <si>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</si>
  <si>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</si>
  <si>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</si>
  <si>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</si>
  <si>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</si>
  <si>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</si>
  <si>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</si>
  <si>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</si>
  <si>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</si>
  <si>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</si>
  <si>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</si>
  <si>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</si>
  <si>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</si>
  <si>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</si>
  <si>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</si>
  <si>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</si>
  <si>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</si>
  <si>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</si>
  <si>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</si>
  <si>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</si>
  <si>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</si>
  <si>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</si>
  <si>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</si>
  <si>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</si>
  <si>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</si>
  <si>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</si>
  <si>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</si>
  <si>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</si>
  <si>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</si>
  <si>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</si>
  <si>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</si>
  <si>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</si>
  <si>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</si>
  <si>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</si>
  <si>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</si>
  <si>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</si>
  <si>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</si>
  <si>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</si>
  <si>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</si>
  <si>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</si>
  <si>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</si>
  <si>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</si>
  <si>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</si>
  <si>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</si>
  <si>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</si>
  <si>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</si>
  <si>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</si>
  <si>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</si>
  <si>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</si>
  <si>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</si>
  <si>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</si>
  <si>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</si>
  <si>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</si>
  <si>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</si>
  <si>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</si>
  <si>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</si>
  <si>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</si>
  <si>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</si>
  <si>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</si>
  <si>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</si>
  <si>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</si>
  <si>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</si>
  <si>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</si>
  <si>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</si>
  <si>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</si>
  <si>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</si>
  <si>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</si>
  <si>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</si>
  <si>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</si>
  <si>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</si>
  <si>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</si>
  <si>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</si>
  <si>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</si>
  <si>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</si>
  <si>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</si>
  <si>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</si>
  <si>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</si>
  <si>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</si>
  <si>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</si>
  <si>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</si>
  <si>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</si>
  <si>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</si>
  <si>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</si>
  <si>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</si>
  <si>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</si>
  <si>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</si>
  <si>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</si>
  <si>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</si>
  <si>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</si>
  <si>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</si>
  <si>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</si>
  <si>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</si>
  <si>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</si>
  <si>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</si>
  <si>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</si>
  <si>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</si>
  <si>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</si>
  <si>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</si>
  <si>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</si>
  <si>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</si>
  <si>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</si>
  <si>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</si>
  <si>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</si>
  <si>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</si>
  <si>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</si>
  <si>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</si>
  <si>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</si>
  <si>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</si>
  <si>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</si>
  <si>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</si>
  <si>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</si>
  <si>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</si>
  <si>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</si>
  <si>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</si>
  <si>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</si>
  <si>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</si>
  <si>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</si>
  <si>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</si>
  <si>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</si>
  <si>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</si>
  <si>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</si>
  <si>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</si>
  <si>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</si>
  <si>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</si>
  <si>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</si>
  <si>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</si>
  <si>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</si>
  <si>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</si>
  <si>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</si>
  <si>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</si>
  <si>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</si>
  <si>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</si>
  <si>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</si>
  <si>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</si>
  <si>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</si>
  <si>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</si>
  <si>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</si>
  <si>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</si>
  <si>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</si>
  <si>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</si>
  <si>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</si>
  <si>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</si>
  <si>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</si>
  <si>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</si>
  <si>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</si>
  <si>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</si>
  <si>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</si>
  <si>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</si>
  <si>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</si>
  <si>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</si>
  <si>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</si>
  <si>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</si>
  <si>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</si>
  <si>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</si>
  <si>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</si>
  <si>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</si>
  <si>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</si>
  <si>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</si>
  <si>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</si>
  <si>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</si>
  <si>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</si>
  <si>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</si>
  <si>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</si>
  <si>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</si>
  <si>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</si>
  <si>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</si>
  <si>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</si>
  <si>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</si>
  <si>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</si>
  <si>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</si>
  <si>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</si>
  <si>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</si>
  <si>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</si>
  <si>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</si>
  <si>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</si>
  <si>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</si>
  <si>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</si>
  <si>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</si>
  <si>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</si>
  <si>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</si>
  <si>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</si>
  <si>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</si>
  <si>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</si>
  <si>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</si>
  <si>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</si>
  <si>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</si>
  <si>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</si>
  <si>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</si>
  <si>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</si>
  <si>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</si>
  <si>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</si>
  <si>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</si>
  <si>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</si>
  <si>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</si>
  <si>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</si>
  <si>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</si>
  <si>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</si>
  <si>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</si>
  <si>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</si>
  <si>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</si>
  <si>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</si>
  <si>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</si>
  <si>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</si>
  <si>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</si>
  <si>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</si>
  <si>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</si>
  <si>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</si>
  <si>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</si>
  <si>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</si>
  <si>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</si>
  <si>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</si>
  <si>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</si>
  <si>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</si>
  <si>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</si>
  <si>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</si>
  <si>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</si>
  <si>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</si>
  <si>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</si>
  <si>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</si>
  <si>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</si>
  <si>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</si>
  <si>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</si>
  <si>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</si>
  <si>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</si>
  <si>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</si>
  <si>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</si>
  <si>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</si>
  <si>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</si>
  <si>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</si>
  <si>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</si>
  <si>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</si>
  <si>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</si>
  <si>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</si>
  <si>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</si>
  <si>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</si>
  <si>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</si>
  <si>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</si>
  <si>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</si>
  <si>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</si>
  <si>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</si>
  <si>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</si>
  <si>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</si>
  <si>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</si>
  <si>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</si>
  <si>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</si>
  <si>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</si>
  <si>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</si>
  <si>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</si>
  <si>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</si>
  <si>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</si>
  <si>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</si>
  <si>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</si>
  <si>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</si>
  <si>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</si>
  <si>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</si>
  <si>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</si>
  <si>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</si>
  <si>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</si>
  <si>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</si>
  <si>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</si>
  <si>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</si>
  <si>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</si>
  <si>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</si>
  <si>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</si>
  <si>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</si>
  <si>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</si>
  <si>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</si>
  <si>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</si>
  <si>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</si>
  <si>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</si>
  <si>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</si>
  <si>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</si>
  <si>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</si>
  <si>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</si>
  <si>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</si>
  <si>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</si>
  <si>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</si>
  <si>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</si>
  <si>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</si>
  <si>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</si>
  <si>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</si>
  <si>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</si>
  <si>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</si>
  <si>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</si>
  <si>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</si>
  <si>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</si>
  <si>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</si>
  <si>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</si>
  <si>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</si>
  <si>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</si>
  <si>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</si>
  <si>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</si>
  <si>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</si>
  <si>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</si>
  <si>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</si>
  <si>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</si>
  <si>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</si>
  <si>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</si>
  <si>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</si>
  <si>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</si>
  <si>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</si>
  <si>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</si>
  <si>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</si>
  <si>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</si>
  <si>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</si>
  <si>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</si>
  <si>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</si>
  <si>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</si>
  <si>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</si>
  <si>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</si>
  <si>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</si>
  <si>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</si>
  <si>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</si>
  <si>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</si>
  <si>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</si>
  <si>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</si>
  <si>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</si>
  <si>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</si>
  <si>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</si>
  <si>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</si>
  <si>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</si>
  <si>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</si>
  <si>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</si>
  <si>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</si>
  <si>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</si>
  <si>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</si>
  <si>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</si>
  <si>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</si>
  <si>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</si>
  <si>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</si>
  <si>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</si>
  <si>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</si>
  <si>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</si>
  <si>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</si>
  <si>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</si>
  <si>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</si>
  <si>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</si>
  <si>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</si>
  <si>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</si>
  <si>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</si>
  <si>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</si>
  <si>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</si>
  <si>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</si>
  <si>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</si>
  <si>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</si>
  <si>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</si>
  <si>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</si>
  <si>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</si>
  <si>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</si>
  <si>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</si>
  <si>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</si>
  <si>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</si>
  <si>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</si>
  <si>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</si>
  <si>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</si>
  <si>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</si>
  <si>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</si>
  <si>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</si>
  <si>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</si>
  <si>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</si>
  <si>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</si>
  <si>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</si>
  <si>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</si>
  <si>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</si>
  <si>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</si>
  <si>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</si>
  <si>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</si>
  <si>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</si>
  <si>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</si>
  <si>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</si>
  <si>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</si>
  <si>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</si>
  <si>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</si>
  <si>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</si>
  <si>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</si>
  <si>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</si>
  <si>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</si>
  <si>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</si>
  <si>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</si>
  <si>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</si>
  <si>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</si>
  <si>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</si>
  <si>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</si>
  <si>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</si>
  <si>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</si>
  <si>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</si>
  <si>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</si>
  <si>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</si>
  <si>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</si>
  <si>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</si>
  <si>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</si>
  <si>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</si>
  <si>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</si>
  <si>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</si>
  <si>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</si>
  <si>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</si>
  <si>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</si>
  <si>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</si>
  <si>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</si>
  <si>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</si>
  <si>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</si>
  <si>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</si>
  <si>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</si>
  <si>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</si>
  <si>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</si>
  <si>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</si>
  <si>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</si>
  <si>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</si>
  <si>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</si>
  <si>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</si>
  <si>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</si>
  <si>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</si>
  <si>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</si>
  <si>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</si>
  <si>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</si>
  <si>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</si>
  <si>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</si>
  <si>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</si>
  <si>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</si>
  <si>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</si>
  <si>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</si>
  <si>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</si>
  <si>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</si>
  <si>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</si>
  <si>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</si>
  <si>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</si>
  <si>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</si>
  <si>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</si>
  <si>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</si>
  <si>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</si>
  <si>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</si>
  <si>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</si>
  <si>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</si>
  <si>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</si>
  <si>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</si>
  <si>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</si>
  <si>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</si>
  <si>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</si>
  <si>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</si>
  <si>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</si>
  <si>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</si>
  <si>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</si>
  <si>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</si>
  <si>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</si>
  <si>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</si>
  <si>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</si>
  <si>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</si>
  <si>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</si>
  <si>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</si>
  <si>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</si>
  <si>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</si>
  <si>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</si>
  <si>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</si>
  <si>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</si>
  <si>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</si>
  <si>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</si>
  <si>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</si>
  <si>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</si>
  <si>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</si>
  <si>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</si>
  <si>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</si>
  <si>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</si>
  <si>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</si>
  <si>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</si>
  <si>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</si>
  <si>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</si>
  <si>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</si>
  <si>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</si>
  <si>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</si>
  <si>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</si>
  <si>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</si>
  <si>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</si>
  <si>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</si>
  <si>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</si>
  <si>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</si>
  <si>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</si>
  <si>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</si>
  <si>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</si>
  <si>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</si>
  <si>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</si>
  <si>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</si>
  <si>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</si>
  <si>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</si>
  <si>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</si>
  <si>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</si>
  <si>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</si>
  <si>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</si>
  <si>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</si>
  <si>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</si>
  <si>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</si>
  <si>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</si>
  <si>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</si>
  <si>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</si>
  <si>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</si>
  <si>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</si>
  <si>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</si>
  <si>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</si>
  <si>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</si>
  <si>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</si>
  <si>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</si>
  <si>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</si>
  <si>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</si>
  <si>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</si>
  <si>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</si>
  <si>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</si>
  <si>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</si>
  <si>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</si>
  <si>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</si>
  <si>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</si>
  <si>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</si>
  <si>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</si>
  <si>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</si>
  <si>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</si>
  <si>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</si>
  <si>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</si>
  <si>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</si>
  <si>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</si>
  <si>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</si>
  <si>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</si>
  <si>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</si>
  <si>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</si>
  <si>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</si>
  <si>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</si>
  <si>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</si>
  <si>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</si>
  <si>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</si>
  <si>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</si>
  <si>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</si>
  <si>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</si>
  <si>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</si>
  <si>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</si>
  <si>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</si>
  <si>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</si>
  <si>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</si>
  <si>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</si>
  <si>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</si>
  <si>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</si>
  <si>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</si>
  <si>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</si>
  <si>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</si>
  <si>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</si>
  <si>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</si>
  <si>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</si>
  <si>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</si>
  <si>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</si>
  <si>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</si>
  <si>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</si>
  <si>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</si>
  <si>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</si>
  <si>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</si>
  <si>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</si>
  <si>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</si>
  <si>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</si>
  <si>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</si>
  <si>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</si>
  <si>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</si>
  <si>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</si>
  <si>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</si>
  <si>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</si>
  <si>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</si>
  <si>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</si>
  <si>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</si>
  <si>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</si>
  <si>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</si>
  <si>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</si>
  <si>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</si>
  <si>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</si>
  <si>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</si>
  <si>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</si>
  <si>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</si>
  <si>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</si>
  <si>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</si>
  <si>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</si>
  <si>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</si>
  <si>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</si>
  <si>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</si>
  <si>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</si>
  <si>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</si>
  <si>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</si>
  <si>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</si>
  <si>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</si>
  <si>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</si>
  <si>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</si>
  <si>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</si>
  <si>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</si>
  <si>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</si>
  <si>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</si>
  <si>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</si>
  <si>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</si>
  <si>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</si>
  <si>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</si>
  <si>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</si>
  <si>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</si>
  <si>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</si>
  <si>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</si>
  <si>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</si>
  <si>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</si>
  <si>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</si>
  <si>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</si>
  <si>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</si>
  <si>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</si>
  <si>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</si>
  <si>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</si>
  <si>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</si>
  <si>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</si>
  <si>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</si>
  <si>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</si>
  <si>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</si>
  <si>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</si>
  <si>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</si>
  <si>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</si>
  <si>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</si>
  <si>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</si>
  <si>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</si>
  <si>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</si>
  <si>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</si>
  <si>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</si>
  <si>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</si>
  <si>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</si>
  <si>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</si>
  <si>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</si>
  <si>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</si>
  <si>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</si>
  <si>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</si>
  <si>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</si>
  <si>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</si>
  <si>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</si>
  <si>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</si>
  <si>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</si>
  <si>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</si>
  <si>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</si>
  <si>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</si>
  <si>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</si>
  <si>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</si>
  <si>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</si>
  <si>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</si>
  <si>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</si>
  <si>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</si>
  <si>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</si>
  <si>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</si>
  <si>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</si>
  <si>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</si>
  <si>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</si>
  <si>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</si>
  <si>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</si>
  <si>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</si>
  <si>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</si>
  <si>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</si>
  <si>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</si>
  <si>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</si>
  <si>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</si>
  <si>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</si>
  <si>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</si>
  <si>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</si>
  <si>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</si>
  <si>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</si>
  <si>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</si>
  <si>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</si>
  <si>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</si>
  <si>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</si>
  <si>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</si>
  <si>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</si>
  <si>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</si>
  <si>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</si>
  <si>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</si>
  <si>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</si>
  <si>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</si>
  <si>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</si>
  <si>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</si>
  <si>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</si>
  <si>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</si>
  <si>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</si>
  <si>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</si>
  <si>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</si>
  <si>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</si>
  <si>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</si>
  <si>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</si>
  <si>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</si>
  <si>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</si>
  <si>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</si>
  <si>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</si>
  <si>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</si>
  <si>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</si>
  <si>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</si>
  <si>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</si>
  <si>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</si>
  <si>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</si>
  <si>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</si>
  <si>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</si>
  <si>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</si>
  <si>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</si>
  <si>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</si>
  <si>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</si>
  <si>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</si>
  <si>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</si>
  <si>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</si>
  <si>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</si>
  <si>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</si>
  <si>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</si>
  <si>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</si>
  <si>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</si>
  <si>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</si>
  <si>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</si>
  <si>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</si>
  <si>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</si>
  <si>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</si>
  <si>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</si>
  <si>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</si>
  <si>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</si>
  <si>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</si>
  <si>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</si>
  <si>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</si>
  <si>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</si>
  <si>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</si>
  <si>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</si>
  <si>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</si>
  <si>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</si>
  <si>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</si>
  <si>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</si>
  <si>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</si>
  <si>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</si>
  <si>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</si>
  <si>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</si>
  <si>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</si>
  <si>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</si>
  <si>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</si>
  <si>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</si>
  <si>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</si>
  <si>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</si>
  <si>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</si>
  <si>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</si>
  <si>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</si>
  <si>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</si>
  <si>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</si>
  <si>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</si>
  <si>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</si>
  <si>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</si>
  <si>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</si>
  <si>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</si>
  <si>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</si>
  <si>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</si>
  <si>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</si>
  <si>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</si>
  <si>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</si>
  <si>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</si>
  <si>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</si>
  <si>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</si>
  <si>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</si>
  <si>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</si>
  <si>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</si>
  <si>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</si>
  <si>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</si>
  <si>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</si>
  <si>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</si>
  <si>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</si>
  <si>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</si>
  <si>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</si>
  <si>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</si>
  <si>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</si>
  <si>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</si>
  <si>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</si>
  <si>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</si>
  <si>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</si>
  <si>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</si>
  <si>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</si>
  <si>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</si>
  <si>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</si>
  <si>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</si>
  <si>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</si>
  <si>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</si>
  <si>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</si>
  <si>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</si>
  <si>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</si>
  <si>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</si>
  <si>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</si>
  <si>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</si>
  <si>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</si>
  <si>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</si>
  <si>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</si>
  <si>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</si>
  <si>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</si>
  <si>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</si>
  <si>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</si>
  <si>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</si>
  <si>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</si>
  <si>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</si>
  <si>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</si>
  <si>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</si>
  <si>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</si>
  <si>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</si>
  <si>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</si>
  <si>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</si>
  <si>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</si>
  <si>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</si>
  <si>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</si>
  <si>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</si>
  <si>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</si>
  <si>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</si>
  <si>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</si>
  <si>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</si>
  <si>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</si>
  <si>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</si>
  <si>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</si>
  <si>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</si>
  <si>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</si>
  <si>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</si>
  <si>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</si>
  <si>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</si>
  <si>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</si>
  <si>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</si>
  <si>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</si>
  <si>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</si>
  <si>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</si>
  <si>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</si>
  <si>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</si>
  <si>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</si>
  <si>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</si>
  <si>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</si>
  <si>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</si>
  <si>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</si>
  <si>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</si>
  <si>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</si>
  <si>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</si>
  <si>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</si>
  <si>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</si>
  <si>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</si>
  <si>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</si>
  <si>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</si>
  <si>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</si>
  <si>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</si>
  <si>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</si>
  <si>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</si>
  <si>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</si>
  <si>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</si>
  <si>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</si>
  <si>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</si>
  <si>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</si>
  <si>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</si>
  <si>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</si>
  <si>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</si>
  <si>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</si>
  <si>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</si>
  <si>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</si>
  <si>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</si>
  <si>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</si>
  <si>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</si>
  <si>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</si>
  <si>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</si>
  <si>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</si>
  <si>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</si>
  <si>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</si>
  <si>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</si>
  <si>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</si>
  <si>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</si>
  <si>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</si>
  <si>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</si>
  <si>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</si>
  <si>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</si>
  <si>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</si>
  <si>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</si>
  <si>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</si>
  <si>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</si>
  <si>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</si>
  <si>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</si>
  <si>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</si>
  <si>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</si>
  <si>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</si>
  <si>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</si>
  <si>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</si>
  <si>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</si>
  <si>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</si>
  <si>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</si>
  <si>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</si>
  <si>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</si>
  <si>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</si>
  <si>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</si>
  <si>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</si>
  <si>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</si>
  <si>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</si>
  <si>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</si>
  <si>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</si>
  <si>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</si>
  <si>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</si>
  <si>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</si>
  <si>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</si>
  <si>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</si>
  <si>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</si>
  <si>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</si>
  <si>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</si>
  <si>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</si>
  <si>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</si>
  <si>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</si>
  <si>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</si>
  <si>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</si>
  <si>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</si>
  <si>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</si>
  <si>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</si>
  <si>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</si>
  <si>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</si>
  <si>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</si>
  <si>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</si>
  <si>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</si>
  <si>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</si>
  <si>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</si>
  <si>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</si>
  <si>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</si>
  <si>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</si>
  <si>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</si>
  <si>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</si>
  <si>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</si>
  <si>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</si>
  <si>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</si>
  <si>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</si>
  <si>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</si>
  <si>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</si>
  <si>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</si>
  <si>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</si>
  <si>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</si>
  <si>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</si>
  <si>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</si>
  <si>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</si>
  <si>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</si>
  <si>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</si>
  <si>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</si>
  <si>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</si>
  <si>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</si>
  <si>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</si>
  <si>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</si>
  <si>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</si>
  <si>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</si>
  <si>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</si>
  <si>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</si>
  <si>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</si>
  <si>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</si>
  <si>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</si>
  <si>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</si>
  <si>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</si>
  <si>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</si>
  <si>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</si>
  <si>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</si>
  <si>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</si>
  <si>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</si>
  <si>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</si>
  <si>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</si>
  <si>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</si>
  <si>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</si>
  <si>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</si>
  <si>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</si>
  <si>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</si>
  <si>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</si>
  <si>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</si>
  <si>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</si>
  <si>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</si>
  <si>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</si>
  <si>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</si>
  <si>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</si>
  <si>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</si>
  <si>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</si>
  <si>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</si>
  <si>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</si>
  <si>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</si>
  <si>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</si>
  <si>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</si>
  <si>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</si>
  <si>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</si>
  <si>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</si>
  <si>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</si>
  <si>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</si>
  <si>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</si>
  <si>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</si>
  <si>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</si>
  <si>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</si>
  <si>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</si>
  <si>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</si>
  <si>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</si>
  <si>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</si>
  <si>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</si>
  <si>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</si>
  <si>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</si>
  <si>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</si>
  <si>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</si>
  <si>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</si>
  <si>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</si>
  <si>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</si>
  <si>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</si>
  <si>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</si>
  <si>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</si>
  <si>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</si>
  <si>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</si>
  <si>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</si>
  <si>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</si>
  <si>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</si>
  <si>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</si>
  <si>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</si>
  <si>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</si>
  <si>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</si>
  <si>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</si>
  <si>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</si>
  <si>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</si>
  <si>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</si>
  <si>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</si>
  <si>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</si>
  <si>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</si>
  <si>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</si>
  <si>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</si>
  <si>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</si>
  <si>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</si>
  <si>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</si>
  <si>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</si>
  <si>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</si>
  <si>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</si>
  <si>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</si>
  <si>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</si>
  <si>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</si>
  <si>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</si>
  <si>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</si>
  <si>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</si>
  <si>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</si>
  <si>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</si>
  <si>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</si>
  <si>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</si>
  <si>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</si>
  <si>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</si>
  <si>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</si>
  <si>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</si>
  <si>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</si>
  <si>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</si>
  <si>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</si>
  <si>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</si>
  <si>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</si>
  <si>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</si>
  <si>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</si>
  <si>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</si>
  <si>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</si>
  <si>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</si>
  <si>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</si>
  <si>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</si>
  <si>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</si>
  <si>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</si>
  <si>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</si>
  <si>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</si>
  <si>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</si>
  <si>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</si>
  <si>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</si>
  <si>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</si>
  <si>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</si>
  <si>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</si>
  <si>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</si>
  <si>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</si>
  <si>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</si>
  <si>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</si>
  <si>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</si>
  <si>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</si>
  <si>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</si>
  <si>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</si>
  <si>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</si>
  <si>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</si>
  <si>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</si>
  <si>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</si>
  <si>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</si>
  <si>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</si>
  <si>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</si>
  <si>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</si>
  <si>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</si>
  <si>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</si>
  <si>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</si>
  <si>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</si>
  <si>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</si>
  <si>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</si>
  <si>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</si>
  <si>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</si>
  <si>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</si>
  <si>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</si>
  <si>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</si>
  <si>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</si>
  <si>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</si>
  <si>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</si>
  <si>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</si>
  <si>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</si>
  <si>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</si>
  <si>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</si>
  <si>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</si>
  <si>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</si>
  <si>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</si>
  <si>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</si>
  <si>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</si>
  <si>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</si>
  <si>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</si>
  <si>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</si>
  <si>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</si>
  <si>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</si>
  <si>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</si>
  <si>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</si>
  <si>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</si>
  <si>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</si>
  <si>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</si>
  <si>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</si>
  <si>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</si>
  <si>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</si>
  <si>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</si>
  <si>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</si>
  <si>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</si>
  <si>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</si>
  <si>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</si>
  <si>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</si>
  <si>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</si>
  <si>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</si>
  <si>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</si>
  <si>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</si>
  <si>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</si>
  <si>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</si>
  <si>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</si>
  <si>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</si>
  <si>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</si>
  <si>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</si>
  <si>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</si>
  <si>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</si>
  <si>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</si>
  <si>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</si>
  <si>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</si>
  <si>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</si>
  <si>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</si>
  <si>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</si>
  <si>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</si>
  <si>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</si>
  <si>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</si>
  <si>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</si>
  <si>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</si>
  <si>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</si>
  <si>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</si>
  <si>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</si>
  <si>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</si>
  <si>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</si>
  <si>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</si>
  <si>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</si>
  <si>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</si>
  <si>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</si>
  <si>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</si>
  <si>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</si>
  <si>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</si>
  <si>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</si>
  <si>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</si>
  <si>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</si>
  <si>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</si>
  <si>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</si>
  <si>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</si>
  <si>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</si>
  <si>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</si>
  <si>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</si>
  <si>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</si>
  <si>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</si>
  <si>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</si>
  <si>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</si>
  <si>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</si>
  <si>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</si>
  <si>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</si>
  <si>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</si>
  <si>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</si>
  <si>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</si>
  <si>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</si>
  <si>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</si>
  <si>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</si>
  <si>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</si>
  <si>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</si>
  <si>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</si>
  <si>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</si>
  <si>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</si>
  <si>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</si>
  <si>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</si>
  <si>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</si>
  <si>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</si>
  <si>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</si>
  <si>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</si>
  <si>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</si>
  <si>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</si>
  <si>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</si>
  <si>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</si>
  <si>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</si>
  <si>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</si>
  <si>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</si>
  <si>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</si>
  <si>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</si>
  <si>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</si>
  <si>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</si>
  <si>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</si>
  <si>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</si>
  <si>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</si>
  <si>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</si>
  <si>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</si>
  <si>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</si>
  <si>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</si>
  <si>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</si>
  <si>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</si>
  <si>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</si>
  <si>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</si>
  <si>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</si>
  <si>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</si>
  <si>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</si>
  <si>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</si>
  <si>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</si>
  <si>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</si>
  <si>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</si>
  <si>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</si>
  <si>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</si>
  <si>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</si>
  <si>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</si>
  <si>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</si>
  <si>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</si>
  <si>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</si>
  <si>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</si>
  <si>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</si>
  <si>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</si>
  <si>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</si>
  <si>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</si>
  <si>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</si>
  <si>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</si>
  <si>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</si>
  <si>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</si>
  <si>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</si>
  <si>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</si>
  <si>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</si>
  <si>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</si>
  <si>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</si>
  <si>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</si>
  <si>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</si>
  <si>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</si>
  <si>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</si>
  <si>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</si>
  <si>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</si>
  <si>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</si>
  <si>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</si>
  <si>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</si>
  <si>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</si>
  <si>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</si>
  <si>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</si>
  <si>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</si>
  <si>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</si>
  <si>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</si>
  <si>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</si>
  <si>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</si>
  <si>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</si>
  <si>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</si>
  <si>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</si>
  <si>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</si>
  <si>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</si>
  <si>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</si>
  <si>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</si>
  <si>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</si>
  <si>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</si>
  <si>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</si>
  <si>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</si>
  <si>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</si>
  <si>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</si>
  <si>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</si>
  <si>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</si>
  <si>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</si>
  <si>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</si>
  <si>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</si>
  <si>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</si>
  <si>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</si>
  <si>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</si>
  <si>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</si>
  <si>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</si>
  <si>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</si>
  <si>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</si>
  <si>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</si>
  <si>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</si>
  <si>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</si>
  <si>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</si>
  <si>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</si>
  <si>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</si>
  <si>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</si>
  <si>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</si>
  <si>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</si>
  <si>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</si>
  <si>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</si>
  <si>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</si>
  <si>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</si>
  <si>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</si>
  <si>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</si>
  <si>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</si>
  <si>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</si>
  <si>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</si>
  <si>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</si>
  <si>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</si>
  <si>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</si>
  <si>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</si>
  <si>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</si>
  <si>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</si>
  <si>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</si>
  <si>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</si>
  <si>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</si>
  <si>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</si>
  <si>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</si>
  <si>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</si>
  <si>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</si>
  <si>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</si>
  <si>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</si>
  <si>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</si>
  <si>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</si>
  <si>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</si>
  <si>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</si>
  <si>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</si>
  <si>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</si>
  <si>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</si>
  <si>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</si>
  <si>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</si>
  <si>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</si>
  <si>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</si>
  <si>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</si>
  <si>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</si>
  <si>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</si>
  <si>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</si>
  <si>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</si>
  <si>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</si>
  <si>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</si>
  <si>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</si>
  <si>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</si>
  <si>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</si>
  <si>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</si>
  <si>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</si>
  <si>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</si>
  <si>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</si>
  <si>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</si>
  <si>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</si>
  <si>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</si>
  <si>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</si>
  <si>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</si>
  <si>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</si>
  <si>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</si>
  <si>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</si>
  <si>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</si>
  <si>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</si>
  <si>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</si>
  <si>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</si>
  <si>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</si>
  <si>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</si>
  <si>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</si>
  <si>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</si>
  <si>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</si>
  <si>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</si>
  <si>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</si>
  <si>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</si>
  <si>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</si>
  <si>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</si>
  <si>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</si>
  <si>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</si>
  <si>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</si>
  <si>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</si>
  <si>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</si>
  <si>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</si>
  <si>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</si>
  <si>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</si>
  <si>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</si>
  <si>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</si>
  <si>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</si>
  <si>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</si>
  <si>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</si>
  <si>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</si>
  <si>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</si>
  <si>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</si>
  <si>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</si>
  <si>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</si>
  <si>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</si>
  <si>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</si>
  <si>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</si>
  <si>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</si>
  <si>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</si>
  <si>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</si>
  <si>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</si>
  <si>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</si>
  <si>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</si>
  <si>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</si>
  <si>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</si>
  <si>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</si>
  <si>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</si>
  <si>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</si>
  <si>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</si>
  <si>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</si>
  <si>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</si>
  <si>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</si>
  <si>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</si>
  <si>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</si>
  <si>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</si>
  <si>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</si>
  <si>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</si>
  <si>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</si>
  <si>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</si>
  <si>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</si>
  <si>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</si>
  <si>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</si>
  <si>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</si>
  <si>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</si>
  <si>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</si>
  <si>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</si>
  <si>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</si>
  <si>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</si>
  <si>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</si>
  <si>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</si>
  <si>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</si>
  <si>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</si>
  <si>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</si>
  <si>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</si>
  <si>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</si>
  <si>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</si>
  <si>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</si>
  <si>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</si>
  <si>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</si>
  <si>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</si>
  <si>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</si>
  <si>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</si>
  <si>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</si>
  <si>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</si>
  <si>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</si>
  <si>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</si>
  <si>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</si>
  <si>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</si>
  <si>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</si>
  <si>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</si>
  <si>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</si>
  <si>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</si>
  <si>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</si>
  <si>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</si>
  <si>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</si>
  <si>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</si>
  <si>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</si>
  <si>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</si>
  <si>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</si>
  <si>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</si>
  <si>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</si>
  <si>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</si>
  <si>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</si>
  <si>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</si>
  <si>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</si>
  <si>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</si>
  <si>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</si>
  <si>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</si>
  <si>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</si>
  <si>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</si>
  <si>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</si>
  <si>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</si>
  <si>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</si>
  <si>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</si>
  <si>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</si>
  <si>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</si>
  <si>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</si>
  <si>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</si>
  <si>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</si>
  <si>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</si>
  <si>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</si>
  <si>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</si>
  <si>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</si>
  <si>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</si>
  <si>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</si>
  <si>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</si>
  <si>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</si>
  <si>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</si>
  <si>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</si>
  <si>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</si>
  <si>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</si>
  <si>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</si>
  <si>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</si>
  <si>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</si>
  <si>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</si>
  <si>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</si>
  <si>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</si>
  <si>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</si>
  <si>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</si>
  <si>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</si>
  <si>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</si>
  <si>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</si>
  <si>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</si>
  <si>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</si>
  <si>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</si>
  <si>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</si>
  <si>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</si>
  <si>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</si>
  <si>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</si>
  <si>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</si>
  <si>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</si>
  <si>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</si>
  <si>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</si>
  <si>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</si>
  <si>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</si>
  <si>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</si>
  <si>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</si>
  <si>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</si>
  <si>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</si>
  <si>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</si>
  <si>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</si>
  <si>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</si>
  <si>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</si>
  <si>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</si>
  <si>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</si>
  <si>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</si>
  <si>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</si>
  <si>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</si>
  <si>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</si>
  <si>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</si>
  <si>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</si>
  <si>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</si>
  <si>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</si>
  <si>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</si>
  <si>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</si>
  <si>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</si>
  <si>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</si>
  <si>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</si>
  <si>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</si>
  <si>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</si>
  <si>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</si>
  <si>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</si>
  <si>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</si>
  <si>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</si>
  <si>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</si>
  <si>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</si>
  <si>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</si>
  <si>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</si>
  <si>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</si>
  <si>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</si>
  <si>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</si>
  <si>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</si>
  <si>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</si>
  <si>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</si>
  <si>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</si>
  <si>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</si>
  <si>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</si>
  <si>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</si>
  <si>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</si>
  <si>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</si>
  <si>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</si>
  <si>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</si>
  <si>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</si>
  <si>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</si>
  <si>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</si>
  <si>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</si>
  <si>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</si>
  <si>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</si>
  <si>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</si>
  <si>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</si>
  <si>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</si>
  <si>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</si>
  <si>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</si>
  <si>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</si>
  <si>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</si>
  <si>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</si>
  <si>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</si>
  <si>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</si>
  <si>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</si>
  <si>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</si>
  <si>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</si>
  <si>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</si>
  <si>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</si>
  <si>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</si>
  <si>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</si>
  <si>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</si>
  <si>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</si>
  <si>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</si>
  <si>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</si>
  <si>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</si>
  <si>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</si>
  <si>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</si>
  <si>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</si>
  <si>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</si>
  <si>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</si>
  <si>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</si>
  <si>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</si>
  <si>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</si>
  <si>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</si>
  <si>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</si>
  <si>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</si>
  <si>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</si>
  <si>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</si>
  <si>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</si>
  <si>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</si>
  <si>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</si>
  <si>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</si>
  <si>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</si>
  <si>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</si>
  <si>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</si>
  <si>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</si>
  <si>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</si>
  <si>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</si>
  <si>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</si>
  <si>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</si>
  <si>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</si>
  <si>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</si>
  <si>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</si>
  <si>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</si>
  <si>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</si>
  <si>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</si>
  <si>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</si>
  <si>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</si>
  <si>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</si>
  <si>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</si>
  <si>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</si>
  <si>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</si>
  <si>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</si>
  <si>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</si>
  <si>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</si>
  <si>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</si>
  <si>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</si>
  <si>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</si>
  <si>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</si>
  <si>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</si>
  <si>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</si>
  <si>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</si>
  <si>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</si>
  <si>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</si>
  <si>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</si>
  <si>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</si>
  <si>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</si>
  <si>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</si>
  <si>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</si>
  <si>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</si>
  <si>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</si>
  <si>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</si>
  <si>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</si>
  <si>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</si>
  <si>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</si>
  <si>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</si>
  <si>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</si>
  <si>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</si>
  <si>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</si>
  <si>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</si>
  <si>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</si>
  <si>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</si>
  <si>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</si>
  <si>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</si>
  <si>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</si>
  <si>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</si>
  <si>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</si>
  <si>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</si>
  <si>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</si>
  <si>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</si>
  <si>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</si>
  <si>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</si>
  <si>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</si>
  <si>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</si>
  <si>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</si>
  <si>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</si>
  <si>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</si>
  <si>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</si>
  <si>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</si>
  <si>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</si>
  <si>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</si>
  <si>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</si>
  <si>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</si>
  <si>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</si>
  <si>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</si>
  <si>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</si>
  <si>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</si>
  <si>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</si>
  <si>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</si>
  <si>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</si>
  <si>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</si>
  <si>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</si>
  <si>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</si>
  <si>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</si>
  <si>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</si>
  <si>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</si>
  <si>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</si>
  <si>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</si>
  <si>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</si>
  <si>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</si>
  <si>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</si>
  <si>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</si>
  <si>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</si>
  <si>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</si>
  <si>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</si>
  <si>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</si>
  <si>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</si>
  <si>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</si>
  <si>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</si>
  <si>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</si>
  <si>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</si>
  <si>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</si>
  <si>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</si>
  <si>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</si>
  <si>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</si>
  <si>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</si>
  <si>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</si>
  <si>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</si>
  <si>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</si>
  <si>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</si>
  <si>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</si>
  <si>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</si>
  <si>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</si>
  <si>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</si>
  <si>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</si>
  <si>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</si>
  <si>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</si>
  <si>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</si>
  <si>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</si>
  <si>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</si>
  <si>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</si>
  <si>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</si>
  <si>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</si>
  <si>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</si>
  <si>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</si>
  <si>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</si>
  <si>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</si>
  <si>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</si>
  <si>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</si>
  <si>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</si>
  <si>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</si>
  <si>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</si>
  <si>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</si>
  <si>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</si>
  <si>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</si>
  <si>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</si>
  <si>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</si>
  <si>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</si>
  <si>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</si>
  <si>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</si>
  <si>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</si>
  <si>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</si>
  <si>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</si>
  <si>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</si>
  <si>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</si>
  <si>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</si>
  <si>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</si>
  <si>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</si>
  <si>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</si>
  <si>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</si>
  <si>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</si>
  <si>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</si>
  <si>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</si>
  <si>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</si>
  <si>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</si>
  <si>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</si>
  <si>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</si>
  <si>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</si>
  <si>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</si>
  <si>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</si>
  <si>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</si>
  <si>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</si>
  <si>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</si>
  <si>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</si>
  <si>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</si>
  <si>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</si>
  <si>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</si>
  <si>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</si>
  <si>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</si>
  <si>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</si>
  <si>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</si>
  <si>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</si>
  <si>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</si>
  <si>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</si>
  <si>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</si>
  <si>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</si>
  <si>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</si>
  <si>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</si>
  <si>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</si>
  <si>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</si>
  <si>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</si>
  <si>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</si>
  <si>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</si>
  <si>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</si>
  <si>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</si>
  <si>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</si>
  <si>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</si>
  <si>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</si>
  <si>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</si>
  <si>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</si>
  <si>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</si>
  <si>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</si>
  <si>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</si>
  <si>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</si>
  <si>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</si>
  <si>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</si>
  <si>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</si>
  <si>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</si>
  <si>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</si>
  <si>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</si>
  <si>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</si>
  <si>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</si>
  <si>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</si>
  <si>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</si>
  <si>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</si>
  <si>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</si>
  <si>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</si>
  <si>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</si>
  <si>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</si>
  <si>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</si>
  <si>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</si>
  <si>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</si>
  <si>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</si>
  <si>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</si>
  <si>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</si>
  <si>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</si>
  <si>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</si>
  <si>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</si>
  <si>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</si>
  <si>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</si>
  <si>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</si>
  <si>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</si>
  <si>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</si>
  <si>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</si>
  <si>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</si>
  <si>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</si>
  <si>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</si>
  <si>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</si>
  <si>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</si>
  <si>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</si>
  <si>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</si>
  <si>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</si>
  <si>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</si>
  <si>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</si>
  <si>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</si>
  <si>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</si>
  <si>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</si>
  <si>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</si>
  <si>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</si>
  <si>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</si>
  <si>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</si>
  <si>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</si>
  <si>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</si>
  <si>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</si>
  <si>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</si>
  <si>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</si>
  <si>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</si>
  <si>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</si>
  <si>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</si>
  <si>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</si>
  <si>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</si>
  <si>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</si>
  <si>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</si>
  <si>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</si>
  <si>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</si>
  <si>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</si>
  <si>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</si>
  <si>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</si>
  <si>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</si>
  <si>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</si>
  <si>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</si>
  <si>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</si>
  <si>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</si>
  <si>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</si>
  <si>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</si>
  <si>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</si>
  <si>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</si>
  <si>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</si>
  <si>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</si>
  <si>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</si>
  <si>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</si>
  <si>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</si>
  <si>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</si>
  <si>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</si>
  <si>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</si>
  <si>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</si>
  <si>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</si>
  <si>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</si>
  <si>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</si>
  <si>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</si>
  <si>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</si>
  <si>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</si>
  <si>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</si>
  <si>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</si>
  <si>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</si>
  <si>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</si>
  <si>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</si>
  <si>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</si>
  <si>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</si>
  <si>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</si>
  <si>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</si>
  <si>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</si>
  <si>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</si>
  <si>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</si>
  <si>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</si>
  <si>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</si>
  <si>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</si>
  <si>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</si>
  <si>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</si>
  <si>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</si>
  <si>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</si>
  <si>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</si>
  <si>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</si>
  <si>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</si>
  <si>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</si>
  <si>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</si>
  <si>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</si>
  <si>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</si>
  <si>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</si>
  <si>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</si>
  <si>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</si>
  <si>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</si>
  <si>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</si>
  <si>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</si>
  <si>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</si>
  <si>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</si>
  <si>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</si>
  <si>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</si>
  <si>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</si>
  <si>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</si>
  <si>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</si>
  <si>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</si>
  <si>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</si>
  <si>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</si>
  <si>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</si>
  <si>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</si>
  <si>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</si>
  <si>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</si>
  <si>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</si>
  <si>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</si>
  <si>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</si>
  <si>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</si>
  <si>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</si>
  <si>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</si>
  <si>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</si>
  <si>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</si>
  <si>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</si>
  <si>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</si>
  <si>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</si>
  <si>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</si>
  <si>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</si>
  <si>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</si>
  <si>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</si>
  <si>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</si>
  <si>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</si>
  <si>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</si>
  <si>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</si>
  <si>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</si>
  <si>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</si>
  <si>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</si>
  <si>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</si>
  <si>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</si>
  <si>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</si>
  <si>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</si>
  <si>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</si>
  <si>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</si>
  <si>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</si>
  <si>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</si>
  <si>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</si>
  <si>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</si>
  <si>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</si>
  <si>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</si>
  <si>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</si>
  <si>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</si>
  <si>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</si>
  <si>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</si>
  <si>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</si>
  <si>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</si>
  <si>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</si>
  <si>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</si>
  <si>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</si>
  <si>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</si>
  <si>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</si>
  <si>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</si>
  <si>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</si>
  <si>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</si>
  <si>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</si>
  <si>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</si>
  <si>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</si>
  <si>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</si>
  <si>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</si>
  <si>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</si>
  <si>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</si>
  <si>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</si>
  <si>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</si>
  <si>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</si>
  <si>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</si>
  <si>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</si>
  <si>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</si>
  <si>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</si>
  <si>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</si>
  <si>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</si>
  <si>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</si>
  <si>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</si>
  <si>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</si>
  <si>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</si>
  <si>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</si>
  <si>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</si>
  <si>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</si>
  <si>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</si>
  <si>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</si>
  <si>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</si>
  <si>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</si>
  <si>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</si>
  <si>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</si>
  <si>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</si>
  <si>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</si>
  <si>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</si>
  <si>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</si>
  <si>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</si>
  <si>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</si>
  <si>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</si>
  <si>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</si>
  <si>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</si>
  <si>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</si>
  <si>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</si>
  <si>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</si>
  <si>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</si>
  <si>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</si>
  <si>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</si>
  <si>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</si>
  <si>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</si>
  <si>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</si>
  <si>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</si>
  <si>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</si>
  <si>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</si>
  <si>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</si>
  <si>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</si>
  <si>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</si>
  <si>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</si>
  <si>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</si>
  <si>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</si>
  <si>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</si>
  <si>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</si>
  <si>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</si>
  <si>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</si>
  <si>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</si>
  <si>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</si>
  <si>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</si>
  <si>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</si>
  <si>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</si>
  <si>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</si>
  <si>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</si>
  <si>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</si>
  <si>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</si>
  <si>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</si>
  <si>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</si>
  <si>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</si>
  <si>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</si>
  <si>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</si>
  <si>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</si>
  <si>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</si>
  <si>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</si>
  <si>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</si>
  <si>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</si>
  <si>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</si>
  <si>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</si>
  <si>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</si>
  <si>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</si>
  <si>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</si>
  <si>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</si>
  <si>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</si>
  <si>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</si>
  <si>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</si>
  <si>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</si>
  <si>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</si>
  <si>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</si>
  <si>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</si>
  <si>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</si>
  <si>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</si>
  <si>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</si>
  <si>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</si>
  <si>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</si>
  <si>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</si>
  <si>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</si>
  <si>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</si>
  <si>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</si>
  <si>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</si>
  <si>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</si>
  <si>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</si>
  <si>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</si>
  <si>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</si>
  <si>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</si>
  <si>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</si>
  <si>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</si>
  <si>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</si>
  <si>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</si>
  <si>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</si>
  <si>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</si>
  <si>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</si>
  <si>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</si>
  <si>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</si>
  <si>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</si>
  <si>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</si>
  <si>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</si>
  <si>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</si>
  <si>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</si>
  <si>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</si>
  <si>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</si>
  <si>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</si>
  <si>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</si>
  <si>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</si>
  <si>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</si>
  <si>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</si>
  <si>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</si>
  <si>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</si>
  <si>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</si>
  <si>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</si>
  <si>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</si>
  <si>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</si>
  <si>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</si>
  <si>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</si>
  <si>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</si>
  <si>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</si>
  <si>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</si>
  <si>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</si>
  <si>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</si>
  <si>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</si>
  <si>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</si>
  <si>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</si>
  <si>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</si>
  <si>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</si>
  <si>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</si>
  <si>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</si>
  <si>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</si>
  <si>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</si>
  <si>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</si>
  <si>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</si>
  <si>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</si>
  <si>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</si>
  <si>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</si>
  <si>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</si>
  <si>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</si>
  <si>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</si>
  <si>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</si>
  <si>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</si>
  <si>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</si>
  <si>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</si>
  <si>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</si>
  <si>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</si>
  <si>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</si>
  <si>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</si>
  <si>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</si>
  <si>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</si>
  <si>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</si>
  <si>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</si>
  <si>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</si>
  <si>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</si>
  <si>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</si>
  <si>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</si>
  <si>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</si>
  <si>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</si>
  <si>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</si>
  <si>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</si>
  <si>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</si>
  <si>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</si>
  <si>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</si>
  <si>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</si>
  <si>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</si>
  <si>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</si>
  <si>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</si>
  <si>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</si>
  <si>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</si>
  <si>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</si>
  <si>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</si>
  <si>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</si>
  <si>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</si>
  <si>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</si>
  <si>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</si>
  <si>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</si>
  <si>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</si>
  <si>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</si>
  <si>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</si>
  <si>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</si>
  <si>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</si>
  <si>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</si>
  <si>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</si>
  <si>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</si>
  <si>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</si>
  <si>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</si>
  <si>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</si>
  <si>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</si>
  <si>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</si>
  <si>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</si>
  <si>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</si>
  <si>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</si>
  <si>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</si>
  <si>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</si>
  <si>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</si>
  <si>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</si>
  <si>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</si>
  <si>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</si>
  <si>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</si>
  <si>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</si>
  <si>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</si>
  <si>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</si>
  <si>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</si>
  <si>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</si>
  <si>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</si>
  <si>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</si>
  <si>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</si>
  <si>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</si>
  <si>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</si>
  <si>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</si>
  <si>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</si>
  <si>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</si>
  <si>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</si>
  <si>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</si>
  <si>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</si>
  <si>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</si>
  <si>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</si>
  <si>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</si>
  <si>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</si>
  <si>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</si>
  <si>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</si>
  <si>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</si>
  <si>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</si>
  <si>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</si>
  <si>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</si>
  <si>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</si>
  <si>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</si>
  <si>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</si>
  <si>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</si>
  <si>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</si>
  <si>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</si>
  <si>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</si>
  <si>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</si>
  <si>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</si>
  <si>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</si>
  <si>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</si>
  <si>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</si>
  <si>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</si>
  <si>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</si>
  <si>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</si>
  <si>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</si>
  <si>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</si>
  <si>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</si>
  <si>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</si>
  <si>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</si>
  <si>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</si>
  <si>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</si>
  <si>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</si>
  <si>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</si>
  <si>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</si>
  <si>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</si>
  <si>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</si>
  <si>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</si>
  <si>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</si>
  <si>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</si>
  <si>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</si>
  <si>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</si>
  <si>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</si>
  <si>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</si>
  <si>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</si>
  <si>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</si>
  <si>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</si>
  <si>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</si>
  <si>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</si>
  <si>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</si>
  <si>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</si>
  <si>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</si>
  <si>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</si>
  <si>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</si>
  <si>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</si>
  <si>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</si>
  <si>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</si>
  <si>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</si>
  <si>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</si>
  <si>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</si>
  <si>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</si>
  <si>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</si>
  <si>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</si>
  <si>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</si>
  <si>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</si>
  <si>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</si>
  <si>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</si>
  <si>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</si>
  <si>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</si>
  <si>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</si>
  <si>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</si>
  <si>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</si>
  <si>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</si>
  <si>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</si>
  <si>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</si>
  <si>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</si>
  <si>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</si>
  <si>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</si>
  <si>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</si>
  <si>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</si>
  <si>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</si>
  <si>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</si>
  <si>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</si>
  <si>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</si>
  <si>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</si>
  <si>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</si>
  <si>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</si>
  <si>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</si>
  <si>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</si>
  <si>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</si>
  <si>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</si>
  <si>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</si>
  <si>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</si>
  <si>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</si>
  <si>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</si>
  <si>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</si>
  <si>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</si>
  <si>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</si>
  <si>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</si>
  <si>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</si>
  <si>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</si>
  <si>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</si>
  <si>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</si>
  <si>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</si>
  <si>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</si>
  <si>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</si>
  <si>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</si>
  <si>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</si>
  <si>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</si>
  <si>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</si>
  <si>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</si>
  <si>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</si>
  <si>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</si>
  <si>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</si>
  <si>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</si>
  <si>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</si>
  <si>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</si>
  <si>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</si>
  <si>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</si>
  <si>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</si>
  <si>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</si>
  <si>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</si>
  <si>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</si>
  <si>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</si>
  <si>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</si>
  <si>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</si>
  <si>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</si>
  <si>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</si>
  <si>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</si>
  <si>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</si>
  <si>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</si>
  <si>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</si>
  <si>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</si>
  <si>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</si>
  <si>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</si>
  <si>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</si>
  <si>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</si>
  <si>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</si>
  <si>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</si>
  <si>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</si>
  <si>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</si>
  <si>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</si>
  <si>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</si>
  <si>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</si>
  <si>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</si>
  <si>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</si>
  <si>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</si>
  <si>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</si>
  <si>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</si>
  <si>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</si>
  <si>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</si>
  <si>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</si>
  <si>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</si>
  <si>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</si>
  <si>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</si>
  <si>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</si>
  <si>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</si>
  <si>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</si>
  <si>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</si>
  <si>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</si>
  <si>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</si>
  <si>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</si>
  <si>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</si>
  <si>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</si>
  <si>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</si>
  <si>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</si>
  <si>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</si>
  <si>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</si>
  <si>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</si>
  <si>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</si>
  <si>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</si>
  <si>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</si>
  <si>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</si>
  <si>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</si>
  <si>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</si>
  <si>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</si>
  <si>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</si>
  <si>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</si>
  <si>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</si>
  <si>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</si>
  <si>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</si>
  <si>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</si>
  <si>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</si>
  <si>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</si>
  <si>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</si>
  <si>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</si>
  <si>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</si>
  <si>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</si>
  <si>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</si>
  <si>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</si>
  <si>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</si>
  <si>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</si>
  <si>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</si>
  <si>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</si>
  <si>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</si>
  <si>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</si>
  <si>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</si>
  <si>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</si>
  <si>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</si>
  <si>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</si>
  <si>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</si>
  <si>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</si>
  <si>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</si>
  <si>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</si>
  <si>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</si>
  <si>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</si>
  <si>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</si>
  <si>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</si>
  <si>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</si>
  <si>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</si>
  <si>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</si>
  <si>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</si>
  <si>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</si>
  <si>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</si>
  <si>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</si>
  <si>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</si>
  <si>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</si>
  <si>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</si>
  <si>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</si>
  <si>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</si>
  <si>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</si>
  <si>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</si>
  <si>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</si>
  <si>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</si>
  <si>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</si>
  <si>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</si>
  <si>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</si>
  <si>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</si>
  <si>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</si>
  <si>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</si>
  <si>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</si>
  <si>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</si>
  <si>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</si>
  <si>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</si>
  <si>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</si>
  <si>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</si>
  <si>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</si>
  <si>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</si>
  <si>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</si>
  <si>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</si>
  <si>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</si>
  <si>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</si>
  <si>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</si>
  <si>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</si>
  <si>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</si>
  <si>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</si>
  <si>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</si>
  <si>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</si>
  <si>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</si>
  <si>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</si>
  <si>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</si>
  <si>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</si>
  <si>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</si>
  <si>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</si>
  <si>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</si>
  <si>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</si>
  <si>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</si>
  <si>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</si>
  <si>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</si>
  <si>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</si>
  <si>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</si>
  <si>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</si>
  <si>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</si>
  <si>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</si>
  <si>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</si>
  <si>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</si>
  <si>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</si>
  <si>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</si>
  <si>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</si>
  <si>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</si>
  <si>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</si>
  <si>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</si>
  <si>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</si>
  <si>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</si>
  <si>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</si>
  <si>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</si>
  <si>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</si>
  <si>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</si>
  <si>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</si>
  <si>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</si>
  <si>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</si>
  <si>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</si>
  <si>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</si>
  <si>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</si>
  <si>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</si>
  <si>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</si>
  <si>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</si>
  <si>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</si>
  <si>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</si>
  <si>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</si>
  <si>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</si>
  <si>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</si>
  <si>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</si>
  <si>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</si>
  <si>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</si>
  <si>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</si>
  <si>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</si>
  <si>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</si>
  <si>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</si>
  <si>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</si>
  <si>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</si>
  <si>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</si>
  <si>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</si>
  <si>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</si>
  <si>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</si>
  <si>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</si>
  <si>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</si>
  <si>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</si>
  <si>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</si>
  <si>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</si>
  <si>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</si>
  <si>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</si>
  <si>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</si>
  <si>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</si>
  <si>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</si>
  <si>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</si>
  <si>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</si>
  <si>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</si>
  <si>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</si>
  <si>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</si>
  <si>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</si>
  <si>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</si>
  <si>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</si>
  <si>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</si>
  <si>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</si>
  <si>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</si>
  <si>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</si>
  <si>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</si>
  <si>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</si>
  <si>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</si>
  <si>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</si>
  <si>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</si>
  <si>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</si>
  <si>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</si>
  <si>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</si>
  <si>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</si>
  <si>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</si>
  <si>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</si>
  <si>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</si>
  <si>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</si>
  <si>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</si>
  <si>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</si>
  <si>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</si>
  <si>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</si>
  <si>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</si>
  <si>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</si>
  <si>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</si>
  <si>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</si>
  <si>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</si>
  <si>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</si>
  <si>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</si>
  <si>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</si>
  <si>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</si>
  <si>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</si>
  <si>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</si>
  <si>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</si>
  <si>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</si>
  <si>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</si>
  <si>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</si>
  <si>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</si>
  <si>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</si>
  <si>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</si>
  <si>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</si>
  <si>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</si>
  <si>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</si>
  <si>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</si>
  <si>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</si>
  <si>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</si>
  <si>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</si>
  <si>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</si>
  <si>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</si>
  <si>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</si>
  <si>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</si>
  <si>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</si>
  <si>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</si>
  <si>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</si>
  <si>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</si>
  <si>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</si>
  <si>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</si>
  <si>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</si>
  <si>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</si>
  <si>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</si>
  <si>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</si>
  <si>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</si>
  <si>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</si>
  <si>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</si>
  <si>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</si>
  <si>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</si>
  <si>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</si>
  <si>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</si>
  <si>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</si>
  <si>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</si>
  <si>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</si>
  <si>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</si>
  <si>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</si>
  <si>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</si>
  <si>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</si>
  <si>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</si>
  <si>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</si>
  <si>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</si>
  <si>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</si>
  <si>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</si>
  <si>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</si>
  <si>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</si>
  <si>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</si>
  <si>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</si>
  <si>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</si>
  <si>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</si>
  <si>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</si>
  <si>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</si>
  <si>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</si>
  <si>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</si>
  <si>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</si>
  <si>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</si>
  <si>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</si>
  <si>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</si>
  <si>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</si>
  <si>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</si>
  <si>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</si>
  <si>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</si>
  <si>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</si>
  <si>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</si>
  <si>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</si>
  <si>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</si>
  <si>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</si>
  <si>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</si>
  <si>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</si>
  <si>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</si>
  <si>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</si>
  <si>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</si>
  <si>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</si>
  <si>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</si>
  <si>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</si>
  <si>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</si>
  <si>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</si>
  <si>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</si>
  <si>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</si>
  <si>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</si>
  <si>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</si>
  <si>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</si>
  <si>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</si>
  <si>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</si>
  <si>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</si>
  <si>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</si>
  <si>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</si>
  <si>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</si>
  <si>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</si>
  <si>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</si>
  <si>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</si>
  <si>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</si>
  <si>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</si>
  <si>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</si>
  <si>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</si>
  <si>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</si>
  <si>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</si>
  <si>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</si>
  <si>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</si>
  <si>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</si>
  <si>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</si>
  <si>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</si>
  <si>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</si>
  <si>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</si>
  <si>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</si>
  <si>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</si>
  <si>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</si>
  <si>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</si>
  <si>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</si>
  <si>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</si>
  <si>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</si>
  <si>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</si>
  <si>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</si>
  <si>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</si>
  <si>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</si>
  <si>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</si>
  <si>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</si>
  <si>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</si>
  <si>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</si>
  <si>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</si>
  <si>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</si>
  <si>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</si>
  <si>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</si>
  <si>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</si>
  <si>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</si>
  <si>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</si>
  <si>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</si>
  <si>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</si>
  <si>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</si>
  <si>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</si>
  <si>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</si>
  <si>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</si>
  <si>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</si>
  <si>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</si>
  <si>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</si>
  <si>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</si>
  <si>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</si>
  <si>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</si>
  <si>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</si>
  <si>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</si>
  <si>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</si>
  <si>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</si>
  <si>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</si>
  <si>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</si>
  <si>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</si>
  <si>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</si>
  <si>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</si>
  <si>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</si>
  <si>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</si>
  <si>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</si>
  <si>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</si>
  <si>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</si>
  <si>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</si>
  <si>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</si>
  <si>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</si>
  <si>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</si>
  <si>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</si>
  <si>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</si>
  <si>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</si>
  <si>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</si>
  <si>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</si>
  <si>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</si>
  <si>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</si>
  <si>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</si>
  <si>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</si>
  <si>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</si>
  <si>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</si>
  <si>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</si>
  <si>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</si>
  <si>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</si>
  <si>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</si>
  <si>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</si>
  <si>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</si>
  <si>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</si>
  <si>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</si>
  <si>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</si>
  <si>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</si>
  <si>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</si>
  <si>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</si>
  <si>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</si>
  <si>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</si>
  <si>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</si>
  <si>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</si>
  <si>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</si>
  <si>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</si>
  <si>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</si>
  <si>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</si>
  <si>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</si>
  <si>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</si>
  <si>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</si>
  <si>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</si>
  <si>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</si>
  <si>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</si>
  <si>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</si>
  <si>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</si>
  <si>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</si>
  <si>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</si>
  <si>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</si>
  <si>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</si>
  <si>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</si>
  <si>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</si>
  <si>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</si>
  <si>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</si>
  <si>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</si>
  <si>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</si>
  <si>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</si>
  <si>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</si>
  <si>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</si>
  <si>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</si>
  <si>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</si>
  <si>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</si>
  <si>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</si>
  <si>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</si>
  <si>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</si>
  <si>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</si>
  <si>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</si>
  <si>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</si>
  <si>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</si>
  <si>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</si>
  <si>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</si>
  <si>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</si>
  <si>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</si>
  <si>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</si>
  <si>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</si>
  <si>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</si>
  <si>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</si>
  <si>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</si>
  <si>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</si>
  <si>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</si>
  <si>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</si>
  <si>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</si>
  <si>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</si>
  <si>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</si>
  <si>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</si>
  <si>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</si>
  <si>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</si>
  <si>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</si>
  <si>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</si>
  <si>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</si>
  <si>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</si>
  <si>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</si>
  <si>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</si>
  <si>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</si>
  <si>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</si>
  <si>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</si>
  <si>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</si>
  <si>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</si>
  <si>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</si>
  <si>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</si>
  <si>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</si>
  <si>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</si>
  <si>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</si>
  <si>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</si>
  <si>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</si>
  <si>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</si>
  <si>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</si>
  <si>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</si>
  <si>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</si>
  <si>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</si>
  <si>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</si>
  <si>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</si>
  <si>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</si>
  <si>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</si>
  <si>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</si>
  <si>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</si>
  <si>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</si>
  <si>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</si>
  <si>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</si>
  <si>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</si>
  <si>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</si>
  <si>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</si>
  <si>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</si>
  <si>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</si>
  <si>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</si>
  <si>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</si>
  <si>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</si>
  <si>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</si>
  <si>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</si>
  <si>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</si>
  <si>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</si>
  <si>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</si>
  <si>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</si>
  <si>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</si>
  <si>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</si>
  <si>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</si>
  <si>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</si>
  <si>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</si>
  <si>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</si>
  <si>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</si>
  <si>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</si>
  <si>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</si>
  <si>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</si>
  <si>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</si>
  <si>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</si>
  <si>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</si>
  <si>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</si>
  <si>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</si>
  <si>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</si>
  <si>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</si>
  <si>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</si>
  <si>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</si>
  <si>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</si>
  <si>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</si>
  <si>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</si>
  <si>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</si>
  <si>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</si>
  <si>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</si>
  <si>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</si>
  <si>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</si>
  <si>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</si>
  <si>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</si>
  <si>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</si>
  <si>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</si>
  <si>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</si>
  <si>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</si>
  <si>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</si>
  <si>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</si>
  <si>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</si>
  <si>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</si>
  <si>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</si>
  <si>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</si>
  <si>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</si>
  <si>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</si>
  <si>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</si>
  <si>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</si>
  <si>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</si>
  <si>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</si>
  <si>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</si>
  <si>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</si>
  <si>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</si>
  <si>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</si>
  <si>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</si>
  <si>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</si>
  <si>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</si>
  <si>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</si>
  <si>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</si>
  <si>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</si>
  <si>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</si>
  <si>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</si>
  <si>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</si>
  <si>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</si>
  <si>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</si>
  <si>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</si>
  <si>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</si>
  <si>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</si>
  <si>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</si>
  <si>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</si>
  <si>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</si>
  <si>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</si>
  <si>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</si>
  <si>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</si>
  <si>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</si>
  <si>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</si>
  <si>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</si>
  <si>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</si>
  <si>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</si>
  <si>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</si>
  <si>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</si>
  <si>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</si>
  <si>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</si>
  <si>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</si>
  <si>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</si>
  <si>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</si>
  <si>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</si>
  <si>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</si>
  <si>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</si>
  <si>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</si>
  <si>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</si>
  <si>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</si>
  <si>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</si>
  <si>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</si>
  <si>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</si>
  <si>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</si>
  <si>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</si>
  <si>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</si>
  <si>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</si>
  <si>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</si>
  <si>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</si>
  <si>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</si>
  <si>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</si>
  <si>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</si>
  <si>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</si>
  <si>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</si>
  <si>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</si>
  <si>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</si>
  <si>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</si>
  <si>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</si>
  <si>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</si>
  <si>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</si>
  <si>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</si>
  <si>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</si>
  <si>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</si>
  <si>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</si>
  <si>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</si>
  <si>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</si>
  <si>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</si>
  <si>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</si>
  <si>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</si>
  <si>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</si>
  <si>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</si>
  <si>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</si>
  <si>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</si>
  <si>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</si>
  <si>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</si>
  <si>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</si>
  <si>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</si>
  <si>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</si>
  <si>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</si>
  <si>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</si>
  <si>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</si>
  <si>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</si>
  <si>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</si>
  <si>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</si>
  <si>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</si>
  <si>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</si>
  <si>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</si>
  <si>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</si>
  <si>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</si>
  <si>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</si>
  <si>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</si>
  <si>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</si>
  <si>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</si>
  <si>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</si>
  <si>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</si>
  <si>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</si>
  <si>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</si>
  <si>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</si>
  <si>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</si>
  <si>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</si>
  <si>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</si>
  <si>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</si>
  <si>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</si>
  <si>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</si>
  <si>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</si>
  <si>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</si>
  <si>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</si>
  <si>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</si>
  <si>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</si>
  <si>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</si>
  <si>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</si>
  <si>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</si>
  <si>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</si>
  <si>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</si>
  <si>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</si>
  <si>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</si>
  <si>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</si>
  <si>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</si>
  <si>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</si>
  <si>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</si>
  <si>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</si>
  <si>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</si>
  <si>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</si>
  <si>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</si>
  <si>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</si>
  <si>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</si>
  <si>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</si>
  <si>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</si>
  <si>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</si>
  <si>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</si>
  <si>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</si>
  <si>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</si>
  <si>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</si>
  <si>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</si>
  <si>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</si>
  <si>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</si>
  <si>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</si>
  <si>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</si>
  <si>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</si>
  <si>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</si>
  <si>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</si>
  <si>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</si>
  <si>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</si>
  <si>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</si>
  <si>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</si>
  <si>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</si>
  <si>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</si>
  <si>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</si>
  <si>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</si>
  <si>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</si>
  <si>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</si>
  <si>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</si>
  <si>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</si>
  <si>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</si>
  <si>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</si>
  <si>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</si>
  <si>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</si>
  <si>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</si>
  <si>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</si>
  <si>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</si>
  <si>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</si>
  <si>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</si>
  <si>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</si>
  <si>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</si>
  <si>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</si>
  <si>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</si>
  <si>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</si>
  <si>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</si>
  <si>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</si>
  <si>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</si>
  <si>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</si>
  <si>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</si>
  <si>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</si>
  <si>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</si>
  <si>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</si>
  <si>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</si>
  <si>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</si>
  <si>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</si>
  <si>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</si>
  <si>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</si>
  <si>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</si>
  <si>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</si>
  <si>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</si>
  <si>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</si>
  <si>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</si>
  <si>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</si>
  <si>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</si>
  <si>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</si>
  <si>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</si>
  <si>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</si>
  <si>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</si>
  <si>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</si>
  <si>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</si>
  <si>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</si>
  <si>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</si>
  <si>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</si>
  <si>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</si>
  <si>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</si>
  <si>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</si>
  <si>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</si>
  <si>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</si>
  <si>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</si>
  <si>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</si>
  <si>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</si>
  <si>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</si>
  <si>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</si>
  <si>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</si>
  <si>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</si>
  <si>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</si>
  <si>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</si>
  <si>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</si>
  <si>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</si>
  <si>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</si>
  <si>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</si>
  <si>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</si>
  <si>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</si>
  <si>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</si>
  <si>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</si>
  <si>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</si>
  <si>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</si>
  <si>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</si>
  <si>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</si>
  <si>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</si>
  <si>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</si>
  <si>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</si>
  <si>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</si>
  <si>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</si>
  <si>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</si>
  <si>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</si>
  <si>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</si>
  <si>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</si>
  <si>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</si>
  <si>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</si>
  <si>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</si>
  <si>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</si>
  <si>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</si>
  <si>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</si>
  <si>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</si>
  <si>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</si>
  <si>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</si>
  <si>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</si>
  <si>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</si>
  <si>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</si>
  <si>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</si>
  <si>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</si>
  <si>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</si>
  <si>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</si>
  <si>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</si>
  <si>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</si>
  <si>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</si>
  <si>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</si>
  <si>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</si>
  <si>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</si>
  <si>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</si>
  <si>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</si>
  <si>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</si>
  <si>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</si>
  <si>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</si>
  <si>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</si>
  <si>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</si>
  <si>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</si>
  <si>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</si>
  <si>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</si>
  <si>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</si>
  <si>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</si>
  <si>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</si>
  <si>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</si>
  <si>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</si>
  <si>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</si>
  <si>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</si>
  <si>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</si>
  <si>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</si>
  <si>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</si>
  <si>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</si>
  <si>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</si>
  <si>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</si>
  <si>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</si>
  <si>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</si>
  <si>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</si>
  <si>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</si>
  <si>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</si>
  <si>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</si>
  <si>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</si>
  <si>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</si>
  <si>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</si>
  <si>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</si>
  <si>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</si>
  <si>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</si>
  <si>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</si>
  <si>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</si>
  <si>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</si>
  <si>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</si>
  <si>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</si>
  <si>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</si>
  <si>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</si>
  <si>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</si>
  <si>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</si>
  <si>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</si>
  <si>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</si>
  <si>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</si>
  <si>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</si>
  <si>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</si>
  <si>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</si>
  <si>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</si>
  <si>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</si>
  <si>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</si>
  <si>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</si>
  <si>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</si>
  <si>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</si>
  <si>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</si>
  <si>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</si>
  <si>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</si>
  <si>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</si>
  <si>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</si>
  <si>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</si>
  <si>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</si>
  <si>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</si>
  <si>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</si>
  <si>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</si>
  <si>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</si>
  <si>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</si>
  <si>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</si>
  <si>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</si>
  <si>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</si>
  <si>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</si>
  <si>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</si>
  <si>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</si>
  <si>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</si>
  <si>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</si>
  <si>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</si>
  <si>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</si>
  <si>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</si>
  <si>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</si>
  <si>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</si>
  <si>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</si>
  <si>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</si>
  <si>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</si>
  <si>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</si>
  <si>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</si>
  <si>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</si>
  <si>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</si>
  <si>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</si>
  <si>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</si>
  <si>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</si>
  <si>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</si>
  <si>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</si>
  <si>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</si>
  <si>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</si>
  <si>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</si>
  <si>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</si>
  <si>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</si>
  <si>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</si>
  <si>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</si>
  <si>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</si>
  <si>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</si>
  <si>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</si>
  <si>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</si>
  <si>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</si>
  <si>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</si>
  <si>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</si>
  <si>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</si>
  <si>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</si>
  <si>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</si>
  <si>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</si>
  <si>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</si>
  <si>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</si>
  <si>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</si>
  <si>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</si>
  <si>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</si>
  <si>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</si>
  <si>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</si>
  <si>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</si>
  <si>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</si>
  <si>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</si>
  <si>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</si>
  <si>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</si>
  <si>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</si>
  <si>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</si>
  <si>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</si>
  <si>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</si>
  <si>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</si>
  <si>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</si>
  <si>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</si>
  <si>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</si>
  <si>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</si>
  <si>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</si>
  <si>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</si>
  <si>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</si>
  <si>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</si>
  <si>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</si>
  <si>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</si>
  <si>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</si>
  <si>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</si>
  <si>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</si>
  <si>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</si>
  <si>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</si>
  <si>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</si>
  <si>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</si>
  <si>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</si>
  <si>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</si>
  <si>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</si>
  <si>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</si>
  <si>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</si>
  <si>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</si>
  <si>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</si>
  <si>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</si>
  <si>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</si>
  <si>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</si>
  <si>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</si>
  <si>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</si>
  <si>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</si>
  <si>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</si>
  <si>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</si>
  <si>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</si>
  <si>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</si>
  <si>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</si>
  <si>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</si>
  <si>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</si>
  <si>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</si>
  <si>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</si>
  <si>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</si>
  <si>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</si>
  <si>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</si>
  <si>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</si>
  <si>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</si>
  <si>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</si>
  <si>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</si>
  <si>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</si>
  <si>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</si>
  <si>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</si>
  <si>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</si>
  <si>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</si>
  <si>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</si>
  <si>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</si>
  <si>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</si>
  <si>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</si>
  <si>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</si>
  <si>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</si>
  <si>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</si>
  <si>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</si>
  <si>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</si>
  <si>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</si>
  <si>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</si>
  <si>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</si>
  <si>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</si>
  <si>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</si>
  <si>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</si>
  <si>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</si>
  <si>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</si>
  <si>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</si>
  <si>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</si>
  <si>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</si>
  <si>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</si>
  <si>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</si>
  <si>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</si>
  <si>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</si>
  <si>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</si>
  <si>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</si>
  <si>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</si>
  <si>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</si>
  <si>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</si>
  <si>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</si>
  <si>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</si>
  <si>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</si>
  <si>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</si>
  <si>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</si>
  <si>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</si>
  <si>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</si>
  <si>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</si>
  <si>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</si>
  <si>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</si>
  <si>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</si>
  <si>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</si>
  <si>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</si>
  <si>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</si>
  <si>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</si>
  <si>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</si>
  <si>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</si>
  <si>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</si>
  <si>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</si>
  <si>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</si>
  <si>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</si>
  <si>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</si>
  <si>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</si>
  <si>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</si>
  <si>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</si>
  <si>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</si>
  <si>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</si>
  <si>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</si>
  <si>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</si>
  <si>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</si>
  <si>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</si>
  <si>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</si>
  <si>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</si>
  <si>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</si>
  <si>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</si>
  <si>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</si>
  <si>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</si>
  <si>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</si>
  <si>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</si>
  <si>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</si>
  <si>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</si>
  <si>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</si>
  <si>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</si>
  <si>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</si>
  <si>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</si>
  <si>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</si>
  <si>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</si>
  <si>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</si>
  <si>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</si>
  <si>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</si>
  <si>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</si>
  <si>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</si>
  <si>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</si>
  <si>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</si>
  <si>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</si>
  <si>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</si>
  <si>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</si>
  <si>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</si>
  <si>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</si>
  <si>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</si>
  <si>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</si>
  <si>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</si>
  <si>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</si>
  <si>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</si>
  <si>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</si>
  <si>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</si>
  <si>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</si>
  <si>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</si>
  <si>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</si>
  <si>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</si>
  <si>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</si>
  <si>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</si>
  <si>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</si>
  <si>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</si>
  <si>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</si>
  <si>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</si>
  <si>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</si>
  <si>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</si>
  <si>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</si>
  <si>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</si>
  <si>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</si>
  <si>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</si>
  <si>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</si>
  <si>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</si>
  <si>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</si>
  <si>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</si>
  <si>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</si>
  <si>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</si>
  <si>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</si>
  <si>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</si>
  <si>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</si>
  <si>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</si>
  <si>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</si>
  <si>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</si>
  <si>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</si>
  <si>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</si>
  <si>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</si>
  <si>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</si>
  <si>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</si>
  <si>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</si>
  <si>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</si>
  <si>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</si>
  <si>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</si>
  <si>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</si>
  <si>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</si>
  <si>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</si>
  <si>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</si>
  <si>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</si>
  <si>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</si>
  <si>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</si>
  <si>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</si>
  <si>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</si>
  <si>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</si>
  <si>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</si>
  <si>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</si>
  <si>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</si>
  <si>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</si>
  <si>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</si>
  <si>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</si>
  <si>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</si>
  <si>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</si>
  <si>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</si>
  <si>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</si>
  <si>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</si>
  <si>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</si>
  <si>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</si>
  <si>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</si>
  <si>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</si>
  <si>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</si>
  <si>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</si>
  <si>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</si>
  <si>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</si>
  <si>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</si>
  <si>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</si>
  <si>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</si>
  <si>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</si>
  <si>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</si>
  <si>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</si>
  <si>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</si>
  <si>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</si>
  <si>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</si>
  <si>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</si>
  <si>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</si>
  <si>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</si>
  <si>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</si>
  <si>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</si>
  <si>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</si>
  <si>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</si>
  <si>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</si>
  <si>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</si>
  <si>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</si>
  <si>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</si>
  <si>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</si>
  <si>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</si>
  <si>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</si>
  <si>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</si>
  <si>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</si>
  <si>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</si>
  <si>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</si>
  <si>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</si>
  <si>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</si>
  <si>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</si>
  <si>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</si>
  <si>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</si>
  <si>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</si>
  <si>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</si>
  <si>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</si>
  <si>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</si>
  <si>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</si>
  <si>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</si>
  <si>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</si>
  <si>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</si>
  <si>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</si>
  <si>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</si>
  <si>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</si>
  <si>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</si>
  <si>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</si>
  <si>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</si>
  <si>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</si>
  <si>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</si>
  <si>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</si>
  <si>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</si>
  <si>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</si>
  <si>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</si>
  <si>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</si>
  <si>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</si>
  <si>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</si>
  <si>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</si>
  <si>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</si>
  <si>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</si>
  <si>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</si>
  <si>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</si>
  <si>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</si>
  <si>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</si>
  <si>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</si>
  <si>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</si>
  <si>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</si>
  <si>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</si>
  <si>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</si>
  <si>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</si>
  <si>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</si>
  <si>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</si>
  <si>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</si>
  <si>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</si>
  <si>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</si>
  <si>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</si>
  <si>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</si>
  <si>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</si>
  <si>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</si>
  <si>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</si>
  <si>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</si>
  <si>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</si>
  <si>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</si>
  <si>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</si>
  <si>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</si>
  <si>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</si>
  <si>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</si>
  <si>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</si>
  <si>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</si>
  <si>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</si>
  <si>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</si>
  <si>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</si>
  <si>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</si>
  <si>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</si>
  <si>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</si>
  <si>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</si>
  <si>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</si>
  <si>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</si>
  <si>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</si>
  <si>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</si>
  <si>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</si>
  <si>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</si>
  <si>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</si>
  <si>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</si>
  <si>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</si>
  <si>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</si>
  <si>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</si>
  <si>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</si>
  <si>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</si>
  <si>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</si>
  <si>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</si>
  <si>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</si>
  <si>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</si>
  <si>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</si>
  <si>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</si>
  <si>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</si>
  <si>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</si>
  <si>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</si>
  <si>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</si>
  <si>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</si>
  <si>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</si>
  <si>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</si>
  <si>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</si>
  <si>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</si>
  <si>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</si>
  <si>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</si>
  <si>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</si>
  <si>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</si>
  <si>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</si>
  <si>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</si>
  <si>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</si>
  <si>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</si>
  <si>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</si>
  <si>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</si>
  <si>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</si>
  <si>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</si>
  <si>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</si>
  <si>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</si>
  <si>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</si>
  <si>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</si>
  <si>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</si>
  <si>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</si>
  <si>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</si>
  <si>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</si>
  <si>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</si>
  <si>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</si>
  <si>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</si>
  <si>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</si>
  <si>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</si>
  <si>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</si>
  <si>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</si>
  <si>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</si>
  <si>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</si>
  <si>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</si>
  <si>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</si>
  <si>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</si>
  <si>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</si>
  <si>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</si>
  <si>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</si>
  <si>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</si>
  <si>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</si>
  <si>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</si>
  <si>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</si>
  <si>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</si>
  <si>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</si>
  <si>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</si>
  <si>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</si>
  <si>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</si>
  <si>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</si>
  <si>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</si>
  <si>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</si>
  <si>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</si>
  <si>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</si>
  <si>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</si>
  <si>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</si>
  <si>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</si>
  <si>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</si>
  <si>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</si>
  <si>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</si>
  <si>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</si>
  <si>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</si>
  <si>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</si>
  <si>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</si>
  <si>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</si>
  <si>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</si>
  <si>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</si>
  <si>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</si>
  <si>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</si>
  <si>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</si>
  <si>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</si>
  <si>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</si>
  <si>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</si>
  <si>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</si>
  <si>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</si>
  <si>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</si>
  <si>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</si>
  <si>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</si>
  <si>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</si>
  <si>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</si>
  <si>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</si>
  <si>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</si>
  <si>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</si>
  <si>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</si>
  <si>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</si>
  <si>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</si>
  <si>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</si>
  <si>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</si>
  <si>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</si>
  <si>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</si>
  <si>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</si>
  <si>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</si>
  <si>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</si>
  <si>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</si>
  <si>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</si>
  <si>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</si>
  <si>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</si>
  <si>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</si>
  <si>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</si>
  <si>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</si>
  <si>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</si>
  <si>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</si>
  <si>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</si>
  <si>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</si>
  <si>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</si>
  <si>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</si>
  <si>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</si>
  <si>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</si>
  <si>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</si>
  <si>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</si>
  <si>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</si>
  <si>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</si>
  <si>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</si>
  <si>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</si>
  <si>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</si>
  <si>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</si>
  <si>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</si>
  <si>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</si>
  <si>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</si>
  <si>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</si>
  <si>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</si>
  <si>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</si>
  <si>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</si>
  <si>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</si>
  <si>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</si>
  <si>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</si>
  <si>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</si>
  <si>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</si>
  <si>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</si>
  <si>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</si>
  <si>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</si>
  <si>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</si>
  <si>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</si>
  <si>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</si>
  <si>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</si>
  <si>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</si>
  <si>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</si>
  <si>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</si>
  <si>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</si>
  <si>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</si>
  <si>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</si>
  <si>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</si>
  <si>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</si>
  <si>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</si>
  <si>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</si>
  <si>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</si>
  <si>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</si>
  <si>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</si>
  <si>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</si>
  <si>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</si>
  <si>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</si>
  <si>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</si>
  <si>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</si>
  <si>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</si>
  <si>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</si>
  <si>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</si>
  <si>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</si>
  <si>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</si>
  <si>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</si>
  <si>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</si>
  <si>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</si>
  <si>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</si>
  <si>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</si>
  <si>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</si>
  <si>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</si>
  <si>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</si>
  <si>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</si>
  <si>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</si>
  <si>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</si>
  <si>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</si>
  <si>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</si>
  <si>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</si>
  <si>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</si>
  <si>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</si>
  <si>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</si>
  <si>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</si>
  <si>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</si>
  <si>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</si>
  <si>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</si>
  <si>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</si>
  <si>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</si>
  <si>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</si>
  <si>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</si>
  <si>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</si>
  <si>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</si>
  <si>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</si>
  <si>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</si>
  <si>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</si>
  <si>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</si>
  <si>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</si>
  <si>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</si>
  <si>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</si>
  <si>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</si>
  <si>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</si>
  <si>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</si>
  <si>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</si>
  <si>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</si>
  <si>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</si>
  <si>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</si>
  <si>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</si>
  <si>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</si>
  <si>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</si>
  <si>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</si>
  <si>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</si>
  <si>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</si>
  <si>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</si>
  <si>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</si>
  <si>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</si>
  <si>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</si>
  <si>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</si>
  <si>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</si>
  <si>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</si>
  <si>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</si>
  <si>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</si>
  <si>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</si>
  <si>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</si>
  <si>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</si>
  <si>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</si>
  <si>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</si>
  <si>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</si>
  <si>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</si>
  <si>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</si>
  <si>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</si>
  <si>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</si>
  <si>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</si>
  <si>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</si>
  <si>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</si>
  <si>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</si>
  <si>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</si>
  <si>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</si>
  <si>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</si>
  <si>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</si>
  <si>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</si>
  <si>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</si>
  <si>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</si>
  <si>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</si>
  <si>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</si>
  <si>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</si>
  <si>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</si>
  <si>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</si>
  <si>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</si>
  <si>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</si>
  <si>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</si>
  <si>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</si>
  <si>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</si>
  <si>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</si>
  <si>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</si>
  <si>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</si>
  <si>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</si>
  <si>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</si>
  <si>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</si>
  <si>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</si>
  <si>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</si>
  <si>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</si>
  <si>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</si>
  <si>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</si>
  <si>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</si>
  <si>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</si>
  <si>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</si>
  <si>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</si>
  <si>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</si>
  <si>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</si>
  <si>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</si>
  <si>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</si>
  <si>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</si>
  <si>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</si>
  <si>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</si>
  <si>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</si>
  <si>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</si>
  <si>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</si>
  <si>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</si>
  <si>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</si>
  <si>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</si>
  <si>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</si>
  <si>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</si>
  <si>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</si>
  <si>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</si>
  <si>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</si>
  <si>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</si>
  <si>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</si>
  <si>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</si>
  <si>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</si>
  <si>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</si>
  <si>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</si>
  <si>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</si>
  <si>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</si>
  <si>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</si>
  <si>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</si>
  <si>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</si>
  <si>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</si>
  <si>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</si>
  <si>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</si>
  <si>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</si>
  <si>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</si>
  <si>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</si>
  <si>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</si>
  <si>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</si>
  <si>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</si>
  <si>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</si>
  <si>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</si>
  <si>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</si>
  <si>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</si>
  <si>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</si>
  <si>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</si>
  <si>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</si>
  <si>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</si>
  <si>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</si>
  <si>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</si>
  <si>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</si>
  <si>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</si>
  <si>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</si>
  <si>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</si>
  <si>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</si>
  <si>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</si>
  <si>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</si>
  <si>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</si>
  <si>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</si>
  <si>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</si>
  <si>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</si>
  <si>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</si>
  <si>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</si>
  <si>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</si>
  <si>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</si>
  <si>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</si>
  <si>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</si>
  <si>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</si>
  <si>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</si>
  <si>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</si>
  <si>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</si>
  <si>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</si>
  <si>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</si>
  <si>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</si>
  <si>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</si>
  <si>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</si>
  <si>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</si>
  <si>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</si>
  <si>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</si>
  <si>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</si>
  <si>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</si>
  <si>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</si>
  <si>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</si>
  <si>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</si>
  <si>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</si>
  <si>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</si>
  <si>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</si>
  <si>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</si>
  <si>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</si>
  <si>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</si>
  <si>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</si>
  <si>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</si>
  <si>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</si>
  <si>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</si>
  <si>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</si>
  <si>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</si>
  <si>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</si>
  <si>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</si>
  <si>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</si>
  <si>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</si>
  <si>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</si>
  <si>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</si>
  <si>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</si>
  <si>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</si>
  <si>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</si>
  <si>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</si>
  <si>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</si>
  <si>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</si>
  <si>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</si>
  <si>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</si>
  <si>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</si>
  <si>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</si>
  <si>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</si>
  <si>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</si>
  <si>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</si>
  <si>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</si>
  <si>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</si>
  <si>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</si>
  <si>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</si>
  <si>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</si>
  <si>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</si>
  <si>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</si>
  <si>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</si>
  <si>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</si>
  <si>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</si>
  <si>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</si>
  <si>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</si>
  <si>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</si>
  <si>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</si>
  <si>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</si>
  <si>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</si>
  <si>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</si>
  <si>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</si>
  <si>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</si>
  <si>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</si>
  <si>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</si>
  <si>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</si>
  <si>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</si>
  <si>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</si>
  <si>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</si>
  <si>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</si>
  <si>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</si>
  <si>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</si>
  <si>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</si>
  <si>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</si>
  <si>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</si>
  <si>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</si>
  <si>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</si>
  <si>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</si>
  <si>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</si>
  <si>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</si>
  <si>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</si>
  <si>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</si>
  <si>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</si>
  <si>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</si>
  <si>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</si>
  <si>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</si>
  <si>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</si>
  <si>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</si>
  <si>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</si>
  <si>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</si>
  <si>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</si>
  <si>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</si>
  <si>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</si>
  <si>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</si>
  <si>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</si>
  <si>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</si>
  <si>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</si>
  <si>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</si>
  <si>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</si>
  <si>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</si>
  <si>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</si>
  <si>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</si>
  <si>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</si>
  <si>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</si>
  <si>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</si>
  <si>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</si>
  <si>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</si>
  <si>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</si>
  <si>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</si>
  <si>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</si>
  <si>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</si>
  <si>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</si>
  <si>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</si>
  <si>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</si>
  <si>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</si>
  <si>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</si>
  <si>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</si>
  <si>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</si>
  <si>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</si>
  <si>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</si>
  <si>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</si>
  <si>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</si>
  <si>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</si>
  <si>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</si>
  <si>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</si>
  <si>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</si>
  <si>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</si>
  <si>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</si>
  <si>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</si>
  <si>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</si>
  <si>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</si>
  <si>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</si>
  <si>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</si>
  <si>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</si>
  <si>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</si>
  <si>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</si>
  <si>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</si>
  <si>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</si>
  <si>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</si>
  <si>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</si>
  <si>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</si>
  <si>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</si>
  <si>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</si>
  <si>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</si>
  <si>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</si>
  <si>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</si>
  <si>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</si>
  <si>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</si>
  <si>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</si>
  <si>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</si>
  <si>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</si>
  <si>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</si>
  <si>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</si>
  <si>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</si>
  <si>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</si>
  <si>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</si>
  <si>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</si>
  <si>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</si>
  <si>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</si>
  <si>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</si>
  <si>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</si>
  <si>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</si>
  <si>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</si>
  <si>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</si>
  <si>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</si>
  <si>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</si>
  <si>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</si>
  <si>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</si>
  <si>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</si>
  <si>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</si>
  <si>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</si>
  <si>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</si>
  <si>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</si>
  <si>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</si>
  <si>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</si>
  <si>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</si>
  <si>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</si>
  <si>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</si>
  <si>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</si>
  <si>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</si>
  <si>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</si>
  <si>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</si>
  <si>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</si>
  <si>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</si>
  <si>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</si>
  <si>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</si>
  <si>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</si>
  <si>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</si>
  <si>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</si>
  <si>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</si>
  <si>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</si>
  <si>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</si>
  <si>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</si>
  <si>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</si>
  <si>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</si>
  <si>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</si>
  <si>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</si>
  <si>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</si>
  <si>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</si>
  <si>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</si>
  <si>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</si>
  <si>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</si>
  <si>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</si>
  <si>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</si>
  <si>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</si>
  <si>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</si>
  <si>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</si>
  <si>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</si>
  <si>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</si>
  <si>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</si>
  <si>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</si>
  <si>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</si>
  <si>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</si>
  <si>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</si>
  <si>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</si>
  <si>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</si>
  <si>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</si>
  <si>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</si>
  <si>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</si>
  <si>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</si>
  <si>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</si>
  <si>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</si>
  <si>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</si>
  <si>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</si>
  <si>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</si>
  <si>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</si>
  <si>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</si>
  <si>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</si>
  <si>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</si>
  <si>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</si>
  <si>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</si>
  <si>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</si>
  <si>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</si>
  <si>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</si>
  <si>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</si>
  <si>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</si>
  <si>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</si>
  <si>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</si>
  <si>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</si>
  <si>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</si>
  <si>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</si>
  <si>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</si>
  <si>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</si>
  <si>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</si>
  <si>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</si>
  <si>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</si>
  <si>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</si>
  <si>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</si>
  <si>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</si>
  <si>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</si>
  <si>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</si>
  <si>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</si>
  <si>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</si>
  <si>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</si>
  <si>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</si>
  <si>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</si>
  <si>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</si>
  <si>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</si>
  <si>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</si>
  <si>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</si>
  <si>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</si>
  <si>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</si>
  <si>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</si>
  <si>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</si>
  <si>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</si>
  <si>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</si>
  <si>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</si>
  <si>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</si>
  <si>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</si>
  <si>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</si>
  <si>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</si>
  <si>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</si>
  <si>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</si>
  <si>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</si>
  <si>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</si>
  <si>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</si>
  <si>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</si>
  <si>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</si>
  <si>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</si>
  <si>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</si>
  <si>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</si>
  <si>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</si>
  <si>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</si>
  <si>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</si>
  <si>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</si>
  <si>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</si>
  <si>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</si>
  <si>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</si>
  <si>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</si>
  <si>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</si>
  <si>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</si>
  <si>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</si>
  <si>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</si>
  <si>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</si>
  <si>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</si>
  <si>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</si>
  <si>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</si>
  <si>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</si>
  <si>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</si>
  <si>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</si>
  <si>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</si>
  <si>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</si>
  <si>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</si>
  <si>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</si>
  <si>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</si>
  <si>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</si>
  <si>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</si>
  <si>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</si>
  <si>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</si>
  <si>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</si>
  <si>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</si>
  <si>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</si>
  <si>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</si>
  <si>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</si>
  <si>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</si>
  <si>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</si>
  <si>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</si>
  <si>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</si>
  <si>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</si>
  <si>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</si>
  <si>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</si>
  <si>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</si>
  <si>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</si>
  <si>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</si>
  <si>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</si>
  <si>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</si>
  <si>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</si>
  <si>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</si>
  <si>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</si>
  <si>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</si>
  <si>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</si>
  <si>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</si>
  <si>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</si>
  <si>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</si>
  <si>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</si>
  <si>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</si>
  <si>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</si>
  <si>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</si>
  <si>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</si>
  <si>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</si>
  <si>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</si>
  <si>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</si>
  <si>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</si>
  <si>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</si>
  <si>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</si>
  <si>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</si>
  <si>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</si>
  <si>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</si>
  <si>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</si>
  <si>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</si>
  <si>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</si>
  <si>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</si>
  <si>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</si>
  <si>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</si>
  <si>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</si>
  <si>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</si>
  <si>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</si>
  <si>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</si>
  <si>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</si>
  <si>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</si>
  <si>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</si>
  <si>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</si>
  <si>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</si>
  <si>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</si>
  <si>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</si>
  <si>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</si>
  <si>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</si>
  <si>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</si>
  <si>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</si>
  <si>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</si>
  <si>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</si>
  <si>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</si>
  <si>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</si>
  <si>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</si>
  <si>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</si>
  <si>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</si>
  <si>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</si>
  <si>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</si>
  <si>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</si>
  <si>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</si>
  <si>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</si>
  <si>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</si>
  <si>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</si>
  <si>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</si>
  <si>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</si>
  <si>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</si>
  <si>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</si>
  <si>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</si>
  <si>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</si>
  <si>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</si>
  <si>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</si>
  <si>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</si>
  <si>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</si>
  <si>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</si>
  <si>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</si>
  <si>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</si>
  <si>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</si>
  <si>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</si>
  <si>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</si>
  <si>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</si>
  <si>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</si>
  <si>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</si>
  <si>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</si>
  <si>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</si>
  <si>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</si>
  <si>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</si>
  <si>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</si>
  <si>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</si>
  <si>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</si>
  <si>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</si>
  <si>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</si>
  <si>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</si>
  <si>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</si>
  <si>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</si>
  <si>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</si>
  <si>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</si>
  <si>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</si>
  <si>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</si>
  <si>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</si>
  <si>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</si>
  <si>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</si>
  <si>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</si>
  <si>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</si>
  <si>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</si>
  <si>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</si>
  <si>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</si>
  <si>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</si>
  <si>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</si>
  <si>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</si>
  <si>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</si>
  <si>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</si>
  <si>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</si>
  <si>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</si>
  <si>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</si>
  <si>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</si>
  <si>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</si>
  <si>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</si>
  <si>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</si>
  <si>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</si>
  <si>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</si>
  <si>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</si>
  <si>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</si>
  <si>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</si>
  <si>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</si>
  <si>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</si>
  <si>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</si>
  <si>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</si>
  <si>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</si>
  <si>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</si>
  <si>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</si>
  <si>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</si>
  <si>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</si>
  <si>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</si>
  <si>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</si>
  <si>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</si>
  <si>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</si>
  <si>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</si>
  <si>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</si>
  <si>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</si>
  <si>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</si>
  <si>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</si>
  <si>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</si>
  <si>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</si>
  <si>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</si>
  <si>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</si>
  <si>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</si>
  <si>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</si>
  <si>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</si>
  <si>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</si>
  <si>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</si>
  <si>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</si>
  <si>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</si>
  <si>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</si>
  <si>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</si>
  <si>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</si>
  <si>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</si>
  <si>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</si>
  <si>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</si>
  <si>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</si>
  <si>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</si>
  <si>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</si>
  <si>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</si>
  <si>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</si>
  <si>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</si>
  <si>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</si>
  <si>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</si>
  <si>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</si>
  <si>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</si>
  <si>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</si>
  <si>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</si>
  <si>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</si>
  <si>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</si>
  <si>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</si>
  <si>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</si>
  <si>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</si>
  <si>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</si>
  <si>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</si>
  <si>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</si>
  <si>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</si>
  <si>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</si>
  <si>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</si>
  <si>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</si>
  <si>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</si>
  <si>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</si>
  <si>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</si>
  <si>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</si>
  <si>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</si>
  <si>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</si>
  <si>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</si>
  <si>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</si>
  <si>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</si>
  <si>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</si>
  <si>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</si>
  <si>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</si>
  <si>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</si>
  <si>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</si>
  <si>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</si>
  <si>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</si>
  <si>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</si>
  <si>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</si>
  <si>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</si>
  <si>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</si>
  <si>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</si>
  <si>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</si>
  <si>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</si>
  <si>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</si>
  <si>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</si>
  <si>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</si>
  <si>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</si>
  <si>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</si>
  <si>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</si>
  <si>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</si>
  <si>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</si>
  <si>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</si>
  <si>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</si>
  <si>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</si>
  <si>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</si>
  <si>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</si>
  <si>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</si>
  <si>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</si>
  <si>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</si>
  <si>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</si>
  <si>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</si>
  <si>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</si>
  <si>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</si>
  <si>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</si>
  <si>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</si>
  <si>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</si>
  <si>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</si>
  <si>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</si>
  <si>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</si>
  <si>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</si>
  <si>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</si>
  <si>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</si>
  <si>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</si>
  <si>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</si>
  <si>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</si>
  <si>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</si>
  <si>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</si>
  <si>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</si>
  <si>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</si>
  <si>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</si>
  <si>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</si>
  <si>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</si>
  <si>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</si>
  <si>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</si>
  <si>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</si>
  <si>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</si>
  <si>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</si>
  <si>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</si>
  <si>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</si>
  <si>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</si>
  <si>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</si>
  <si>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</si>
  <si>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</si>
  <si>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</si>
  <si>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</si>
  <si>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</si>
  <si>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</si>
  <si>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</si>
  <si>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</si>
  <si>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</si>
  <si>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</si>
  <si>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</si>
  <si>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</si>
  <si>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</si>
  <si>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</si>
  <si>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</si>
  <si>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</si>
  <si>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</si>
  <si>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</si>
  <si>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</si>
  <si>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</si>
  <si>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</si>
  <si>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</si>
  <si>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</si>
  <si>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</si>
  <si>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</si>
  <si>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</si>
  <si>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</si>
  <si>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</si>
  <si>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</si>
  <si>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</si>
  <si>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</si>
  <si>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</si>
  <si>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</si>
  <si>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</si>
  <si>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</si>
  <si>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</si>
  <si>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</si>
  <si>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</si>
  <si>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</si>
  <si>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</si>
  <si>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</si>
  <si>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</si>
  <si>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</si>
  <si>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</si>
  <si>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</si>
  <si>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</si>
  <si>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</si>
  <si>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</si>
  <si>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</si>
  <si>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</si>
  <si>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</si>
  <si>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</si>
  <si>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</si>
  <si>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</si>
  <si>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</si>
  <si>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</si>
  <si>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</si>
  <si>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</si>
  <si>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</si>
  <si>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</si>
  <si>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</si>
  <si>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</si>
  <si>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</si>
  <si>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</si>
  <si>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</si>
  <si>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</si>
  <si>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</si>
  <si>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</si>
  <si>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</si>
  <si>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</si>
  <si>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</si>
  <si>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</si>
  <si>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</si>
  <si>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</si>
  <si>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</si>
  <si>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</si>
  <si>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</si>
  <si>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</si>
  <si>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</si>
  <si>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</si>
  <si>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</si>
  <si>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</si>
  <si>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</si>
  <si>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</si>
  <si>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</si>
  <si>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</si>
  <si>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</si>
  <si>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</si>
  <si>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</si>
  <si>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</si>
  <si>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</si>
  <si>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</si>
  <si>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</si>
  <si>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</si>
  <si>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</si>
  <si>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</si>
  <si>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</si>
  <si>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</si>
  <si>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</si>
  <si>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</si>
  <si>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</si>
  <si>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</si>
  <si>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</si>
  <si>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</si>
  <si>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</si>
  <si>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</si>
  <si>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</si>
  <si>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</si>
  <si>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</si>
  <si>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</si>
  <si>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</si>
  <si>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</si>
  <si>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</si>
  <si>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</si>
  <si>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</si>
  <si>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</si>
  <si>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</si>
  <si>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</si>
  <si>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</si>
  <si>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</si>
  <si>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</si>
  <si>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</si>
  <si>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</si>
  <si>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</si>
  <si>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</si>
  <si>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</si>
  <si>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</si>
  <si>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</si>
  <si>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</si>
  <si>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</si>
  <si>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</si>
  <si>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</si>
  <si>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</si>
  <si>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</si>
  <si>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</si>
  <si>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</si>
  <si>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</si>
  <si>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</si>
  <si>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</si>
  <si>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</si>
  <si>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</si>
  <si>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</si>
  <si>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</si>
  <si>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</si>
  <si>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</si>
  <si>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</si>
  <si>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</si>
  <si>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</si>
  <si>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</si>
  <si>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</si>
  <si>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</si>
  <si>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</si>
  <si>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</si>
  <si>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</si>
  <si>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</si>
  <si>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</si>
  <si>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</si>
  <si>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</si>
  <si>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</si>
  <si>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</si>
  <si>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</si>
  <si>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</si>
  <si>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</si>
  <si>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</si>
  <si>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</si>
  <si>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</si>
  <si>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</si>
  <si>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</si>
  <si>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</si>
  <si>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</si>
  <si>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</si>
  <si>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</si>
  <si>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</si>
  <si>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</si>
  <si>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</si>
  <si>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</si>
  <si>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</si>
  <si>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</si>
  <si>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</si>
  <si>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</si>
  <si>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</si>
  <si>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</si>
  <si>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</si>
  <si>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</si>
  <si>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</si>
  <si>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</si>
  <si>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</si>
  <si>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</si>
  <si>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</si>
  <si>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</si>
  <si>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</si>
  <si>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</si>
  <si>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</si>
  <si>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</si>
  <si>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</si>
  <si>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</si>
  <si>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</si>
  <si>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</si>
  <si>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</si>
  <si>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</si>
  <si>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</si>
  <si>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</si>
  <si>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</si>
  <si>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</si>
  <si>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</si>
  <si>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</si>
  <si>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</si>
  <si>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</si>
  <si>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</si>
  <si>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</si>
  <si>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</si>
  <si>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</si>
  <si>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</si>
  <si>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</si>
  <si>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</si>
  <si>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</si>
  <si>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</si>
  <si>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</si>
  <si>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</si>
  <si>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</si>
  <si>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</si>
  <si>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</si>
  <si>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</si>
  <si>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</si>
  <si>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Won't be mapped til there are actuals</t>
  </si>
  <si>
    <t>FR7941951</t>
  </si>
  <si>
    <t xml:space="preserve">CSCALA_1022$SQR </t>
  </si>
  <si>
    <t>CSCALA_1022$ITR</t>
  </si>
  <si>
    <t>FR7943141</t>
  </si>
  <si>
    <t>FR7944249</t>
  </si>
  <si>
    <t>CTEMPEU_1000GB10005256 SRO Costs</t>
  </si>
  <si>
    <t>H000000947</t>
  </si>
  <si>
    <t>FR7955415</t>
  </si>
  <si>
    <t>CLFF_1000$$$DE07Z02182 Prem./Contrib./Fees M&amp;S</t>
  </si>
  <si>
    <t>CLFF_1000$$$HK01Z02181 XX_Prem/con/fees CoS</t>
  </si>
  <si>
    <t>CLFF_1000$$$HK01Z02182 XX_Prem/con/fees M&amp;S</t>
  </si>
  <si>
    <t>CLFF_1000$$$HK01Z02183 XX_Prem/con/fees Admin</t>
  </si>
  <si>
    <t>CLFF_1000$$$HK01Z02184 XX_Prem/con/fees R&amp;D</t>
  </si>
  <si>
    <t>CLFF_1000$$$HK01Z02185 XX_Prem/con/fees Oth</t>
  </si>
  <si>
    <t>CLFF_1000$$$IN01Z02181 XX_Prem/con/fees CoS</t>
  </si>
  <si>
    <t>CLFF_1000$$$IN01Z02182 XX_Prem/con/fees M&amp;S</t>
  </si>
  <si>
    <t>CLFF_1000$$$IN01Z02183 XX_Prem/con/fees Admin</t>
  </si>
  <si>
    <t>CLFF_1000$$$IN01Z02184 XX_Prem/con/fees R&amp;D</t>
  </si>
  <si>
    <t>CLFF_1000$$$JP01Z02181 XX_Prem/con/fees CoS</t>
  </si>
  <si>
    <t>CLFF_1000$$$JP01Z02184 XX_Prem/con/fees R&amp;D</t>
  </si>
  <si>
    <t>CLFF_1000$$$JP01Z02185 XX_Prem/con/fees Oth</t>
  </si>
  <si>
    <t>CLFF_1000$$$JP02Z02181 XX_Prem/con/fees CoS</t>
  </si>
  <si>
    <t>CLFF_1000$$$JP02Z02182 XX_Prem/con/fees M&amp;S</t>
  </si>
  <si>
    <t>CLFF_1000$$$JP02Z02183 Prem/con/fees Admin</t>
  </si>
  <si>
    <t>CLFF_1000$$$JP02Z02184 XX_Prem/con/fees R&amp;D</t>
  </si>
  <si>
    <t>CLFF_1000$$$JP02Z02185 XX_Prem/con/fees Oth</t>
  </si>
  <si>
    <t>CLFF_1000$$$KR02Z02181 XX_Prem/con/fees CoS</t>
  </si>
  <si>
    <t>CLFF_1000$$$KR02Z02182 XX_Prem/con/fees M&amp;S</t>
  </si>
  <si>
    <t>CLFF_1000$$$KR02Z02183 XX_Prem/con/fees Admin</t>
  </si>
  <si>
    <t>CLFF_1000$$$KR02Z02184 XX_Prem/con/fees R&amp;D</t>
  </si>
  <si>
    <t>CLFF_1000$$$SG09Z02181 XX_Prem/con/fees CoS</t>
  </si>
  <si>
    <t>CLFF_1000$$$SG09Z02182 Prem/con/fees M&amp;S</t>
  </si>
  <si>
    <t>CLFF_1000$$$SG09Z02183 XX_Prem/con/fees Admin</t>
  </si>
  <si>
    <t>CLFF_1000$$$SG09Z02184 XX_Prem/con/fees Oth</t>
  </si>
  <si>
    <t>CLFF_1000$$$TW02Z02183 XX_Prem/con/fees Admin</t>
  </si>
  <si>
    <t>CLFF_1000$$$TW02Z02184 XX_Prem/con/fees R&amp;D</t>
  </si>
  <si>
    <t>CLFF_1000$$$TW03Z02184 XX_Prem/con/fees R&amp;D</t>
  </si>
  <si>
    <t>CLFF_KR00$$$KR03Z02181 XX_Prem/con/fees CoS</t>
  </si>
  <si>
    <t>CLFF_KR00$$$KR03Z02182 XX_Prem/con/fees M&amp;S</t>
  </si>
  <si>
    <t>CLFF_KR00$$$KR03Z02183 XX_Prem/con/fees Admin</t>
  </si>
  <si>
    <t>CLFF_KR00$$$KR03Z02184 XX_Prem/con/fees R&amp;D</t>
  </si>
  <si>
    <t>CLFF_1000$$$CN01OF0083 PM GoGlobal Trainee</t>
  </si>
  <si>
    <t>CLFF_1000$$$US01OF0103 GOglobal Trainee PM-USA</t>
  </si>
  <si>
    <t>CLFF_KR00$$$KR03L80000 GoGlobal Korea</t>
  </si>
  <si>
    <t>CLFF_VMCA$$$TW10OF6016 GOglobal Trainee Program</t>
  </si>
  <si>
    <t>CLFF_VMCA$$$US10OF6070 GOglobal Trainee Program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</si>
  <si>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</si>
  <si>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</si>
  <si>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</si>
  <si>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</si>
  <si>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</si>
  <si>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</si>
  <si>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</si>
  <si>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</si>
  <si>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</si>
  <si>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</si>
  <si>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</si>
  <si>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</si>
  <si>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</si>
  <si>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</si>
  <si>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</si>
  <si>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</si>
  <si>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</si>
  <si>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</si>
  <si>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</si>
  <si>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</si>
  <si>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</si>
  <si>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</si>
  <si>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</si>
  <si>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</si>
  <si>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</si>
  <si>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</si>
  <si>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</si>
  <si>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</si>
  <si>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PLEAN_X310324CH6815011 Cardio GBF Digital</t>
  </si>
  <si>
    <t>PLEAN_X310304DE5015404 DIA FRA PROM OTH GBF GSI</t>
  </si>
  <si>
    <t>PLEAN_X310324DE5015403 CAR FRA PROM OTH GBF GCD</t>
  </si>
  <si>
    <t>PLEAN_X310324DE5015404 CAR FRA PROM OTH GBF GSI</t>
  </si>
  <si>
    <t>PLEAN_X310334CH6815011 Thyroids GBF Digital</t>
  </si>
  <si>
    <t>PLEAN_X310404CH6815011 Endo GBF Digital</t>
  </si>
  <si>
    <t>ITEMPLA_001520001165 Cardio Summit 2025</t>
  </si>
  <si>
    <t>Estela Belda Menendez</t>
  </si>
  <si>
    <t xml:space="preserve">CNOW_7210$$$0000498035 </t>
  </si>
  <si>
    <t>FR7967809</t>
  </si>
  <si>
    <t>PLEAN_X310201VN5011200 FD COM Advertising</t>
  </si>
  <si>
    <t>FR7968675</t>
  </si>
  <si>
    <t>CFLTFLE_1044BPOE BP - Others  ISS</t>
  </si>
  <si>
    <t>FR7968701</t>
  </si>
  <si>
    <t>PLEAN_X310301DE6215305 1401_LK_B4_DIA_PROMO OTH</t>
  </si>
  <si>
    <t>FR7968788</t>
  </si>
  <si>
    <t>H000000417</t>
  </si>
  <si>
    <t>H000001318</t>
  </si>
  <si>
    <t>PLEAN_X310113CN5043301 O59 R&amp;D R&amp;D OTH TGCT Trials or RWS proje</t>
  </si>
  <si>
    <t>PLEAN_X310282CN5020301 PIMI MED MED EDU DSA to HCP: Medical edu</t>
  </si>
  <si>
    <t>PLEAN_X310282CN5020303 PIMI MED MED EDU DSA to HCP: Medical edu</t>
  </si>
  <si>
    <t>PLEAN_X310282CN5020304 PIMI MED MED EDU DSA to HCP: Medical edu</t>
  </si>
  <si>
    <t>PLEAN_X310282CN5023305 PIMI MED MED OTH ESMO Campaign</t>
  </si>
  <si>
    <t>PLEAN_X310282CN5023306 PIMI MED MED OTH ESMO Campaign</t>
  </si>
  <si>
    <t>PLEAN_X310282CN5023309 PIMI MED MED OTH Content development</t>
  </si>
  <si>
    <t>PLEAN_X310431CN5015212 THYB COM PROM OTH Zebra</t>
  </si>
  <si>
    <t>PLEAN_X310432CN5020104 Thy MED CN50 MED EDU Thyrotropin</t>
  </si>
  <si>
    <t>PLEAN_X310101CN5013354 ERB COM C&amp;E ONC H&amp;N MOD</t>
  </si>
  <si>
    <t>PLEAN_X310201DE5015018 Project for Cross Charge</t>
  </si>
  <si>
    <t>FR7969110</t>
  </si>
  <si>
    <t>FR7970870</t>
  </si>
  <si>
    <t>CTEMPLA_1000BR10200572 [MED] - Med Consultants - Tepmetko</t>
  </si>
  <si>
    <t>H000002595</t>
  </si>
  <si>
    <t>FR7973160</t>
  </si>
  <si>
    <t>CTEMPLA_1000PA10PA3E25 Medical non R&amp;D Thyroids</t>
  </si>
  <si>
    <t>CTEMPLA_1000PA10PA3B25 Medical non R&amp;D Fertility</t>
  </si>
  <si>
    <t>PSCALA_X54 Tepmetko Launch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</si>
  <si>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</si>
  <si>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</si>
  <si>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</si>
  <si>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</si>
  <si>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</si>
  <si>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</si>
  <si>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</si>
  <si>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</si>
  <si>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</si>
  <si>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</si>
  <si>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</si>
  <si>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</si>
  <si>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</si>
  <si>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</si>
  <si>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</si>
  <si>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</si>
  <si>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</si>
  <si>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CFLTFLE_10548-191A ISS - OTHER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</si>
  <si>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</si>
  <si>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</si>
  <si>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</si>
  <si>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</si>
  <si>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</si>
  <si>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</si>
  <si>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</si>
  <si>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</si>
  <si>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</si>
  <si>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check</t>
  </si>
  <si>
    <t>H000001115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</si>
  <si>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</si>
  <si>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</si>
  <si>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</si>
  <si>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</si>
  <si>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</si>
  <si>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</si>
  <si>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</si>
  <si>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</si>
  <si>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FR7989462</t>
  </si>
  <si>
    <t>CTEMPLA_1000GT10ZZ0Q18</t>
  </si>
  <si>
    <t>CORAERP_MMOR1945.6306</t>
  </si>
  <si>
    <t>L000011403</t>
  </si>
  <si>
    <t>L000012347</t>
  </si>
  <si>
    <t>FR7989325</t>
  </si>
  <si>
    <t>CORAERP_MMOR1945.3541 Quality PS Field Service</t>
  </si>
  <si>
    <t>CORAERP_MMOR1975.5776 US Strategy and Execution DSP</t>
  </si>
  <si>
    <t>CPHOENX_01010000699404 DE DSP Strategy and Execution</t>
  </si>
  <si>
    <t>CTEMPEU_1000CH70404040 Strategy and Execution CH DSP</t>
  </si>
  <si>
    <t>IPHOENX_000400763813 CCV PFM Other Arevi Thyrosin</t>
  </si>
  <si>
    <t>CEMERAL_70006101P13201 PS Market Intelligence China</t>
  </si>
  <si>
    <t>ITEMPEU_003200001428 CH70 Freight Outbound 3110410000 SH</t>
  </si>
  <si>
    <t>ITEMPEU_CH70AA0011 Freight Outbound 3110410000</t>
  </si>
  <si>
    <t>CNOW_7210$$$0000051972 Buchs Outbound Freight</t>
  </si>
  <si>
    <t>CNOW_7210$$$0000051924 SP General COS Steinheim</t>
  </si>
  <si>
    <t>CFLTFLE_1106T41000 Sales</t>
  </si>
  <si>
    <t>CFLTFLE_1106T62100 Logistic</t>
  </si>
  <si>
    <t>CLFF_7210$$$2125C03326 IL inbound freight</t>
  </si>
  <si>
    <t>CLFF_7210$$$2022TQAZ93 IE Arklow freight</t>
  </si>
  <si>
    <t>CORAERP_MMOR1917.4165 Outbound IC Freight UK</t>
  </si>
  <si>
    <t>CORAERP_MMOR1917.4167 Outbound 3rd Party Freight UK</t>
  </si>
  <si>
    <t>CLFF_7210$$$1937TQCZ91 EI outbound freight</t>
  </si>
  <si>
    <t>CNOW_7210$$$0000040056 Distribution Advancement &amp; Systems</t>
  </si>
  <si>
    <t>CLFF_7210$$$1937TMCZ9J Global Engineering and SME's</t>
  </si>
  <si>
    <t>L000013846</t>
  </si>
  <si>
    <t>L000006552</t>
  </si>
  <si>
    <t>L000013915</t>
  </si>
  <si>
    <t>L000013563</t>
  </si>
  <si>
    <t>L000013845</t>
  </si>
  <si>
    <t>L000013514</t>
  </si>
  <si>
    <t>L000009539</t>
  </si>
  <si>
    <t>L000009413</t>
  </si>
  <si>
    <t>L000010212</t>
  </si>
  <si>
    <t>L000009437</t>
  </si>
  <si>
    <t>L000009657</t>
  </si>
  <si>
    <t>L000009485</t>
  </si>
  <si>
    <t>L000009556</t>
  </si>
  <si>
    <t>D30013700000000</t>
  </si>
  <si>
    <t>FR7992012</t>
  </si>
  <si>
    <t>CSCALA_1826$302_ST</t>
  </si>
  <si>
    <t>CSCALA_1826$301_MV</t>
  </si>
  <si>
    <t>CSCALA_1826$350_MV</t>
  </si>
  <si>
    <t>G000000765</t>
  </si>
  <si>
    <t>G000000152</t>
  </si>
  <si>
    <t>FR7992225</t>
  </si>
  <si>
    <t>FR7993071</t>
  </si>
  <si>
    <t>PLEAN_X310511TN5013218 SMASEP MAVENCLAD</t>
  </si>
  <si>
    <t>PLEAN_X310002TN5013200 FERT-NA-ESHRE</t>
  </si>
  <si>
    <t>PLEAN_X310201MA5013200 Morocco Local congresses (MA50)</t>
  </si>
  <si>
    <t>PLEAN_X310301MA5015200 Projet Maroc : Sobrus</t>
  </si>
  <si>
    <t>PLEAN_X310511MA5013221 Merck event Neuro MA&amp;SA-fees</t>
  </si>
  <si>
    <t>PLEAN_X310201TN6013221 SMART XXI Regional Standalone</t>
  </si>
  <si>
    <t>Daniella Sasa</t>
  </si>
  <si>
    <t>P000001380</t>
  </si>
  <si>
    <t>FR7997264</t>
  </si>
  <si>
    <t>PLEAN_X310802ZA5020505 MED  NON R&amp;D-ZA-CME-EDUCATION</t>
  </si>
  <si>
    <t>PLEAN_X310801AE5015209 SP DIGITAL-Shared-AE</t>
  </si>
  <si>
    <t>PLEAN_X310171DE6230104 1891_BY_V9_BAV_M&amp;S OTH</t>
  </si>
  <si>
    <t>PLEAN_X310201AE5011203 SP ADVT-KW-FERT</t>
  </si>
  <si>
    <t>H000000254</t>
  </si>
  <si>
    <t>Kristel Joyce Manalese</t>
  </si>
  <si>
    <t>FR7996906</t>
  </si>
  <si>
    <t>CLFF_1000$$$ES50Y54321 GES BGL L&amp;D PDP</t>
  </si>
  <si>
    <t>CLFF_1000$$$IT50Y54321 GES BGL L&amp;D PDP</t>
  </si>
  <si>
    <t>CLFF_7210$$$2123Y54321 GES BGL L&amp;D PDP</t>
  </si>
  <si>
    <t>CEMERAL_70006502GM4020 MBS FS ES L&amp;D PDP activities</t>
  </si>
  <si>
    <t>CEMERAL_64016401GM4021 MBS FS ES L&amp;D PDP activities</t>
  </si>
  <si>
    <t>G000001450</t>
  </si>
  <si>
    <t>LS?</t>
  </si>
  <si>
    <t>FR7998841</t>
  </si>
  <si>
    <t>CNOW_7210$$$0000040055 DxRM - R&amp;D Chemical Synthesis Lab SK</t>
  </si>
  <si>
    <t>FR8003528</t>
  </si>
  <si>
    <t>G000000847</t>
  </si>
  <si>
    <t>G000000431</t>
  </si>
  <si>
    <t>G000000848</t>
  </si>
  <si>
    <t>CLFF_1000$$$DE10F27300</t>
  </si>
  <si>
    <t>CLFF_1000$$$DE10566115</t>
  </si>
  <si>
    <t>CLFF_1000$$$DE10566116</t>
  </si>
  <si>
    <t>CLFF_1000$$$DE10566118</t>
  </si>
  <si>
    <t>CLFF_1000$$$DE10566120</t>
  </si>
  <si>
    <t>CLFF_1000$$$DE10566121</t>
  </si>
  <si>
    <t>CLFF_1000$$$DE10566122</t>
  </si>
  <si>
    <t>CLFF_1000$$$DE10566125</t>
  </si>
  <si>
    <t>CLFF_1000$$$DE10566127</t>
  </si>
  <si>
    <t>CLFF_1000$$$DE10E16300</t>
  </si>
  <si>
    <t>CLFF_1000$$$DE10E16600</t>
  </si>
  <si>
    <t>CLFF_1000$$$DE10E38020</t>
  </si>
  <si>
    <t>CLFF_1000$$$DE10E38800</t>
  </si>
  <si>
    <t>CLFF_1000$$$DE10E38810</t>
  </si>
  <si>
    <t>CLFF_1000$$$DE10E61000</t>
  </si>
  <si>
    <t>CLFF_1000$$$DE10E61100</t>
  </si>
  <si>
    <t>CLFF_1000$$$DE10E61200</t>
  </si>
  <si>
    <t>CLFF_1000$$$DE10E61900</t>
  </si>
  <si>
    <t>CLFF_1000$$$DE10F11900</t>
  </si>
  <si>
    <t>CLFF_1000$$$DE10F16000</t>
  </si>
  <si>
    <t>CLFF_1000$$$DE10F16010</t>
  </si>
  <si>
    <t>CLFF_1000$$$DE10F16100</t>
  </si>
  <si>
    <t>CLFF_1000$$$DE10F16200</t>
  </si>
  <si>
    <t>CLFF_1000$$$DE10F16300</t>
  </si>
  <si>
    <t>CLFF_1000$$$DE10F16500</t>
  </si>
  <si>
    <t>CLFF_1000$$$DE10F16600</t>
  </si>
  <si>
    <t>CLFF_1000$$$DE10F16700</t>
  </si>
  <si>
    <t>CLFF_1000$$$DE10F27301</t>
  </si>
  <si>
    <t>CLFF_1000$$$DE10E09200</t>
  </si>
  <si>
    <t>CLFF_1000$$$DE10E47200</t>
  </si>
  <si>
    <t>CLFF_1000$$$DE10F10600</t>
  </si>
  <si>
    <t>CLFF_1000$$$DE10F10900</t>
  </si>
  <si>
    <t>CLFF_1000$$$DE10F15400</t>
  </si>
  <si>
    <t>CLFF_1000$$$DE10F15410</t>
  </si>
  <si>
    <t>FR8006226</t>
  </si>
  <si>
    <t>CLFF_1000$$$SG09OF0504 Customer Service &amp; Material Planning</t>
  </si>
  <si>
    <t>CLFF_1000$$$TW02OF0321 Customer Services</t>
  </si>
  <si>
    <t>CLFF_1000$$$TW02OF0322 Customer Service_Semiconductor</t>
  </si>
  <si>
    <t>CLFF_VMCA$$$SG10DB3305 Singapore Customer Service</t>
  </si>
  <si>
    <t>CLFF_VMCA$$$TW10DB3308 Taiwan Customer Service</t>
  </si>
  <si>
    <t>CLFF_1000$$$SG09TPX001 ACW 3PL Warehouse</t>
  </si>
  <si>
    <t>CLFF_VMCA$$$MY10DB3301 MY10 3PL Cylinder Storage</t>
  </si>
  <si>
    <t>CLFF_VMCA$$$SG10DB3300 Tuas Warehouse</t>
  </si>
  <si>
    <t>CLFF_VMCA$$$SG10DB3301 SG10 PTC 3PL Warehouse</t>
  </si>
  <si>
    <t>CLFF_VMCA$$$SG10DB3302 SG10 Asia Industrial Gases 3PL Warehouse</t>
  </si>
  <si>
    <t>CLFF_VMCA$$$TW10DB3303 Taichung Warehouse</t>
  </si>
  <si>
    <t>CLFF_VMCA$$$TW10DB3307 CTW Qionglin 3PL Warehouse</t>
  </si>
  <si>
    <t>CLFF_VMCA$$$TW10TQ1001 Tainan Rinchem 3PL Warehouse</t>
  </si>
  <si>
    <t>CLFF_VMCA$$$TW10TQ1002 Hsinchu Leemark Logistics 3PL WH</t>
  </si>
  <si>
    <t>CLFF_VMCA$$$TW91DB3301 TW91 Tainan Warehouse</t>
  </si>
  <si>
    <t>CLFF_VMCA$$$TW91TQ1001 CTW Qionglin Warehouse</t>
  </si>
  <si>
    <t>CLFF_VMCA$$$TW91TQ1002 Sanfu Chemical Warehouse</t>
  </si>
  <si>
    <t>CLFF_VMCA$$$MY10TQ1000</t>
  </si>
  <si>
    <t>CLFF_VMCA$$$SG10TQ1001</t>
  </si>
  <si>
    <t>CLFF_VMCA$$$SG10TQ1002</t>
  </si>
  <si>
    <t>CLFF_VMCA$$$SG10TQ1003</t>
  </si>
  <si>
    <t>CLFF_1000$$$TW02TPHZ06</t>
  </si>
  <si>
    <t>CLFF_VMCA$$$TW10TQ1004</t>
  </si>
  <si>
    <t>CLFF_VMCA$$$TW10TQ1005</t>
  </si>
  <si>
    <t>CLFF_VMCA$$$TW10TQ1006</t>
  </si>
  <si>
    <t>CLFF_1000$$$SG09TPX003 Outbound Freight</t>
  </si>
  <si>
    <t>CLFF_1000$$$TW02TPHZ21 Outbound freight_PMD_Hsinchu</t>
  </si>
  <si>
    <t>CLFF_1000$$$TW02TPHZ22 Outbound freight_PMI_Hsinchu</t>
  </si>
  <si>
    <t>CLFF_1000$$$TW02TPHZ23 Outbound freight_Asia Hub</t>
  </si>
  <si>
    <t>CLFF_1000$$$TW02TPTA21 Outbound freight_PMD_Taoyuan</t>
  </si>
  <si>
    <t>CLFF_1000$$$TW02TPTA22 Outbound freight_PMA_Taoyuan</t>
  </si>
  <si>
    <t>CLFF_1000$$$TW03TQKZ22 Outbound freight_PMI_Kaohsiung</t>
  </si>
  <si>
    <t>CLFF_1000$$$SG09TPX004 SG09 Customer Fulfillment Admin Mgmt</t>
  </si>
  <si>
    <t>CLFF_1000$$$TW02TQMZ02 Transportation Management</t>
  </si>
  <si>
    <t>CLFF_1000$$$TW03TQKZ12 Transportation Management</t>
  </si>
  <si>
    <t>CLFF_VMCA$$$MY10DB3300 Malaysia DIstribution</t>
  </si>
  <si>
    <t>CLFF_VMCA$$$SG10TM3000 SG10 Customer Fulfillment Admin Mgmt</t>
  </si>
  <si>
    <t>CLFF_VMCA$$$TW10DB3300 TW Transportation Management</t>
  </si>
  <si>
    <t>CLFF_VMCA$$$TW10DB3301 TW10 Customs/Duties Spec Gas</t>
  </si>
  <si>
    <t>CLFF_VMCA$$$TW10DB3305 AM Transportation</t>
  </si>
  <si>
    <t>CLFF_VMCA$$$MY10TM4000</t>
  </si>
  <si>
    <t>CLFF_VMCA$$$SG10TM4000</t>
  </si>
  <si>
    <t>CLFF_VMCA$$$TW10TM4001</t>
  </si>
  <si>
    <t>CLFF_VMCA$$$TW10TM4002</t>
  </si>
  <si>
    <t>CLFF_VMCA$$$TW91TM4000</t>
  </si>
  <si>
    <t>CLFF_VMCA$$$TW91TM4001</t>
  </si>
  <si>
    <t>CLFF_VMCA$$$TW91TM4002</t>
  </si>
  <si>
    <t>CLFF_VMCA$$$SG10TM2000</t>
  </si>
  <si>
    <t>CLFF_1000$$$JP02C0M111 Customer Service Display and Semi</t>
  </si>
  <si>
    <t>CLFF_KR00$$$KR03OF0303 Customer Service</t>
  </si>
  <si>
    <t>CLFF_VMCA$$$KR07DB3310 Korea Customer Service</t>
  </si>
  <si>
    <t>CLFF_1000$$$JP02TQAZ01 Atsugi DC</t>
  </si>
  <si>
    <t>CLFF_1000$$$JP02TQSZ01 Shizuoka DC</t>
  </si>
  <si>
    <t>CLFF_KR00$$$KR03TPPZ14 W/H Expense from MEM</t>
  </si>
  <si>
    <t>CLFF_VMCA$$$KR07DB3306 AM Warehouse/3PL</t>
  </si>
  <si>
    <t>CLFF_VMCA$$$KR07DB3308 PM 3PL Warehouse</t>
  </si>
  <si>
    <t>CLFF_VMCA$$$KR15DB3301 Ulsan NH3 Distribution</t>
  </si>
  <si>
    <t>CLFF_1000$$$JP02TQ1001</t>
  </si>
  <si>
    <t>CLFF_1000$$$JP02TQ1002</t>
  </si>
  <si>
    <t>CLFF_1000$$$JP02TQ1003</t>
  </si>
  <si>
    <t>CLFF_1000$$$JP02TQ1004</t>
  </si>
  <si>
    <t>CLFF_1000$$$JP02TQ1005</t>
  </si>
  <si>
    <t>CLFF_1000$$$JP02TQ1006</t>
  </si>
  <si>
    <t>CLFF_1000$$$JP02TQ1007</t>
  </si>
  <si>
    <t>CLFF_1000$$$JP02TQ1008</t>
  </si>
  <si>
    <t>CLFF_1000$$$JP02TQ1009</t>
  </si>
  <si>
    <t>CLFF_1000$$$JP02TQ1010</t>
  </si>
  <si>
    <t>CLFF_1000$$$JP02TQ1011</t>
  </si>
  <si>
    <t>CLFF_1000$$$JP02TQ1012</t>
  </si>
  <si>
    <t>CLFF_1000$$$JP02TQ1013</t>
  </si>
  <si>
    <t>CLFF_1000$$$JP02TQ1014</t>
  </si>
  <si>
    <t>CLFF_1000$$$KR02TQ1000</t>
  </si>
  <si>
    <t>CLFF_KR00$$$KR03TQ1011</t>
  </si>
  <si>
    <t>CLFF_KR00$$$KR03TQ1012</t>
  </si>
  <si>
    <t>CLFF_VMCA$$$KR07TQ1001</t>
  </si>
  <si>
    <t>CLFF_VMCA$$$KR07TQ1002</t>
  </si>
  <si>
    <t>CLFF_VMCA$$$KR07TQ1003</t>
  </si>
  <si>
    <t>CLFF_VMCA$$$KR07TQ1004</t>
  </si>
  <si>
    <t>CLFF_VMCA$$$KR07TQ1005</t>
  </si>
  <si>
    <t>CLFF_VMCA$$$KR07TQ1006</t>
  </si>
  <si>
    <t>CLFF_VMCA$$$KR11TQ1001</t>
  </si>
  <si>
    <t>CLFF_VMCA$$$KR11TQ1002</t>
  </si>
  <si>
    <t>CLFF_VMCA$$$KR11TQ1003</t>
  </si>
  <si>
    <t>CLFF_VMCA$$$KR11TQ1004</t>
  </si>
  <si>
    <t>CLFF_VMCA$$$KR15TQ1001</t>
  </si>
  <si>
    <t>CLFF_VMCA$$$KR16TQ1001</t>
  </si>
  <si>
    <t>CLFF_VMCA$$$KR16TQ1002</t>
  </si>
  <si>
    <t>CLFF_1000$$$JP02TQMZ01 PM Logistics</t>
  </si>
  <si>
    <t>CLFF_KR00$$$KR03TPPZ04 SD - Logistics PM</t>
  </si>
  <si>
    <t>CLFF_VMCA$$$KR07DB3300 Transportation Management</t>
  </si>
  <si>
    <t>CLFF_VMCA$$$KR15TM3000</t>
  </si>
  <si>
    <t>CLFF_1000$$$KR02TPAZ02 SD - Warehousing/distribution Asia/Pacif</t>
  </si>
  <si>
    <t>CLFF_VMCA$$$KR07DB3301 PM Distribution</t>
  </si>
  <si>
    <t>CLFF_VMCA$$$KR07DB3302 AM Distribution</t>
  </si>
  <si>
    <t>CLFF_VMCA$$$KR11DB2111 Surf, Prep &amp; Clean Distribution</t>
  </si>
  <si>
    <t>CLFF_VMCA$$$KR11DB2112 Planarization Distribution</t>
  </si>
  <si>
    <t>CLFF_VMCA$$$KR15DB3303 Ulsan NF3 Distribution</t>
  </si>
  <si>
    <t>CLFF_VMCA$$$KR16DB3300 KR16 Transportation</t>
  </si>
  <si>
    <t>CLFF_1000$$$US01C01305 Customer Service US</t>
  </si>
  <si>
    <t>CLFF_VMCA$$$US10DB3021 US Customer Service</t>
  </si>
  <si>
    <t>CLFF_1000$$$US01TPBZ03 FG Warehouse - (BRB)</t>
  </si>
  <si>
    <t>CLFF_VMCA$$$US10DB3004 Tualatin ELE Warehouse</t>
  </si>
  <si>
    <t>CLFF_VMCA$$$US10DB3005 Austin Warehouse</t>
  </si>
  <si>
    <t>CLFF_VMCA$$$US10DB3006 Phoenix Warehouse</t>
  </si>
  <si>
    <t>CLFF_VMCA$$$US10DB3011 3rd Party AM Whse</t>
  </si>
  <si>
    <t>CLFF_1000$$$US01TQ1001</t>
  </si>
  <si>
    <t>CLFF_1000$$$US01TQ1002</t>
  </si>
  <si>
    <t>CLFF_1000$$$US01TQ1003</t>
  </si>
  <si>
    <t>CLFF_1000$$$US01TQ1004</t>
  </si>
  <si>
    <t>CLFF_1000$$$US01TQ1005</t>
  </si>
  <si>
    <t>CLFF_1000$$$US01TQ1006</t>
  </si>
  <si>
    <t>CLFF_1000$$$US01TQ1007</t>
  </si>
  <si>
    <t>CLFF_1000$$$US01TQ1008</t>
  </si>
  <si>
    <t>CLFF_1000$$$US01TQ1009</t>
  </si>
  <si>
    <t>CLFF_VMCA$$$US10TQ1001</t>
  </si>
  <si>
    <t>CLFF_VMCA$$$US10TQ1002</t>
  </si>
  <si>
    <t>CLFF_VMCA$$$US10TQ1003</t>
  </si>
  <si>
    <t>CLFF_VMCA$$$US10TQ1004</t>
  </si>
  <si>
    <t>CLFF_VMCA$$$US10TQ1005</t>
  </si>
  <si>
    <t>CLFF_VMCA$$$US10TQ1006</t>
  </si>
  <si>
    <t>CLFF_VMCA$$$US10TQ1007</t>
  </si>
  <si>
    <t>CLFF_VMCA$$$US10TQ1008</t>
  </si>
  <si>
    <t>CLFF_VMCA$$$US10TQ1009</t>
  </si>
  <si>
    <t>CLFF_VMCA$$$US10TQ1010</t>
  </si>
  <si>
    <t>CLFF_VMCA$$$US10TQ1011</t>
  </si>
  <si>
    <t>CLFF_VMCA$$$US10TQ1012</t>
  </si>
  <si>
    <t>CLFF_VMCA$$$US10TQ1013</t>
  </si>
  <si>
    <t>CLFF_1000$$$US01TPBZ01 Freight Collector - Inbound (BRB)</t>
  </si>
  <si>
    <t>CLFF_1000$$$US01TPBZ02 Freight Collector - Outbound (BRB)</t>
  </si>
  <si>
    <t>CLFF_1000$$$US01TQBZ01 BRB IC Outbound Freight Expense</t>
  </si>
  <si>
    <t>CLFF_1000$$$US01TQHZ01 Sheboygan Outbound Freight</t>
  </si>
  <si>
    <t>CLFF_1000$$$US01TQHZ03 Sheboygan IC Outbound Freight Expense</t>
  </si>
  <si>
    <t>CLFF_VMCA$$$US10DB3000 Catoosa Shipping</t>
  </si>
  <si>
    <t>CLFF_VMCA$$$US10DB3012 Carlsbad Shipping</t>
  </si>
  <si>
    <t>CLFF_VMCA$$$US10DB3013 Hometown PM Shipping</t>
  </si>
  <si>
    <t>CLFF_VMCA$$$US10DB3016 Tempe AM Shipping</t>
  </si>
  <si>
    <t>CLFF_VMCA$$$US10DB3017 Dallas AM Shipping</t>
  </si>
  <si>
    <t>CLFF_1000$$$US01TM2001</t>
  </si>
  <si>
    <t>CLFF_VMCA$$$US10TM2010</t>
  </si>
  <si>
    <t>CLFF_1000$$$US01TPPZ04 PM-US Logistics Organization</t>
  </si>
  <si>
    <t>CLFF_VMCA$$$US10DB3003 US Customer Fulfillment</t>
  </si>
  <si>
    <t>CLFF_VMCA$$$US10TM3001</t>
  </si>
  <si>
    <t>CLFF_VMCA$$$US10TM3002</t>
  </si>
  <si>
    <t>CLFF_VMCA$$$US10DB3014 3PL Customs &amp; Duties</t>
  </si>
  <si>
    <t>CLFF_1000$$$DE10B08450</t>
  </si>
  <si>
    <t>CLFF_1000$$$DE10A48610</t>
  </si>
  <si>
    <t>CLFF_1000$$$DE10A48607</t>
  </si>
  <si>
    <t>CLFF_1000$$$DE10538392</t>
  </si>
  <si>
    <t>CLFF_1000$$$DE20700060</t>
  </si>
  <si>
    <t>L000013429</t>
  </si>
  <si>
    <t>G000000877</t>
  </si>
  <si>
    <t>G000000544</t>
  </si>
  <si>
    <t>FR8012274</t>
  </si>
  <si>
    <t>Analyn Ayson</t>
  </si>
  <si>
    <t>???</t>
  </si>
  <si>
    <t>FR8015451</t>
  </si>
  <si>
    <t>PLEAN_X370121DE6514800 RT Ogsiveo Oth.Prom. MAP HTA</t>
  </si>
  <si>
    <t>PLEAN_X370131DE6514800 RT Ezmekly Oth.Prom. MAP HTA</t>
  </si>
  <si>
    <t>PLEAN_X310181DK5015201 Bavencio Commercial DK50 Other Promo and</t>
  </si>
  <si>
    <t>PLEAN_X370231CH7610201 RT Ezmekly COM Promo</t>
  </si>
  <si>
    <t>PLEAN_X370232AT5023200 RG Ezmekly Medical activities</t>
  </si>
  <si>
    <t>CSCALA_1759$E375</t>
  </si>
  <si>
    <t>CSCALA_1759$E376</t>
  </si>
  <si>
    <t>CSCALA_1759$O209</t>
  </si>
  <si>
    <t>CSCALA_1759$C229</t>
  </si>
  <si>
    <t>CSCALA_1759$C219</t>
  </si>
  <si>
    <t>CSCALA_1759$C220</t>
  </si>
  <si>
    <t>CSCALA_1759$C221</t>
  </si>
  <si>
    <t>CSCALA_1759$C222</t>
  </si>
  <si>
    <t>CSCALA_1759$C223</t>
  </si>
  <si>
    <t>CSCALA_1759$C224</t>
  </si>
  <si>
    <t>CSCALA_1759$C225</t>
  </si>
  <si>
    <t>CSCALA_1759$C226</t>
  </si>
  <si>
    <t>CSCALA_1759$C227</t>
  </si>
  <si>
    <t>CSCALA_1759$C228</t>
  </si>
  <si>
    <t>CSCALA_1759$C231</t>
  </si>
  <si>
    <t>CSCALA_1759$G233</t>
  </si>
  <si>
    <t>H000004527</t>
  </si>
  <si>
    <t>H000004517</t>
  </si>
  <si>
    <t>H000004515</t>
  </si>
  <si>
    <t>H000004528</t>
  </si>
  <si>
    <t>FR8017544</t>
  </si>
  <si>
    <t>CNOW_7210$$$0000021361</t>
  </si>
  <si>
    <t>G000001457</t>
  </si>
  <si>
    <t>G000001458</t>
  </si>
  <si>
    <t>G000001459</t>
  </si>
  <si>
    <t>G000001460</t>
  </si>
  <si>
    <t>G000000736</t>
  </si>
  <si>
    <t>P000001349</t>
  </si>
  <si>
    <t>P000001346</t>
  </si>
  <si>
    <t>P000001344</t>
  </si>
  <si>
    <t>P000001347</t>
  </si>
  <si>
    <t>P000001348</t>
  </si>
  <si>
    <t>P000001355</t>
  </si>
  <si>
    <t>P000001352</t>
  </si>
  <si>
    <t>P000001353</t>
  </si>
  <si>
    <t>P000001354</t>
  </si>
  <si>
    <t>P000001361</t>
  </si>
  <si>
    <t>P000001358</t>
  </si>
  <si>
    <t>P000001356</t>
  </si>
  <si>
    <t>P000001359</t>
  </si>
  <si>
    <t>P000001360</t>
  </si>
  <si>
    <t>H000004415</t>
  </si>
  <si>
    <t>H000004416</t>
  </si>
  <si>
    <t>PLEAN_X370131AT5015200</t>
  </si>
  <si>
    <t>PLEAN_X370122AT5023200</t>
  </si>
  <si>
    <t>CLFF_VMCA$$$TW10TQ1003</t>
  </si>
  <si>
    <t>FR8025328</t>
  </si>
  <si>
    <t>CSCALA_1248$VR00_L36</t>
  </si>
  <si>
    <t>CSCALA_1248$VR00_L37</t>
  </si>
  <si>
    <t>CSCALA_1248$VR00_L38</t>
  </si>
  <si>
    <t>CSCALA_1248$A350_L40</t>
  </si>
  <si>
    <t>FR8025270</t>
  </si>
  <si>
    <t>CSCALA_1248$A350</t>
  </si>
  <si>
    <t>CSCALA_1248$A350_L05</t>
  </si>
  <si>
    <t>CSCALA_1248$A350_L09</t>
  </si>
  <si>
    <t>CSCALA_1248$A350_L11</t>
  </si>
  <si>
    <t>CSCALA_1248$A350_L33</t>
  </si>
  <si>
    <t>FR8022798</t>
  </si>
  <si>
    <t>CSCALA_1022$RDG_L39</t>
  </si>
  <si>
    <t>CSCALA_1022$RDG_L38</t>
  </si>
  <si>
    <t>CSCALA_1022$RDG_L35</t>
  </si>
  <si>
    <t>CSCALA_1022$RDG_L36</t>
  </si>
  <si>
    <t>CSCALA_1022$RDG_L37</t>
  </si>
  <si>
    <t>CSCALA_1022$PVS_L40</t>
  </si>
  <si>
    <t>CSCALA_1248$6528_L40</t>
  </si>
  <si>
    <t>CSCALA_1248$6528_L39</t>
  </si>
  <si>
    <t>CSCALA_1248$VR00_V03</t>
  </si>
  <si>
    <t>CSCALA_1872$195_GCQ</t>
  </si>
  <si>
    <t>RDC0000993 Others</t>
  </si>
  <si>
    <t>H000001088</t>
  </si>
  <si>
    <t>H000001086</t>
  </si>
  <si>
    <t>H000000923</t>
  </si>
  <si>
    <t>FR8026215</t>
  </si>
  <si>
    <t>CSCALA_1248$A351</t>
  </si>
  <si>
    <t>CSCALA_1248$A351_L05</t>
  </si>
  <si>
    <t>CSCALA_1248$A351_L12</t>
  </si>
  <si>
    <t>CSCALA_1248$A351_L33</t>
  </si>
  <si>
    <t>CSCALA_1248$A351_L34</t>
  </si>
  <si>
    <t>FR8031573</t>
  </si>
  <si>
    <t>CFLTFLE_10548-151-RA REGULATORY AFFAIRS</t>
  </si>
  <si>
    <t>H000000719</t>
  </si>
  <si>
    <t>H000000725</t>
  </si>
  <si>
    <t>FR8032594</t>
  </si>
  <si>
    <t>CSCALA_1022$ITS_T02</t>
  </si>
  <si>
    <t>FR8035473</t>
  </si>
  <si>
    <t>CSCALA_1820$Q319_AQ2</t>
  </si>
  <si>
    <t>CSCALA_1025$25DS_B01</t>
  </si>
  <si>
    <t>CSCALA_1025$25RA_B05</t>
  </si>
  <si>
    <t>CSCALA_1042$MSRG_P19</t>
  </si>
  <si>
    <t>CSCALA_1042$MSRG_P48</t>
  </si>
  <si>
    <t>CSCALA_1248$A353_L33</t>
  </si>
  <si>
    <t>CSCALA_1248$A353_L12</t>
  </si>
  <si>
    <t>CSCALA_1248$A353_L05</t>
  </si>
  <si>
    <t>CSCALA_1248$A353_L34</t>
  </si>
  <si>
    <t>CSCALA_1248$A353 LPSO GPS</t>
  </si>
  <si>
    <t>H000001085</t>
  </si>
  <si>
    <t>H000001074</t>
  </si>
  <si>
    <t>H000000723</t>
  </si>
  <si>
    <t>H000000802</t>
  </si>
  <si>
    <t>H000000726</t>
  </si>
  <si>
    <t>FR8035432</t>
  </si>
  <si>
    <t>DFLTPGCOH_000000</t>
  </si>
  <si>
    <t>FR8039212</t>
  </si>
  <si>
    <t>FR8041482</t>
  </si>
  <si>
    <t xml:space="preserve">CPHOENX_01010000648924 </t>
  </si>
  <si>
    <t>CNOW_7210$$$0000008099</t>
  </si>
  <si>
    <t>CNOW_7210$$$0000010313</t>
  </si>
  <si>
    <t>CNOW_7210$$$0000015417</t>
  </si>
  <si>
    <t>CNOW_7210$$$0000057267</t>
  </si>
  <si>
    <t>CNOW_7210$$$0000020734</t>
  </si>
  <si>
    <t>CNOW_7210$$$0000020735</t>
  </si>
  <si>
    <t>CNOW_7210$$$0000040066</t>
  </si>
  <si>
    <t>CNOW_7210$$$0000020741</t>
  </si>
  <si>
    <t>CNOW_7210$$$0000020736</t>
  </si>
  <si>
    <t>CNOW_7210$$$0000020737</t>
  </si>
  <si>
    <t>CNOW_7210$$$0000020738</t>
  </si>
  <si>
    <t>CNOW_7210$$$0000020739</t>
  </si>
  <si>
    <t>CNOW_7210$$$0000025508</t>
  </si>
  <si>
    <t>CNOW_7210$$$0000057566</t>
  </si>
  <si>
    <t>CNOW_7210$$$0000269903</t>
  </si>
  <si>
    <t>CNOW_7210$$$0000009003</t>
  </si>
  <si>
    <t>CNOW_7210$$$0000025537</t>
  </si>
  <si>
    <t>CNOW_7210$$$0000020428</t>
  </si>
  <si>
    <t>CNOW_7210$$$0000020429</t>
  </si>
  <si>
    <t>CNOW_7210$$$0000040593</t>
  </si>
  <si>
    <t>CNOW_7210$$$0000020750</t>
  </si>
  <si>
    <t>CNOW_7210$$$0000497199</t>
  </si>
  <si>
    <t>CNOW_7210$$$0000008063</t>
  </si>
  <si>
    <t>CNOW_7210$$$0000008064</t>
  </si>
  <si>
    <t xml:space="preserve">D30012000000000 </t>
  </si>
  <si>
    <t>L000009635</t>
  </si>
  <si>
    <t>L000005341</t>
  </si>
  <si>
    <t>L000007080</t>
  </si>
  <si>
    <t>L000013317</t>
  </si>
  <si>
    <t>L000013227</t>
  </si>
  <si>
    <t>L000011186</t>
  </si>
  <si>
    <t>L000011185</t>
  </si>
  <si>
    <t>L000009119</t>
  </si>
  <si>
    <t>L000005269</t>
  </si>
  <si>
    <t>L000011184</t>
  </si>
  <si>
    <t>L000011188</t>
  </si>
  <si>
    <t>RDC0000095</t>
  </si>
  <si>
    <t>FR8025258</t>
  </si>
  <si>
    <t>CEMERAL_70006101LSCORE LS China Core and Capabilities</t>
  </si>
  <si>
    <t>CLFF_1000$$$DE10Z0319A LS Project Eagle</t>
  </si>
  <si>
    <t>CORAERP_MMOR1975.9114 LS Project Eagle</t>
  </si>
  <si>
    <t>CPHOENX_01010000697001 Project Eagle</t>
  </si>
  <si>
    <t>CNOW_7210$$$0000021307 Applied Solutions Mgmt</t>
  </si>
  <si>
    <t>L000013903</t>
  </si>
  <si>
    <t>L000013905</t>
  </si>
  <si>
    <t>L000005321</t>
  </si>
  <si>
    <t>FR8041722</t>
  </si>
  <si>
    <t>DFLTPGCOH_BF-C4_001190</t>
  </si>
  <si>
    <t>DFLTPGCOH_BF-J8_002075</t>
  </si>
  <si>
    <t>DFLTPGCOH_002098</t>
  </si>
  <si>
    <t>DFLTPGCOH_BS-02_002002</t>
  </si>
  <si>
    <t>DFLTPGCOH_BS-02_002047</t>
  </si>
  <si>
    <t>DFLTPGCOH_BF-BA_002097</t>
  </si>
  <si>
    <t>DFLTPGCOH_SDV-LR4_002097</t>
  </si>
  <si>
    <t>DFLTPGCOH_BF-LD_002097</t>
  </si>
  <si>
    <t>DFLTPGCOH_BS-02_002106</t>
  </si>
  <si>
    <t>DFLTPGCOH_BF-LY_002097</t>
  </si>
  <si>
    <t>DFLTPGCOH_BF-LL_002097</t>
  </si>
  <si>
    <t>DFLTPGCOH_002085</t>
  </si>
  <si>
    <t>DFLTPGCOH_002047</t>
  </si>
  <si>
    <t>DFLTPGCOH_002072</t>
  </si>
  <si>
    <t>DFLTPGCOH_002075</t>
  </si>
  <si>
    <t>DFLTPGCOH_002097</t>
  </si>
  <si>
    <t>DFLTPGCOH_002106</t>
  </si>
  <si>
    <t>DFLTPGCOH_002108</t>
  </si>
  <si>
    <t>DFLTPGCOH_002104</t>
  </si>
  <si>
    <t>DFLTPGCOH_MISSING_NODES</t>
  </si>
  <si>
    <t>L000013623</t>
  </si>
  <si>
    <t>L000011321</t>
  </si>
  <si>
    <t>L000005312</t>
  </si>
  <si>
    <t>X</t>
  </si>
  <si>
    <t>STANDARD</t>
  </si>
  <si>
    <t>Standard</t>
  </si>
  <si>
    <t>FR8049358</t>
  </si>
  <si>
    <t>D00134300000000 EUV Rinse G5 – Samsung SF1.4</t>
  </si>
  <si>
    <t>D00134400000000 EUV Rinse G5 – Intel A14</t>
  </si>
  <si>
    <t>D00134000000000 PFAS-free KrF Resist</t>
  </si>
  <si>
    <t>D00134100000000 EUV Rinse G5 – Micron 180s</t>
  </si>
  <si>
    <t>D00133900000000 PFAS-free i-line Resists</t>
  </si>
  <si>
    <t>D00134700000000 FZero Sensitizer tBuDHN</t>
  </si>
  <si>
    <t>D00134200000000 EUV Rinse G5 – SK Hynix D1d</t>
  </si>
  <si>
    <t>H000004863</t>
  </si>
  <si>
    <t>H000004864</t>
  </si>
  <si>
    <t>H000004865</t>
  </si>
  <si>
    <t>CLFF_1000$$$DE04OF1000 R&amp;D Europe GoGlobal Trainee</t>
  </si>
  <si>
    <t>CLFF_1000$$$DE01OF0304 PM-OES Supply Chain 4.0</t>
  </si>
  <si>
    <t>CLFF_1000$$$TW02TPTA14 PM-OES Supply Chain 4.0</t>
  </si>
  <si>
    <t>FR8056007</t>
  </si>
  <si>
    <t>P000000411</t>
  </si>
  <si>
    <t>CFLTFLE_2152IMIPEVOL01</t>
  </si>
  <si>
    <t>CFLTFLE_2152IMIPPCRD01</t>
  </si>
  <si>
    <t>DE04OF1000</t>
  </si>
  <si>
    <t>DE01OF0304</t>
  </si>
  <si>
    <t>TW02TPTA14</t>
  </si>
  <si>
    <t>to be done for 2026 as well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</si>
</sst>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7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78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7" borderId="16" xfId="0" applyFont="1" applyFill="1" applyBorder="1"/>
    <xf numFmtId="14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5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1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003.839486574077" createdVersion="7" refreshedVersion="7" minRefreshableVersion="3" recordCount="5107" xr:uid="{11839AE3-6158-4318-87AD-2C711D0BF451}">
  <cacheSource type="worksheet">
    <worksheetSource name="Proc"/>
  </cacheSource>
  <cacheFields count="19">
    <cacheField name="App" numFmtId="0">
      <sharedItems containsBlank="1" count="1648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s v="FR7989462"/>
        <s v="FR7989325"/>
        <s v="FR7992012"/>
        <s v="FR7992225"/>
        <s v="FR7993071"/>
        <s v="FR7997264"/>
        <s v="FR7996906"/>
        <s v="FR7998841"/>
        <s v="FR8003528"/>
        <s v="FR8006226"/>
        <s v="FR8012274"/>
        <s v="FR8015451"/>
        <s v="FR8017544"/>
        <s v="FR8025328"/>
        <s v="FR8025270"/>
        <s v="FR8022798"/>
        <s v="FR8026215"/>
        <s v="FR8031573"/>
        <s v="FR8032594"/>
        <s v="FR8035473"/>
        <s v="FR8035432"/>
        <s v="FR8039212"/>
        <s v="FR8041482"/>
        <s v="FR8025258"/>
        <s v="FR8041722"/>
        <s v="FR8049358"/>
        <s v="FR8056007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11">
        <s v="MGF"/>
        <s v="HC"/>
        <s v="LS"/>
        <s v="EL"/>
        <s v="LS?"/>
        <s v="???"/>
        <s v="Healthcare" u="1"/>
        <s v="Life Science" u="1"/>
        <s v="Electronics" u="1"/>
        <e v="#N/A" u="1"/>
        <s v="No known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12-13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55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107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55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30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30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30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30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30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30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30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30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30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30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30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26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223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23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23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23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23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23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23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23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23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23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23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23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23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23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23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23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23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23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23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23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23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23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23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23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23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23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23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23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23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23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23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23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23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23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23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23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23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23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23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23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23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222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222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222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222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221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221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221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221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221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220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220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218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218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217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214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214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214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214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214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214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214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214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214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214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214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214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214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214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214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214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214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214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214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214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214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213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213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213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213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213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208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208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208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203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203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203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203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203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203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203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203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203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203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203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203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203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203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203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203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203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203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99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99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99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94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93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93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93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93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93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93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93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93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93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93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93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93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79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79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78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78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78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68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53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53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53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53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53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53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53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53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53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53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53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53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53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53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53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53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53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53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53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53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50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50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50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50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49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49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49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49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49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49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49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49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49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49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49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49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49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49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49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49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49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49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49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49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49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49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49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49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49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49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49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49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49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49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48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48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48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48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48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48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48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48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48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48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48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48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48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48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48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48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48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48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44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44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44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44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44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44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38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38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33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33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28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28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28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28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28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28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28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28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28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28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28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28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28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28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28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28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28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28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28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28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28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28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28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28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28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28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28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28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28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28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28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28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28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28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28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28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28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28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28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28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28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28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28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28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28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28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28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28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28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28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125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125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125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25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26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123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123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0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118"/>
    <s v="Jay-R Lizardo"/>
    <m/>
  </r>
  <r>
    <x v="272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118"/>
    <s v="Jay-R Lizardo"/>
    <m/>
  </r>
  <r>
    <x v="272"/>
    <x v="0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118"/>
    <s v="Jay-R Lizardo"/>
    <m/>
  </r>
  <r>
    <x v="272"/>
    <x v="0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118"/>
    <s v="Jay-R Lizardo"/>
    <m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118"/>
    <s v="Jay-R Lizardo"/>
    <m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118"/>
    <s v="Jay-R Lizardo"/>
    <m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118"/>
    <s v="Jay-R Lizardo"/>
    <m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118"/>
    <s v="Jay-R Lizardo"/>
    <m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118"/>
    <s v="Jay-R Lizardo"/>
    <m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118"/>
    <s v="Jay-R Lizardo"/>
    <m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118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116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116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116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116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116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116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116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116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116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116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116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116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116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116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116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116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116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116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116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116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116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116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116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116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116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16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16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114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114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114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114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114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114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114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114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114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114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113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113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113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112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112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112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112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112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112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111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111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109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108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108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108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107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107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107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105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105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105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105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105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105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105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102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102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102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102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102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102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102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102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102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102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102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102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102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102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102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102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102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102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102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102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102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102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102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102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102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102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102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102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102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101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101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99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99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99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99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99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99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99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99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99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99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97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97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97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97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97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97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97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97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96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96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96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96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96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96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96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96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96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96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96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96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96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96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96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96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96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94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94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93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93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93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93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93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93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93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93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93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93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93"/>
    <s v="Ruby Grace Garcia"/>
    <m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93"/>
    <s v="Jay-R Lizardo"/>
    <m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93"/>
    <s v="Jay-R Lizardo"/>
    <m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93"/>
    <s v="Jay-R Lizardo"/>
    <m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93"/>
    <s v="Jay-R Lizardo"/>
    <m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93"/>
    <s v="Jay-R Lizardo"/>
    <m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93"/>
    <s v="Jay-R Lizardo"/>
    <m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93"/>
    <s v="Jay-R Lizardo"/>
    <m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93"/>
    <s v="Jay-R Lizardo"/>
    <m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93"/>
    <s v="Jay-R Lizardo"/>
    <m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93"/>
    <s v="Jay-R Lizardo"/>
    <m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93"/>
    <s v="Jay-R Lizardo"/>
    <m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93"/>
    <s v="Jay-R Lizardo"/>
    <m/>
  </r>
  <r>
    <x v="315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93"/>
    <s v="Jay-R Lizardo"/>
    <m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93"/>
    <s v="Jay-R Lizardo"/>
    <m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93"/>
    <s v="Jay-R Lizardo"/>
    <m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93"/>
    <s v="Jay-R Lizardo"/>
    <m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93"/>
    <s v="Jay-R Lizardo"/>
    <m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93"/>
    <s v="Jay-R Lizardo"/>
    <m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93"/>
    <s v="Jay-R Lizardo"/>
    <m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93"/>
    <s v="Jay-R Lizardo"/>
    <m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93"/>
    <s v="Jay-R Lizardo"/>
    <m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93"/>
    <s v="Jay-R Lizardo"/>
    <m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93"/>
    <s v="Jay-R Lizardo"/>
    <m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93"/>
    <s v="Jay-R Lizardo"/>
    <m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93"/>
    <s v="Jay-R Lizardo"/>
    <m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93"/>
    <s v="Jay-R Lizardo"/>
    <m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93"/>
    <s v="Jay-R Lizardo"/>
    <m/>
  </r>
  <r>
    <x v="315"/>
    <x v="0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93"/>
    <s v="Jay-R Lizardo"/>
    <m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93"/>
    <s v="Jay-R Lizardo"/>
    <m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93"/>
    <s v="Jay-R Lizardo"/>
    <m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93"/>
    <s v="Jay-R Lizardo"/>
    <m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93"/>
    <s v="Jay-R Lizardo"/>
    <m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93"/>
    <s v="Jay-R Lizardo"/>
    <m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93"/>
    <s v="Jay-R Lizardo"/>
    <m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93"/>
    <s v="Jay-R Lizardo"/>
    <m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93"/>
    <s v="Jay-R Lizardo"/>
    <m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93"/>
    <s v="Jay-R Lizardo"/>
    <m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93"/>
    <s v="Jay-R Lizardo"/>
    <m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93"/>
    <s v="Jay-R Lizardo"/>
    <m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93"/>
    <s v="Jay-R Lizardo"/>
    <m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93"/>
    <s v="Jay-R Lizardo"/>
    <m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93"/>
    <s v="Jay-R Lizardo"/>
    <m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93"/>
    <s v="Jay-R Lizardo"/>
    <m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93"/>
    <s v="Jay-R Lizardo"/>
    <m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93"/>
    <s v="Jay-R Lizardo"/>
    <m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93"/>
    <s v="Jay-R Lizardo"/>
    <m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93"/>
    <s v="Jay-R Lizardo"/>
    <m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93"/>
    <s v="Jay-R Lizardo"/>
    <m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93"/>
    <s v="Jay-R Lizardo"/>
    <m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93"/>
    <s v="Jay-R Lizardo"/>
    <m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93"/>
    <s v="Jay-R Lizardo"/>
    <m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93"/>
    <s v="Jay-R Lizardo"/>
    <m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93"/>
    <s v="Jay-R Lizardo"/>
    <m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93"/>
    <s v="Jay-R Lizardo"/>
    <m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93"/>
    <s v="Jay-R Lizardo"/>
    <m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93"/>
    <s v="Jay-R Lizardo"/>
    <m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93"/>
    <s v="Jay-R Lizardo"/>
    <m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93"/>
    <s v="Jay-R Lizardo"/>
    <m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93"/>
    <s v="Jay-R Lizardo"/>
    <m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93"/>
    <s v="Jay-R Lizardo"/>
    <m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93"/>
    <s v="Jay-R Lizardo"/>
    <m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93"/>
    <s v="Jay-R Lizardo"/>
    <m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93"/>
    <s v="Jay-R Lizardo"/>
    <m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93"/>
    <s v="Jay-R Lizardo"/>
    <m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93"/>
    <s v="Jay-R Lizardo"/>
    <m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93"/>
    <s v="Jay-R Lizardo"/>
    <m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93"/>
    <s v="Jay-R Lizardo"/>
    <m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93"/>
    <s v="Jay-R Lizardo"/>
    <m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93"/>
    <s v="Jay-R Lizardo"/>
    <m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93"/>
    <s v="Jay-R Lizardo"/>
    <m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93"/>
    <s v="Jay-R Lizardo"/>
    <m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93"/>
    <s v="Jay-R Lizardo"/>
    <m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93"/>
    <s v="Jay-R Lizardo"/>
    <m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93"/>
    <s v="Jay-R Lizardo"/>
    <m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93"/>
    <s v="Jay-R Lizardo"/>
    <m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93"/>
    <s v="Jay-R Lizardo"/>
    <m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93"/>
    <s v="Jay-R Lizardo"/>
    <m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93"/>
    <s v="Jay-R Lizardo"/>
    <m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93"/>
    <s v="Jay-R Lizardo"/>
    <m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93"/>
    <s v="Jay-R Lizardo"/>
    <m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93"/>
    <s v="Jay-R Lizardo"/>
    <m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93"/>
    <s v="Jay-R Lizardo"/>
    <m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93"/>
    <s v="Jay-R Lizardo"/>
    <m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93"/>
    <s v="Jay-R Lizardo"/>
    <m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93"/>
    <s v="Jay-R Lizardo"/>
    <m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93"/>
    <s v="Jay-R Lizardo"/>
    <m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93"/>
    <s v="Jay-R Lizardo"/>
    <m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93"/>
    <s v="Jay-R Lizardo"/>
    <m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93"/>
    <s v="Jay-R Lizardo"/>
    <m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93"/>
    <s v="Jay-R Lizardo"/>
    <m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93"/>
    <s v="Jay-R Lizardo"/>
    <m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93"/>
    <s v="Jay-R Lizardo"/>
    <m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93"/>
    <s v="Jay-R Lizardo"/>
    <m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93"/>
    <s v="Jay-R Lizardo"/>
    <m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93"/>
    <s v="Jay-R Lizardo"/>
    <m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93"/>
    <s v="Jay-R Lizardo"/>
    <m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93"/>
    <s v="Jay-R Lizardo"/>
    <m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93"/>
    <s v="Jay-R Lizardo"/>
    <m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93"/>
    <s v="Jay-R Lizardo"/>
    <m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93"/>
    <s v="Jay-R Lizardo"/>
    <m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93"/>
    <s v="Jay-R Lizardo"/>
    <m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93"/>
    <s v="Jay-R Lizardo"/>
    <m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93"/>
    <s v="Jay-R Lizardo"/>
    <m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93"/>
    <s v="Jay-R Lizardo"/>
    <m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93"/>
    <s v="Jay-R Lizardo"/>
    <m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93"/>
    <s v="Jay-R Lizardo"/>
    <m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93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93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93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93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93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93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93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93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93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93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93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93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93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93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90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90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90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90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90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90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90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90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90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90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90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90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90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90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90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90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90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90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90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90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90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90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90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90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90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90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90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90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90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90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90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90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90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90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90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90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90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90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90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90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90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90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90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89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89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88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88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88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88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88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88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88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87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87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87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86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86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86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86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86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86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86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86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86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86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86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86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86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86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86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86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86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86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86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86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86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86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86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86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86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86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86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86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86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86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86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86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86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86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86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86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86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86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85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85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85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85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85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85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85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85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85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85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85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85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85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85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85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85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85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85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85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84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84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84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84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84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84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84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84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84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84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84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84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84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84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84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84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84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84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83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83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83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83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83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83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83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83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83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83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83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83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80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80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80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80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80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80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80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80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80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80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80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80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80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80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80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80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80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80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80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80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80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80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80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80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80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80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80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80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80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79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79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79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79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79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79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79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79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79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79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79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79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79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79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79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79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79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79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79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79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79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79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79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79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79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79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79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79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79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79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79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79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79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79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79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78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78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78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78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78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78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78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78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78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78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78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78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78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78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78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78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78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78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78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78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78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78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78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78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78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78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78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78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78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78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78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78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78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78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78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78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78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78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78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78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78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78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78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78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78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78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78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78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78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78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78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78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78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78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78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78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78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78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78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78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78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78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78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78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78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78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78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78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78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78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78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78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78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78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78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78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78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78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78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78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78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78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78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78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78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78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78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78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78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78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78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78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78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78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78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78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78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78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78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78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78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78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78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78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78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78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78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78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78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78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78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78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78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78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78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78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78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78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78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78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78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78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78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78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78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78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78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78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78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78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78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78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78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78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78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78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78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78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78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78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78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78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78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78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78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78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78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78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78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78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78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78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78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78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78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78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78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78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78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78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78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78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78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78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78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78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78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78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78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78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78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78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78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78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78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78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78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78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76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76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76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76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76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76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76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76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76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76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76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76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76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76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76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76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75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75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75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75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75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75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75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75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75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75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75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75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75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75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75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75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75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75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75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75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75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75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75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75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75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75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75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75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75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75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75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75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75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75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75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75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75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75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75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74"/>
    <s v="Lakshmi Shree"/>
    <m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74"/>
    <s v="Jay-R Lizardo"/>
    <m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74"/>
    <s v="Jay-R Lizardo"/>
    <m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74"/>
    <s v="Jay-R Lizardo"/>
    <m/>
  </r>
  <r>
    <x v="356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74"/>
    <s v="Jay-R Lizardo"/>
    <m/>
  </r>
  <r>
    <x v="356"/>
    <x v="0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74"/>
    <s v="Jay-R Lizardo"/>
    <m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74"/>
    <s v="Jay-R Lizardo"/>
    <m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74"/>
    <s v="Jay-R Lizardo"/>
    <m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74"/>
    <s v="Jay-R Lizardo"/>
    <m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74"/>
    <s v="Jay-R Lizardo"/>
    <m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74"/>
    <s v="Jay-R Lizardo"/>
    <m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74"/>
    <s v="Jay-R Lizardo"/>
    <m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74"/>
    <s v="Jay-R Lizardo"/>
    <m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74"/>
    <s v="Jay-R Lizardo"/>
    <m/>
  </r>
  <r>
    <x v="356"/>
    <x v="0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74"/>
    <s v="Jay-R Lizardo"/>
    <m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74"/>
    <s v="Jay-R Lizardo"/>
    <m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74"/>
    <s v="Jay-R Lizardo"/>
    <m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74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73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73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73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73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73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73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73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73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73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73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73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73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73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73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73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73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73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73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73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73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73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73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73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73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73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73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73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73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73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73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73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73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73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73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73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73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73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73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73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73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73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73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73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73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73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73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73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73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73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73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73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73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73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73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73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73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73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73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73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73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73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73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73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73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73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73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73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73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73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73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73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73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73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73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73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73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73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73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73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73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73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73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73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73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73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73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73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73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73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73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73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73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73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73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73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73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73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73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73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73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73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73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73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73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73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73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73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73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73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73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73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73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73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73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73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69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69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69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69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69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69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69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69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69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69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69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69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68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68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68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68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68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68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68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68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68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68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68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68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68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68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68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68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68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68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68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68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68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68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68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68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68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68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68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68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68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68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68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65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65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65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65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65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65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65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65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65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64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63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63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63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63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63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63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62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62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62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62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62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62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62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62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62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62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62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62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62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62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62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62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62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62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62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62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61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61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61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61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61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61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61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61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61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61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61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61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60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60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60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60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60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60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60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60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60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60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60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60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57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57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57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57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57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57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57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57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57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57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57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57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57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57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57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57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57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57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57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57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57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57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57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57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57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57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57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57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57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57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57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57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57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57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57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57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57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57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57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57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57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57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57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57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57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57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57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57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57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57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56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56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56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56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56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56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56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56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56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56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56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56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56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56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56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56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53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52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52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52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52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52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52"/>
    <s v="Henry Ifurung Jr."/>
    <m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50"/>
    <s v="Jay-R Lizardo"/>
    <m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50"/>
    <s v="Jay-R Lizardo"/>
    <m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50"/>
    <s v="Jay-R Lizardo"/>
    <m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50"/>
    <s v="Jay-R Lizardo"/>
    <m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50"/>
    <s v="Jay-R Lizardo"/>
    <m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50"/>
    <s v="Jay-R Lizardo"/>
    <m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50"/>
    <s v="Jay-R Lizardo"/>
    <m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50"/>
    <s v="Jay-R Lizardo"/>
    <m/>
  </r>
  <r>
    <x v="383"/>
    <x v="0"/>
    <x v="4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50"/>
    <s v="Jay-R Lizardo"/>
    <m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50"/>
    <s v="Jay-R Lizardo"/>
    <m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50"/>
    <s v="Jay-R Lizardo"/>
    <m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50"/>
    <s v="Jay-R Lizardo"/>
    <m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50"/>
    <s v="Jay-R Lizardo"/>
    <m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50"/>
    <s v="Jay-R Lizardo"/>
    <m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50"/>
    <s v="Jay-R Lizardo"/>
    <m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50"/>
    <s v="Jay-R Lizardo"/>
    <m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50"/>
    <s v="Jay-R Lizardo"/>
    <m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50"/>
    <s v="Jay-R Lizardo"/>
    <m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50"/>
    <s v="Jay-R Lizardo"/>
    <m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50"/>
    <s v="Jay-R Lizardo"/>
    <m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50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50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50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50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50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50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50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50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50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50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50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50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50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50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50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50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50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50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50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50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50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50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50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50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50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50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50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48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48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48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48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48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48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48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48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48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48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48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48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48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48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48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48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48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48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48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48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48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48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48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48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48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48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48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48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46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46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46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46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41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41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41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41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41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40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40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40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40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40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40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40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40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40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40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40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40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37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37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37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37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37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37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37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37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37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37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37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37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37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37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37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37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37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37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37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37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37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37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37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37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37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37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37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37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37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36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35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1"/>
    <n v="34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1"/>
    <n v="34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1"/>
    <n v="34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1"/>
    <n v="34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1"/>
    <n v="34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1"/>
    <n v="34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1"/>
    <n v="34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1"/>
    <n v="34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1"/>
    <n v="34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1"/>
    <n v="34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1"/>
    <n v="34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1"/>
    <n v="34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1"/>
    <n v="34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1"/>
    <n v="34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1"/>
    <n v="34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1"/>
    <n v="34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1"/>
    <n v="34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1"/>
    <n v="34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1"/>
    <n v="34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1"/>
    <n v="34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1"/>
    <n v="34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1"/>
    <n v="34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1"/>
    <n v="34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1"/>
    <n v="34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34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34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1"/>
    <n v="34"/>
    <s v="Yulia Glazyrina"/>
    <m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33"/>
    <s v="Jay-R Lizardo"/>
    <m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33"/>
    <s v="Jay-R Lizardo"/>
    <m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33"/>
    <s v="Jay-R Lizardo"/>
    <m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33"/>
    <s v="Jay-R Lizardo"/>
    <m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33"/>
    <s v="Jay-R Lizardo"/>
    <m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33"/>
    <s v="Jay-R Lizardo"/>
    <m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33"/>
    <s v="Jay-R Lizardo"/>
    <m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33"/>
    <s v="Jay-R Lizardo"/>
    <m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33"/>
    <s v="Jay-R Lizardo"/>
    <m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33"/>
    <s v="Jay-R Lizardo"/>
    <m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33"/>
    <s v="Jay-R Lizardo"/>
    <m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33"/>
    <s v="Jay-R Lizardo"/>
    <m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33"/>
    <s v="Jay-R Lizardo"/>
    <m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33"/>
    <s v="Jay-R Lizardo"/>
    <m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33"/>
    <s v="Jay-R Lizardo"/>
    <m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33"/>
    <s v="Jay-R Lizardo"/>
    <m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33"/>
    <s v="Jay-R Lizardo"/>
    <m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33"/>
    <s v="Jay-R Lizardo"/>
    <m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33"/>
    <s v="Jay-R Lizardo"/>
    <m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33"/>
    <s v="Jay-R Lizardo"/>
    <m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33"/>
    <s v="Jay-R Lizardo"/>
    <m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33"/>
    <s v="Jay-R Lizardo"/>
    <m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33"/>
    <s v="Jay-R Lizardo"/>
    <m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33"/>
    <s v="Jay-R Lizardo"/>
    <m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33"/>
    <s v="Jay-R Lizardo"/>
    <m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33"/>
    <s v="Jay-R Lizardo"/>
    <m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33"/>
    <s v="Jay-R Lizardo"/>
    <m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33"/>
    <s v="Jay-R Lizardo"/>
    <m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33"/>
    <s v="Jay-R Lizardo"/>
    <m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33"/>
    <s v="Jay-R Lizardo"/>
    <m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33"/>
    <s v="Jay-R Lizardo"/>
    <m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33"/>
    <s v="Jay-R Lizardo"/>
    <m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33"/>
    <s v="Jay-R Lizardo"/>
    <m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33"/>
    <s v="Jay-R Lizardo"/>
    <m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33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1"/>
    <n v="33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1"/>
    <n v="33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1"/>
    <n v="33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1"/>
    <n v="33"/>
    <s v="Ruby Grace Garcia"/>
    <m/>
  </r>
  <r>
    <x v="407"/>
    <x v="0"/>
    <x v="2"/>
    <s v="ITEMPEU_003200004221 "/>
    <s v="L000011242"/>
    <s v="L000011242"/>
    <s v="Non-LFF"/>
    <s v=""/>
    <m/>
    <b v="1"/>
    <x v="2"/>
    <x v="0"/>
    <d v="2025-10-29T00:00:00"/>
    <m/>
    <m/>
    <x v="1"/>
    <n v="32"/>
    <s v="Ruby Grace Garcia"/>
    <m/>
  </r>
  <r>
    <x v="408"/>
    <x v="1"/>
    <x v="8"/>
    <s v="ITEMPEU_001700006137"/>
    <s v="H000004596"/>
    <m/>
    <s v="Non-LFF"/>
    <s v=""/>
    <m/>
    <b v="0"/>
    <x v="1"/>
    <x v="0"/>
    <d v="2025-10-24T00:00:00"/>
    <m/>
    <m/>
    <x v="1"/>
    <n v="35"/>
    <s v="Anna Glab"/>
    <m/>
  </r>
  <r>
    <x v="408"/>
    <x v="1"/>
    <x v="8"/>
    <s v="ITEMPEU_001700006138"/>
    <s v="H000004597"/>
    <m/>
    <s v="Non-LFF"/>
    <s v=""/>
    <m/>
    <b v="0"/>
    <x v="1"/>
    <x v="0"/>
    <d v="2025-10-24T00:00:00"/>
    <m/>
    <m/>
    <x v="1"/>
    <n v="35"/>
    <s v="Anna Glab"/>
    <m/>
  </r>
  <r>
    <x v="409"/>
    <x v="0"/>
    <x v="2"/>
    <s v="PLEAN_X310801AE5013201 SP CONG/EVENTS-AE-SHARED"/>
    <s v="H000002956"/>
    <s v="H000002956"/>
    <s v="Non-LFF"/>
    <s v=""/>
    <m/>
    <b v="1"/>
    <x v="1"/>
    <x v="0"/>
    <d v="2025-10-31T00:00:00"/>
    <m/>
    <m/>
    <x v="1"/>
    <n v="30"/>
    <s v="Niel Esto"/>
    <m/>
  </r>
  <r>
    <x v="409"/>
    <x v="0"/>
    <x v="2"/>
    <s v="PLEAN_X310801AE5030201 SP-REG-OTHER M&amp;S-ePIL Gulf"/>
    <s v="H000002954"/>
    <s v="H000002954"/>
    <s v="Non-LFF"/>
    <s v=""/>
    <m/>
    <b v="1"/>
    <x v="1"/>
    <x v="0"/>
    <d v="2025-10-31T00:00:00"/>
    <m/>
    <m/>
    <x v="1"/>
    <n v="30"/>
    <s v="Niel Esto"/>
    <m/>
  </r>
  <r>
    <x v="409"/>
    <x v="0"/>
    <x v="2"/>
    <s v="PLEAN_X310801ZA5010501 SP PROM MAT-ZA-NDD"/>
    <s v="H000000325"/>
    <s v="H000000325"/>
    <s v="Non-LFF"/>
    <s v=""/>
    <m/>
    <b v="1"/>
    <x v="1"/>
    <x v="0"/>
    <d v="2025-10-31T00:00:00"/>
    <m/>
    <m/>
    <x v="1"/>
    <n v="30"/>
    <s v="Niel Esto"/>
    <m/>
  </r>
  <r>
    <x v="409"/>
    <x v="0"/>
    <x v="2"/>
    <s v="PLEAN_X310801ZA5015505 SP PROM OTHERS-ZA-SHARED"/>
    <s v="H000000325"/>
    <s v="H000000325"/>
    <s v="Non-LFF"/>
    <s v=""/>
    <m/>
    <b v="1"/>
    <x v="1"/>
    <x v="0"/>
    <d v="2025-10-31T00:00:00"/>
    <m/>
    <m/>
    <x v="1"/>
    <n v="30"/>
    <s v="Niel Esto"/>
    <m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30"/>
    <s v="Niel Esto"/>
    <m/>
  </r>
  <r>
    <x v="409"/>
    <x v="0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1"/>
    <n v="30"/>
    <s v="Niel Esto"/>
    <m/>
  </r>
  <r>
    <x v="409"/>
    <x v="0"/>
    <x v="2"/>
    <s v="PLEAN_X310201AE5015502 SP PROM OTHERS-EA-FERT"/>
    <s v="H000000277"/>
    <s v="H000000277"/>
    <s v="Non-LFF"/>
    <s v=""/>
    <m/>
    <b v="1"/>
    <x v="1"/>
    <x v="0"/>
    <d v="2025-10-31T00:00:00"/>
    <m/>
    <m/>
    <x v="1"/>
    <n v="30"/>
    <s v="Niel Esto"/>
    <m/>
  </r>
  <r>
    <x v="409"/>
    <x v="0"/>
    <x v="2"/>
    <s v="PLEAN_X310201ZA5010501 SP PROM MAT-ZA-FERT"/>
    <s v="H000000325"/>
    <s v="H000000325"/>
    <s v="Non-LFF"/>
    <s v=""/>
    <m/>
    <b v="1"/>
    <x v="1"/>
    <x v="0"/>
    <d v="2025-10-31T00:00:00"/>
    <m/>
    <m/>
    <x v="1"/>
    <n v="30"/>
    <s v="Niel Esto"/>
    <m/>
  </r>
  <r>
    <x v="409"/>
    <x v="0"/>
    <x v="2"/>
    <s v="PLEAN_X310201ZA5013501 SP COZA/EVENTS-ZA-FERT"/>
    <s v="H000000325"/>
    <s v="H000000325"/>
    <s v="Non-LFF"/>
    <s v=""/>
    <m/>
    <b v="1"/>
    <x v="1"/>
    <x v="0"/>
    <d v="2025-10-31T00:00:00"/>
    <m/>
    <m/>
    <x v="1"/>
    <n v="30"/>
    <s v="Niel Esto"/>
    <m/>
  </r>
  <r>
    <x v="409"/>
    <x v="0"/>
    <x v="2"/>
    <s v="PLEAN_X310301ZA5010501 SP PROM MAT-ZA-DIAB"/>
    <s v="H000000325"/>
    <s v="H000000325"/>
    <s v="Non-LFF"/>
    <s v=""/>
    <m/>
    <b v="1"/>
    <x v="1"/>
    <x v="0"/>
    <d v="2025-10-31T00:00:00"/>
    <m/>
    <m/>
    <x v="1"/>
    <n v="30"/>
    <s v="Niel Esto"/>
    <m/>
  </r>
  <r>
    <x v="409"/>
    <x v="0"/>
    <x v="2"/>
    <s v="PLEAN_X310301ZA5013502 SP COZA/EVENTS-ZA-DIAB"/>
    <s v="H000000325"/>
    <s v="H000000325"/>
    <s v="Non-LFF"/>
    <s v=""/>
    <m/>
    <b v="1"/>
    <x v="1"/>
    <x v="0"/>
    <d v="2025-10-31T00:00:00"/>
    <m/>
    <m/>
    <x v="1"/>
    <n v="30"/>
    <s v="Niel Esto"/>
    <m/>
  </r>
  <r>
    <x v="409"/>
    <x v="0"/>
    <x v="2"/>
    <s v="PLEAN_X310301ZA5015505 SP PROM OTHERS-ZA-DIAB"/>
    <s v="H000000325"/>
    <s v="H000000325"/>
    <s v="Non-LFF"/>
    <s v=""/>
    <m/>
    <b v="1"/>
    <x v="1"/>
    <x v="0"/>
    <d v="2025-10-31T00:00:00"/>
    <m/>
    <m/>
    <x v="1"/>
    <n v="30"/>
    <s v="Niel Esto"/>
    <m/>
  </r>
  <r>
    <x v="409"/>
    <x v="0"/>
    <x v="2"/>
    <s v="PLEAN_X310201ZA5015505 SP PROM OTHERS-ZA-FERT"/>
    <s v="H000000325"/>
    <s v="H000000325"/>
    <s v="Non-LFF"/>
    <s v=""/>
    <m/>
    <b v="1"/>
    <x v="1"/>
    <x v="0"/>
    <d v="2025-10-31T00:00:00"/>
    <m/>
    <m/>
    <x v="1"/>
    <n v="30"/>
    <s v="Niel Esto"/>
    <m/>
  </r>
  <r>
    <x v="409"/>
    <x v="0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1"/>
    <n v="30"/>
    <s v="Niel Esto"/>
    <m/>
  </r>
  <r>
    <x v="409"/>
    <x v="0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1"/>
    <n v="30"/>
    <s v="Niel Esto"/>
    <m/>
  </r>
  <r>
    <x v="409"/>
    <x v="0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1"/>
    <n v="30"/>
    <s v="Niel Esto"/>
    <m/>
  </r>
  <r>
    <x v="409"/>
    <x v="0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1"/>
    <n v="30"/>
    <s v="Niel Esto"/>
    <m/>
  </r>
  <r>
    <x v="409"/>
    <x v="0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1"/>
    <n v="30"/>
    <s v="Niel Esto"/>
    <m/>
  </r>
  <r>
    <x v="409"/>
    <x v="0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1"/>
    <n v="30"/>
    <s v="Niel Esto"/>
    <m/>
  </r>
  <r>
    <x v="409"/>
    <x v="0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1"/>
    <n v="30"/>
    <s v="Niel Esto"/>
    <m/>
  </r>
  <r>
    <x v="409"/>
    <x v="0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1"/>
    <n v="30"/>
    <s v="Niel Esto"/>
    <m/>
  </r>
  <r>
    <x v="410"/>
    <x v="0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1"/>
    <n v="30"/>
    <s v="Rayneil Reas"/>
    <m/>
  </r>
  <r>
    <x v="410"/>
    <x v="0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1"/>
    <n v="30"/>
    <s v="Rayneil Reas"/>
    <m/>
  </r>
  <r>
    <x v="410"/>
    <x v="0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1"/>
    <n v="30"/>
    <s v="Rayneil Reas"/>
    <m/>
  </r>
  <r>
    <x v="410"/>
    <x v="0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1"/>
    <n v="30"/>
    <s v="Rayneil Reas"/>
    <m/>
  </r>
  <r>
    <x v="410"/>
    <x v="0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1"/>
    <n v="30"/>
    <s v="Rayneil Reas"/>
    <m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30"/>
    <s v="Rayneil Reas"/>
    <m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30"/>
    <s v="Rayneil Reas"/>
    <m/>
  </r>
  <r>
    <x v="410"/>
    <x v="0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1"/>
    <n v="30"/>
    <s v="Rayneil Reas"/>
    <m/>
  </r>
  <r>
    <x v="410"/>
    <x v="0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1"/>
    <n v="30"/>
    <s v="Rayneil Reas"/>
    <m/>
  </r>
  <r>
    <x v="410"/>
    <x v="0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1"/>
    <n v="30"/>
    <s v="Rayneil Reas"/>
    <m/>
  </r>
  <r>
    <x v="410"/>
    <x v="0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1"/>
    <n v="30"/>
    <s v="Rayneil Reas"/>
    <m/>
  </r>
  <r>
    <x v="410"/>
    <x v="0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1"/>
    <n v="30"/>
    <s v="Rayneil Reas"/>
    <m/>
  </r>
  <r>
    <x v="410"/>
    <x v="0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1"/>
    <n v="30"/>
    <s v="Rayneil Reas"/>
    <m/>
  </r>
  <r>
    <x v="410"/>
    <x v="0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1"/>
    <n v="30"/>
    <s v="Rayneil Reas"/>
    <m/>
  </r>
  <r>
    <x v="410"/>
    <x v="0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1"/>
    <n v="30"/>
    <s v="Rayneil Reas"/>
    <m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30"/>
    <s v="Rayneil Reas"/>
    <m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30"/>
    <s v="Rayneil Reas"/>
    <m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30"/>
    <s v="Rayneil Reas"/>
    <m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30"/>
    <s v="Rayneil Reas"/>
    <m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30"/>
    <s v="Rayneil Reas"/>
    <m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30"/>
    <s v="Rayneil Reas"/>
    <m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30"/>
    <s v="Rayneil Reas"/>
    <m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30"/>
    <s v="Rayneil Reas"/>
    <m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30"/>
    <s v="Rayneil Reas"/>
    <m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30"/>
    <s v="Rayneil Reas"/>
    <m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30"/>
    <s v="Rayneil Reas"/>
    <m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30"/>
    <s v="Rayneil Reas"/>
    <m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30"/>
    <s v="Rayneil Reas"/>
    <m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30"/>
    <s v="Rayneil Reas"/>
    <m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30"/>
    <s v="Rayneil Reas"/>
    <m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30"/>
    <s v="Rayneil Reas"/>
    <m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30"/>
    <s v="Rayneil Reas"/>
    <m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30"/>
    <s v="Rayneil Reas"/>
    <m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30"/>
    <s v="Rayneil Reas"/>
    <m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30"/>
    <s v="Rayneil Reas"/>
    <m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30"/>
    <s v="Rayneil Reas"/>
    <m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30"/>
    <s v="Rayneil Reas"/>
    <m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30"/>
    <s v="Rayneil Reas"/>
    <m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30"/>
    <s v="Rayneil Reas"/>
    <m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30"/>
    <s v="Rayneil Reas"/>
    <m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30"/>
    <s v="Rayneil Reas"/>
    <m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30"/>
    <s v="Rayneil Reas"/>
    <m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30"/>
    <s v="Rayneil Reas"/>
    <m/>
  </r>
  <r>
    <x v="410"/>
    <x v="0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1"/>
    <n v="30"/>
    <s v="Rayneil Reas"/>
    <m/>
  </r>
  <r>
    <x v="410"/>
    <x v="0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1"/>
    <n v="30"/>
    <s v="Rayneil Reas"/>
    <m/>
  </r>
  <r>
    <x v="410"/>
    <x v="0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1"/>
    <n v="30"/>
    <s v="Rayneil Reas"/>
    <m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30"/>
    <s v="Jojeff Tagnong"/>
    <m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30"/>
    <s v="Jojeff Tagnong"/>
    <m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30"/>
    <s v="Jojeff Tagnong"/>
    <m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30"/>
    <s v="Jojeff Tagnong"/>
    <m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30"/>
    <s v="Jojeff Tagnong"/>
    <m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30"/>
    <s v="Jojeff Tagnong"/>
    <m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30"/>
    <s v="Jojeff Tagnong"/>
    <m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30"/>
    <s v="Jojeff Tagnong"/>
    <m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30"/>
    <s v="Jojeff Tagnong"/>
    <m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30"/>
    <s v="Jojeff Tagnong"/>
    <m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30"/>
    <s v="Jojeff Tagnong"/>
    <m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30"/>
    <s v="Jojeff Tagnong"/>
    <m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30"/>
    <s v="Jojeff Tagnong"/>
    <m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30"/>
    <s v="Jojeff Tagnong"/>
    <m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30"/>
    <s v="Jojeff Tagnong"/>
    <m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30"/>
    <s v="Jojeff Tagnong"/>
    <m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30"/>
    <s v="Jojeff Tagnong"/>
    <m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30"/>
    <s v="Jojeff Tagnong"/>
    <m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30"/>
    <s v="Jojeff Tagnong"/>
    <m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30"/>
    <s v="Jojeff Tagnong"/>
    <m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30"/>
    <s v="Jojeff Tagnong"/>
    <m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30"/>
    <s v="Jojeff Tagnong"/>
    <m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30"/>
    <s v="Jojeff Tagnong"/>
    <m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30"/>
    <s v="Jojeff Tagnong"/>
    <m/>
  </r>
  <r>
    <x v="411"/>
    <x v="0"/>
    <x v="2"/>
    <s v="CLFF_1000$$$CH01GFO000 FO-CFO"/>
    <s v="G000000631"/>
    <s v="G000000631"/>
    <s v="LFF (MDG-F)"/>
    <s v="CH01GFO000"/>
    <m/>
    <b v="1"/>
    <x v="0"/>
    <x v="0"/>
    <d v="2025-10-31T00:00:00"/>
    <m/>
    <m/>
    <x v="1"/>
    <n v="30"/>
    <s v="Jojeff Tagnong"/>
    <m/>
  </r>
  <r>
    <x v="411"/>
    <x v="0"/>
    <x v="2"/>
    <s v="CLFF_1000$$$CH65GM2200 Finance Reporting,Compliance&amp;Controlling"/>
    <s v="G000000631"/>
    <s v="G000000631"/>
    <s v="LFF (MDG-F)"/>
    <s v="CH65GM2200"/>
    <m/>
    <b v="1"/>
    <x v="0"/>
    <x v="0"/>
    <d v="2025-10-31T00:00:00"/>
    <m/>
    <m/>
    <x v="1"/>
    <n v="30"/>
    <s v="Jojeff Tagnong"/>
    <m/>
  </r>
  <r>
    <x v="412"/>
    <x v="0"/>
    <x v="2"/>
    <s v="CITR_1000$$$1022APPL"/>
    <s v="G000000256"/>
    <s v="G000000256"/>
    <s v="Non-LFF"/>
    <s v=""/>
    <m/>
    <b v="1"/>
    <x v="0"/>
    <x v="0"/>
    <d v="2025-11-04T00:00:00"/>
    <m/>
    <m/>
    <x v="1"/>
    <n v="28"/>
    <s v="Jay-R Lizardo"/>
    <m/>
  </r>
  <r>
    <x v="412"/>
    <x v="0"/>
    <x v="8"/>
    <s v="CLFF_1000$$$DE65GIT032"/>
    <s v="G000000256"/>
    <s v="DFLTPGCOH_BF-C2_001242"/>
    <s v="LFF (MDG-F)"/>
    <s v="DE65GIT032"/>
    <s v="Won't be mapped til there are actuals"/>
    <b v="0"/>
    <x v="0"/>
    <x v="0"/>
    <d v="2025-11-04T00:00:00"/>
    <m/>
    <m/>
    <x v="1"/>
    <n v="28"/>
    <s v="Jay-R Lizardo"/>
    <m/>
  </r>
  <r>
    <x v="412"/>
    <x v="0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28"/>
    <s v="Jay-R Lizardo"/>
    <m/>
  </r>
  <r>
    <x v="412"/>
    <x v="0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28"/>
    <s v="Jay-R Lizardo"/>
    <m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28"/>
    <s v="John Rowie Del Rosario"/>
    <m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28"/>
    <s v="John Rowie Del Rosario"/>
    <m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28"/>
    <s v="John Rowie Del Rosario"/>
    <m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28"/>
    <s v="John Rowie Del Rosario"/>
    <m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28"/>
    <s v="John Rowie Del Rosario"/>
    <m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28"/>
    <s v="John Rowie Del Rosario"/>
    <m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28"/>
    <s v="John Rowie Del Rosario"/>
    <m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28"/>
    <s v="John Rowie Del Rosario"/>
    <m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28"/>
    <s v="John Rowie Del Rosario"/>
    <m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28"/>
    <s v="John Rowie Del Rosario"/>
    <m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28"/>
    <s v="John Rowie Del Rosario"/>
    <m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28"/>
    <s v="John Rowie Del Rosario"/>
    <m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28"/>
    <s v="John Rowie Del Rosario"/>
    <m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28"/>
    <s v="John Rowie Del Rosario"/>
    <m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28"/>
    <s v="John Rowie Del Rosario"/>
    <m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28"/>
    <s v="John Rowie Del Rosario"/>
    <m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28"/>
    <s v="John Rowie Del Rosario"/>
    <m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28"/>
    <s v="John Rowie Del Rosario"/>
    <m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28"/>
    <s v="John Rowie Del Rosario"/>
    <m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28"/>
    <s v="John Rowie Del Rosario"/>
    <m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28"/>
    <s v="John Rowie Del Rosario"/>
    <m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28"/>
    <s v="John Rowie Del Rosario"/>
    <m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28"/>
    <s v="John Rowie Del Rosario"/>
    <m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28"/>
    <s v="John Rowie Del Rosario"/>
    <m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28"/>
    <s v="John Rowie Del Rosario"/>
    <m/>
  </r>
  <r>
    <x v="41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27"/>
    <s v="Rayneil Reas"/>
    <m/>
  </r>
  <r>
    <x v="415"/>
    <x v="0"/>
    <x v="2"/>
    <s v="CSCALA_1022$SQR "/>
    <s v="G000001272"/>
    <s v="G000001272"/>
    <s v="Non-LFF"/>
    <s v=""/>
    <m/>
    <b v="1"/>
    <x v="0"/>
    <x v="0"/>
    <d v="2025-11-07T00:00:00"/>
    <m/>
    <m/>
    <x v="1"/>
    <n v="25"/>
    <s v="Jojeff Tagnong"/>
    <m/>
  </r>
  <r>
    <x v="416"/>
    <x v="0"/>
    <x v="2"/>
    <s v="CSCALA_1022$ITR"/>
    <s v="G000001238"/>
    <s v="G000001238"/>
    <s v="Non-LFF"/>
    <s v=""/>
    <m/>
    <b v="1"/>
    <x v="0"/>
    <x v="0"/>
    <d v="2025-11-07T00:00:00"/>
    <m/>
    <m/>
    <x v="1"/>
    <n v="25"/>
    <s v="Jay-R Lizardo"/>
    <m/>
  </r>
  <r>
    <x v="417"/>
    <x v="0"/>
    <x v="2"/>
    <s v="CTEMPEU_1000GB10005256 SRO Costs"/>
    <s v="H000000947"/>
    <s v="H000000947"/>
    <s v="Non-LFF"/>
    <s v=""/>
    <m/>
    <b v="1"/>
    <x v="1"/>
    <x v="0"/>
    <d v="2025-11-07T00:00:00"/>
    <m/>
    <m/>
    <x v="1"/>
    <n v="25"/>
    <s v="Henry Ifurung Jr."/>
    <m/>
  </r>
  <r>
    <x v="418"/>
    <x v="0"/>
    <x v="2"/>
    <s v="CLFF_1000$$$DE07Z02182 Prem./Contrib./Fees M&amp;S"/>
    <s v="P000001335"/>
    <s v="P000001335"/>
    <s v="LFF (MDG-F)"/>
    <s v="DE07Z02182"/>
    <s v="P000001335"/>
    <b v="1"/>
    <x v="3"/>
    <x v="0"/>
    <d v="2025-11-12T00:00:00"/>
    <m/>
    <m/>
    <x v="1"/>
    <n v="22"/>
    <s v="John Rowie Del Rosario"/>
    <m/>
  </r>
  <r>
    <x v="418"/>
    <x v="0"/>
    <x v="2"/>
    <s v="CLFF_1000$$$HK01Z02181 XX_Prem/con/fees CoS"/>
    <s v="P000001335"/>
    <s v="P000001335"/>
    <s v="LFF (MDG-F)"/>
    <s v="HK01Z02181"/>
    <s v="P000001335"/>
    <b v="1"/>
    <x v="3"/>
    <x v="0"/>
    <d v="2025-11-12T00:00:00"/>
    <m/>
    <m/>
    <x v="1"/>
    <n v="22"/>
    <s v="John Rowie Del Rosario"/>
    <m/>
  </r>
  <r>
    <x v="418"/>
    <x v="0"/>
    <x v="2"/>
    <s v="CLFF_1000$$$HK01Z02182 XX_Prem/con/fees M&amp;S"/>
    <s v="P000001335"/>
    <s v="P000001335"/>
    <s v="LFF (MDG-F)"/>
    <s v="HK01Z02182"/>
    <s v="P000001335"/>
    <b v="1"/>
    <x v="3"/>
    <x v="0"/>
    <d v="2025-11-12T00:00:00"/>
    <m/>
    <m/>
    <x v="1"/>
    <n v="22"/>
    <s v="John Rowie Del Rosario"/>
    <m/>
  </r>
  <r>
    <x v="418"/>
    <x v="0"/>
    <x v="2"/>
    <s v="CLFF_1000$$$HK01Z02183 XX_Prem/con/fees Admin"/>
    <s v="P000001335"/>
    <s v="P000001335"/>
    <s v="LFF (MDG-F)"/>
    <s v="HK01Z02183"/>
    <s v="P000001335"/>
    <b v="1"/>
    <x v="3"/>
    <x v="0"/>
    <d v="2025-11-12T00:00:00"/>
    <m/>
    <m/>
    <x v="1"/>
    <n v="22"/>
    <s v="John Rowie Del Rosario"/>
    <m/>
  </r>
  <r>
    <x v="418"/>
    <x v="0"/>
    <x v="2"/>
    <s v="CLFF_1000$$$HK01Z02184 XX_Prem/con/fees R&amp;D"/>
    <s v="P000001335"/>
    <s v="P000001335"/>
    <s v="LFF (MDG-F)"/>
    <s v="HK01Z02184"/>
    <s v="P000001335"/>
    <b v="1"/>
    <x v="3"/>
    <x v="0"/>
    <d v="2025-11-12T00:00:00"/>
    <m/>
    <m/>
    <x v="1"/>
    <n v="22"/>
    <s v="John Rowie Del Rosario"/>
    <m/>
  </r>
  <r>
    <x v="418"/>
    <x v="0"/>
    <x v="2"/>
    <s v="CLFF_1000$$$HK01Z02185 XX_Prem/con/fees Oth"/>
    <s v="P000001335"/>
    <s v="P000001335"/>
    <s v="LFF (MDG-F)"/>
    <s v="HK01Z02185"/>
    <s v="P000001335"/>
    <b v="1"/>
    <x v="3"/>
    <x v="0"/>
    <d v="2025-11-12T00:00:00"/>
    <m/>
    <m/>
    <x v="1"/>
    <n v="22"/>
    <s v="John Rowie Del Rosario"/>
    <m/>
  </r>
  <r>
    <x v="418"/>
    <x v="0"/>
    <x v="2"/>
    <s v="CLFF_1000$$$IN01Z02181 XX_Prem/con/fees CoS"/>
    <s v="P000001335"/>
    <s v="P000001335"/>
    <s v="LFF (MDG-F)"/>
    <s v="IN01Z02181"/>
    <s v="P000001335"/>
    <b v="1"/>
    <x v="3"/>
    <x v="0"/>
    <d v="2025-11-12T00:00:00"/>
    <m/>
    <m/>
    <x v="1"/>
    <n v="22"/>
    <s v="John Rowie Del Rosario"/>
    <m/>
  </r>
  <r>
    <x v="418"/>
    <x v="0"/>
    <x v="2"/>
    <s v="CLFF_1000$$$IN01Z02182 XX_Prem/con/fees M&amp;S"/>
    <s v="P000001335"/>
    <s v="P000001335"/>
    <s v="LFF (MDG-F)"/>
    <s v="IN01Z02182"/>
    <s v="P000001335"/>
    <b v="1"/>
    <x v="3"/>
    <x v="0"/>
    <d v="2025-11-12T00:00:00"/>
    <m/>
    <m/>
    <x v="1"/>
    <n v="22"/>
    <s v="John Rowie Del Rosario"/>
    <m/>
  </r>
  <r>
    <x v="418"/>
    <x v="0"/>
    <x v="2"/>
    <s v="CLFF_1000$$$IN01Z02183 XX_Prem/con/fees Admin"/>
    <s v="P000001335"/>
    <s v="P000001335"/>
    <s v="LFF (MDG-F)"/>
    <s v="IN01Z02183"/>
    <s v="P000001335"/>
    <b v="1"/>
    <x v="3"/>
    <x v="0"/>
    <d v="2025-11-12T00:00:00"/>
    <m/>
    <m/>
    <x v="1"/>
    <n v="22"/>
    <s v="John Rowie Del Rosario"/>
    <m/>
  </r>
  <r>
    <x v="418"/>
    <x v="0"/>
    <x v="2"/>
    <s v="CLFF_1000$$$IN01Z02184 XX_Prem/con/fees R&amp;D"/>
    <s v="P000001335"/>
    <s v="P000001335"/>
    <s v="LFF (MDG-F)"/>
    <s v="IN01Z02184"/>
    <s v="P000001335"/>
    <b v="1"/>
    <x v="3"/>
    <x v="0"/>
    <d v="2025-11-12T00:00:00"/>
    <m/>
    <m/>
    <x v="1"/>
    <n v="22"/>
    <s v="John Rowie Del Rosario"/>
    <m/>
  </r>
  <r>
    <x v="418"/>
    <x v="0"/>
    <x v="2"/>
    <s v="CLFF_1000$$$JP01Z02181 XX_Prem/con/fees CoS"/>
    <s v="P000001335"/>
    <s v="P000001335"/>
    <s v="LFF (MDG-F)"/>
    <s v="JP01Z02181"/>
    <s v="P000001335"/>
    <b v="1"/>
    <x v="3"/>
    <x v="0"/>
    <d v="2025-11-12T00:00:00"/>
    <m/>
    <m/>
    <x v="1"/>
    <n v="22"/>
    <s v="John Rowie Del Rosario"/>
    <m/>
  </r>
  <r>
    <x v="418"/>
    <x v="0"/>
    <x v="2"/>
    <s v="CLFF_1000$$$JP01Z02184 XX_Prem/con/fees R&amp;D"/>
    <s v="P000001335"/>
    <s v="P000001335"/>
    <s v="LFF (MDG-F)"/>
    <s v="JP01Z02184"/>
    <s v="P000001335"/>
    <b v="1"/>
    <x v="3"/>
    <x v="0"/>
    <d v="2025-11-12T00:00:00"/>
    <m/>
    <m/>
    <x v="1"/>
    <n v="22"/>
    <s v="John Rowie Del Rosario"/>
    <m/>
  </r>
  <r>
    <x v="418"/>
    <x v="0"/>
    <x v="2"/>
    <s v="CLFF_1000$$$JP01Z02185 XX_Prem/con/fees Oth"/>
    <s v="P000001335"/>
    <s v="P000001335"/>
    <s v="LFF (MDG-F)"/>
    <s v="JP01Z02185"/>
    <s v="P000001335"/>
    <b v="1"/>
    <x v="3"/>
    <x v="0"/>
    <d v="2025-11-12T00:00:00"/>
    <m/>
    <m/>
    <x v="1"/>
    <n v="22"/>
    <s v="John Rowie Del Rosario"/>
    <m/>
  </r>
  <r>
    <x v="418"/>
    <x v="0"/>
    <x v="2"/>
    <s v="CLFF_1000$$$JP02Z02181 XX_Prem/con/fees CoS"/>
    <s v="P000001335"/>
    <s v="P000001335"/>
    <s v="LFF (MDG-F)"/>
    <s v="JP02Z02181"/>
    <s v="P000001335"/>
    <b v="1"/>
    <x v="3"/>
    <x v="0"/>
    <d v="2025-11-12T00:00:00"/>
    <m/>
    <m/>
    <x v="1"/>
    <n v="22"/>
    <s v="John Rowie Del Rosario"/>
    <m/>
  </r>
  <r>
    <x v="418"/>
    <x v="0"/>
    <x v="2"/>
    <s v="CLFF_1000$$$JP02Z02182 XX_Prem/con/fees M&amp;S"/>
    <s v="P000001335"/>
    <s v="P000001335"/>
    <s v="LFF (MDG-F)"/>
    <s v="JP02Z02182"/>
    <s v="P000001335"/>
    <b v="1"/>
    <x v="3"/>
    <x v="0"/>
    <d v="2025-11-12T00:00:00"/>
    <m/>
    <m/>
    <x v="1"/>
    <n v="22"/>
    <s v="John Rowie Del Rosario"/>
    <m/>
  </r>
  <r>
    <x v="418"/>
    <x v="0"/>
    <x v="2"/>
    <s v="CLFF_1000$$$JP02Z02183 Prem/con/fees Admin"/>
    <s v="P000001335"/>
    <s v="P000001335"/>
    <s v="LFF (MDG-F)"/>
    <s v="JP02Z02183"/>
    <s v="P000001335"/>
    <b v="1"/>
    <x v="3"/>
    <x v="0"/>
    <d v="2025-11-12T00:00:00"/>
    <m/>
    <m/>
    <x v="1"/>
    <n v="22"/>
    <s v="John Rowie Del Rosario"/>
    <m/>
  </r>
  <r>
    <x v="418"/>
    <x v="0"/>
    <x v="2"/>
    <s v="CLFF_1000$$$JP02Z02184 XX_Prem/con/fees R&amp;D"/>
    <s v="P000001335"/>
    <s v="P000001335"/>
    <s v="LFF (MDG-F)"/>
    <s v="JP02Z02184"/>
    <s v="P000001335"/>
    <b v="1"/>
    <x v="3"/>
    <x v="0"/>
    <d v="2025-11-12T00:00:00"/>
    <m/>
    <m/>
    <x v="1"/>
    <n v="22"/>
    <s v="John Rowie Del Rosario"/>
    <m/>
  </r>
  <r>
    <x v="418"/>
    <x v="0"/>
    <x v="2"/>
    <s v="CLFF_1000$$$JP02Z02185 XX_Prem/con/fees Oth"/>
    <s v="P000001335"/>
    <s v="P000001335"/>
    <s v="LFF (MDG-F)"/>
    <s v="JP02Z02185"/>
    <s v="P000001335"/>
    <b v="1"/>
    <x v="3"/>
    <x v="0"/>
    <d v="2025-11-12T00:00:00"/>
    <m/>
    <m/>
    <x v="1"/>
    <n v="22"/>
    <s v="John Rowie Del Rosario"/>
    <m/>
  </r>
  <r>
    <x v="418"/>
    <x v="0"/>
    <x v="2"/>
    <s v="CLFF_1000$$$KR02Z02181 XX_Prem/con/fees CoS"/>
    <s v="P000001335"/>
    <s v="P000001335"/>
    <s v="LFF (MDG-F)"/>
    <s v="KR02Z02181"/>
    <s v="P000001335"/>
    <b v="1"/>
    <x v="3"/>
    <x v="0"/>
    <d v="2025-11-12T00:00:00"/>
    <m/>
    <m/>
    <x v="1"/>
    <n v="22"/>
    <s v="John Rowie Del Rosario"/>
    <m/>
  </r>
  <r>
    <x v="418"/>
    <x v="0"/>
    <x v="2"/>
    <s v="CLFF_1000$$$KR02Z02182 XX_Prem/con/fees M&amp;S"/>
    <s v="P000001335"/>
    <s v="P000001335"/>
    <s v="LFF (MDG-F)"/>
    <s v="KR02Z02182"/>
    <s v="P000001335"/>
    <b v="1"/>
    <x v="3"/>
    <x v="0"/>
    <d v="2025-11-12T00:00:00"/>
    <m/>
    <m/>
    <x v="1"/>
    <n v="22"/>
    <s v="John Rowie Del Rosario"/>
    <m/>
  </r>
  <r>
    <x v="418"/>
    <x v="0"/>
    <x v="2"/>
    <s v="CLFF_1000$$$KR02Z02183 XX_Prem/con/fees Admin"/>
    <s v="P000001335"/>
    <s v="P000001335"/>
    <s v="LFF (MDG-F)"/>
    <s v="KR02Z02183"/>
    <s v="P000001335"/>
    <b v="1"/>
    <x v="3"/>
    <x v="0"/>
    <d v="2025-11-12T00:00:00"/>
    <m/>
    <m/>
    <x v="1"/>
    <n v="22"/>
    <s v="John Rowie Del Rosario"/>
    <m/>
  </r>
  <r>
    <x v="418"/>
    <x v="0"/>
    <x v="2"/>
    <s v="CLFF_1000$$$KR02Z02184 XX_Prem/con/fees R&amp;D"/>
    <s v="P000001335"/>
    <s v="P000001335"/>
    <s v="LFF (MDG-F)"/>
    <s v="KR02Z02184"/>
    <s v="P000001335"/>
    <b v="1"/>
    <x v="3"/>
    <x v="0"/>
    <d v="2025-11-12T00:00:00"/>
    <m/>
    <m/>
    <x v="1"/>
    <n v="22"/>
    <s v="John Rowie Del Rosario"/>
    <m/>
  </r>
  <r>
    <x v="418"/>
    <x v="0"/>
    <x v="2"/>
    <s v="CLFF_1000$$$SG09Z02181 XX_Prem/con/fees CoS"/>
    <s v="P000001335"/>
    <s v="P000001335"/>
    <s v="LFF (MDG-F)"/>
    <s v="SG09Z02181"/>
    <s v="P000001335"/>
    <b v="1"/>
    <x v="3"/>
    <x v="0"/>
    <d v="2025-11-12T00:00:00"/>
    <m/>
    <m/>
    <x v="1"/>
    <n v="22"/>
    <s v="John Rowie Del Rosario"/>
    <m/>
  </r>
  <r>
    <x v="418"/>
    <x v="0"/>
    <x v="2"/>
    <s v="CLFF_1000$$$SG09Z02182 Prem/con/fees M&amp;S"/>
    <s v="P000001335"/>
    <s v="P000001335"/>
    <s v="LFF (MDG-F)"/>
    <s v="SG09Z02182"/>
    <s v="P000001335"/>
    <b v="1"/>
    <x v="3"/>
    <x v="0"/>
    <d v="2025-11-12T00:00:00"/>
    <m/>
    <m/>
    <x v="1"/>
    <n v="22"/>
    <s v="John Rowie Del Rosario"/>
    <m/>
  </r>
  <r>
    <x v="418"/>
    <x v="0"/>
    <x v="2"/>
    <s v="CLFF_1000$$$SG09Z02183 XX_Prem/con/fees Admin"/>
    <s v="P000001335"/>
    <s v="P000001335"/>
    <s v="LFF (MDG-F)"/>
    <s v="SG09Z02183"/>
    <s v="P000001335"/>
    <b v="1"/>
    <x v="3"/>
    <x v="0"/>
    <d v="2025-11-12T00:00:00"/>
    <m/>
    <m/>
    <x v="1"/>
    <n v="22"/>
    <s v="John Rowie Del Rosario"/>
    <m/>
  </r>
  <r>
    <x v="418"/>
    <x v="0"/>
    <x v="2"/>
    <s v="CLFF_1000$$$SG09Z02184 XX_Prem/con/fees Oth"/>
    <s v="P000001335"/>
    <s v="P000001335"/>
    <s v="LFF (MDG-F)"/>
    <s v="SG09Z02184"/>
    <s v="P000001335"/>
    <b v="1"/>
    <x v="3"/>
    <x v="0"/>
    <d v="2025-11-12T00:00:00"/>
    <m/>
    <m/>
    <x v="1"/>
    <n v="22"/>
    <s v="John Rowie Del Rosario"/>
    <m/>
  </r>
  <r>
    <x v="418"/>
    <x v="0"/>
    <x v="2"/>
    <s v="CLFF_1000$$$TW02Z02183 XX_Prem/con/fees Admin"/>
    <s v="P000001335"/>
    <s v="P000001335"/>
    <s v="LFF (MDG-F)"/>
    <s v="TW02Z02183"/>
    <s v="P000001335"/>
    <b v="1"/>
    <x v="3"/>
    <x v="0"/>
    <d v="2025-11-12T00:00:00"/>
    <m/>
    <m/>
    <x v="1"/>
    <n v="22"/>
    <s v="John Rowie Del Rosario"/>
    <m/>
  </r>
  <r>
    <x v="418"/>
    <x v="0"/>
    <x v="2"/>
    <s v="CLFF_1000$$$TW02Z02184 XX_Prem/con/fees R&amp;D"/>
    <s v="P000001335"/>
    <s v="P000001335"/>
    <s v="LFF (MDG-F)"/>
    <s v="TW02Z02184"/>
    <s v="P000001335"/>
    <b v="1"/>
    <x v="3"/>
    <x v="0"/>
    <d v="2025-11-12T00:00:00"/>
    <m/>
    <m/>
    <x v="1"/>
    <n v="22"/>
    <s v="John Rowie Del Rosario"/>
    <m/>
  </r>
  <r>
    <x v="418"/>
    <x v="0"/>
    <x v="2"/>
    <s v="CLFF_1000$$$TW03Z02184 XX_Prem/con/fees R&amp;D"/>
    <s v="P000001335"/>
    <s v="P000001335"/>
    <s v="LFF (MDG-F)"/>
    <s v="TW03Z02184"/>
    <s v="P000001335"/>
    <b v="1"/>
    <x v="3"/>
    <x v="0"/>
    <d v="2025-11-12T00:00:00"/>
    <m/>
    <m/>
    <x v="1"/>
    <n v="22"/>
    <s v="John Rowie Del Rosario"/>
    <m/>
  </r>
  <r>
    <x v="418"/>
    <x v="0"/>
    <x v="2"/>
    <s v="CLFF_KR00$$$KR03Z02181 XX_Prem/con/fees CoS"/>
    <s v="P000001335"/>
    <s v="P000001335"/>
    <s v="LFF (MDG-F)"/>
    <s v="KR03Z02181"/>
    <s v="P000001335"/>
    <b v="1"/>
    <x v="3"/>
    <x v="0"/>
    <d v="2025-11-12T00:00:00"/>
    <m/>
    <m/>
    <x v="1"/>
    <n v="22"/>
    <s v="John Rowie Del Rosario"/>
    <m/>
  </r>
  <r>
    <x v="418"/>
    <x v="0"/>
    <x v="2"/>
    <s v="CLFF_KR00$$$KR03Z02182 XX_Prem/con/fees M&amp;S"/>
    <s v="P000001335"/>
    <s v="P000001335"/>
    <s v="LFF (MDG-F)"/>
    <s v="KR03Z02182"/>
    <s v="P000001335"/>
    <b v="1"/>
    <x v="3"/>
    <x v="0"/>
    <d v="2025-11-12T00:00:00"/>
    <m/>
    <m/>
    <x v="1"/>
    <n v="22"/>
    <s v="John Rowie Del Rosario"/>
    <m/>
  </r>
  <r>
    <x v="418"/>
    <x v="0"/>
    <x v="2"/>
    <s v="CLFF_KR00$$$KR03Z02183 XX_Prem/con/fees Admin"/>
    <s v="P000001335"/>
    <s v="P000001335"/>
    <s v="LFF (MDG-F)"/>
    <s v="KR03Z02183"/>
    <s v="P000001335"/>
    <b v="1"/>
    <x v="3"/>
    <x v="0"/>
    <d v="2025-11-12T00:00:00"/>
    <m/>
    <m/>
    <x v="1"/>
    <n v="22"/>
    <s v="John Rowie Del Rosario"/>
    <m/>
  </r>
  <r>
    <x v="418"/>
    <x v="0"/>
    <x v="2"/>
    <s v="CLFF_KR00$$$KR03Z02184 XX_Prem/con/fees R&amp;D"/>
    <s v="P000001335"/>
    <s v="P000001335"/>
    <s v="LFF (MDG-F)"/>
    <s v="KR03Z02184"/>
    <s v="P000001335"/>
    <b v="1"/>
    <x v="3"/>
    <x v="0"/>
    <d v="2025-11-12T00:00:00"/>
    <m/>
    <m/>
    <x v="1"/>
    <n v="22"/>
    <s v="John Rowie Del Rosario"/>
    <m/>
  </r>
  <r>
    <x v="418"/>
    <x v="0"/>
    <x v="2"/>
    <s v="CLFF_1000$$$CN01OF0083 PM GoGlobal Trainee"/>
    <s v="P000001336"/>
    <s v="P000001336"/>
    <s v="LFF (MDG-F)"/>
    <s v="CN01OF0083"/>
    <s v="P000001336"/>
    <b v="1"/>
    <x v="3"/>
    <x v="0"/>
    <d v="2025-11-12T00:00:00"/>
    <m/>
    <m/>
    <x v="1"/>
    <n v="22"/>
    <s v="John Rowie Del Rosario"/>
    <m/>
  </r>
  <r>
    <x v="418"/>
    <x v="0"/>
    <x v="2"/>
    <s v="CLFF_1000$$$US01OF0103 GOglobal Trainee PM-USA"/>
    <s v="P000001336"/>
    <s v="P000001336"/>
    <s v="LFF (MDG-F)"/>
    <s v="US01OF0103"/>
    <s v="P000001336"/>
    <b v="1"/>
    <x v="3"/>
    <x v="0"/>
    <d v="2025-11-12T00:00:00"/>
    <m/>
    <m/>
    <x v="1"/>
    <n v="22"/>
    <s v="John Rowie Del Rosario"/>
    <m/>
  </r>
  <r>
    <x v="418"/>
    <x v="0"/>
    <x v="2"/>
    <s v="CLFF_KR00$$$KR03L80000 GoGlobal Korea"/>
    <s v="P000001336"/>
    <s v="P000001336"/>
    <s v="LFF (MDG-F)"/>
    <s v="KR03L80000"/>
    <s v="P000001336"/>
    <b v="1"/>
    <x v="3"/>
    <x v="0"/>
    <d v="2025-11-12T00:00:00"/>
    <m/>
    <m/>
    <x v="1"/>
    <n v="22"/>
    <s v="John Rowie Del Rosario"/>
    <m/>
  </r>
  <r>
    <x v="418"/>
    <x v="0"/>
    <x v="2"/>
    <s v="CLFF_VMCA$$$TW10OF6016 GOglobal Trainee Program"/>
    <s v="P000001336"/>
    <s v="P000001336"/>
    <s v="LFF (MDG-F)"/>
    <s v="TW10OF6016"/>
    <s v="P000001336"/>
    <b v="1"/>
    <x v="3"/>
    <x v="0"/>
    <d v="2025-11-12T00:00:00"/>
    <m/>
    <m/>
    <x v="1"/>
    <n v="22"/>
    <s v="John Rowie Del Rosario"/>
    <m/>
  </r>
  <r>
    <x v="418"/>
    <x v="0"/>
    <x v="2"/>
    <s v="CLFF_VMCA$$$US10OF6070 GOglobal Trainee Program"/>
    <s v="P000001336"/>
    <s v="P000001336"/>
    <s v="LFF (MDG-F)"/>
    <s v="US10OF6070"/>
    <s v="P000001336"/>
    <b v="1"/>
    <x v="3"/>
    <x v="0"/>
    <d v="2025-11-12T00:00:00"/>
    <m/>
    <m/>
    <x v="1"/>
    <n v="22"/>
    <s v="John Rowie Del Rosario"/>
    <m/>
  </r>
  <r>
    <x v="41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22"/>
    <s v="Ruby Grace Garcia"/>
    <m/>
  </r>
  <r>
    <x v="41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22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22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22"/>
    <s v="Ruby Grace Garcia"/>
    <m/>
  </r>
  <r>
    <x v="41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22"/>
    <s v="Ruby Grace Garcia"/>
    <m/>
  </r>
  <r>
    <x v="41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22"/>
    <s v="Ruby Grace Garcia"/>
    <m/>
  </r>
  <r>
    <x v="41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22"/>
    <s v="Ruby Grace Garcia"/>
    <m/>
  </r>
  <r>
    <x v="41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22"/>
    <s v="Ruby Grace Garcia"/>
    <m/>
  </r>
  <r>
    <x v="41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22"/>
    <s v="Ruby Grace Garcia"/>
    <m/>
  </r>
  <r>
    <x v="41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22"/>
    <s v="Ruby Grace Garcia"/>
    <m/>
  </r>
  <r>
    <x v="41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22"/>
    <s v="Ruby Grace Garcia"/>
    <m/>
  </r>
  <r>
    <x v="41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22"/>
    <s v="Ruby Grace Garcia"/>
    <m/>
  </r>
  <r>
    <x v="41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22"/>
    <s v="Ruby Grace Garcia"/>
    <m/>
  </r>
  <r>
    <x v="41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22"/>
    <s v="Ruby Grace Garcia"/>
    <m/>
  </r>
  <r>
    <x v="41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22"/>
    <s v="Ruby Grace Garcia"/>
    <m/>
  </r>
  <r>
    <x v="41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22"/>
    <s v="Ruby Grace Garcia"/>
    <m/>
  </r>
  <r>
    <x v="41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22"/>
    <s v="Ruby Grace Garcia"/>
    <m/>
  </r>
  <r>
    <x v="41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22"/>
    <s v="Ruby Grace Garcia"/>
    <m/>
  </r>
  <r>
    <x v="41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22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22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22"/>
    <s v="Ruby Grace Garcia"/>
    <m/>
  </r>
  <r>
    <x v="420"/>
    <x v="0"/>
    <x v="2"/>
    <s v="PLEAN_X310324CH6815011 Cardio GBF Digital"/>
    <s v="H000002265"/>
    <s v="H000002265"/>
    <s v="Non-LFF"/>
    <s v=""/>
    <m/>
    <b v="1"/>
    <x v="1"/>
    <x v="0"/>
    <d v="2025-11-17T00:00:00"/>
    <m/>
    <m/>
    <x v="1"/>
    <n v="19"/>
    <s v="Estela Belda Menendez"/>
    <m/>
  </r>
  <r>
    <x v="420"/>
    <x v="0"/>
    <x v="2"/>
    <s v="PLEAN_X310304DE5015404 DIA FRA PROM OTH GBF GSI"/>
    <s v="H000002264"/>
    <s v="H000002264"/>
    <s v="Non-LFF"/>
    <s v=""/>
    <m/>
    <b v="1"/>
    <x v="1"/>
    <x v="0"/>
    <d v="2025-11-17T00:00:00"/>
    <m/>
    <m/>
    <x v="1"/>
    <n v="19"/>
    <s v="Estela Belda Menendez"/>
    <m/>
  </r>
  <r>
    <x v="420"/>
    <x v="0"/>
    <x v="2"/>
    <s v="PLEAN_X310324DE5015403 CAR FRA PROM OTH GBF GCD"/>
    <s v="H000002265"/>
    <s v="H000002265"/>
    <s v="Non-LFF"/>
    <s v=""/>
    <m/>
    <b v="1"/>
    <x v="1"/>
    <x v="0"/>
    <d v="2025-11-17T00:00:00"/>
    <m/>
    <m/>
    <x v="1"/>
    <n v="19"/>
    <s v="Estela Belda Menendez"/>
    <m/>
  </r>
  <r>
    <x v="420"/>
    <x v="0"/>
    <x v="2"/>
    <s v="PLEAN_X310324DE5015404 CAR FRA PROM OTH GBF GSI"/>
    <s v="H000002265"/>
    <s v="H000002265"/>
    <s v="Non-LFF"/>
    <s v=""/>
    <m/>
    <b v="1"/>
    <x v="1"/>
    <x v="0"/>
    <d v="2025-11-17T00:00:00"/>
    <m/>
    <m/>
    <x v="1"/>
    <n v="19"/>
    <s v="Estela Belda Menendez"/>
    <m/>
  </r>
  <r>
    <x v="420"/>
    <x v="0"/>
    <x v="2"/>
    <s v="PLEAN_X310334CH6815011 Thyroids GBF Digital"/>
    <s v="H000002266"/>
    <s v="H000002266"/>
    <s v="Non-LFF"/>
    <s v=""/>
    <m/>
    <b v="1"/>
    <x v="1"/>
    <x v="0"/>
    <d v="2025-11-17T00:00:00"/>
    <m/>
    <m/>
    <x v="1"/>
    <n v="19"/>
    <s v="Estela Belda Menendez"/>
    <m/>
  </r>
  <r>
    <x v="420"/>
    <x v="0"/>
    <x v="2"/>
    <s v="PLEAN_X310404CH6815011 Endo GBF Digital"/>
    <s v="H000002267"/>
    <s v="H000002267"/>
    <s v="Non-LFF"/>
    <s v=""/>
    <m/>
    <b v="1"/>
    <x v="1"/>
    <x v="0"/>
    <d v="2025-11-17T00:00:00"/>
    <m/>
    <m/>
    <x v="1"/>
    <n v="19"/>
    <s v="Estela Belda Menendez"/>
    <m/>
  </r>
  <r>
    <x v="420"/>
    <x v="0"/>
    <x v="2"/>
    <s v="ITEMPLA_001520001165 Cardio Summit 2025"/>
    <s v="H000002265"/>
    <s v="H000002265"/>
    <s v="Non-LFF"/>
    <s v=""/>
    <m/>
    <b v="1"/>
    <x v="1"/>
    <x v="0"/>
    <d v="2025-11-17T00:00:00"/>
    <m/>
    <m/>
    <x v="1"/>
    <n v="19"/>
    <s v="Estela Belda Menendez"/>
    <m/>
  </r>
  <r>
    <x v="421"/>
    <x v="0"/>
    <x v="2"/>
    <s v="CNOW_7210$$$0000498035 "/>
    <s v="G000000633"/>
    <s v="G000000633"/>
    <s v="Non-LFF"/>
    <s v=""/>
    <m/>
    <b v="1"/>
    <x v="0"/>
    <x v="0"/>
    <d v="2025-11-17T00:00:00"/>
    <m/>
    <m/>
    <x v="1"/>
    <n v="19"/>
    <s v="Jojeff Tagnong"/>
    <m/>
  </r>
  <r>
    <x v="422"/>
    <x v="0"/>
    <x v="2"/>
    <s v="PLEAN_X310201VN5011200 FD COM Advertising"/>
    <s v="H000001318"/>
    <s v="H000001318"/>
    <s v="Non-LFF"/>
    <s v=""/>
    <s v="check"/>
    <b v="1"/>
    <x v="1"/>
    <x v="0"/>
    <d v="2025-11-17T00:00:00"/>
    <m/>
    <m/>
    <x v="1"/>
    <n v="19"/>
    <s v="Maria Rosario Go"/>
    <m/>
  </r>
  <r>
    <x v="423"/>
    <x v="0"/>
    <x v="2"/>
    <s v="CFLTFLE_1044BPOE BP - Others  ISS"/>
    <s v="H000001115"/>
    <s v="H000001115"/>
    <s v="Non-LFF"/>
    <s v=""/>
    <s v="check"/>
    <b v="1"/>
    <x v="1"/>
    <x v="0"/>
    <d v="2025-11-17T00:00:00"/>
    <m/>
    <m/>
    <x v="1"/>
    <n v="19"/>
    <s v="Carlo Umali"/>
    <m/>
  </r>
  <r>
    <x v="424"/>
    <x v="0"/>
    <x v="2"/>
    <s v="PLEAN_X310301DE6215305 1401_LK_B4_DIA_PROMO OTH"/>
    <s v="H000000417"/>
    <s v="H000000417"/>
    <s v="Non-LFF"/>
    <s v=""/>
    <m/>
    <b v="1"/>
    <x v="1"/>
    <x v="0"/>
    <d v="2025-11-17T00:00:00"/>
    <m/>
    <m/>
    <x v="1"/>
    <n v="19"/>
    <s v="Maria Rosario Go"/>
    <m/>
  </r>
  <r>
    <x v="425"/>
    <x v="0"/>
    <x v="2"/>
    <s v="PLEAN_X310113CN5043301 O59 R&amp;D R&amp;D OTH TGCT Trials or RWS proje"/>
    <s v="H000004393"/>
    <s v="H000004393"/>
    <s v="Non-LFF"/>
    <s v=""/>
    <m/>
    <b v="1"/>
    <x v="1"/>
    <x v="0"/>
    <d v="2025-11-17T00:00:00"/>
    <m/>
    <m/>
    <x v="1"/>
    <n v="19"/>
    <s v="John Poulie Borromeo"/>
    <m/>
  </r>
  <r>
    <x v="425"/>
    <x v="0"/>
    <x v="2"/>
    <s v="PLEAN_X310282CN5020301 PIMI MED MED EDU DSA to HCP: Medical edu"/>
    <s v="H000004392"/>
    <s v="H000004392"/>
    <s v="Non-LFF"/>
    <s v=""/>
    <m/>
    <b v="1"/>
    <x v="1"/>
    <x v="0"/>
    <d v="2025-11-17T00:00:00"/>
    <m/>
    <m/>
    <x v="1"/>
    <n v="19"/>
    <s v="John Poulie Borromeo"/>
    <m/>
  </r>
  <r>
    <x v="425"/>
    <x v="0"/>
    <x v="2"/>
    <s v="PLEAN_X310282CN5020303 PIMI MED MED EDU DSA to HCP: Medical edu"/>
    <s v="H000004392"/>
    <s v="H000004392"/>
    <s v="Non-LFF"/>
    <s v=""/>
    <m/>
    <b v="1"/>
    <x v="1"/>
    <x v="0"/>
    <d v="2025-11-17T00:00:00"/>
    <m/>
    <m/>
    <x v="1"/>
    <n v="19"/>
    <s v="John Poulie Borromeo"/>
    <m/>
  </r>
  <r>
    <x v="425"/>
    <x v="0"/>
    <x v="2"/>
    <s v="PLEAN_X310282CN5020304 PIMI MED MED EDU DSA to HCP: Medical edu"/>
    <s v="H000004392"/>
    <s v="H000004392"/>
    <s v="Non-LFF"/>
    <s v=""/>
    <m/>
    <b v="1"/>
    <x v="1"/>
    <x v="0"/>
    <d v="2025-11-17T00:00:00"/>
    <m/>
    <m/>
    <x v="1"/>
    <n v="19"/>
    <s v="John Poulie Borromeo"/>
    <m/>
  </r>
  <r>
    <x v="425"/>
    <x v="0"/>
    <x v="2"/>
    <s v="PLEAN_X310282CN5023305 PIMI MED MED OTH ESMO Campaign"/>
    <s v="H000004392"/>
    <s v="H000004392"/>
    <s v="Non-LFF"/>
    <s v=""/>
    <m/>
    <b v="1"/>
    <x v="1"/>
    <x v="0"/>
    <d v="2025-11-17T00:00:00"/>
    <m/>
    <m/>
    <x v="1"/>
    <n v="19"/>
    <s v="John Poulie Borromeo"/>
    <m/>
  </r>
  <r>
    <x v="425"/>
    <x v="0"/>
    <x v="2"/>
    <s v="PLEAN_X310282CN5023306 PIMI MED MED OTH ESMO Campaign"/>
    <s v="H000004392"/>
    <s v="H000004392"/>
    <s v="Non-LFF"/>
    <s v=""/>
    <m/>
    <b v="1"/>
    <x v="1"/>
    <x v="0"/>
    <d v="2025-11-17T00:00:00"/>
    <m/>
    <m/>
    <x v="1"/>
    <n v="19"/>
    <s v="John Poulie Borromeo"/>
    <m/>
  </r>
  <r>
    <x v="425"/>
    <x v="0"/>
    <x v="2"/>
    <s v="PLEAN_X310282CN5023309 PIMI MED MED OTH Content development"/>
    <s v="H000004392"/>
    <s v="H000004392"/>
    <s v="Non-LFF"/>
    <s v=""/>
    <m/>
    <b v="1"/>
    <x v="1"/>
    <x v="0"/>
    <d v="2025-11-17T00:00:00"/>
    <m/>
    <m/>
    <x v="1"/>
    <n v="19"/>
    <s v="John Poulie Borromeo"/>
    <m/>
  </r>
  <r>
    <x v="425"/>
    <x v="0"/>
    <x v="2"/>
    <s v="PLEAN_X310431CN5015212 THYB COM PROM OTH Zebra"/>
    <s v="H000001382"/>
    <s v="H000001382"/>
    <s v="Non-LFF"/>
    <s v=""/>
    <m/>
    <b v="1"/>
    <x v="1"/>
    <x v="0"/>
    <d v="2025-11-17T00:00:00"/>
    <m/>
    <m/>
    <x v="1"/>
    <n v="19"/>
    <s v="John Poulie Borromeo"/>
    <m/>
  </r>
  <r>
    <x v="425"/>
    <x v="0"/>
    <x v="2"/>
    <s v="PLEAN_X310432CN5020104 Thy MED CN50 MED EDU Thyrotropin"/>
    <s v="H000001505"/>
    <s v="H000001505"/>
    <s v="Non-LFF"/>
    <s v=""/>
    <m/>
    <b v="1"/>
    <x v="1"/>
    <x v="0"/>
    <d v="2025-11-17T00:00:00"/>
    <m/>
    <m/>
    <x v="1"/>
    <n v="19"/>
    <s v="John Poulie Borromeo"/>
    <m/>
  </r>
  <r>
    <x v="425"/>
    <x v="0"/>
    <x v="2"/>
    <s v="PLEAN_X310111CN5015500 O59 COM PROM OTH Global funding-Pimi"/>
    <s v="H000004390"/>
    <s v="H000004390"/>
    <s v="Non-LFF"/>
    <s v=""/>
    <m/>
    <b v="1"/>
    <x v="1"/>
    <x v="0"/>
    <d v="2025-11-17T00:00:00"/>
    <m/>
    <m/>
    <x v="1"/>
    <n v="19"/>
    <s v="John Poulie Borromeo"/>
    <m/>
  </r>
  <r>
    <x v="425"/>
    <x v="0"/>
    <x v="2"/>
    <s v="PLEAN_X310101CN5013354 ERB COM C&amp;E ONC H&amp;N MOD"/>
    <s v="H000001422"/>
    <s v="H000001422"/>
    <s v="Non-LFF"/>
    <s v=""/>
    <m/>
    <b v="1"/>
    <x v="1"/>
    <x v="0"/>
    <d v="2025-11-17T00:00:00"/>
    <m/>
    <m/>
    <x v="1"/>
    <n v="19"/>
    <s v="John Poulie Borromeo"/>
    <m/>
  </r>
  <r>
    <x v="425"/>
    <x v="0"/>
    <x v="2"/>
    <s v="PLEAN_X310201DE5015018 Project for Cross Charge"/>
    <s v="H000004199"/>
    <s v="H000004199"/>
    <s v="Non-LFF"/>
    <s v=""/>
    <m/>
    <b v="1"/>
    <x v="1"/>
    <x v="0"/>
    <d v="2025-11-17T00:00:00"/>
    <m/>
    <m/>
    <x v="1"/>
    <n v="19"/>
    <s v="John Poulie Borromeo"/>
    <m/>
  </r>
  <r>
    <x v="426"/>
    <x v="0"/>
    <x v="2"/>
    <s v="CTEMPLA_1000BR10200572 [MED] - Med Consultants - Tepmetko"/>
    <s v="H000002595"/>
    <s v="H000002595"/>
    <s v="Non-LFF"/>
    <s v=""/>
    <m/>
    <b v="1"/>
    <x v="1"/>
    <x v="0"/>
    <d v="2025-11-17T00:00:00"/>
    <m/>
    <m/>
    <x v="1"/>
    <n v="19"/>
    <s v="Natasha Hazel Aliado"/>
    <m/>
  </r>
  <r>
    <x v="427"/>
    <x v="0"/>
    <x v="2"/>
    <s v="CTEMPLA_1000PA10PA3E25 Medical non R&amp;D Thyroids"/>
    <s v="H000000369"/>
    <s v="H000000369"/>
    <s v="Non-LFF"/>
    <s v=""/>
    <m/>
    <b v="1"/>
    <x v="1"/>
    <x v="0"/>
    <d v="2025-11-18T00:00:00"/>
    <m/>
    <m/>
    <x v="1"/>
    <n v="18"/>
    <s v="Natasha Hazel Aliado"/>
    <m/>
  </r>
  <r>
    <x v="427"/>
    <x v="0"/>
    <x v="2"/>
    <s v="CTEMPLA_1000PA10PA3B25 Medical non R&amp;D Fertility"/>
    <s v="H000000369"/>
    <s v="H000000369"/>
    <s v="Non-LFF"/>
    <s v=""/>
    <m/>
    <b v="1"/>
    <x v="1"/>
    <x v="0"/>
    <d v="2025-11-18T00:00:00"/>
    <m/>
    <m/>
    <x v="1"/>
    <n v="18"/>
    <s v="Natasha Hazel Aliado"/>
    <m/>
  </r>
  <r>
    <x v="428"/>
    <x v="0"/>
    <x v="2"/>
    <s v="PSCALA_X54 Tepmetko Launch"/>
    <s v="H000000423"/>
    <s v="H000000423"/>
    <s v="Non-LFF"/>
    <s v=""/>
    <m/>
    <b v="1"/>
    <x v="1"/>
    <x v="0"/>
    <d v="2025-11-18T00:00:00"/>
    <m/>
    <m/>
    <x v="1"/>
    <n v="18"/>
    <s v="Carlo Umali"/>
    <m/>
  </r>
  <r>
    <x v="429"/>
    <x v="0"/>
    <x v="2"/>
    <s v="CSCALA_1042$ONPM_O28"/>
    <s v="H000000423"/>
    <s v="H000000423"/>
    <s v="Non-LFF"/>
    <s v=""/>
    <m/>
    <b v="1"/>
    <x v="1"/>
    <x v="0"/>
    <d v="2025-11-18T00:00:00"/>
    <m/>
    <m/>
    <x v="1"/>
    <n v="18"/>
    <s v="Carlo Umali"/>
    <m/>
  </r>
  <r>
    <x v="430"/>
    <x v="0"/>
    <x v="2"/>
    <s v="CSCALA_1042$ONPM_X51"/>
    <s v="H000000423"/>
    <s v="H000000423"/>
    <s v="Non-LFF"/>
    <s v=""/>
    <m/>
    <b v="1"/>
    <x v="1"/>
    <x v="0"/>
    <d v="2025-11-18T00:00:00"/>
    <m/>
    <m/>
    <x v="1"/>
    <n v="18"/>
    <s v="Carlo Umali"/>
    <m/>
  </r>
  <r>
    <x v="431"/>
    <x v="0"/>
    <x v="2"/>
    <s v="CSCALA_1042$ONPM_X54"/>
    <s v="H000000423"/>
    <s v="H000000423"/>
    <s v="Non-LFF"/>
    <s v=""/>
    <m/>
    <b v="1"/>
    <x v="1"/>
    <x v="0"/>
    <d v="2025-11-18T00:00:00"/>
    <m/>
    <m/>
    <x v="1"/>
    <n v="18"/>
    <s v="Carlo Umali"/>
    <m/>
  </r>
  <r>
    <x v="432"/>
    <x v="0"/>
    <x v="2"/>
    <s v="CSCALA_1042$MSMS_E09"/>
    <s v="H000000423"/>
    <s v="H000000423"/>
    <s v="Non-LFF"/>
    <s v=""/>
    <m/>
    <b v="1"/>
    <x v="1"/>
    <x v="0"/>
    <d v="2025-11-18T00:00:00"/>
    <m/>
    <m/>
    <x v="1"/>
    <n v="18"/>
    <s v="Carlo Umali"/>
    <m/>
  </r>
  <r>
    <x v="433"/>
    <x v="0"/>
    <x v="2"/>
    <s v="CSCALA_1042$MSPM_E81"/>
    <s v="H000000423"/>
    <s v="H000000423"/>
    <s v="Non-LFF"/>
    <s v=""/>
    <m/>
    <b v="1"/>
    <x v="1"/>
    <x v="0"/>
    <d v="2025-11-18T00:00:00"/>
    <m/>
    <m/>
    <x v="1"/>
    <n v="18"/>
    <s v="Carlo Umali"/>
    <m/>
  </r>
  <r>
    <x v="434"/>
    <x v="0"/>
    <x v="2"/>
    <s v="CSCALA_1042$MSMS_D19"/>
    <s v="H000000423"/>
    <s v="H000000423"/>
    <s v="Non-LFF"/>
    <s v=""/>
    <m/>
    <b v="1"/>
    <x v="1"/>
    <x v="0"/>
    <d v="2025-11-18T00:00:00"/>
    <m/>
    <m/>
    <x v="1"/>
    <n v="18"/>
    <s v="Carlo Umali"/>
    <m/>
  </r>
  <r>
    <x v="435"/>
    <x v="0"/>
    <x v="2"/>
    <s v="CSCALA_1042$MSMS_O12"/>
    <s v="H000000423"/>
    <s v="H000000423"/>
    <s v="Non-LFF"/>
    <s v=""/>
    <m/>
    <b v="1"/>
    <x v="1"/>
    <x v="0"/>
    <d v="2025-11-18T00:00:00"/>
    <m/>
    <m/>
    <x v="1"/>
    <n v="18"/>
    <s v="Carlo Umali"/>
    <m/>
  </r>
  <r>
    <x v="436"/>
    <x v="0"/>
    <x v="2"/>
    <s v="CSCALA_1042$ONPM_X65"/>
    <s v="H000000423"/>
    <s v="H000000423"/>
    <s v="Non-LFF"/>
    <s v=""/>
    <m/>
    <b v="1"/>
    <x v="1"/>
    <x v="0"/>
    <d v="2025-11-18T00:00:00"/>
    <m/>
    <m/>
    <x v="1"/>
    <n v="18"/>
    <s v="Carlo Umali"/>
    <m/>
  </r>
  <r>
    <x v="437"/>
    <x v="0"/>
    <x v="2"/>
    <s v="CFLTFLE_10548-191A ISS - OTHER"/>
    <s v="H000000429"/>
    <s v="H000000429"/>
    <s v="Non-LFF"/>
    <s v=""/>
    <m/>
    <b v="1"/>
    <x v="1"/>
    <x v="0"/>
    <d v="2025-11-18T00:00:00"/>
    <m/>
    <m/>
    <x v="1"/>
    <n v="18"/>
    <s v="Carlo Umali"/>
    <m/>
  </r>
  <r>
    <x v="438"/>
    <x v="0"/>
    <x v="2"/>
    <s v="PLEAN_X310201VN5011200 FD COM Advertising"/>
    <s v="H000001318"/>
    <s v="H000001318"/>
    <s v="Non-LFF"/>
    <s v=""/>
    <m/>
    <b v="1"/>
    <x v="1"/>
    <x v="0"/>
    <d v="2025-11-18T00:00:00"/>
    <m/>
    <m/>
    <x v="1"/>
    <n v="18"/>
    <s v="Carlo Umali"/>
    <m/>
  </r>
  <r>
    <x v="423"/>
    <x v="0"/>
    <x v="2"/>
    <s v="CFLTFLE_1044BPOE BP - Others  ISS"/>
    <s v="H000001115"/>
    <s v="H000001115"/>
    <s v="Non-LFF"/>
    <s v=""/>
    <m/>
    <b v="1"/>
    <x v="1"/>
    <x v="0"/>
    <d v="2025-11-18T00:00:00"/>
    <m/>
    <m/>
    <x v="1"/>
    <n v="18"/>
    <s v="Carlo Umali"/>
    <m/>
  </r>
  <r>
    <x v="439"/>
    <x v="0"/>
    <x v="2"/>
    <s v="CORAERP_MMOR1945.9032"/>
    <s v="G000001176"/>
    <s v="G000001176"/>
    <s v="Non-LFF"/>
    <s v=""/>
    <m/>
    <b v="1"/>
    <x v="0"/>
    <x v="0"/>
    <d v="2025-11-20T00:00:00"/>
    <m/>
    <m/>
    <x v="1"/>
    <n v="16"/>
    <s v="Jojeff Tagnong"/>
    <m/>
  </r>
  <r>
    <x v="439"/>
    <x v="0"/>
    <x v="2"/>
    <s v="CTEMPEU_1000PL80GFO011"/>
    <s v="G000001263"/>
    <s v="G000001263"/>
    <s v="Non-LFF"/>
    <s v=""/>
    <m/>
    <b v="1"/>
    <x v="0"/>
    <x v="0"/>
    <d v="2025-11-20T00:00:00"/>
    <m/>
    <m/>
    <x v="1"/>
    <n v="16"/>
    <s v="Jojeff Tagnong"/>
    <m/>
  </r>
  <r>
    <x v="439"/>
    <x v="0"/>
    <x v="2"/>
    <s v="CTEMPEU_1000PL80GFO013"/>
    <s v="G000001176"/>
    <s v="G000001176"/>
    <s v="Non-LFF"/>
    <s v=""/>
    <m/>
    <b v="1"/>
    <x v="0"/>
    <x v="0"/>
    <d v="2025-11-20T00:00:00"/>
    <m/>
    <m/>
    <x v="1"/>
    <n v="16"/>
    <s v="Jojeff Tagnong"/>
    <m/>
  </r>
  <r>
    <x v="439"/>
    <x v="0"/>
    <x v="2"/>
    <s v="CTEMPEU_1000PL80GFO015"/>
    <s v="G000001176"/>
    <s v="G000001176"/>
    <s v="Non-LFF"/>
    <s v=""/>
    <m/>
    <b v="1"/>
    <x v="0"/>
    <x v="0"/>
    <d v="2025-11-20T00:00:00"/>
    <m/>
    <m/>
    <x v="1"/>
    <n v="16"/>
    <s v="Jojeff Tagnong"/>
    <m/>
  </r>
  <r>
    <x v="439"/>
    <x v="0"/>
    <x v="2"/>
    <s v="CORAERP_MMOR1945.9115"/>
    <s v="G000001263"/>
    <s v="G000001263"/>
    <s v="Non-LFF"/>
    <s v=""/>
    <m/>
    <b v="1"/>
    <x v="0"/>
    <x v="0"/>
    <d v="2025-11-20T00:00:00"/>
    <m/>
    <m/>
    <x v="1"/>
    <n v="16"/>
    <s v="Jojeff Tagnong"/>
    <m/>
  </r>
  <r>
    <x v="439"/>
    <x v="0"/>
    <x v="2"/>
    <s v="CLFF_1000$$$DE10G69660"/>
    <s v="G000001263"/>
    <s v="G000001263"/>
    <s v="LFF (MDG-F)"/>
    <s v="DE10G69660"/>
    <m/>
    <b v="1"/>
    <x v="0"/>
    <x v="0"/>
    <d v="2025-11-20T00:00:00"/>
    <m/>
    <m/>
    <x v="1"/>
    <n v="16"/>
    <s v="Jojeff Tagnong"/>
    <m/>
  </r>
  <r>
    <x v="439"/>
    <x v="0"/>
    <x v="2"/>
    <s v="CTEMPEU_1000PL80GFO018"/>
    <s v="G000001176"/>
    <s v="G000001176"/>
    <s v="Non-LFF"/>
    <s v=""/>
    <m/>
    <b v="1"/>
    <x v="0"/>
    <x v="0"/>
    <d v="2025-11-20T00:00:00"/>
    <m/>
    <m/>
    <x v="1"/>
    <n v="16"/>
    <s v="Jojeff Tagnong"/>
    <m/>
  </r>
  <r>
    <x v="440"/>
    <x v="0"/>
    <x v="2"/>
    <s v="ITEMPEU_AT40AA0014"/>
    <s v="L000009832"/>
    <s v="L000009832"/>
    <s v="Non-LFF"/>
    <s v=""/>
    <m/>
    <b v="1"/>
    <x v="2"/>
    <x v="0"/>
    <d v="2025-11-22T00:00:00"/>
    <m/>
    <m/>
    <x v="1"/>
    <n v="14"/>
    <s v="Ruby Grace Garcia"/>
    <m/>
  </r>
  <r>
    <x v="440"/>
    <x v="0"/>
    <x v="2"/>
    <s v="CNOW_7210$$$0000015218"/>
    <s v="L000010037"/>
    <s v="L000010037"/>
    <s v="Non-LFF"/>
    <s v=""/>
    <m/>
    <b v="1"/>
    <x v="2"/>
    <x v="0"/>
    <d v="2025-11-22T00:00:00"/>
    <m/>
    <m/>
    <x v="1"/>
    <n v="14"/>
    <s v="Ruby Grace Garcia"/>
    <m/>
  </r>
  <r>
    <x v="440"/>
    <x v="0"/>
    <x v="2"/>
    <s v="CNOW_7210$$$0000015219"/>
    <s v="L000010037"/>
    <s v="L000010037"/>
    <s v="Non-LFF"/>
    <s v=""/>
    <m/>
    <b v="1"/>
    <x v="2"/>
    <x v="0"/>
    <d v="2025-11-22T00:00:00"/>
    <m/>
    <m/>
    <x v="1"/>
    <n v="14"/>
    <s v="Ruby Grace Garcia"/>
    <m/>
  </r>
  <r>
    <x v="440"/>
    <x v="0"/>
    <x v="2"/>
    <s v="CTEMPLA_1000GT10ZZ0Q18"/>
    <s v="L000011585"/>
    <s v="L000011585"/>
    <s v="Non-LFF"/>
    <s v=""/>
    <m/>
    <b v="1"/>
    <x v="2"/>
    <x v="0"/>
    <d v="2025-11-22T00:00:00"/>
    <m/>
    <m/>
    <x v="1"/>
    <n v="14"/>
    <s v="Ruby Grace Garcia"/>
    <m/>
  </r>
  <r>
    <x v="440"/>
    <x v="0"/>
    <x v="2"/>
    <s v="D30013700000000"/>
    <s v="L000011403"/>
    <s v="L000011403"/>
    <s v="Non-LFF"/>
    <s v=""/>
    <m/>
    <b v="1"/>
    <x v="2"/>
    <x v="0"/>
    <d v="2025-11-22T00:00:00"/>
    <m/>
    <m/>
    <x v="1"/>
    <n v="14"/>
    <s v="Ruby Grace Garcia"/>
    <m/>
  </r>
  <r>
    <x v="440"/>
    <x v="0"/>
    <x v="2"/>
    <s v="CORAERP_MMOR1945.6306"/>
    <s v="L000012347"/>
    <s v="L000012347"/>
    <s v="Non-LFF"/>
    <s v=""/>
    <m/>
    <b v="1"/>
    <x v="2"/>
    <x v="0"/>
    <d v="2025-11-22T00:00:00"/>
    <m/>
    <m/>
    <x v="1"/>
    <n v="14"/>
    <s v="Ruby Grace Garcia"/>
    <m/>
  </r>
  <r>
    <x v="441"/>
    <x v="0"/>
    <x v="2"/>
    <s v="CORAERP_MMOR1975.5598 Marketing - Hardware &amp; Systems"/>
    <s v="L000013558"/>
    <s v="L000013558"/>
    <s v="Non-LFF"/>
    <s v=""/>
    <m/>
    <b v="1"/>
    <x v="2"/>
    <x v="0"/>
    <d v="2025-11-22T00:00:00"/>
    <m/>
    <m/>
    <x v="1"/>
    <n v="14"/>
    <s v="Ruby Grace Garcia"/>
    <m/>
  </r>
  <r>
    <x v="441"/>
    <x v="0"/>
    <x v="2"/>
    <s v="CORAERP_MMOR1945.3541 Quality PS Field Service"/>
    <s v="L000013846"/>
    <s v="L000013846"/>
    <s v="Non-LFF"/>
    <s v=""/>
    <m/>
    <b v="1"/>
    <x v="2"/>
    <x v="0"/>
    <d v="2025-11-22T00:00:00"/>
    <m/>
    <m/>
    <x v="1"/>
    <n v="14"/>
    <s v="Ruby Grace Garcia"/>
    <m/>
  </r>
  <r>
    <x v="441"/>
    <x v="0"/>
    <x v="2"/>
    <s v="CORAERP_MMOR1975.5776 US Strategy and Execution DSP"/>
    <s v="L000013859"/>
    <s v="L000013859"/>
    <s v="Non-LFF"/>
    <s v=""/>
    <m/>
    <b v="1"/>
    <x v="2"/>
    <x v="0"/>
    <d v="2025-11-22T00:00:00"/>
    <m/>
    <m/>
    <x v="1"/>
    <n v="14"/>
    <s v="Ruby Grace Garcia"/>
    <m/>
  </r>
  <r>
    <x v="441"/>
    <x v="0"/>
    <x v="2"/>
    <s v="CPHOENX_01010000699404 DE DSP Strategy and Execution"/>
    <s v="L000013859"/>
    <s v="L000013859"/>
    <s v="Non-LFF"/>
    <s v=""/>
    <m/>
    <b v="1"/>
    <x v="2"/>
    <x v="0"/>
    <d v="2025-11-22T00:00:00"/>
    <m/>
    <m/>
    <x v="1"/>
    <n v="14"/>
    <s v="Ruby Grace Garcia"/>
    <m/>
  </r>
  <r>
    <x v="441"/>
    <x v="0"/>
    <x v="2"/>
    <s v="CTEMPEU_1000CH70404040 Strategy and Execution CH DSP"/>
    <s v="L000013859"/>
    <s v="L000013859"/>
    <s v="Non-LFF"/>
    <s v=""/>
    <m/>
    <b v="1"/>
    <x v="2"/>
    <x v="0"/>
    <d v="2025-11-22T00:00:00"/>
    <m/>
    <m/>
    <x v="1"/>
    <n v="14"/>
    <s v="Ruby Grace Garcia"/>
    <m/>
  </r>
  <r>
    <x v="441"/>
    <x v="0"/>
    <x v="2"/>
    <s v="CORAERP_MMOR1945.P3SW BL P3 Systems Hardware - SW"/>
    <s v="L000006552"/>
    <s v="L000006552"/>
    <s v="Non-LFF"/>
    <s v=""/>
    <m/>
    <b v="1"/>
    <x v="2"/>
    <x v="0"/>
    <d v="2025-11-22T00:00:00"/>
    <m/>
    <m/>
    <x v="1"/>
    <n v="14"/>
    <s v="Ruby Grace Garcia"/>
    <m/>
  </r>
  <r>
    <x v="441"/>
    <x v="0"/>
    <x v="2"/>
    <s v="CORAERP_MMOR1975.5074 BioP Upstream Business Line Headcount"/>
    <s v="L000006593"/>
    <s v="L000006593"/>
    <s v="Non-LFF"/>
    <s v=""/>
    <m/>
    <b v="1"/>
    <x v="2"/>
    <x v="0"/>
    <d v="2025-11-22T00:00:00"/>
    <m/>
    <m/>
    <x v="1"/>
    <n v="14"/>
    <s v="Ruby Grace Garcia"/>
    <m/>
  </r>
  <r>
    <x v="441"/>
    <x v="0"/>
    <x v="2"/>
    <s v="CNOW_7210$$$0000015019 PSC - Central EU (GESA)"/>
    <s v="L000013915"/>
    <s v="L000013915"/>
    <s v="Non-LFF"/>
    <s v=""/>
    <m/>
    <b v="1"/>
    <x v="2"/>
    <x v="0"/>
    <d v="2025-11-22T00:00:00"/>
    <m/>
    <m/>
    <x v="1"/>
    <n v="14"/>
    <s v="Ruby Grace Garcia"/>
    <m/>
  </r>
  <r>
    <x v="441"/>
    <x v="0"/>
    <x v="2"/>
    <s v="IPHOENX_000400763813 CCV PFM Other Arevi Thyrosin"/>
    <s v="L000013563"/>
    <s v="L000013563"/>
    <s v="Non-LFF"/>
    <s v=""/>
    <m/>
    <b v="1"/>
    <x v="2"/>
    <x v="0"/>
    <d v="2025-11-22T00:00:00"/>
    <m/>
    <m/>
    <x v="1"/>
    <n v="14"/>
    <s v="Ruby Grace Garcia"/>
    <m/>
  </r>
  <r>
    <x v="441"/>
    <x v="0"/>
    <x v="2"/>
    <s v="CFLTFLE_1106T95000 Marketing"/>
    <s v="L000013845"/>
    <s v="L000013845"/>
    <s v="Non-LFF"/>
    <s v=""/>
    <m/>
    <b v="1"/>
    <x v="2"/>
    <x v="0"/>
    <d v="2025-11-22T00:00:00"/>
    <m/>
    <m/>
    <x v="1"/>
    <n v="14"/>
    <s v="Ruby Grace Garcia"/>
    <m/>
  </r>
  <r>
    <x v="441"/>
    <x v="0"/>
    <x v="2"/>
    <s v="CEMERAL_70006101P13201 PS Market Intelligence China"/>
    <s v="L000013514"/>
    <s v="L000013514"/>
    <s v="Non-LFF"/>
    <s v=""/>
    <m/>
    <b v="1"/>
    <x v="2"/>
    <x v="0"/>
    <d v="2025-11-22T00:00:00"/>
    <m/>
    <m/>
    <x v="1"/>
    <n v="14"/>
    <s v="Ruby Grace Garcia"/>
    <m/>
  </r>
  <r>
    <x v="441"/>
    <x v="0"/>
    <x v="2"/>
    <s v="ITEMPEU_003200001428 CH70 Freight Outbound 3110410000 SH"/>
    <s v="L000009539"/>
    <s v="L000009539"/>
    <s v="Non-LFF"/>
    <s v=""/>
    <m/>
    <b v="1"/>
    <x v="2"/>
    <x v="0"/>
    <d v="2025-11-22T00:00:00"/>
    <m/>
    <m/>
    <x v="1"/>
    <n v="14"/>
    <s v="Ruby Grace Garcia"/>
    <m/>
  </r>
  <r>
    <x v="441"/>
    <x v="0"/>
    <x v="2"/>
    <s v="ITEMPEU_CH70AA0011 Freight Outbound 3110410000"/>
    <s v="L000009407"/>
    <s v="L000009407"/>
    <s v="Non-LFF"/>
    <s v=""/>
    <m/>
    <b v="1"/>
    <x v="2"/>
    <x v="0"/>
    <d v="2025-11-22T00:00:00"/>
    <m/>
    <m/>
    <x v="1"/>
    <n v="14"/>
    <s v="Ruby Grace Garcia"/>
    <m/>
  </r>
  <r>
    <x v="441"/>
    <x v="0"/>
    <x v="2"/>
    <s v="CNOW_7210$$$0000051972 Buchs Outbound Freight"/>
    <s v="L000009413"/>
    <s v="L000009413"/>
    <s v="Non-LFF"/>
    <s v=""/>
    <m/>
    <b v="1"/>
    <x v="2"/>
    <x v="0"/>
    <d v="2025-11-22T00:00:00"/>
    <m/>
    <m/>
    <x v="1"/>
    <n v="14"/>
    <s v="Ruby Grace Garcia"/>
    <m/>
  </r>
  <r>
    <x v="441"/>
    <x v="0"/>
    <x v="2"/>
    <s v="CNOW_7210$$$0000051924 SP General COS Steinheim"/>
    <s v="L000010212"/>
    <s v="L000010212"/>
    <s v="Non-LFF"/>
    <s v=""/>
    <m/>
    <b v="1"/>
    <x v="2"/>
    <x v="0"/>
    <d v="2025-11-22T00:00:00"/>
    <m/>
    <m/>
    <x v="1"/>
    <n v="14"/>
    <s v="Ruby Grace Garcia"/>
    <m/>
  </r>
  <r>
    <x v="441"/>
    <x v="0"/>
    <x v="2"/>
    <s v="CFLTFLE_1106T41000 Sales"/>
    <s v="L000009437"/>
    <s v="L000009437"/>
    <s v="Non-LFF"/>
    <s v=""/>
    <m/>
    <b v="1"/>
    <x v="2"/>
    <x v="0"/>
    <d v="2025-11-22T00:00:00"/>
    <m/>
    <m/>
    <x v="1"/>
    <n v="14"/>
    <s v="Ruby Grace Garcia"/>
    <m/>
  </r>
  <r>
    <x v="441"/>
    <x v="0"/>
    <x v="2"/>
    <s v="CFLTFLE_1106T62100 Logistic"/>
    <s v="L000009437"/>
    <s v="L000009437"/>
    <s v="Non-LFF"/>
    <s v=""/>
    <m/>
    <b v="1"/>
    <x v="2"/>
    <x v="0"/>
    <d v="2025-11-22T00:00:00"/>
    <m/>
    <m/>
    <x v="1"/>
    <n v="14"/>
    <s v="Ruby Grace Garcia"/>
    <m/>
  </r>
  <r>
    <x v="441"/>
    <x v="0"/>
    <x v="2"/>
    <s v="CLFF_7210$$$2125C03326 IL inbound freight"/>
    <s v="L000009657"/>
    <s v="L000009657"/>
    <s v="LFF (MDG-F)"/>
    <s v="2125C03326"/>
    <m/>
    <b v="1"/>
    <x v="2"/>
    <x v="0"/>
    <d v="2025-11-22T00:00:00"/>
    <m/>
    <m/>
    <x v="1"/>
    <n v="14"/>
    <s v="Ruby Grace Garcia"/>
    <m/>
  </r>
  <r>
    <x v="441"/>
    <x v="0"/>
    <x v="2"/>
    <s v="CLFF_7210$$$2022TQAZ93 IE Arklow freight"/>
    <s v="L000009485"/>
    <s v="L000009485"/>
    <s v="LFF (MDG-F)"/>
    <s v="2022TQAZ93"/>
    <m/>
    <b v="1"/>
    <x v="2"/>
    <x v="0"/>
    <d v="2025-11-22T00:00:00"/>
    <m/>
    <m/>
    <x v="1"/>
    <n v="14"/>
    <s v="Ruby Grace Garcia"/>
    <m/>
  </r>
  <r>
    <x v="441"/>
    <x v="0"/>
    <x v="2"/>
    <s v="CORAERP_MMOR1917.4165 Outbound IC Freight UK"/>
    <s v="L000009556"/>
    <s v="L000009556"/>
    <s v="Non-LFF"/>
    <s v=""/>
    <m/>
    <b v="1"/>
    <x v="2"/>
    <x v="0"/>
    <d v="2025-11-22T00:00:00"/>
    <m/>
    <m/>
    <x v="1"/>
    <n v="14"/>
    <s v="Ruby Grace Garcia"/>
    <m/>
  </r>
  <r>
    <x v="441"/>
    <x v="0"/>
    <x v="2"/>
    <s v="CORAERP_MMOR1917.4167 Outbound 3rd Party Freight UK"/>
    <s v="L000009556"/>
    <s v="L000009556"/>
    <s v="Non-LFF"/>
    <s v=""/>
    <m/>
    <b v="1"/>
    <x v="2"/>
    <x v="0"/>
    <d v="2025-11-22T00:00:00"/>
    <m/>
    <m/>
    <x v="1"/>
    <n v="14"/>
    <s v="Ruby Grace Garcia"/>
    <m/>
  </r>
  <r>
    <x v="441"/>
    <x v="0"/>
    <x v="2"/>
    <s v="CLFF_7210$$$1937TQCZ91 EI outbound freight"/>
    <s v="L000010287"/>
    <s v="L000010287"/>
    <s v="LFF (MDG-F)"/>
    <s v="1937TQCZ91"/>
    <m/>
    <b v="1"/>
    <x v="2"/>
    <x v="0"/>
    <d v="2025-11-22T00:00:00"/>
    <m/>
    <m/>
    <x v="1"/>
    <n v="14"/>
    <s v="Ruby Grace Garcia"/>
    <m/>
  </r>
  <r>
    <x v="441"/>
    <x v="0"/>
    <x v="2"/>
    <s v="CNOW_7210$$$0000040056 Distribution Advancement &amp; Systems"/>
    <s v="L000009969"/>
    <s v="L000009969"/>
    <s v="Non-LFF"/>
    <s v=""/>
    <m/>
    <b v="1"/>
    <x v="2"/>
    <x v="0"/>
    <d v="2025-11-22T00:00:00"/>
    <m/>
    <m/>
    <x v="1"/>
    <n v="14"/>
    <s v="Ruby Grace Garcia"/>
    <m/>
  </r>
  <r>
    <x v="441"/>
    <x v="0"/>
    <x v="2"/>
    <s v="CLFF_7210$$$1937TMCZ9J Global Engineering and SME's"/>
    <s v="L000013867"/>
    <s v="L000013867"/>
    <s v="LFF (MDG-F)"/>
    <s v="1937TMCZ9J"/>
    <m/>
    <b v="1"/>
    <x v="2"/>
    <x v="0"/>
    <d v="2025-11-22T00:00:00"/>
    <m/>
    <m/>
    <x v="1"/>
    <n v="14"/>
    <s v="Ruby Grace Garcia"/>
    <m/>
  </r>
  <r>
    <x v="442"/>
    <x v="0"/>
    <x v="2"/>
    <s v="CSCALA_1826$302_ST"/>
    <s v="G000000765"/>
    <s v="G000000765"/>
    <s v="Non-LFF"/>
    <s v=""/>
    <m/>
    <b v="1"/>
    <x v="0"/>
    <x v="0"/>
    <d v="2025-11-24T00:00:00"/>
    <m/>
    <m/>
    <x v="1"/>
    <n v="14"/>
    <s v="Jojeff Tagnong"/>
    <m/>
  </r>
  <r>
    <x v="442"/>
    <x v="0"/>
    <x v="2"/>
    <s v="CSCALA_1826$301_MV"/>
    <s v="G000000152"/>
    <s v="G000000152"/>
    <s v="Non-LFF"/>
    <s v=""/>
    <m/>
    <b v="1"/>
    <x v="0"/>
    <x v="0"/>
    <d v="2025-11-24T00:00:00"/>
    <m/>
    <m/>
    <x v="1"/>
    <n v="14"/>
    <s v="Jojeff Tagnong"/>
    <m/>
  </r>
  <r>
    <x v="442"/>
    <x v="0"/>
    <x v="2"/>
    <s v="CSCALA_1826$350_MV"/>
    <s v="G000000152"/>
    <s v="G000000152"/>
    <s v="Non-LFF"/>
    <s v=""/>
    <m/>
    <b v="1"/>
    <x v="0"/>
    <x v="0"/>
    <d v="2025-11-24T00:00:00"/>
    <m/>
    <m/>
    <x v="1"/>
    <n v="14"/>
    <s v="Jojeff Tagnong"/>
    <m/>
  </r>
  <r>
    <x v="443"/>
    <x v="0"/>
    <x v="2"/>
    <s v="CLFF_1000$$$CN01TPAZ08"/>
    <s v="P000001380"/>
    <s v="P000001380"/>
    <s v="LFF (MDG-F)"/>
    <s v="CN01TPAZ08"/>
    <m/>
    <b v="1"/>
    <x v="3"/>
    <x v="0"/>
    <d v="2025-11-24T00:00:00"/>
    <m/>
    <m/>
    <x v="1"/>
    <n v="14"/>
    <s v="John Rowie Del Rosario"/>
    <m/>
  </r>
  <r>
    <x v="443"/>
    <x v="0"/>
    <x v="2"/>
    <s v="CLFF_1000$$$CN01OF0161"/>
    <s v="P000001380"/>
    <s v="P000001380"/>
    <s v="LFF (MDG-F)"/>
    <s v="CN01OF0161"/>
    <m/>
    <b v="1"/>
    <x v="3"/>
    <x v="0"/>
    <d v="2025-11-24T00:00:00"/>
    <m/>
    <m/>
    <x v="1"/>
    <n v="14"/>
    <s v="John Rowie Del Rosario"/>
    <m/>
  </r>
  <r>
    <x v="443"/>
    <x v="0"/>
    <x v="2"/>
    <s v="CLFF_1000$$$CN01TPAZ06"/>
    <s v="P000001380"/>
    <s v="P000001380"/>
    <s v="LFF (MDG-F)"/>
    <s v="CN01TPAZ06"/>
    <m/>
    <b v="1"/>
    <x v="3"/>
    <x v="0"/>
    <d v="2025-11-24T00:00:00"/>
    <m/>
    <m/>
    <x v="1"/>
    <n v="14"/>
    <s v="John Rowie Del Rosario"/>
    <m/>
  </r>
  <r>
    <x v="443"/>
    <x v="0"/>
    <x v="2"/>
    <s v="CLFF_1000$$$CN02TPZZ05"/>
    <s v="P000001380"/>
    <s v="P000001380"/>
    <s v="LFF (MDG-F)"/>
    <s v="CN02TPZZ05"/>
    <m/>
    <b v="1"/>
    <x v="3"/>
    <x v="0"/>
    <d v="2025-11-24T00:00:00"/>
    <m/>
    <m/>
    <x v="1"/>
    <n v="14"/>
    <s v="John Rowie Del Rosario"/>
    <m/>
  </r>
  <r>
    <x v="443"/>
    <x v="0"/>
    <x v="2"/>
    <s v="CLFF_1000$$$CN02TPZZ08"/>
    <s v="P000001380"/>
    <s v="P000001380"/>
    <s v="LFF (MDG-F)"/>
    <s v="CN02TPZZ08"/>
    <m/>
    <b v="1"/>
    <x v="3"/>
    <x v="0"/>
    <d v="2025-11-24T00:00:00"/>
    <m/>
    <m/>
    <x v="1"/>
    <n v="14"/>
    <s v="John Rowie Del Rosario"/>
    <m/>
  </r>
  <r>
    <x v="443"/>
    <x v="0"/>
    <x v="2"/>
    <s v="CLFF_1000$$$CN03TPZZ01"/>
    <s v="P000001380"/>
    <s v="P000001380"/>
    <s v="LFF (MDG-F)"/>
    <s v="CN03TPZZ01"/>
    <m/>
    <b v="1"/>
    <x v="3"/>
    <x v="0"/>
    <d v="2025-11-24T00:00:00"/>
    <m/>
    <m/>
    <x v="1"/>
    <n v="14"/>
    <s v="John Rowie Del Rosario"/>
    <m/>
  </r>
  <r>
    <x v="443"/>
    <x v="0"/>
    <x v="2"/>
    <s v="CLFF_1000$$$CN03TPZZ03"/>
    <s v="P000001380"/>
    <s v="P000001380"/>
    <s v="LFF (MDG-F)"/>
    <s v="CN03TPZZ03"/>
    <m/>
    <b v="1"/>
    <x v="3"/>
    <x v="0"/>
    <d v="2025-11-24T00:00:00"/>
    <m/>
    <m/>
    <x v="1"/>
    <n v="14"/>
    <s v="John Rowie Del Rosario"/>
    <m/>
  </r>
  <r>
    <x v="443"/>
    <x v="0"/>
    <x v="2"/>
    <s v="CLFF_1000$$$CN02TPZZ02"/>
    <s v="P000001380"/>
    <s v="P000001380"/>
    <s v="LFF (MDG-F)"/>
    <s v="CN02TPZZ02"/>
    <m/>
    <b v="1"/>
    <x v="3"/>
    <x v="0"/>
    <d v="2025-11-24T00:00:00"/>
    <m/>
    <m/>
    <x v="1"/>
    <n v="14"/>
    <s v="John Rowie Del Rosario"/>
    <m/>
  </r>
  <r>
    <x v="443"/>
    <x v="0"/>
    <x v="2"/>
    <s v="CLFF_1000$$$CN02TQ1001"/>
    <s v="P000001380"/>
    <s v="P000001380"/>
    <s v="LFF (MDG-F)"/>
    <s v="CN02TQ1001"/>
    <m/>
    <b v="1"/>
    <x v="3"/>
    <x v="0"/>
    <d v="2025-11-24T00:00:00"/>
    <m/>
    <m/>
    <x v="1"/>
    <n v="14"/>
    <s v="John Rowie Del Rosario"/>
    <m/>
  </r>
  <r>
    <x v="443"/>
    <x v="0"/>
    <x v="2"/>
    <s v="CLFF_1000$$$CN02TQ1002"/>
    <s v="P000001380"/>
    <s v="P000001380"/>
    <s v="LFF (MDG-F)"/>
    <s v="CN02TQ1002"/>
    <m/>
    <b v="1"/>
    <x v="3"/>
    <x v="0"/>
    <d v="2025-11-24T00:00:00"/>
    <m/>
    <m/>
    <x v="1"/>
    <n v="14"/>
    <s v="John Rowie Del Rosario"/>
    <m/>
  </r>
  <r>
    <x v="443"/>
    <x v="0"/>
    <x v="2"/>
    <s v="CLFF_1000$$$CN02TQ1003"/>
    <s v="P000001380"/>
    <s v="P000001380"/>
    <s v="LFF (MDG-F)"/>
    <s v="CN02TQ1003"/>
    <m/>
    <b v="1"/>
    <x v="3"/>
    <x v="0"/>
    <d v="2025-11-24T00:00:00"/>
    <m/>
    <m/>
    <x v="1"/>
    <n v="14"/>
    <s v="John Rowie Del Rosario"/>
    <m/>
  </r>
  <r>
    <x v="443"/>
    <x v="0"/>
    <x v="2"/>
    <s v="CLFF_1000$$$CN03TPZZ02"/>
    <s v="P000001380"/>
    <s v="P000001380"/>
    <s v="LFF (MDG-F)"/>
    <s v="CN03TPZZ02"/>
    <m/>
    <b v="1"/>
    <x v="3"/>
    <x v="0"/>
    <d v="2025-11-24T00:00:00"/>
    <m/>
    <m/>
    <x v="1"/>
    <n v="14"/>
    <s v="John Rowie Del Rosario"/>
    <m/>
  </r>
  <r>
    <x v="443"/>
    <x v="0"/>
    <x v="2"/>
    <s v="CLFF_VMCA$$$CN10DB1001"/>
    <s v="P000001380"/>
    <s v="P000001380"/>
    <s v="LFF (MDG-F)"/>
    <s v="CN10DB1001"/>
    <m/>
    <b v="1"/>
    <x v="3"/>
    <x v="0"/>
    <d v="2025-11-24T00:00:00"/>
    <m/>
    <m/>
    <x v="1"/>
    <n v="14"/>
    <s v="John Rowie Del Rosario"/>
    <m/>
  </r>
  <r>
    <x v="443"/>
    <x v="0"/>
    <x v="2"/>
    <s v="CLFF_VMCA$$$CN10DB1002"/>
    <s v="P000001380"/>
    <s v="P000001380"/>
    <s v="LFF (MDG-F)"/>
    <s v="CN10DB1002"/>
    <m/>
    <b v="1"/>
    <x v="3"/>
    <x v="0"/>
    <d v="2025-11-24T00:00:00"/>
    <m/>
    <m/>
    <x v="1"/>
    <n v="14"/>
    <s v="John Rowie Del Rosario"/>
    <m/>
  </r>
  <r>
    <x v="443"/>
    <x v="0"/>
    <x v="2"/>
    <s v="CLFF_VMCA$$$CN10DB1004"/>
    <s v="P000001380"/>
    <s v="P000001380"/>
    <s v="LFF (MDG-F)"/>
    <s v="CN10DB1004"/>
    <m/>
    <b v="1"/>
    <x v="3"/>
    <x v="0"/>
    <d v="2025-11-24T00:00:00"/>
    <m/>
    <m/>
    <x v="1"/>
    <n v="14"/>
    <s v="John Rowie Del Rosario"/>
    <m/>
  </r>
  <r>
    <x v="443"/>
    <x v="0"/>
    <x v="2"/>
    <s v="CLFF_VMCA$$$CN09DB3303"/>
    <s v="P000001380"/>
    <s v="P000001380"/>
    <s v="LFF (MDG-F)"/>
    <s v="CN09DB3303"/>
    <m/>
    <b v="1"/>
    <x v="3"/>
    <x v="0"/>
    <d v="2025-11-24T00:00:00"/>
    <m/>
    <m/>
    <x v="1"/>
    <n v="14"/>
    <s v="John Rowie Del Rosario"/>
    <m/>
  </r>
  <r>
    <x v="443"/>
    <x v="0"/>
    <x v="2"/>
    <s v="CLFF_VMCA$$$CN09DB3305"/>
    <s v="P000001380"/>
    <s v="P000001380"/>
    <s v="LFF (MDG-F)"/>
    <s v="CN09DB3305"/>
    <m/>
    <b v="1"/>
    <x v="3"/>
    <x v="0"/>
    <d v="2025-11-24T00:00:00"/>
    <m/>
    <m/>
    <x v="1"/>
    <n v="14"/>
    <s v="John Rowie Del Rosario"/>
    <m/>
  </r>
  <r>
    <x v="443"/>
    <x v="0"/>
    <x v="2"/>
    <s v="CLFF_VMCA$$$CN09TQ1001"/>
    <s v="P000001380"/>
    <s v="P000001380"/>
    <s v="LFF (MDG-F)"/>
    <s v="CN09TQ1001"/>
    <m/>
    <b v="1"/>
    <x v="3"/>
    <x v="0"/>
    <d v="2025-11-24T00:00:00"/>
    <m/>
    <m/>
    <x v="1"/>
    <n v="14"/>
    <s v="John Rowie Del Rosario"/>
    <m/>
  </r>
  <r>
    <x v="443"/>
    <x v="0"/>
    <x v="2"/>
    <s v="CLFF_VMCA$$$CN09TQ1002"/>
    <s v="P000001380"/>
    <s v="P000001380"/>
    <s v="LFF (MDG-F)"/>
    <s v="CN09TQ1002"/>
    <m/>
    <b v="1"/>
    <x v="3"/>
    <x v="0"/>
    <d v="2025-11-24T00:00:00"/>
    <m/>
    <m/>
    <x v="1"/>
    <n v="14"/>
    <s v="John Rowie Del Rosario"/>
    <m/>
  </r>
  <r>
    <x v="443"/>
    <x v="0"/>
    <x v="2"/>
    <s v="CLFF_VMCA$$$CN09TQ1003"/>
    <s v="P000001380"/>
    <s v="P000001380"/>
    <s v="LFF (MDG-F)"/>
    <s v="CN09TQ1003"/>
    <m/>
    <b v="1"/>
    <x v="3"/>
    <x v="0"/>
    <d v="2025-11-24T00:00:00"/>
    <m/>
    <m/>
    <x v="1"/>
    <n v="14"/>
    <s v="John Rowie Del Rosario"/>
    <m/>
  </r>
  <r>
    <x v="443"/>
    <x v="0"/>
    <x v="2"/>
    <s v="CLFF_VMCA$$$CN09DB3309"/>
    <s v="P000001380"/>
    <s v="P000001380"/>
    <s v="LFF (MDG-F)"/>
    <s v="CN09DB3309"/>
    <m/>
    <b v="1"/>
    <x v="3"/>
    <x v="0"/>
    <d v="2025-11-24T00:00:00"/>
    <m/>
    <m/>
    <x v="1"/>
    <n v="14"/>
    <s v="John Rowie Del Rosario"/>
    <m/>
  </r>
  <r>
    <x v="443"/>
    <x v="0"/>
    <x v="2"/>
    <s v="CLFF_VMCA$$$CN09DB3300"/>
    <s v="P000001380"/>
    <s v="P000001380"/>
    <s v="LFF (MDG-F)"/>
    <s v="CN09DB3300"/>
    <m/>
    <b v="1"/>
    <x v="3"/>
    <x v="0"/>
    <d v="2025-11-24T00:00:00"/>
    <m/>
    <m/>
    <x v="1"/>
    <n v="14"/>
    <s v="John Rowie Del Rosario"/>
    <m/>
  </r>
  <r>
    <x v="443"/>
    <x v="0"/>
    <x v="2"/>
    <s v="CLFF_VMCA$$$CN09TM3000"/>
    <s v="P000001380"/>
    <s v="P000001380"/>
    <s v="LFF (MDG-F)"/>
    <s v="CN09TM3000"/>
    <m/>
    <b v="1"/>
    <x v="3"/>
    <x v="0"/>
    <d v="2025-11-24T00:00:00"/>
    <m/>
    <m/>
    <x v="1"/>
    <n v="14"/>
    <s v="John Rowie Del Rosario"/>
    <m/>
  </r>
  <r>
    <x v="443"/>
    <x v="0"/>
    <x v="2"/>
    <s v="CLFF_VMCA$$$CN09DB3301"/>
    <s v="P000001380"/>
    <s v="P000001380"/>
    <s v="LFF (MDG-F)"/>
    <s v="CN09DB3301"/>
    <m/>
    <b v="1"/>
    <x v="3"/>
    <x v="0"/>
    <d v="2025-11-24T00:00:00"/>
    <m/>
    <m/>
    <x v="1"/>
    <n v="14"/>
    <s v="John Rowie Del Rosario"/>
    <m/>
  </r>
  <r>
    <x v="443"/>
    <x v="0"/>
    <x v="2"/>
    <s v="CLFF_VMCA$$$CN09DB3307"/>
    <s v="P000001380"/>
    <s v="P000001380"/>
    <s v="LFF (MDG-F)"/>
    <s v="CN09DB3307"/>
    <m/>
    <b v="1"/>
    <x v="3"/>
    <x v="0"/>
    <d v="2025-11-24T00:00:00"/>
    <m/>
    <m/>
    <x v="1"/>
    <n v="14"/>
    <s v="John Rowie Del Rosario"/>
    <m/>
  </r>
  <r>
    <x v="444"/>
    <x v="0"/>
    <x v="2"/>
    <s v="PLEAN_X310511TN5013218 SMASEP MAVENCLAD"/>
    <s v="H000000286"/>
    <s v="H000000286"/>
    <s v="Non-LFF"/>
    <s v=""/>
    <m/>
    <b v="1"/>
    <x v="1"/>
    <x v="0"/>
    <d v="2025-11-24T00:00:00"/>
    <m/>
    <m/>
    <x v="1"/>
    <n v="14"/>
    <s v="Daniella Sasa"/>
    <m/>
  </r>
  <r>
    <x v="444"/>
    <x v="0"/>
    <x v="2"/>
    <s v="PLEAN_X310002TN5013200 FERT-NA-ESHRE"/>
    <s v="H000000262"/>
    <s v="H000000262"/>
    <s v="Non-LFF"/>
    <s v=""/>
    <m/>
    <b v="1"/>
    <x v="1"/>
    <x v="0"/>
    <d v="2025-11-24T00:00:00"/>
    <m/>
    <m/>
    <x v="1"/>
    <n v="14"/>
    <s v="Daniella Sasa"/>
    <m/>
  </r>
  <r>
    <x v="444"/>
    <x v="0"/>
    <x v="2"/>
    <s v="PLEAN_X310201MA5013200 Morocco Local congresses (MA50)"/>
    <s v="H000000286"/>
    <s v="H000000286"/>
    <s v="Non-LFF"/>
    <s v=""/>
    <m/>
    <b v="1"/>
    <x v="1"/>
    <x v="0"/>
    <d v="2025-11-24T00:00:00"/>
    <m/>
    <m/>
    <x v="1"/>
    <n v="14"/>
    <s v="Daniella Sasa"/>
    <m/>
  </r>
  <r>
    <x v="444"/>
    <x v="0"/>
    <x v="2"/>
    <s v="PLEAN_X310301MA5015200 Projet Maroc : Sobrus"/>
    <s v="H000000286"/>
    <s v="H000000286"/>
    <s v="Non-LFF"/>
    <s v=""/>
    <m/>
    <b v="1"/>
    <x v="1"/>
    <x v="0"/>
    <d v="2025-11-24T00:00:00"/>
    <m/>
    <m/>
    <x v="1"/>
    <n v="14"/>
    <s v="Daniella Sasa"/>
    <m/>
  </r>
  <r>
    <x v="444"/>
    <x v="0"/>
    <x v="2"/>
    <s v="PLEAN_X310511MA5013221 Merck event Neuro MA&amp;SA-fees"/>
    <s v="H000000286"/>
    <s v="H000000286"/>
    <s v="Non-LFF"/>
    <s v=""/>
    <m/>
    <b v="1"/>
    <x v="1"/>
    <x v="0"/>
    <d v="2025-11-24T00:00:00"/>
    <m/>
    <m/>
    <x v="1"/>
    <n v="14"/>
    <s v="Daniella Sasa"/>
    <m/>
  </r>
  <r>
    <x v="444"/>
    <x v="0"/>
    <x v="2"/>
    <s v="PLEAN_X310201TN6013221 SMART XXI Regional Standalone"/>
    <s v="H000000318"/>
    <s v="H000000318"/>
    <s v="Non-LFF"/>
    <s v=""/>
    <m/>
    <b v="1"/>
    <x v="1"/>
    <x v="0"/>
    <d v="2025-11-24T00:00:00"/>
    <m/>
    <m/>
    <x v="1"/>
    <n v="14"/>
    <s v="Daniella Sasa"/>
    <m/>
  </r>
  <r>
    <x v="445"/>
    <x v="0"/>
    <x v="2"/>
    <s v="PLEAN_X310802ZA5020505 MED  NON R&amp;D-ZA-CME-EDUCATION"/>
    <s v="H000000325"/>
    <s v="H000000325"/>
    <s v="Non-LFF"/>
    <s v=""/>
    <m/>
    <b v="1"/>
    <x v="4"/>
    <x v="0"/>
    <d v="2025-11-25T00:00:00"/>
    <m/>
    <m/>
    <x v="1"/>
    <n v="13"/>
    <s v="Kristel Joyce Manalese"/>
    <m/>
  </r>
  <r>
    <x v="445"/>
    <x v="0"/>
    <x v="2"/>
    <s v="PLEAN_X310801AE5015209 SP DIGITAL-Shared-AE"/>
    <s v="H000002956"/>
    <s v="H000002956"/>
    <s v="Non-LFF"/>
    <s v=""/>
    <m/>
    <b v="1"/>
    <x v="4"/>
    <x v="0"/>
    <d v="2025-11-25T00:00:00"/>
    <m/>
    <m/>
    <x v="1"/>
    <n v="13"/>
    <s v="Kristel Joyce Manalese"/>
    <m/>
  </r>
  <r>
    <x v="445"/>
    <x v="0"/>
    <x v="2"/>
    <s v="PLEAN_X310171DE6230104 1891_BY_V9_BAV_M&amp;S OTH"/>
    <s v="H000000254"/>
    <s v="H000000254"/>
    <s v="Non-LFF"/>
    <s v=""/>
    <m/>
    <b v="1"/>
    <x v="4"/>
    <x v="0"/>
    <d v="2025-11-25T00:00:00"/>
    <m/>
    <m/>
    <x v="1"/>
    <n v="13"/>
    <s v="Kristel Joyce Manalese"/>
    <m/>
  </r>
  <r>
    <x v="445"/>
    <x v="0"/>
    <x v="2"/>
    <s v="PLEAN_X310201AE5011203 SP ADVT-KW-FERT"/>
    <s v="H000002969"/>
    <s v="H000002969"/>
    <s v="Non-LFF"/>
    <s v=""/>
    <m/>
    <b v="1"/>
    <x v="4"/>
    <x v="0"/>
    <d v="2025-11-25T00:00:00"/>
    <m/>
    <m/>
    <x v="1"/>
    <n v="13"/>
    <s v="Kristel Joyce Manalese"/>
    <m/>
  </r>
  <r>
    <x v="446"/>
    <x v="0"/>
    <x v="2"/>
    <s v="CLFF_1000$$$ES50Y54321 GES BGL L&amp;D PDP"/>
    <s v="G000001450"/>
    <s v="G000001450"/>
    <s v="LFF (MDG-F)"/>
    <s v="ES50Y54321"/>
    <m/>
    <b v="1"/>
    <x v="0"/>
    <x v="0"/>
    <d v="2025-11-25T00:00:00"/>
    <m/>
    <m/>
    <x v="1"/>
    <n v="13"/>
    <s v="Jojeff Tagnong"/>
    <m/>
  </r>
  <r>
    <x v="446"/>
    <x v="0"/>
    <x v="2"/>
    <s v="CLFF_1000$$$IT50Y54321 GES BGL L&amp;D PDP"/>
    <s v="G000001450"/>
    <s v="G000001450"/>
    <s v="LFF (MDG-F)"/>
    <s v="IT50Y54321"/>
    <m/>
    <b v="1"/>
    <x v="0"/>
    <x v="0"/>
    <d v="2025-11-25T00:00:00"/>
    <m/>
    <m/>
    <x v="1"/>
    <n v="13"/>
    <s v="Jojeff Tagnong"/>
    <m/>
  </r>
  <r>
    <x v="446"/>
    <x v="0"/>
    <x v="2"/>
    <s v="CLFF_7210$$$2123Y54321 GES BGL L&amp;D PDP"/>
    <s v="G000001450"/>
    <s v="G000001450"/>
    <s v="LFF (MDG-F)"/>
    <s v="2123Y54321"/>
    <m/>
    <b v="1"/>
    <x v="0"/>
    <x v="0"/>
    <d v="2025-11-25T00:00:00"/>
    <m/>
    <m/>
    <x v="1"/>
    <n v="13"/>
    <s v="Jojeff Tagnong"/>
    <m/>
  </r>
  <r>
    <x v="446"/>
    <x v="0"/>
    <x v="2"/>
    <s v="CEMERAL_70006502GM4020 MBS FS ES L&amp;D PDP activities"/>
    <s v="G000001450"/>
    <s v="G000001450"/>
    <s v="Non-LFF"/>
    <s v=""/>
    <m/>
    <b v="1"/>
    <x v="0"/>
    <x v="0"/>
    <d v="2025-11-25T00:00:00"/>
    <m/>
    <m/>
    <x v="1"/>
    <n v="13"/>
    <s v="Jojeff Tagnong"/>
    <m/>
  </r>
  <r>
    <x v="446"/>
    <x v="0"/>
    <x v="2"/>
    <s v="CEMERAL_64016401GM4021 MBS FS ES L&amp;D PDP activities"/>
    <s v="G000001450"/>
    <s v="G000001450"/>
    <s v="Non-LFF"/>
    <s v=""/>
    <m/>
    <b v="1"/>
    <x v="0"/>
    <x v="0"/>
    <d v="2025-11-25T00:00:00"/>
    <m/>
    <m/>
    <x v="1"/>
    <n v="13"/>
    <s v="Jojeff Tagnong"/>
    <m/>
  </r>
  <r>
    <x v="447"/>
    <x v="0"/>
    <x v="2"/>
    <s v="CNOW_7210$$$0000040055 DxRM - R&amp;D Chemical Synthesis Lab SK"/>
    <s v="L000008415"/>
    <s v="L000008415"/>
    <s v="Non-LFF"/>
    <s v=""/>
    <m/>
    <b v="1"/>
    <x v="2"/>
    <x v="0"/>
    <d v="2025-11-25T00:00:00"/>
    <m/>
    <m/>
    <x v="1"/>
    <n v="13"/>
    <s v="Ruby Grace Garcia"/>
    <m/>
  </r>
  <r>
    <x v="448"/>
    <x v="0"/>
    <x v="2"/>
    <s v="CLFF_1000$$$DE10F27300"/>
    <s v="G000000847"/>
    <s v="G000000847"/>
    <s v="LFF (MDG-F)"/>
    <s v="DE10F27300"/>
    <m/>
    <b v="1"/>
    <x v="0"/>
    <x v="0"/>
    <d v="2025-11-27T00:00:00"/>
    <m/>
    <m/>
    <x v="1"/>
    <n v="11"/>
    <s v="Manuel Walther"/>
    <m/>
  </r>
  <r>
    <x v="448"/>
    <x v="0"/>
    <x v="2"/>
    <s v="CLFF_1000$$$DE10566115"/>
    <s v="G000000431"/>
    <s v="G000000431"/>
    <s v="LFF (MDG-F)"/>
    <s v="DE10566115"/>
    <m/>
    <b v="1"/>
    <x v="0"/>
    <x v="0"/>
    <d v="2025-11-27T00:00:00"/>
    <m/>
    <m/>
    <x v="1"/>
    <n v="11"/>
    <s v="Manuel Walther"/>
    <m/>
  </r>
  <r>
    <x v="448"/>
    <x v="0"/>
    <x v="2"/>
    <s v="CLFF_1000$$$DE10566116"/>
    <s v="G000000431"/>
    <s v="G000000431"/>
    <s v="LFF (MDG-F)"/>
    <s v="DE10566116"/>
    <m/>
    <b v="1"/>
    <x v="0"/>
    <x v="0"/>
    <d v="2025-11-27T00:00:00"/>
    <m/>
    <m/>
    <x v="1"/>
    <n v="11"/>
    <s v="Manuel Walther"/>
    <m/>
  </r>
  <r>
    <x v="448"/>
    <x v="0"/>
    <x v="2"/>
    <s v="CLFF_1000$$$DE10566118"/>
    <s v="G000000431"/>
    <s v="G000000431"/>
    <s v="LFF (MDG-F)"/>
    <s v="DE10566118"/>
    <m/>
    <b v="1"/>
    <x v="0"/>
    <x v="0"/>
    <d v="2025-11-27T00:00:00"/>
    <m/>
    <m/>
    <x v="1"/>
    <n v="11"/>
    <s v="Manuel Walther"/>
    <m/>
  </r>
  <r>
    <x v="448"/>
    <x v="0"/>
    <x v="2"/>
    <s v="CLFF_1000$$$DE10566120"/>
    <s v="G000000431"/>
    <s v="G000000431"/>
    <s v="LFF (MDG-F)"/>
    <s v="DE10566120"/>
    <m/>
    <b v="1"/>
    <x v="0"/>
    <x v="0"/>
    <d v="2025-11-27T00:00:00"/>
    <m/>
    <m/>
    <x v="1"/>
    <n v="11"/>
    <s v="Manuel Walther"/>
    <m/>
  </r>
  <r>
    <x v="448"/>
    <x v="0"/>
    <x v="2"/>
    <s v="CLFF_1000$$$DE10566121"/>
    <s v="G000000431"/>
    <s v="G000000431"/>
    <s v="LFF (MDG-F)"/>
    <s v="DE10566121"/>
    <m/>
    <b v="1"/>
    <x v="0"/>
    <x v="0"/>
    <d v="2025-11-27T00:00:00"/>
    <m/>
    <m/>
    <x v="1"/>
    <n v="11"/>
    <s v="Manuel Walther"/>
    <m/>
  </r>
  <r>
    <x v="448"/>
    <x v="0"/>
    <x v="2"/>
    <s v="CLFF_1000$$$DE10566122"/>
    <s v="G000000431"/>
    <s v="G000000431"/>
    <s v="LFF (MDG-F)"/>
    <s v="DE10566122"/>
    <m/>
    <b v="1"/>
    <x v="0"/>
    <x v="0"/>
    <d v="2025-11-27T00:00:00"/>
    <m/>
    <m/>
    <x v="1"/>
    <n v="11"/>
    <s v="Manuel Walther"/>
    <m/>
  </r>
  <r>
    <x v="448"/>
    <x v="0"/>
    <x v="2"/>
    <s v="CLFF_1000$$$DE10566125"/>
    <s v="G000000431"/>
    <s v="G000000431"/>
    <s v="LFF (MDG-F)"/>
    <s v="DE10566125"/>
    <m/>
    <b v="1"/>
    <x v="0"/>
    <x v="0"/>
    <d v="2025-11-27T00:00:00"/>
    <m/>
    <m/>
    <x v="1"/>
    <n v="11"/>
    <s v="Manuel Walther"/>
    <m/>
  </r>
  <r>
    <x v="448"/>
    <x v="0"/>
    <x v="2"/>
    <s v="CLFF_1000$$$DE10566127"/>
    <s v="G000000431"/>
    <s v="G000000431"/>
    <s v="LFF (MDG-F)"/>
    <s v="DE10566127"/>
    <m/>
    <b v="1"/>
    <x v="0"/>
    <x v="0"/>
    <d v="2025-11-27T00:00:00"/>
    <m/>
    <m/>
    <x v="1"/>
    <n v="11"/>
    <s v="Manuel Walther"/>
    <m/>
  </r>
  <r>
    <x v="448"/>
    <x v="0"/>
    <x v="2"/>
    <s v="CLFF_1000$$$DE10E16300"/>
    <s v="G000000847"/>
    <s v="G000000847"/>
    <s v="LFF (MDG-F)"/>
    <s v="DE10E16300"/>
    <m/>
    <b v="1"/>
    <x v="0"/>
    <x v="0"/>
    <d v="2025-11-27T00:00:00"/>
    <m/>
    <m/>
    <x v="1"/>
    <n v="11"/>
    <s v="Manuel Walther"/>
    <m/>
  </r>
  <r>
    <x v="448"/>
    <x v="0"/>
    <x v="2"/>
    <s v="CLFF_1000$$$DE10E16600"/>
    <s v="G000000847"/>
    <s v="G000000847"/>
    <s v="LFF (MDG-F)"/>
    <s v="DE10E16600"/>
    <m/>
    <b v="1"/>
    <x v="0"/>
    <x v="0"/>
    <d v="2025-11-27T00:00:00"/>
    <m/>
    <m/>
    <x v="1"/>
    <n v="11"/>
    <s v="Manuel Walther"/>
    <m/>
  </r>
  <r>
    <x v="448"/>
    <x v="0"/>
    <x v="2"/>
    <s v="CLFF_1000$$$DE10E38020"/>
    <s v="G000000847"/>
    <s v="G000000847"/>
    <s v="LFF (MDG-F)"/>
    <s v="DE10E38020"/>
    <m/>
    <b v="1"/>
    <x v="0"/>
    <x v="0"/>
    <d v="2025-11-27T00:00:00"/>
    <m/>
    <m/>
    <x v="1"/>
    <n v="11"/>
    <s v="Manuel Walther"/>
    <m/>
  </r>
  <r>
    <x v="448"/>
    <x v="0"/>
    <x v="2"/>
    <s v="CLFF_1000$$$DE10E38800"/>
    <s v="G000000848"/>
    <s v="G000000848"/>
    <s v="LFF (MDG-F)"/>
    <s v="DE10E38800"/>
    <m/>
    <b v="1"/>
    <x v="0"/>
    <x v="0"/>
    <d v="2025-11-27T00:00:00"/>
    <m/>
    <m/>
    <x v="1"/>
    <n v="11"/>
    <s v="Manuel Walther"/>
    <m/>
  </r>
  <r>
    <x v="448"/>
    <x v="0"/>
    <x v="2"/>
    <s v="CLFF_1000$$$DE10E38810"/>
    <s v="G000000847"/>
    <s v="G000000847"/>
    <s v="LFF (MDG-F)"/>
    <s v="DE10E38810"/>
    <m/>
    <b v="1"/>
    <x v="0"/>
    <x v="0"/>
    <d v="2025-11-27T00:00:00"/>
    <m/>
    <m/>
    <x v="1"/>
    <n v="11"/>
    <s v="Manuel Walther"/>
    <m/>
  </r>
  <r>
    <x v="448"/>
    <x v="0"/>
    <x v="2"/>
    <s v="CLFF_1000$$$DE10E61000"/>
    <s v="G000000847"/>
    <s v="G000000847"/>
    <s v="LFF (MDG-F)"/>
    <s v="DE10E61000"/>
    <m/>
    <b v="1"/>
    <x v="0"/>
    <x v="0"/>
    <d v="2025-11-27T00:00:00"/>
    <m/>
    <m/>
    <x v="1"/>
    <n v="11"/>
    <s v="Manuel Walther"/>
    <m/>
  </r>
  <r>
    <x v="448"/>
    <x v="0"/>
    <x v="2"/>
    <s v="CLFF_1000$$$DE10E61100"/>
    <s v="G000000847"/>
    <s v="G000000847"/>
    <s v="LFF (MDG-F)"/>
    <s v="DE10E61100"/>
    <m/>
    <b v="1"/>
    <x v="0"/>
    <x v="0"/>
    <d v="2025-11-27T00:00:00"/>
    <m/>
    <m/>
    <x v="1"/>
    <n v="11"/>
    <s v="Manuel Walther"/>
    <m/>
  </r>
  <r>
    <x v="448"/>
    <x v="0"/>
    <x v="2"/>
    <s v="CLFF_1000$$$DE10E61200"/>
    <s v="G000000847"/>
    <s v="G000000847"/>
    <s v="LFF (MDG-F)"/>
    <s v="DE10E61200"/>
    <m/>
    <b v="1"/>
    <x v="0"/>
    <x v="0"/>
    <d v="2025-11-27T00:00:00"/>
    <m/>
    <m/>
    <x v="1"/>
    <n v="11"/>
    <s v="Manuel Walther"/>
    <m/>
  </r>
  <r>
    <x v="448"/>
    <x v="0"/>
    <x v="2"/>
    <s v="CLFF_1000$$$DE10E61900"/>
    <s v="G000000847"/>
    <s v="G000000847"/>
    <s v="LFF (MDG-F)"/>
    <s v="DE10E61900"/>
    <m/>
    <b v="1"/>
    <x v="0"/>
    <x v="0"/>
    <d v="2025-11-27T00:00:00"/>
    <m/>
    <m/>
    <x v="1"/>
    <n v="11"/>
    <s v="Manuel Walther"/>
    <m/>
  </r>
  <r>
    <x v="448"/>
    <x v="0"/>
    <x v="2"/>
    <s v="CLFF_1000$$$DE10F11900"/>
    <s v="G000000847"/>
    <s v="G000000847"/>
    <s v="LFF (MDG-F)"/>
    <s v="DE10F11900"/>
    <m/>
    <b v="1"/>
    <x v="0"/>
    <x v="0"/>
    <d v="2025-11-27T00:00:00"/>
    <m/>
    <m/>
    <x v="1"/>
    <n v="11"/>
    <s v="Manuel Walther"/>
    <m/>
  </r>
  <r>
    <x v="448"/>
    <x v="0"/>
    <x v="2"/>
    <s v="CLFF_1000$$$DE10F16000"/>
    <s v="G000000848"/>
    <s v="G000000848"/>
    <s v="LFF (MDG-F)"/>
    <s v="DE10F16000"/>
    <m/>
    <b v="1"/>
    <x v="0"/>
    <x v="0"/>
    <d v="2025-11-27T00:00:00"/>
    <m/>
    <m/>
    <x v="1"/>
    <n v="11"/>
    <s v="Manuel Walther"/>
    <m/>
  </r>
  <r>
    <x v="448"/>
    <x v="0"/>
    <x v="2"/>
    <s v="CLFF_1000$$$DE10F16010"/>
    <s v="G000000847"/>
    <s v="G000000847"/>
    <s v="LFF (MDG-F)"/>
    <s v="DE10F16010"/>
    <m/>
    <b v="1"/>
    <x v="0"/>
    <x v="0"/>
    <d v="2025-11-27T00:00:00"/>
    <m/>
    <m/>
    <x v="1"/>
    <n v="11"/>
    <s v="Manuel Walther"/>
    <m/>
  </r>
  <r>
    <x v="448"/>
    <x v="0"/>
    <x v="2"/>
    <s v="CLFF_1000$$$DE10F16100"/>
    <s v="G000000847"/>
    <s v="G000000847"/>
    <s v="LFF (MDG-F)"/>
    <s v="DE10F16100"/>
    <m/>
    <b v="1"/>
    <x v="0"/>
    <x v="0"/>
    <d v="2025-11-27T00:00:00"/>
    <m/>
    <m/>
    <x v="1"/>
    <n v="11"/>
    <s v="Manuel Walther"/>
    <m/>
  </r>
  <r>
    <x v="448"/>
    <x v="0"/>
    <x v="2"/>
    <s v="CLFF_1000$$$DE10F16200"/>
    <s v="G000000847"/>
    <s v="G000000847"/>
    <s v="LFF (MDG-F)"/>
    <s v="DE10F16200"/>
    <m/>
    <b v="1"/>
    <x v="0"/>
    <x v="0"/>
    <d v="2025-11-27T00:00:00"/>
    <m/>
    <m/>
    <x v="1"/>
    <n v="11"/>
    <s v="Manuel Walther"/>
    <m/>
  </r>
  <r>
    <x v="448"/>
    <x v="0"/>
    <x v="2"/>
    <s v="CLFF_1000$$$DE10F16300"/>
    <s v="G000000847"/>
    <s v="G000000847"/>
    <s v="LFF (MDG-F)"/>
    <s v="DE10F16300"/>
    <m/>
    <b v="1"/>
    <x v="0"/>
    <x v="0"/>
    <d v="2025-11-27T00:00:00"/>
    <m/>
    <m/>
    <x v="1"/>
    <n v="11"/>
    <s v="Manuel Walther"/>
    <m/>
  </r>
  <r>
    <x v="448"/>
    <x v="0"/>
    <x v="2"/>
    <s v="CLFF_1000$$$DE10F16500"/>
    <s v="G000000847"/>
    <s v="G000000847"/>
    <s v="LFF (MDG-F)"/>
    <s v="DE10F16500"/>
    <m/>
    <b v="1"/>
    <x v="0"/>
    <x v="0"/>
    <d v="2025-11-27T00:00:00"/>
    <m/>
    <m/>
    <x v="1"/>
    <n v="11"/>
    <s v="Manuel Walther"/>
    <m/>
  </r>
  <r>
    <x v="448"/>
    <x v="0"/>
    <x v="2"/>
    <s v="CLFF_1000$$$DE10F16600"/>
    <s v="G000000847"/>
    <s v="G000000847"/>
    <s v="LFF (MDG-F)"/>
    <s v="DE10F16600"/>
    <m/>
    <b v="1"/>
    <x v="0"/>
    <x v="0"/>
    <d v="2025-11-27T00:00:00"/>
    <m/>
    <m/>
    <x v="1"/>
    <n v="11"/>
    <s v="Manuel Walther"/>
    <m/>
  </r>
  <r>
    <x v="448"/>
    <x v="0"/>
    <x v="2"/>
    <s v="CLFF_1000$$$DE10F16700"/>
    <s v="G000000847"/>
    <s v="G000000847"/>
    <s v="LFF (MDG-F)"/>
    <s v="DE10F16700"/>
    <m/>
    <b v="1"/>
    <x v="0"/>
    <x v="0"/>
    <d v="2025-11-27T00:00:00"/>
    <m/>
    <m/>
    <x v="1"/>
    <n v="11"/>
    <s v="Manuel Walther"/>
    <m/>
  </r>
  <r>
    <x v="448"/>
    <x v="0"/>
    <x v="2"/>
    <s v="CLFF_1000$$$DE10F27301"/>
    <s v="G000000848"/>
    <s v="G000000848"/>
    <s v="LFF (MDG-F)"/>
    <s v="DE10F27301"/>
    <m/>
    <b v="1"/>
    <x v="0"/>
    <x v="0"/>
    <d v="2025-11-27T00:00:00"/>
    <m/>
    <m/>
    <x v="1"/>
    <n v="11"/>
    <s v="Manuel Walther"/>
    <m/>
  </r>
  <r>
    <x v="448"/>
    <x v="0"/>
    <x v="2"/>
    <s v="CLFF_1000$$$DE10E09200"/>
    <s v="G000000848"/>
    <s v="G000000848"/>
    <s v="LFF (MDG-F)"/>
    <s v="DE10E09200"/>
    <m/>
    <b v="1"/>
    <x v="0"/>
    <x v="0"/>
    <d v="2025-11-27T00:00:00"/>
    <m/>
    <m/>
    <x v="1"/>
    <n v="11"/>
    <s v="Manuel Walther"/>
    <m/>
  </r>
  <r>
    <x v="448"/>
    <x v="0"/>
    <x v="2"/>
    <s v="CLFF_1000$$$DE10E47200"/>
    <s v="G000000847"/>
    <s v="G000000847"/>
    <s v="LFF (MDG-F)"/>
    <s v="DE10E47200"/>
    <m/>
    <b v="1"/>
    <x v="0"/>
    <x v="0"/>
    <d v="2025-11-27T00:00:00"/>
    <m/>
    <m/>
    <x v="1"/>
    <n v="11"/>
    <s v="Manuel Walther"/>
    <m/>
  </r>
  <r>
    <x v="448"/>
    <x v="0"/>
    <x v="2"/>
    <s v="CLFF_1000$$$DE10F10600"/>
    <s v="G000000847"/>
    <s v="G000000847"/>
    <s v="LFF (MDG-F)"/>
    <s v="DE10F10600"/>
    <m/>
    <b v="1"/>
    <x v="0"/>
    <x v="0"/>
    <d v="2025-11-27T00:00:00"/>
    <m/>
    <m/>
    <x v="1"/>
    <n v="11"/>
    <s v="Manuel Walther"/>
    <m/>
  </r>
  <r>
    <x v="448"/>
    <x v="0"/>
    <x v="2"/>
    <s v="CLFF_1000$$$DE10F10900"/>
    <s v="G000000847"/>
    <s v="G000000847"/>
    <s v="LFF (MDG-F)"/>
    <s v="DE10F10900"/>
    <m/>
    <b v="1"/>
    <x v="0"/>
    <x v="0"/>
    <d v="2025-11-27T00:00:00"/>
    <m/>
    <m/>
    <x v="1"/>
    <n v="11"/>
    <s v="Manuel Walther"/>
    <m/>
  </r>
  <r>
    <x v="448"/>
    <x v="0"/>
    <x v="2"/>
    <s v="CLFF_1000$$$DE10F15400"/>
    <s v="G000000848"/>
    <s v="G000000848"/>
    <s v="LFF (MDG-F)"/>
    <s v="DE10F15400"/>
    <m/>
    <b v="1"/>
    <x v="0"/>
    <x v="0"/>
    <d v="2025-11-27T00:00:00"/>
    <m/>
    <m/>
    <x v="1"/>
    <n v="11"/>
    <s v="Manuel Walther"/>
    <m/>
  </r>
  <r>
    <x v="448"/>
    <x v="0"/>
    <x v="2"/>
    <s v="CLFF_1000$$$DE10F15410"/>
    <s v="G000000847"/>
    <s v="G000000847"/>
    <s v="LFF (MDG-F)"/>
    <s v="DE10F15410"/>
    <m/>
    <b v="1"/>
    <x v="0"/>
    <x v="0"/>
    <d v="2025-11-27T00:00:00"/>
    <m/>
    <m/>
    <x v="1"/>
    <n v="11"/>
    <s v="Manuel Walther"/>
    <m/>
  </r>
  <r>
    <x v="449"/>
    <x v="0"/>
    <x v="2"/>
    <s v="CLFF_1000$$$SG09OF0504 Customer Service &amp; Material Planning"/>
    <s v="P000001349"/>
    <s v="P000001349"/>
    <s v="LFF (MDG-F)"/>
    <s v="SG09OF0504"/>
    <s v="P000001349"/>
    <b v="1"/>
    <x v="3"/>
    <x v="0"/>
    <d v="2025-11-28T00:00:00"/>
    <m/>
    <m/>
    <x v="1"/>
    <n v="10"/>
    <s v="John Rowie Del Rosario"/>
    <m/>
  </r>
  <r>
    <x v="449"/>
    <x v="0"/>
    <x v="2"/>
    <s v="CLFF_1000$$$TW02OF0321 Customer Services"/>
    <s v="P000001349"/>
    <s v="P000001349"/>
    <s v="LFF (MDG-F)"/>
    <s v="TW02OF0321"/>
    <s v="P000001349"/>
    <b v="1"/>
    <x v="3"/>
    <x v="0"/>
    <d v="2025-11-28T00:00:00"/>
    <m/>
    <m/>
    <x v="1"/>
    <n v="10"/>
    <s v="John Rowie Del Rosario"/>
    <m/>
  </r>
  <r>
    <x v="449"/>
    <x v="0"/>
    <x v="2"/>
    <s v="CLFF_1000$$$TW02OF0322 Customer Service_Semiconductor"/>
    <s v="P000001349"/>
    <s v="P000001349"/>
    <s v="LFF (MDG-F)"/>
    <s v="TW02OF0322"/>
    <s v="P000001349"/>
    <b v="1"/>
    <x v="3"/>
    <x v="0"/>
    <d v="2025-11-28T00:00:00"/>
    <m/>
    <m/>
    <x v="1"/>
    <n v="10"/>
    <s v="John Rowie Del Rosario"/>
    <m/>
  </r>
  <r>
    <x v="449"/>
    <x v="0"/>
    <x v="2"/>
    <s v="CLFF_VMCA$$$SG10DB3305 Singapore Customer Service"/>
    <s v="P000001349"/>
    <s v="P000001349"/>
    <s v="LFF (MDG-F)"/>
    <s v="SG10DB3305"/>
    <s v="P000001349"/>
    <b v="1"/>
    <x v="3"/>
    <x v="0"/>
    <d v="2025-11-28T00:00:00"/>
    <m/>
    <m/>
    <x v="1"/>
    <n v="10"/>
    <s v="John Rowie Del Rosario"/>
    <m/>
  </r>
  <r>
    <x v="449"/>
    <x v="0"/>
    <x v="2"/>
    <s v="CLFF_VMCA$$$TW10DB3308 Taiwan Customer Service"/>
    <s v="P000001349"/>
    <s v="P000001349"/>
    <s v="LFF (MDG-F)"/>
    <s v="TW10DB3308"/>
    <s v="P000001349"/>
    <b v="1"/>
    <x v="3"/>
    <x v="0"/>
    <d v="2025-11-28T00:00:00"/>
    <m/>
    <m/>
    <x v="1"/>
    <n v="10"/>
    <s v="John Rowie Del Rosario"/>
    <m/>
  </r>
  <r>
    <x v="449"/>
    <x v="0"/>
    <x v="2"/>
    <s v="CLFF_1000$$$SG09TPX001 ACW 3PL Warehouse"/>
    <s v="P000001346"/>
    <s v="P000001346"/>
    <s v="LFF (MDG-F)"/>
    <s v="SG09TPX001"/>
    <s v="P000001346"/>
    <b v="1"/>
    <x v="3"/>
    <x v="0"/>
    <d v="2025-11-28T00:00:00"/>
    <m/>
    <m/>
    <x v="1"/>
    <n v="10"/>
    <s v="John Rowie Del Rosario"/>
    <m/>
  </r>
  <r>
    <x v="449"/>
    <x v="0"/>
    <x v="2"/>
    <s v="CLFF_VMCA$$$MY10DB3301 MY10 3PL Cylinder Storage"/>
    <s v="P000001346"/>
    <s v="P000001346"/>
    <s v="LFF (MDG-F)"/>
    <s v="MY10DB3301"/>
    <s v="P000001346"/>
    <b v="1"/>
    <x v="3"/>
    <x v="0"/>
    <d v="2025-11-28T00:00:00"/>
    <m/>
    <m/>
    <x v="1"/>
    <n v="10"/>
    <s v="John Rowie Del Rosario"/>
    <m/>
  </r>
  <r>
    <x v="449"/>
    <x v="0"/>
    <x v="2"/>
    <s v="CLFF_VMCA$$$SG10DB3300 Tuas Warehouse"/>
    <s v="P000001346"/>
    <s v="P000001346"/>
    <s v="LFF (MDG-F)"/>
    <s v="SG10DB3300"/>
    <s v="P000001346"/>
    <b v="1"/>
    <x v="3"/>
    <x v="0"/>
    <d v="2025-11-28T00:00:00"/>
    <m/>
    <m/>
    <x v="1"/>
    <n v="10"/>
    <s v="John Rowie Del Rosario"/>
    <m/>
  </r>
  <r>
    <x v="449"/>
    <x v="0"/>
    <x v="2"/>
    <s v="CLFF_VMCA$$$SG10DB3301 SG10 PTC 3PL Warehouse"/>
    <s v="P000001346"/>
    <s v="P000001346"/>
    <s v="LFF (MDG-F)"/>
    <s v="SG10DB3301"/>
    <s v="P000001346"/>
    <b v="1"/>
    <x v="3"/>
    <x v="0"/>
    <d v="2025-11-28T00:00:00"/>
    <m/>
    <m/>
    <x v="1"/>
    <n v="10"/>
    <s v="John Rowie Del Rosario"/>
    <m/>
  </r>
  <r>
    <x v="449"/>
    <x v="0"/>
    <x v="2"/>
    <s v="CLFF_VMCA$$$SG10DB3302 SG10 Asia Industrial Gases 3PL Warehouse"/>
    <s v="P000001346"/>
    <s v="P000001346"/>
    <s v="LFF (MDG-F)"/>
    <s v="SG10DB3302"/>
    <s v="P000001346"/>
    <b v="1"/>
    <x v="3"/>
    <x v="0"/>
    <d v="2025-11-28T00:00:00"/>
    <m/>
    <m/>
    <x v="1"/>
    <n v="10"/>
    <s v="John Rowie Del Rosario"/>
    <m/>
  </r>
  <r>
    <x v="449"/>
    <x v="0"/>
    <x v="2"/>
    <s v="CLFF_VMCA$$$TW10DB3303 Taichung Warehouse"/>
    <s v="P000001346"/>
    <s v="P000001346"/>
    <s v="LFF (MDG-F)"/>
    <s v="TW10DB3303"/>
    <s v="P000001346"/>
    <b v="1"/>
    <x v="3"/>
    <x v="0"/>
    <d v="2025-11-28T00:00:00"/>
    <m/>
    <m/>
    <x v="1"/>
    <n v="10"/>
    <s v="John Rowie Del Rosario"/>
    <m/>
  </r>
  <r>
    <x v="449"/>
    <x v="0"/>
    <x v="2"/>
    <s v="CLFF_VMCA$$$TW10DB3307 CTW Qionglin 3PL Warehouse"/>
    <s v="P000001346"/>
    <s v="P000001346"/>
    <s v="LFF (MDG-F)"/>
    <s v="TW10DB3307"/>
    <s v="P000001346"/>
    <b v="1"/>
    <x v="3"/>
    <x v="0"/>
    <d v="2025-11-28T00:00:00"/>
    <m/>
    <m/>
    <x v="1"/>
    <n v="10"/>
    <s v="John Rowie Del Rosario"/>
    <m/>
  </r>
  <r>
    <x v="449"/>
    <x v="0"/>
    <x v="2"/>
    <s v="CLFF_VMCA$$$TW10TQ1001 Tainan Rinchem 3PL Warehouse"/>
    <s v="P000001346"/>
    <s v="P000001346"/>
    <s v="LFF (MDG-F)"/>
    <s v="TW10TQ1001"/>
    <s v="P000001346"/>
    <b v="1"/>
    <x v="3"/>
    <x v="0"/>
    <d v="2025-11-28T00:00:00"/>
    <m/>
    <m/>
    <x v="1"/>
    <n v="10"/>
    <s v="John Rowie Del Rosario"/>
    <m/>
  </r>
  <r>
    <x v="449"/>
    <x v="0"/>
    <x v="2"/>
    <s v="CLFF_VMCA$$$TW10TQ1002 Hsinchu Leemark Logistics 3PL WH"/>
    <s v="P000001346"/>
    <s v="P000001346"/>
    <s v="LFF (MDG-F)"/>
    <s v="TW10TQ1002"/>
    <s v="P000001346"/>
    <b v="1"/>
    <x v="3"/>
    <x v="0"/>
    <d v="2025-11-28T00:00:00"/>
    <m/>
    <m/>
    <x v="1"/>
    <n v="10"/>
    <s v="John Rowie Del Rosario"/>
    <m/>
  </r>
  <r>
    <x v="449"/>
    <x v="0"/>
    <x v="2"/>
    <s v="CLFF_VMCA$$$TW10TQ1003"/>
    <s v="P000001346"/>
    <s v="P000001346"/>
    <s v="LFF (MDG-F)"/>
    <s v="TW10TQ1003"/>
    <s v="P000001346"/>
    <b v="1"/>
    <x v="3"/>
    <x v="0"/>
    <d v="2025-11-28T00:00:00"/>
    <m/>
    <m/>
    <x v="1"/>
    <n v="10"/>
    <s v="John Rowie Del Rosario"/>
    <m/>
  </r>
  <r>
    <x v="449"/>
    <x v="0"/>
    <x v="2"/>
    <s v="CLFF_VMCA$$$TW91DB3301 TW91 Tainan Warehouse"/>
    <s v="P000001346"/>
    <s v="P000001346"/>
    <s v="LFF (MDG-F)"/>
    <s v="TW91DB3301"/>
    <s v="P000001346"/>
    <b v="1"/>
    <x v="3"/>
    <x v="0"/>
    <d v="2025-11-28T00:00:00"/>
    <m/>
    <m/>
    <x v="1"/>
    <n v="10"/>
    <s v="John Rowie Del Rosario"/>
    <m/>
  </r>
  <r>
    <x v="449"/>
    <x v="0"/>
    <x v="2"/>
    <s v="CLFF_VMCA$$$TW91TQ1001 CTW Qionglin Warehouse"/>
    <s v="P000001346"/>
    <s v="P000001346"/>
    <s v="LFF (MDG-F)"/>
    <s v="TW91TQ1001"/>
    <s v="P000001346"/>
    <b v="1"/>
    <x v="3"/>
    <x v="0"/>
    <d v="2025-11-28T00:00:00"/>
    <m/>
    <m/>
    <x v="1"/>
    <n v="10"/>
    <s v="John Rowie Del Rosario"/>
    <m/>
  </r>
  <r>
    <x v="449"/>
    <x v="0"/>
    <x v="2"/>
    <s v="CLFF_VMCA$$$TW91TQ1002 Sanfu Chemical Warehouse"/>
    <s v="P000001346"/>
    <s v="P000001346"/>
    <s v="LFF (MDG-F)"/>
    <s v="TW91TQ1002"/>
    <s v="P000001346"/>
    <b v="1"/>
    <x v="3"/>
    <x v="0"/>
    <d v="2025-11-28T00:00:00"/>
    <m/>
    <m/>
    <x v="1"/>
    <n v="10"/>
    <s v="John Rowie Del Rosario"/>
    <m/>
  </r>
  <r>
    <x v="449"/>
    <x v="0"/>
    <x v="2"/>
    <s v="CLFF_VMCA$$$MY10TQ1000"/>
    <s v="P000001346"/>
    <s v="P000001346"/>
    <s v="LFF (MDG-F)"/>
    <s v="MY10TQ1000"/>
    <s v="P000001346"/>
    <b v="1"/>
    <x v="3"/>
    <x v="0"/>
    <d v="2025-11-28T00:00:00"/>
    <m/>
    <m/>
    <x v="1"/>
    <n v="10"/>
    <s v="John Rowie Del Rosario"/>
    <m/>
  </r>
  <r>
    <x v="449"/>
    <x v="0"/>
    <x v="4"/>
    <s v="CLFF_VMCA$$$SG10TQ1001"/>
    <s v="P000001346"/>
    <n v="0"/>
    <s v="LFF (MDG-F)"/>
    <s v="SG10TQ1001"/>
    <s v="P000001346"/>
    <b v="0"/>
    <x v="3"/>
    <x v="0"/>
    <d v="2025-11-28T00:00:00"/>
    <m/>
    <m/>
    <x v="1"/>
    <n v="10"/>
    <s v="John Rowie Del Rosario"/>
    <m/>
  </r>
  <r>
    <x v="449"/>
    <x v="0"/>
    <x v="4"/>
    <s v="CLFF_VMCA$$$SG10TQ1002"/>
    <s v="P000001346"/>
    <n v="0"/>
    <s v="LFF (MDG-F)"/>
    <s v="SG10TQ1002"/>
    <s v="P000001346"/>
    <b v="0"/>
    <x v="3"/>
    <x v="0"/>
    <d v="2025-11-28T00:00:00"/>
    <m/>
    <m/>
    <x v="1"/>
    <n v="10"/>
    <s v="John Rowie Del Rosario"/>
    <m/>
  </r>
  <r>
    <x v="449"/>
    <x v="0"/>
    <x v="4"/>
    <s v="CLFF_VMCA$$$SG10TQ1003"/>
    <s v="P000001346"/>
    <n v="0"/>
    <s v="LFF (MDG-F)"/>
    <s v="SG10TQ1003"/>
    <s v="P000001346"/>
    <b v="0"/>
    <x v="3"/>
    <x v="0"/>
    <d v="2025-11-28T00:00:00"/>
    <m/>
    <m/>
    <x v="1"/>
    <n v="10"/>
    <s v="John Rowie Del Rosario"/>
    <m/>
  </r>
  <r>
    <x v="449"/>
    <x v="0"/>
    <x v="2"/>
    <s v="CLFF_1000$$$TW02TPHZ06"/>
    <s v="P000001346"/>
    <s v="P000001346"/>
    <s v="LFF (MDG-F)"/>
    <s v="TW02TPHZ06"/>
    <s v="P000001346"/>
    <b v="1"/>
    <x v="3"/>
    <x v="0"/>
    <d v="2025-11-28T00:00:00"/>
    <m/>
    <m/>
    <x v="1"/>
    <n v="10"/>
    <s v="John Rowie Del Rosario"/>
    <m/>
  </r>
  <r>
    <x v="449"/>
    <x v="0"/>
    <x v="2"/>
    <s v="CLFF_VMCA$$$TW10TQ1004"/>
    <s v="P000001346"/>
    <s v="P000001346"/>
    <s v="LFF (MDG-F)"/>
    <s v="TW10TQ1004"/>
    <s v="P000001346"/>
    <b v="1"/>
    <x v="3"/>
    <x v="0"/>
    <d v="2025-11-28T00:00:00"/>
    <m/>
    <m/>
    <x v="1"/>
    <n v="10"/>
    <s v="John Rowie Del Rosario"/>
    <m/>
  </r>
  <r>
    <x v="449"/>
    <x v="0"/>
    <x v="2"/>
    <s v="CLFF_VMCA$$$TW10TQ1005"/>
    <s v="P000001346"/>
    <s v="P000001346"/>
    <s v="LFF (MDG-F)"/>
    <s v="TW10TQ1005"/>
    <s v="P000001346"/>
    <b v="1"/>
    <x v="3"/>
    <x v="0"/>
    <d v="2025-11-28T00:00:00"/>
    <m/>
    <m/>
    <x v="1"/>
    <n v="10"/>
    <s v="John Rowie Del Rosario"/>
    <m/>
  </r>
  <r>
    <x v="449"/>
    <x v="0"/>
    <x v="2"/>
    <s v="CLFF_VMCA$$$TW10TQ1006"/>
    <s v="P000001346"/>
    <s v="P000001346"/>
    <s v="LFF (MDG-F)"/>
    <s v="TW10TQ1006"/>
    <s v="P000001346"/>
    <b v="1"/>
    <x v="3"/>
    <x v="0"/>
    <d v="2025-11-28T00:00:00"/>
    <m/>
    <m/>
    <x v="1"/>
    <n v="10"/>
    <s v="John Rowie Del Rosario"/>
    <m/>
  </r>
  <r>
    <x v="449"/>
    <x v="0"/>
    <x v="2"/>
    <s v="CLFF_1000$$$SG09TPX003 Outbound Freight"/>
    <s v="P000001344"/>
    <s v="P000001344"/>
    <s v="LFF (MDG-F)"/>
    <s v="SG09TPX003"/>
    <s v="P000001344"/>
    <b v="1"/>
    <x v="3"/>
    <x v="0"/>
    <d v="2025-11-28T00:00:00"/>
    <m/>
    <m/>
    <x v="1"/>
    <n v="10"/>
    <s v="John Rowie Del Rosario"/>
    <m/>
  </r>
  <r>
    <x v="449"/>
    <x v="0"/>
    <x v="2"/>
    <s v="CLFF_1000$$$TW02TPHZ21 Outbound freight_PMD_Hsinchu"/>
    <s v="P000001344"/>
    <s v="P000001344"/>
    <s v="LFF (MDG-F)"/>
    <s v="TW02TPHZ21"/>
    <s v="P000001344"/>
    <b v="1"/>
    <x v="3"/>
    <x v="0"/>
    <d v="2025-11-28T00:00:00"/>
    <m/>
    <m/>
    <x v="1"/>
    <n v="10"/>
    <s v="John Rowie Del Rosario"/>
    <m/>
  </r>
  <r>
    <x v="449"/>
    <x v="0"/>
    <x v="2"/>
    <s v="CLFF_1000$$$TW02TPHZ22 Outbound freight_PMI_Hsinchu"/>
    <s v="P000001344"/>
    <s v="P000001344"/>
    <s v="LFF (MDG-F)"/>
    <s v="TW02TPHZ22"/>
    <s v="P000001344"/>
    <b v="1"/>
    <x v="3"/>
    <x v="0"/>
    <d v="2025-11-28T00:00:00"/>
    <m/>
    <m/>
    <x v="1"/>
    <n v="10"/>
    <s v="John Rowie Del Rosario"/>
    <m/>
  </r>
  <r>
    <x v="449"/>
    <x v="0"/>
    <x v="2"/>
    <s v="CLFF_1000$$$TW02TPHZ23 Outbound freight_Asia Hub"/>
    <s v="P000001344"/>
    <s v="P000001344"/>
    <s v="LFF (MDG-F)"/>
    <s v="TW02TPHZ23"/>
    <s v="P000001344"/>
    <b v="1"/>
    <x v="3"/>
    <x v="0"/>
    <d v="2025-11-28T00:00:00"/>
    <m/>
    <m/>
    <x v="1"/>
    <n v="10"/>
    <s v="John Rowie Del Rosario"/>
    <m/>
  </r>
  <r>
    <x v="449"/>
    <x v="0"/>
    <x v="2"/>
    <s v="CLFF_1000$$$TW02TPTA21 Outbound freight_PMD_Taoyuan"/>
    <s v="P000001344"/>
    <s v="P000001344"/>
    <s v="LFF (MDG-F)"/>
    <s v="TW02TPTA21"/>
    <s v="P000001344"/>
    <b v="1"/>
    <x v="3"/>
    <x v="0"/>
    <d v="2025-11-28T00:00:00"/>
    <m/>
    <m/>
    <x v="1"/>
    <n v="10"/>
    <s v="John Rowie Del Rosario"/>
    <m/>
  </r>
  <r>
    <x v="449"/>
    <x v="0"/>
    <x v="2"/>
    <s v="CLFF_1000$$$TW02TPTA22 Outbound freight_PMA_Taoyuan"/>
    <s v="P000001344"/>
    <s v="P000001344"/>
    <s v="LFF (MDG-F)"/>
    <s v="TW02TPTA22"/>
    <s v="P000001344"/>
    <b v="1"/>
    <x v="3"/>
    <x v="0"/>
    <d v="2025-11-28T00:00:00"/>
    <m/>
    <m/>
    <x v="1"/>
    <n v="10"/>
    <s v="John Rowie Del Rosario"/>
    <m/>
  </r>
  <r>
    <x v="449"/>
    <x v="0"/>
    <x v="2"/>
    <s v="CLFF_1000$$$TW03TQKZ22 Outbound freight_PMI_Kaohsiung"/>
    <s v="P000001344"/>
    <s v="P000001344"/>
    <s v="LFF (MDG-F)"/>
    <s v="TW03TQKZ22"/>
    <s v="P000001344"/>
    <b v="1"/>
    <x v="3"/>
    <x v="0"/>
    <d v="2025-11-28T00:00:00"/>
    <m/>
    <m/>
    <x v="1"/>
    <n v="10"/>
    <s v="John Rowie Del Rosario"/>
    <m/>
  </r>
  <r>
    <x v="449"/>
    <x v="0"/>
    <x v="2"/>
    <s v="CLFF_1000$$$SG09TPX004 SG09 Customer Fulfillment Admin Mgmt"/>
    <s v="P000001347"/>
    <s v="P000001347"/>
    <s v="LFF (MDG-F)"/>
    <s v="SG09TPX004"/>
    <s v="P000001347"/>
    <b v="1"/>
    <x v="3"/>
    <x v="0"/>
    <d v="2025-11-28T00:00:00"/>
    <m/>
    <m/>
    <x v="1"/>
    <n v="10"/>
    <s v="John Rowie Del Rosario"/>
    <m/>
  </r>
  <r>
    <x v="449"/>
    <x v="0"/>
    <x v="2"/>
    <s v="CLFF_1000$$$TW02TQMZ02 Transportation Management"/>
    <s v="P000001347"/>
    <s v="P000001347"/>
    <s v="LFF (MDG-F)"/>
    <s v="TW02TQMZ02"/>
    <s v="P000001347"/>
    <b v="1"/>
    <x v="3"/>
    <x v="0"/>
    <d v="2025-11-28T00:00:00"/>
    <m/>
    <m/>
    <x v="1"/>
    <n v="10"/>
    <s v="John Rowie Del Rosario"/>
    <m/>
  </r>
  <r>
    <x v="449"/>
    <x v="0"/>
    <x v="2"/>
    <s v="CLFF_1000$$$TW03TQKZ12 Transportation Management"/>
    <s v="P000001347"/>
    <s v="P000001347"/>
    <s v="LFF (MDG-F)"/>
    <s v="TW03TQKZ12"/>
    <s v="P000001347"/>
    <b v="1"/>
    <x v="3"/>
    <x v="0"/>
    <d v="2025-11-28T00:00:00"/>
    <m/>
    <m/>
    <x v="1"/>
    <n v="10"/>
    <s v="John Rowie Del Rosario"/>
    <m/>
  </r>
  <r>
    <x v="449"/>
    <x v="0"/>
    <x v="2"/>
    <s v="CLFF_VMCA$$$MY10DB3300 Malaysia DIstribution"/>
    <s v="P000001347"/>
    <s v="P000001347"/>
    <s v="LFF (MDG-F)"/>
    <s v="MY10DB3300"/>
    <s v="P000001347"/>
    <b v="1"/>
    <x v="3"/>
    <x v="0"/>
    <d v="2025-11-28T00:00:00"/>
    <m/>
    <m/>
    <x v="1"/>
    <n v="10"/>
    <s v="John Rowie Del Rosario"/>
    <m/>
  </r>
  <r>
    <x v="449"/>
    <x v="0"/>
    <x v="2"/>
    <s v="CLFF_VMCA$$$SG10TM3000 SG10 Customer Fulfillment Admin Mgmt"/>
    <s v="P000001347"/>
    <s v="P000001347"/>
    <s v="LFF (MDG-F)"/>
    <s v="SG10TM3000"/>
    <s v="P000001347"/>
    <b v="1"/>
    <x v="3"/>
    <x v="0"/>
    <d v="2025-11-28T00:00:00"/>
    <m/>
    <m/>
    <x v="1"/>
    <n v="10"/>
    <s v="John Rowie Del Rosario"/>
    <m/>
  </r>
  <r>
    <x v="449"/>
    <x v="0"/>
    <x v="2"/>
    <s v="CLFF_VMCA$$$TW10DB3300 TW Transportation Management"/>
    <s v="P000001347"/>
    <s v="P000001347"/>
    <s v="LFF (MDG-F)"/>
    <s v="TW10DB3300"/>
    <s v="P000001347"/>
    <b v="1"/>
    <x v="3"/>
    <x v="0"/>
    <d v="2025-11-28T00:00:00"/>
    <m/>
    <m/>
    <x v="1"/>
    <n v="10"/>
    <s v="John Rowie Del Rosario"/>
    <m/>
  </r>
  <r>
    <x v="449"/>
    <x v="0"/>
    <x v="2"/>
    <s v="CLFF_VMCA$$$TW10DB3301 TW10 Customs/Duties Spec Gas"/>
    <s v="P000001348"/>
    <s v="P000001348"/>
    <s v="LFF (MDG-F)"/>
    <s v="TW10DB3301"/>
    <s v="P000001348"/>
    <b v="1"/>
    <x v="3"/>
    <x v="0"/>
    <d v="2025-11-28T00:00:00"/>
    <m/>
    <m/>
    <x v="1"/>
    <n v="10"/>
    <s v="John Rowie Del Rosario"/>
    <m/>
  </r>
  <r>
    <x v="449"/>
    <x v="0"/>
    <x v="2"/>
    <s v="CLFF_VMCA$$$TW10DB3305 AM Transportation"/>
    <s v="P000001348"/>
    <s v="P000001348"/>
    <s v="LFF (MDG-F)"/>
    <s v="TW10DB3305"/>
    <s v="P000001348"/>
    <b v="1"/>
    <x v="3"/>
    <x v="0"/>
    <d v="2025-11-28T00:00:00"/>
    <m/>
    <m/>
    <x v="1"/>
    <n v="10"/>
    <s v="John Rowie Del Rosario"/>
    <m/>
  </r>
  <r>
    <x v="449"/>
    <x v="0"/>
    <x v="2"/>
    <s v="CLFF_VMCA$$$MY10TM4000"/>
    <s v="P000001348"/>
    <s v="P000001348"/>
    <s v="LFF (MDG-F)"/>
    <s v="MY10TM4000"/>
    <s v="P000001348"/>
    <b v="1"/>
    <x v="3"/>
    <x v="0"/>
    <d v="2025-11-28T00:00:00"/>
    <m/>
    <m/>
    <x v="1"/>
    <n v="10"/>
    <s v="John Rowie Del Rosario"/>
    <m/>
  </r>
  <r>
    <x v="449"/>
    <x v="0"/>
    <x v="2"/>
    <s v="CLFF_VMCA$$$SG10TM4000"/>
    <s v="P000001348"/>
    <s v="P000001348"/>
    <s v="LFF (MDG-F)"/>
    <s v="SG10TM4000"/>
    <s v="P000001348"/>
    <b v="1"/>
    <x v="3"/>
    <x v="0"/>
    <d v="2025-11-28T00:00:00"/>
    <m/>
    <m/>
    <x v="1"/>
    <n v="10"/>
    <s v="John Rowie Del Rosario"/>
    <m/>
  </r>
  <r>
    <x v="449"/>
    <x v="0"/>
    <x v="2"/>
    <s v="CLFF_VMCA$$$TW10TM4001"/>
    <s v="P000001348"/>
    <s v="P000001348"/>
    <s v="LFF (MDG-F)"/>
    <s v="TW10TM4001"/>
    <s v="P000001348"/>
    <b v="1"/>
    <x v="3"/>
    <x v="0"/>
    <d v="2025-11-28T00:00:00"/>
    <m/>
    <m/>
    <x v="1"/>
    <n v="10"/>
    <s v="John Rowie Del Rosario"/>
    <m/>
  </r>
  <r>
    <x v="449"/>
    <x v="0"/>
    <x v="2"/>
    <s v="CLFF_VMCA$$$TW10TM4002"/>
    <s v="P000001348"/>
    <s v="P000001348"/>
    <s v="LFF (MDG-F)"/>
    <s v="TW10TM4002"/>
    <s v="P000001348"/>
    <b v="1"/>
    <x v="3"/>
    <x v="0"/>
    <d v="2025-11-28T00:00:00"/>
    <m/>
    <m/>
    <x v="1"/>
    <n v="10"/>
    <s v="John Rowie Del Rosario"/>
    <m/>
  </r>
  <r>
    <x v="449"/>
    <x v="0"/>
    <x v="2"/>
    <s v="CLFF_VMCA$$$TW91TM4000"/>
    <s v="P000001348"/>
    <s v="P000001348"/>
    <s v="LFF (MDG-F)"/>
    <s v="TW91TM4000"/>
    <s v="P000001348"/>
    <b v="1"/>
    <x v="3"/>
    <x v="0"/>
    <d v="2025-11-28T00:00:00"/>
    <m/>
    <m/>
    <x v="1"/>
    <n v="10"/>
    <s v="John Rowie Del Rosario"/>
    <m/>
  </r>
  <r>
    <x v="449"/>
    <x v="0"/>
    <x v="2"/>
    <s v="CLFF_VMCA$$$TW91TM4001"/>
    <s v="P000001348"/>
    <s v="P000001348"/>
    <s v="LFF (MDG-F)"/>
    <s v="TW91TM4001"/>
    <s v="P000001348"/>
    <b v="1"/>
    <x v="3"/>
    <x v="0"/>
    <d v="2025-11-28T00:00:00"/>
    <m/>
    <m/>
    <x v="1"/>
    <n v="10"/>
    <s v="John Rowie Del Rosario"/>
    <m/>
  </r>
  <r>
    <x v="449"/>
    <x v="0"/>
    <x v="2"/>
    <s v="CLFF_VMCA$$$TW91TM4002"/>
    <s v="P000001348"/>
    <s v="P000001348"/>
    <s v="LFF (MDG-F)"/>
    <s v="TW91TM4002"/>
    <s v="P000001348"/>
    <b v="1"/>
    <x v="3"/>
    <x v="0"/>
    <d v="2025-11-28T00:00:00"/>
    <m/>
    <m/>
    <x v="1"/>
    <n v="10"/>
    <s v="John Rowie Del Rosario"/>
    <m/>
  </r>
  <r>
    <x v="449"/>
    <x v="0"/>
    <x v="2"/>
    <s v="CLFF_VMCA$$$SG10TM2000"/>
    <s v="P000001344"/>
    <s v="P000001344"/>
    <s v="LFF (MDG-F)"/>
    <s v="SG10TM2000"/>
    <s v="P000001344"/>
    <b v="1"/>
    <x v="3"/>
    <x v="0"/>
    <d v="2025-11-28T00:00:00"/>
    <m/>
    <m/>
    <x v="1"/>
    <n v="10"/>
    <s v="John Rowie Del Rosario"/>
    <m/>
  </r>
  <r>
    <x v="449"/>
    <x v="0"/>
    <x v="2"/>
    <s v="CLFF_1000$$$JP02C0M111 Customer Service Display and Semi"/>
    <s v="P000001355"/>
    <s v="P000001355"/>
    <s v="LFF (MDG-F)"/>
    <s v="JP02C0M111"/>
    <s v="P000001355"/>
    <b v="1"/>
    <x v="3"/>
    <x v="0"/>
    <d v="2025-11-28T00:00:00"/>
    <m/>
    <m/>
    <x v="1"/>
    <n v="10"/>
    <s v="John Rowie Del Rosario"/>
    <m/>
  </r>
  <r>
    <x v="449"/>
    <x v="0"/>
    <x v="2"/>
    <s v="CLFF_KR00$$$KR03OF0303 Customer Service"/>
    <s v="P000001355"/>
    <s v="P000001355"/>
    <s v="LFF (MDG-F)"/>
    <s v="KR03OF0303"/>
    <s v="P000001355"/>
    <b v="1"/>
    <x v="3"/>
    <x v="0"/>
    <d v="2025-11-28T00:00:00"/>
    <m/>
    <m/>
    <x v="1"/>
    <n v="10"/>
    <s v="John Rowie Del Rosario"/>
    <m/>
  </r>
  <r>
    <x v="449"/>
    <x v="0"/>
    <x v="2"/>
    <s v="CLFF_VMCA$$$KR07DB3310 Korea Customer Service"/>
    <s v="P000001355"/>
    <s v="P000001355"/>
    <s v="LFF (MDG-F)"/>
    <s v="KR07DB3310"/>
    <s v="P000001355"/>
    <b v="1"/>
    <x v="3"/>
    <x v="0"/>
    <d v="2025-11-28T00:00:00"/>
    <m/>
    <m/>
    <x v="1"/>
    <n v="10"/>
    <s v="John Rowie Del Rosario"/>
    <m/>
  </r>
  <r>
    <x v="449"/>
    <x v="0"/>
    <x v="2"/>
    <s v="CLFF_1000$$$JP02TQAZ01 Atsugi DC"/>
    <s v="P000001352"/>
    <s v="P000001352"/>
    <s v="LFF (MDG-F)"/>
    <s v="JP02TQAZ01"/>
    <s v="P000001352"/>
    <b v="1"/>
    <x v="3"/>
    <x v="0"/>
    <d v="2025-11-28T00:00:00"/>
    <m/>
    <m/>
    <x v="1"/>
    <n v="10"/>
    <s v="John Rowie Del Rosario"/>
    <m/>
  </r>
  <r>
    <x v="449"/>
    <x v="0"/>
    <x v="2"/>
    <s v="CLFF_1000$$$JP02TQSZ01 Shizuoka DC"/>
    <s v="P000001352"/>
    <s v="P000001352"/>
    <s v="LFF (MDG-F)"/>
    <s v="JP02TQSZ01"/>
    <s v="P000001352"/>
    <b v="1"/>
    <x v="3"/>
    <x v="0"/>
    <d v="2025-11-28T00:00:00"/>
    <m/>
    <m/>
    <x v="1"/>
    <n v="10"/>
    <s v="John Rowie Del Rosario"/>
    <m/>
  </r>
  <r>
    <x v="449"/>
    <x v="0"/>
    <x v="2"/>
    <s v="CLFF_KR00$$$KR03TPPZ14 W/H Expense from MEM"/>
    <s v="P000001352"/>
    <s v="P000001352"/>
    <s v="LFF (MDG-F)"/>
    <s v="KR03TPPZ14"/>
    <s v="P000001352"/>
    <b v="1"/>
    <x v="3"/>
    <x v="0"/>
    <d v="2025-11-28T00:00:00"/>
    <m/>
    <m/>
    <x v="1"/>
    <n v="10"/>
    <s v="John Rowie Del Rosario"/>
    <m/>
  </r>
  <r>
    <x v="449"/>
    <x v="0"/>
    <x v="2"/>
    <s v="CLFF_VMCA$$$KR07DB3306 AM Warehouse/3PL"/>
    <s v="P000001352"/>
    <s v="P000001352"/>
    <s v="LFF (MDG-F)"/>
    <s v="KR07DB3306"/>
    <s v="P000001352"/>
    <b v="1"/>
    <x v="3"/>
    <x v="0"/>
    <d v="2025-11-28T00:00:00"/>
    <m/>
    <m/>
    <x v="1"/>
    <n v="10"/>
    <s v="John Rowie Del Rosario"/>
    <m/>
  </r>
  <r>
    <x v="449"/>
    <x v="0"/>
    <x v="2"/>
    <s v="CLFF_VMCA$$$KR07DB3308 PM 3PL Warehouse"/>
    <s v="P000001352"/>
    <s v="P000001352"/>
    <s v="LFF (MDG-F)"/>
    <s v="KR07DB3308"/>
    <s v="P000001352"/>
    <b v="1"/>
    <x v="3"/>
    <x v="0"/>
    <d v="2025-11-28T00:00:00"/>
    <m/>
    <m/>
    <x v="1"/>
    <n v="10"/>
    <s v="John Rowie Del Rosario"/>
    <m/>
  </r>
  <r>
    <x v="449"/>
    <x v="0"/>
    <x v="2"/>
    <s v="CLFF_VMCA$$$KR15DB3301 Ulsan NH3 Distribution"/>
    <s v="P000001352"/>
    <s v="P000001352"/>
    <s v="LFF (MDG-F)"/>
    <s v="KR15DB3301"/>
    <s v="P000001352"/>
    <b v="1"/>
    <x v="3"/>
    <x v="0"/>
    <d v="2025-11-28T00:00:00"/>
    <m/>
    <m/>
    <x v="1"/>
    <n v="10"/>
    <s v="John Rowie Del Rosario"/>
    <m/>
  </r>
  <r>
    <x v="449"/>
    <x v="0"/>
    <x v="2"/>
    <s v="CLFF_1000$$$JP02TQ1001"/>
    <s v="P000001352"/>
    <s v="P000001352"/>
    <s v="LFF (MDG-F)"/>
    <s v="JP02TQ1001"/>
    <s v="P000001352"/>
    <b v="1"/>
    <x v="3"/>
    <x v="0"/>
    <d v="2025-11-28T00:00:00"/>
    <m/>
    <m/>
    <x v="1"/>
    <n v="10"/>
    <s v="John Rowie Del Rosario"/>
    <m/>
  </r>
  <r>
    <x v="449"/>
    <x v="0"/>
    <x v="2"/>
    <s v="CLFF_1000$$$JP02TQ1002"/>
    <s v="P000001352"/>
    <s v="P000001352"/>
    <s v="LFF (MDG-F)"/>
    <s v="JP02TQ1002"/>
    <s v="P000001352"/>
    <b v="1"/>
    <x v="3"/>
    <x v="0"/>
    <d v="2025-11-28T00:00:00"/>
    <m/>
    <m/>
    <x v="1"/>
    <n v="10"/>
    <s v="John Rowie Del Rosario"/>
    <m/>
  </r>
  <r>
    <x v="449"/>
    <x v="0"/>
    <x v="2"/>
    <s v="CLFF_1000$$$JP02TQ1003"/>
    <s v="P000001352"/>
    <s v="P000001352"/>
    <s v="LFF (MDG-F)"/>
    <s v="JP02TQ1003"/>
    <s v="P000001352"/>
    <b v="1"/>
    <x v="3"/>
    <x v="0"/>
    <d v="2025-11-28T00:00:00"/>
    <m/>
    <m/>
    <x v="1"/>
    <n v="10"/>
    <s v="John Rowie Del Rosario"/>
    <m/>
  </r>
  <r>
    <x v="449"/>
    <x v="0"/>
    <x v="2"/>
    <s v="CLFF_1000$$$JP02TQ1004"/>
    <s v="P000001352"/>
    <s v="P000001352"/>
    <s v="LFF (MDG-F)"/>
    <s v="JP02TQ1004"/>
    <s v="P000001352"/>
    <b v="1"/>
    <x v="3"/>
    <x v="0"/>
    <d v="2025-11-28T00:00:00"/>
    <m/>
    <m/>
    <x v="1"/>
    <n v="10"/>
    <s v="John Rowie Del Rosario"/>
    <m/>
  </r>
  <r>
    <x v="449"/>
    <x v="0"/>
    <x v="2"/>
    <s v="CLFF_1000$$$JP02TQ1005"/>
    <s v="P000001352"/>
    <s v="P000001352"/>
    <s v="LFF (MDG-F)"/>
    <s v="JP02TQ1005"/>
    <s v="P000001352"/>
    <b v="1"/>
    <x v="3"/>
    <x v="0"/>
    <d v="2025-11-28T00:00:00"/>
    <m/>
    <m/>
    <x v="1"/>
    <n v="10"/>
    <s v="John Rowie Del Rosario"/>
    <m/>
  </r>
  <r>
    <x v="449"/>
    <x v="0"/>
    <x v="2"/>
    <s v="CLFF_1000$$$JP02TQ1006"/>
    <s v="P000001352"/>
    <s v="P000001352"/>
    <s v="LFF (MDG-F)"/>
    <s v="JP02TQ1006"/>
    <s v="P000001352"/>
    <b v="1"/>
    <x v="3"/>
    <x v="0"/>
    <d v="2025-11-28T00:00:00"/>
    <m/>
    <m/>
    <x v="1"/>
    <n v="10"/>
    <s v="John Rowie Del Rosario"/>
    <m/>
  </r>
  <r>
    <x v="449"/>
    <x v="0"/>
    <x v="2"/>
    <s v="CLFF_1000$$$JP02TQ1007"/>
    <s v="P000001352"/>
    <s v="P000001352"/>
    <s v="LFF (MDG-F)"/>
    <s v="JP02TQ1007"/>
    <s v="P000001352"/>
    <b v="1"/>
    <x v="3"/>
    <x v="0"/>
    <d v="2025-11-28T00:00:00"/>
    <m/>
    <m/>
    <x v="1"/>
    <n v="10"/>
    <s v="John Rowie Del Rosario"/>
    <m/>
  </r>
  <r>
    <x v="449"/>
    <x v="0"/>
    <x v="2"/>
    <s v="CLFF_1000$$$JP02TQ1008"/>
    <s v="P000001352"/>
    <s v="P000001352"/>
    <s v="LFF (MDG-F)"/>
    <s v="JP02TQ1008"/>
    <s v="P000001352"/>
    <b v="1"/>
    <x v="3"/>
    <x v="0"/>
    <d v="2025-11-28T00:00:00"/>
    <m/>
    <m/>
    <x v="1"/>
    <n v="10"/>
    <s v="John Rowie Del Rosario"/>
    <m/>
  </r>
  <r>
    <x v="449"/>
    <x v="0"/>
    <x v="2"/>
    <s v="CLFF_1000$$$JP02TQ1009"/>
    <s v="P000001352"/>
    <s v="P000001352"/>
    <s v="LFF (MDG-F)"/>
    <s v="JP02TQ1009"/>
    <s v="P000001352"/>
    <b v="1"/>
    <x v="3"/>
    <x v="0"/>
    <d v="2025-11-28T00:00:00"/>
    <m/>
    <m/>
    <x v="1"/>
    <n v="10"/>
    <s v="John Rowie Del Rosario"/>
    <m/>
  </r>
  <r>
    <x v="449"/>
    <x v="0"/>
    <x v="2"/>
    <s v="CLFF_1000$$$JP02TQ1010"/>
    <s v="P000001352"/>
    <s v="P000001352"/>
    <s v="LFF (MDG-F)"/>
    <s v="JP02TQ1010"/>
    <s v="P000001352"/>
    <b v="1"/>
    <x v="3"/>
    <x v="0"/>
    <d v="2025-11-28T00:00:00"/>
    <m/>
    <m/>
    <x v="1"/>
    <n v="10"/>
    <s v="John Rowie Del Rosario"/>
    <m/>
  </r>
  <r>
    <x v="449"/>
    <x v="0"/>
    <x v="2"/>
    <s v="CLFF_1000$$$JP02TQ1011"/>
    <s v="P000001352"/>
    <s v="P000001352"/>
    <s v="LFF (MDG-F)"/>
    <s v="JP02TQ1011"/>
    <s v="P000001352"/>
    <b v="1"/>
    <x v="3"/>
    <x v="0"/>
    <d v="2025-11-28T00:00:00"/>
    <m/>
    <m/>
    <x v="1"/>
    <n v="10"/>
    <s v="John Rowie Del Rosario"/>
    <m/>
  </r>
  <r>
    <x v="449"/>
    <x v="0"/>
    <x v="2"/>
    <s v="CLFF_1000$$$JP02TQ1012"/>
    <s v="P000001352"/>
    <s v="P000001352"/>
    <s v="LFF (MDG-F)"/>
    <s v="JP02TQ1012"/>
    <s v="P000001352"/>
    <b v="1"/>
    <x v="3"/>
    <x v="0"/>
    <d v="2025-11-28T00:00:00"/>
    <m/>
    <m/>
    <x v="1"/>
    <n v="10"/>
    <s v="John Rowie Del Rosario"/>
    <m/>
  </r>
  <r>
    <x v="449"/>
    <x v="0"/>
    <x v="2"/>
    <s v="CLFF_1000$$$JP02TQ1013"/>
    <s v="P000001352"/>
    <s v="P000001352"/>
    <s v="LFF (MDG-F)"/>
    <s v="JP02TQ1013"/>
    <s v="P000001352"/>
    <b v="1"/>
    <x v="3"/>
    <x v="0"/>
    <d v="2025-11-28T00:00:00"/>
    <m/>
    <m/>
    <x v="1"/>
    <n v="10"/>
    <s v="John Rowie Del Rosario"/>
    <m/>
  </r>
  <r>
    <x v="449"/>
    <x v="0"/>
    <x v="2"/>
    <s v="CLFF_1000$$$JP02TQ1014"/>
    <s v="P000001352"/>
    <s v="P000001352"/>
    <s v="LFF (MDG-F)"/>
    <s v="JP02TQ1014"/>
    <s v="P000001352"/>
    <b v="1"/>
    <x v="3"/>
    <x v="0"/>
    <d v="2025-11-28T00:00:00"/>
    <m/>
    <m/>
    <x v="1"/>
    <n v="10"/>
    <s v="John Rowie Del Rosario"/>
    <m/>
  </r>
  <r>
    <x v="449"/>
    <x v="0"/>
    <x v="2"/>
    <s v="CLFF_1000$$$KR02TQ1000"/>
    <s v="P000001352"/>
    <s v="P000001352"/>
    <s v="LFF (MDG-F)"/>
    <s v="KR02TQ1000"/>
    <s v="P000001352"/>
    <b v="1"/>
    <x v="3"/>
    <x v="0"/>
    <d v="2025-11-28T00:00:00"/>
    <m/>
    <m/>
    <x v="1"/>
    <n v="10"/>
    <s v="John Rowie Del Rosario"/>
    <m/>
  </r>
  <r>
    <x v="449"/>
    <x v="0"/>
    <x v="2"/>
    <s v="CLFF_KR00$$$KR03TQ1011"/>
    <s v="P000001352"/>
    <s v="P000001352"/>
    <s v="LFF (MDG-F)"/>
    <s v="KR03TQ1011"/>
    <s v="P000001352"/>
    <b v="1"/>
    <x v="3"/>
    <x v="0"/>
    <d v="2025-11-28T00:00:00"/>
    <m/>
    <m/>
    <x v="1"/>
    <n v="10"/>
    <s v="John Rowie Del Rosario"/>
    <m/>
  </r>
  <r>
    <x v="449"/>
    <x v="0"/>
    <x v="2"/>
    <s v="CLFF_KR00$$$KR03TQ1012"/>
    <s v="P000001352"/>
    <s v="P000001352"/>
    <s v="LFF (MDG-F)"/>
    <s v="KR03TQ1012"/>
    <s v="P000001352"/>
    <b v="1"/>
    <x v="3"/>
    <x v="0"/>
    <d v="2025-11-28T00:00:00"/>
    <m/>
    <m/>
    <x v="1"/>
    <n v="10"/>
    <s v="John Rowie Del Rosario"/>
    <m/>
  </r>
  <r>
    <x v="449"/>
    <x v="0"/>
    <x v="2"/>
    <s v="CLFF_VMCA$$$KR07TQ1001"/>
    <s v="P000001352"/>
    <s v="P000001352"/>
    <s v="LFF (MDG-F)"/>
    <s v="KR07TQ1001"/>
    <s v="P000001352"/>
    <b v="1"/>
    <x v="3"/>
    <x v="0"/>
    <d v="2025-11-28T00:00:00"/>
    <m/>
    <m/>
    <x v="1"/>
    <n v="10"/>
    <s v="John Rowie Del Rosario"/>
    <m/>
  </r>
  <r>
    <x v="449"/>
    <x v="0"/>
    <x v="2"/>
    <s v="CLFF_VMCA$$$KR07TQ1002"/>
    <s v="P000001352"/>
    <s v="P000001352"/>
    <s v="LFF (MDG-F)"/>
    <s v="KR07TQ1002"/>
    <s v="P000001352"/>
    <b v="1"/>
    <x v="3"/>
    <x v="0"/>
    <d v="2025-11-28T00:00:00"/>
    <m/>
    <m/>
    <x v="1"/>
    <n v="10"/>
    <s v="John Rowie Del Rosario"/>
    <m/>
  </r>
  <r>
    <x v="449"/>
    <x v="0"/>
    <x v="2"/>
    <s v="CLFF_VMCA$$$KR07TQ1003"/>
    <s v="P000001352"/>
    <s v="P000001352"/>
    <s v="LFF (MDG-F)"/>
    <s v="KR07TQ1003"/>
    <s v="P000001352"/>
    <b v="1"/>
    <x v="3"/>
    <x v="0"/>
    <d v="2025-11-28T00:00:00"/>
    <m/>
    <m/>
    <x v="1"/>
    <n v="10"/>
    <s v="John Rowie Del Rosario"/>
    <m/>
  </r>
  <r>
    <x v="449"/>
    <x v="0"/>
    <x v="2"/>
    <s v="CLFF_VMCA$$$KR07TQ1004"/>
    <s v="P000001352"/>
    <s v="P000001352"/>
    <s v="LFF (MDG-F)"/>
    <s v="KR07TQ1004"/>
    <s v="P000001352"/>
    <b v="1"/>
    <x v="3"/>
    <x v="0"/>
    <d v="2025-11-28T00:00:00"/>
    <m/>
    <m/>
    <x v="1"/>
    <n v="10"/>
    <s v="John Rowie Del Rosario"/>
    <m/>
  </r>
  <r>
    <x v="449"/>
    <x v="0"/>
    <x v="2"/>
    <s v="CLFF_VMCA$$$KR07TQ1005"/>
    <s v="P000001352"/>
    <s v="P000001352"/>
    <s v="LFF (MDG-F)"/>
    <s v="KR07TQ1005"/>
    <s v="P000001352"/>
    <b v="1"/>
    <x v="3"/>
    <x v="0"/>
    <d v="2025-11-28T00:00:00"/>
    <m/>
    <m/>
    <x v="1"/>
    <n v="10"/>
    <s v="John Rowie Del Rosario"/>
    <m/>
  </r>
  <r>
    <x v="449"/>
    <x v="0"/>
    <x v="2"/>
    <s v="CLFF_VMCA$$$KR07TQ1006"/>
    <s v="P000001352"/>
    <s v="P000001352"/>
    <s v="LFF (MDG-F)"/>
    <s v="KR07TQ1006"/>
    <s v="P000001352"/>
    <b v="1"/>
    <x v="3"/>
    <x v="0"/>
    <d v="2025-11-28T00:00:00"/>
    <m/>
    <m/>
    <x v="1"/>
    <n v="10"/>
    <s v="John Rowie Del Rosario"/>
    <m/>
  </r>
  <r>
    <x v="449"/>
    <x v="0"/>
    <x v="2"/>
    <s v="CLFF_VMCA$$$KR11TQ1001"/>
    <s v="P000001352"/>
    <s v="P000001352"/>
    <s v="LFF (MDG-F)"/>
    <s v="KR11TQ1001"/>
    <s v="P000001352"/>
    <b v="1"/>
    <x v="3"/>
    <x v="0"/>
    <d v="2025-11-28T00:00:00"/>
    <m/>
    <m/>
    <x v="1"/>
    <n v="10"/>
    <s v="John Rowie Del Rosario"/>
    <m/>
  </r>
  <r>
    <x v="449"/>
    <x v="0"/>
    <x v="2"/>
    <s v="CLFF_VMCA$$$KR11TQ1002"/>
    <s v="P000001352"/>
    <s v="P000001352"/>
    <s v="LFF (MDG-F)"/>
    <s v="KR11TQ1002"/>
    <s v="P000001352"/>
    <b v="1"/>
    <x v="3"/>
    <x v="0"/>
    <d v="2025-11-28T00:00:00"/>
    <m/>
    <m/>
    <x v="1"/>
    <n v="10"/>
    <s v="John Rowie Del Rosario"/>
    <m/>
  </r>
  <r>
    <x v="449"/>
    <x v="0"/>
    <x v="2"/>
    <s v="CLFF_VMCA$$$KR11TQ1003"/>
    <s v="P000001352"/>
    <s v="P000001352"/>
    <s v="LFF (MDG-F)"/>
    <s v="KR11TQ1003"/>
    <s v="P000001352"/>
    <b v="1"/>
    <x v="3"/>
    <x v="0"/>
    <d v="2025-11-28T00:00:00"/>
    <m/>
    <m/>
    <x v="1"/>
    <n v="10"/>
    <s v="John Rowie Del Rosario"/>
    <m/>
  </r>
  <r>
    <x v="449"/>
    <x v="0"/>
    <x v="2"/>
    <s v="CLFF_VMCA$$$KR11TQ1004"/>
    <s v="P000001352"/>
    <s v="P000001352"/>
    <s v="LFF (MDG-F)"/>
    <s v="KR11TQ1004"/>
    <s v="P000001352"/>
    <b v="1"/>
    <x v="3"/>
    <x v="0"/>
    <d v="2025-11-28T00:00:00"/>
    <m/>
    <m/>
    <x v="1"/>
    <n v="10"/>
    <s v="John Rowie Del Rosario"/>
    <m/>
  </r>
  <r>
    <x v="449"/>
    <x v="0"/>
    <x v="2"/>
    <s v="CLFF_VMCA$$$KR15TQ1001"/>
    <s v="P000001352"/>
    <s v="P000001352"/>
    <s v="LFF (MDG-F)"/>
    <s v="KR15TQ1001"/>
    <s v="P000001352"/>
    <b v="1"/>
    <x v="3"/>
    <x v="0"/>
    <d v="2025-11-28T00:00:00"/>
    <m/>
    <m/>
    <x v="1"/>
    <n v="10"/>
    <s v="John Rowie Del Rosario"/>
    <m/>
  </r>
  <r>
    <x v="449"/>
    <x v="0"/>
    <x v="2"/>
    <s v="CLFF_VMCA$$$KR16TQ1001"/>
    <s v="P000001352"/>
    <s v="P000001352"/>
    <s v="LFF (MDG-F)"/>
    <s v="KR16TQ1001"/>
    <s v="P000001352"/>
    <b v="1"/>
    <x v="3"/>
    <x v="0"/>
    <d v="2025-11-28T00:00:00"/>
    <m/>
    <m/>
    <x v="1"/>
    <n v="10"/>
    <s v="John Rowie Del Rosario"/>
    <m/>
  </r>
  <r>
    <x v="449"/>
    <x v="0"/>
    <x v="2"/>
    <s v="CLFF_VMCA$$$KR16TQ1002"/>
    <s v="P000001352"/>
    <s v="P000001352"/>
    <s v="LFF (MDG-F)"/>
    <s v="KR16TQ1002"/>
    <s v="P000001352"/>
    <b v="1"/>
    <x v="3"/>
    <x v="0"/>
    <d v="2025-11-28T00:00:00"/>
    <m/>
    <m/>
    <x v="1"/>
    <n v="10"/>
    <s v="John Rowie Del Rosario"/>
    <m/>
  </r>
  <r>
    <x v="449"/>
    <x v="0"/>
    <x v="2"/>
    <s v="CLFF_1000$$$JP02TQMZ01 PM Logistics"/>
    <s v="P000001353"/>
    <s v="P000001353"/>
    <s v="LFF (MDG-F)"/>
    <s v="JP02TQMZ01"/>
    <s v="P000001353"/>
    <b v="1"/>
    <x v="3"/>
    <x v="0"/>
    <d v="2025-11-28T00:00:00"/>
    <m/>
    <m/>
    <x v="1"/>
    <n v="10"/>
    <s v="John Rowie Del Rosario"/>
    <m/>
  </r>
  <r>
    <x v="449"/>
    <x v="0"/>
    <x v="2"/>
    <s v="CLFF_KR00$$$KR03TPPZ04 SD - Logistics PM"/>
    <s v="P000001353"/>
    <s v="P000001353"/>
    <s v="LFF (MDG-F)"/>
    <s v="KR03TPPZ04"/>
    <s v="P000001353"/>
    <b v="1"/>
    <x v="3"/>
    <x v="0"/>
    <d v="2025-11-28T00:00:00"/>
    <m/>
    <m/>
    <x v="1"/>
    <n v="10"/>
    <s v="John Rowie Del Rosario"/>
    <m/>
  </r>
  <r>
    <x v="449"/>
    <x v="0"/>
    <x v="2"/>
    <s v="CLFF_VMCA$$$KR07DB3300 Transportation Management"/>
    <s v="P000001353"/>
    <s v="P000001353"/>
    <s v="LFF (MDG-F)"/>
    <s v="KR07DB3300"/>
    <s v="P000001353"/>
    <b v="1"/>
    <x v="3"/>
    <x v="0"/>
    <d v="2025-11-28T00:00:00"/>
    <m/>
    <m/>
    <x v="1"/>
    <n v="10"/>
    <s v="John Rowie Del Rosario"/>
    <m/>
  </r>
  <r>
    <x v="449"/>
    <x v="0"/>
    <x v="2"/>
    <s v="CLFF_VMCA$$$KR15TM3000"/>
    <s v="P000001353"/>
    <s v="P000001353"/>
    <s v="LFF (MDG-F)"/>
    <s v="KR15TM3000"/>
    <s v="P000001353"/>
    <b v="1"/>
    <x v="3"/>
    <x v="0"/>
    <d v="2025-11-28T00:00:00"/>
    <m/>
    <m/>
    <x v="1"/>
    <n v="10"/>
    <s v="John Rowie Del Rosario"/>
    <m/>
  </r>
  <r>
    <x v="449"/>
    <x v="0"/>
    <x v="2"/>
    <s v="CLFF_1000$$$KR02TPAZ02 SD - Warehousing/distribution Asia/Pacif"/>
    <s v="P000001354"/>
    <s v="P000001354"/>
    <s v="LFF (MDG-F)"/>
    <s v="KR02TPAZ02"/>
    <s v="P000001354"/>
    <b v="1"/>
    <x v="3"/>
    <x v="0"/>
    <d v="2025-11-28T00:00:00"/>
    <m/>
    <m/>
    <x v="1"/>
    <n v="10"/>
    <s v="John Rowie Del Rosario"/>
    <m/>
  </r>
  <r>
    <x v="449"/>
    <x v="0"/>
    <x v="2"/>
    <s v="CLFF_VMCA$$$KR07DB3301 PM Distribution"/>
    <s v="P000001354"/>
    <s v="P000001354"/>
    <s v="LFF (MDG-F)"/>
    <s v="KR07DB3301"/>
    <s v="P000001354"/>
    <b v="1"/>
    <x v="3"/>
    <x v="0"/>
    <d v="2025-11-28T00:00:00"/>
    <m/>
    <m/>
    <x v="1"/>
    <n v="10"/>
    <s v="John Rowie Del Rosario"/>
    <m/>
  </r>
  <r>
    <x v="449"/>
    <x v="0"/>
    <x v="2"/>
    <s v="CLFF_VMCA$$$KR07DB3302 AM Distribution"/>
    <s v="P000001354"/>
    <s v="P000001354"/>
    <s v="LFF (MDG-F)"/>
    <s v="KR07DB3302"/>
    <s v="P000001354"/>
    <b v="1"/>
    <x v="3"/>
    <x v="0"/>
    <d v="2025-11-28T00:00:00"/>
    <m/>
    <m/>
    <x v="1"/>
    <n v="10"/>
    <s v="John Rowie Del Rosario"/>
    <m/>
  </r>
  <r>
    <x v="449"/>
    <x v="0"/>
    <x v="2"/>
    <s v="CLFF_VMCA$$$KR11DB2111 Surf, Prep &amp; Clean Distribution"/>
    <s v="P000001354"/>
    <s v="P000001354"/>
    <s v="LFF (MDG-F)"/>
    <s v="KR11DB2111"/>
    <s v="P000001354"/>
    <b v="1"/>
    <x v="3"/>
    <x v="0"/>
    <d v="2025-11-28T00:00:00"/>
    <m/>
    <m/>
    <x v="1"/>
    <n v="10"/>
    <s v="John Rowie Del Rosario"/>
    <m/>
  </r>
  <r>
    <x v="449"/>
    <x v="0"/>
    <x v="2"/>
    <s v="CLFF_VMCA$$$KR11DB2112 Planarization Distribution"/>
    <s v="P000001354"/>
    <s v="P000001354"/>
    <s v="LFF (MDG-F)"/>
    <s v="KR11DB2112"/>
    <s v="P000001354"/>
    <b v="1"/>
    <x v="3"/>
    <x v="0"/>
    <d v="2025-11-28T00:00:00"/>
    <m/>
    <m/>
    <x v="1"/>
    <n v="10"/>
    <s v="John Rowie Del Rosario"/>
    <m/>
  </r>
  <r>
    <x v="449"/>
    <x v="0"/>
    <x v="2"/>
    <s v="CLFF_VMCA$$$KR15DB3303 Ulsan NF3 Distribution"/>
    <s v="P000001354"/>
    <s v="P000001354"/>
    <s v="LFF (MDG-F)"/>
    <s v="KR15DB3303"/>
    <s v="P000001354"/>
    <b v="1"/>
    <x v="3"/>
    <x v="0"/>
    <d v="2025-11-28T00:00:00"/>
    <m/>
    <m/>
    <x v="1"/>
    <n v="10"/>
    <s v="John Rowie Del Rosario"/>
    <m/>
  </r>
  <r>
    <x v="449"/>
    <x v="0"/>
    <x v="2"/>
    <s v="CLFF_VMCA$$$KR16DB3300 KR16 Transportation"/>
    <s v="P000001354"/>
    <s v="P000001354"/>
    <s v="LFF (MDG-F)"/>
    <s v="KR16DB3300"/>
    <s v="P000001354"/>
    <b v="1"/>
    <x v="3"/>
    <x v="0"/>
    <d v="2025-11-28T00:00:00"/>
    <m/>
    <m/>
    <x v="1"/>
    <n v="10"/>
    <s v="John Rowie Del Rosario"/>
    <m/>
  </r>
  <r>
    <x v="449"/>
    <x v="0"/>
    <x v="2"/>
    <s v="CLFF_1000$$$US01C01305 Customer Service US"/>
    <s v="P000001361"/>
    <s v="P000001361"/>
    <s v="LFF (MDG-F)"/>
    <s v="US01C01305"/>
    <s v="P000001361"/>
    <b v="1"/>
    <x v="3"/>
    <x v="0"/>
    <d v="2025-11-28T00:00:00"/>
    <m/>
    <m/>
    <x v="1"/>
    <n v="10"/>
    <s v="John Rowie Del Rosario"/>
    <m/>
  </r>
  <r>
    <x v="449"/>
    <x v="0"/>
    <x v="2"/>
    <s v="CLFF_VMCA$$$US10DB3021 US Customer Service"/>
    <s v="P000001361"/>
    <s v="P000001361"/>
    <s v="LFF (MDG-F)"/>
    <s v="US10DB3021"/>
    <s v="P000001361"/>
    <b v="1"/>
    <x v="3"/>
    <x v="0"/>
    <d v="2025-11-28T00:00:00"/>
    <m/>
    <m/>
    <x v="1"/>
    <n v="10"/>
    <s v="John Rowie Del Rosario"/>
    <m/>
  </r>
  <r>
    <x v="449"/>
    <x v="0"/>
    <x v="2"/>
    <s v="CLFF_1000$$$US01TPBZ03 FG Warehouse - (BRB)"/>
    <s v="P000001358"/>
    <s v="P000001358"/>
    <s v="LFF (MDG-F)"/>
    <s v="US01TPBZ03"/>
    <s v="P000001358"/>
    <b v="1"/>
    <x v="3"/>
    <x v="0"/>
    <d v="2025-11-28T00:00:00"/>
    <m/>
    <m/>
    <x v="1"/>
    <n v="10"/>
    <s v="John Rowie Del Rosario"/>
    <m/>
  </r>
  <r>
    <x v="449"/>
    <x v="0"/>
    <x v="2"/>
    <s v="CLFF_VMCA$$$US10DB3004 Tualatin ELE Warehouse"/>
    <s v="P000001358"/>
    <s v="P000001358"/>
    <s v="LFF (MDG-F)"/>
    <s v="US10DB3004"/>
    <s v="P000001358"/>
    <b v="1"/>
    <x v="3"/>
    <x v="0"/>
    <d v="2025-11-28T00:00:00"/>
    <m/>
    <m/>
    <x v="1"/>
    <n v="10"/>
    <s v="John Rowie Del Rosario"/>
    <m/>
  </r>
  <r>
    <x v="449"/>
    <x v="0"/>
    <x v="2"/>
    <s v="CLFF_VMCA$$$US10DB3005 Austin Warehouse"/>
    <s v="P000001358"/>
    <s v="P000001358"/>
    <s v="LFF (MDG-F)"/>
    <s v="US10DB3005"/>
    <s v="P000001358"/>
    <b v="1"/>
    <x v="3"/>
    <x v="0"/>
    <d v="2025-11-28T00:00:00"/>
    <m/>
    <m/>
    <x v="1"/>
    <n v="10"/>
    <s v="John Rowie Del Rosario"/>
    <m/>
  </r>
  <r>
    <x v="449"/>
    <x v="0"/>
    <x v="2"/>
    <s v="CLFF_VMCA$$$US10DB3006 Phoenix Warehouse"/>
    <s v="P000001358"/>
    <s v="P000001358"/>
    <s v="LFF (MDG-F)"/>
    <s v="US10DB3006"/>
    <s v="P000001358"/>
    <b v="1"/>
    <x v="3"/>
    <x v="0"/>
    <d v="2025-11-28T00:00:00"/>
    <m/>
    <m/>
    <x v="1"/>
    <n v="10"/>
    <s v="John Rowie Del Rosario"/>
    <m/>
  </r>
  <r>
    <x v="449"/>
    <x v="0"/>
    <x v="2"/>
    <s v="CLFF_VMCA$$$US10DB3011 3rd Party AM Whse"/>
    <s v="P000001358"/>
    <s v="P000001358"/>
    <s v="LFF (MDG-F)"/>
    <s v="US10DB3011"/>
    <s v="P000001358"/>
    <b v="1"/>
    <x v="3"/>
    <x v="0"/>
    <d v="2025-11-28T00:00:00"/>
    <m/>
    <m/>
    <x v="1"/>
    <n v="10"/>
    <s v="John Rowie Del Rosario"/>
    <m/>
  </r>
  <r>
    <x v="449"/>
    <x v="0"/>
    <x v="2"/>
    <s v="CLFF_1000$$$US01TQ1001"/>
    <s v="P000001358"/>
    <s v="P000001358"/>
    <s v="LFF (MDG-F)"/>
    <s v="US01TQ1001"/>
    <s v="P000001358"/>
    <b v="1"/>
    <x v="3"/>
    <x v="0"/>
    <d v="2025-11-28T00:00:00"/>
    <m/>
    <m/>
    <x v="1"/>
    <n v="10"/>
    <s v="John Rowie Del Rosario"/>
    <m/>
  </r>
  <r>
    <x v="449"/>
    <x v="0"/>
    <x v="2"/>
    <s v="CLFF_1000$$$US01TQ1002"/>
    <s v="P000001358"/>
    <s v="P000001358"/>
    <s v="LFF (MDG-F)"/>
    <s v="US01TQ1002"/>
    <s v="P000001358"/>
    <b v="1"/>
    <x v="3"/>
    <x v="0"/>
    <d v="2025-11-28T00:00:00"/>
    <m/>
    <m/>
    <x v="1"/>
    <n v="10"/>
    <s v="John Rowie Del Rosario"/>
    <m/>
  </r>
  <r>
    <x v="449"/>
    <x v="0"/>
    <x v="2"/>
    <s v="CLFF_1000$$$US01TQ1003"/>
    <s v="P000001358"/>
    <s v="P000001358"/>
    <s v="LFF (MDG-F)"/>
    <s v="US01TQ1003"/>
    <s v="P000001358"/>
    <b v="1"/>
    <x v="3"/>
    <x v="0"/>
    <d v="2025-11-28T00:00:00"/>
    <m/>
    <m/>
    <x v="1"/>
    <n v="10"/>
    <s v="John Rowie Del Rosario"/>
    <m/>
  </r>
  <r>
    <x v="449"/>
    <x v="0"/>
    <x v="2"/>
    <s v="CLFF_1000$$$US01TQ1004"/>
    <s v="P000001358"/>
    <s v="P000001358"/>
    <s v="LFF (MDG-F)"/>
    <s v="US01TQ1004"/>
    <s v="P000001358"/>
    <b v="1"/>
    <x v="3"/>
    <x v="0"/>
    <d v="2025-11-28T00:00:00"/>
    <m/>
    <m/>
    <x v="1"/>
    <n v="10"/>
    <s v="John Rowie Del Rosario"/>
    <m/>
  </r>
  <r>
    <x v="449"/>
    <x v="0"/>
    <x v="2"/>
    <s v="CLFF_1000$$$US01TQ1005"/>
    <s v="P000001358"/>
    <s v="P000001358"/>
    <s v="LFF (MDG-F)"/>
    <s v="US01TQ1005"/>
    <s v="P000001358"/>
    <b v="1"/>
    <x v="3"/>
    <x v="0"/>
    <d v="2025-11-28T00:00:00"/>
    <m/>
    <m/>
    <x v="1"/>
    <n v="10"/>
    <s v="John Rowie Del Rosario"/>
    <m/>
  </r>
  <r>
    <x v="449"/>
    <x v="0"/>
    <x v="2"/>
    <s v="CLFF_1000$$$US01TQ1006"/>
    <s v="P000001358"/>
    <s v="P000001358"/>
    <s v="LFF (MDG-F)"/>
    <s v="US01TQ1006"/>
    <s v="P000001358"/>
    <b v="1"/>
    <x v="3"/>
    <x v="0"/>
    <d v="2025-11-28T00:00:00"/>
    <m/>
    <m/>
    <x v="1"/>
    <n v="10"/>
    <s v="John Rowie Del Rosario"/>
    <m/>
  </r>
  <r>
    <x v="449"/>
    <x v="0"/>
    <x v="2"/>
    <s v="CLFF_1000$$$US01TQ1007"/>
    <s v="P000001358"/>
    <s v="P000001358"/>
    <s v="LFF (MDG-F)"/>
    <s v="US01TQ1007"/>
    <s v="P000001358"/>
    <b v="1"/>
    <x v="3"/>
    <x v="0"/>
    <d v="2025-11-28T00:00:00"/>
    <m/>
    <m/>
    <x v="1"/>
    <n v="10"/>
    <s v="John Rowie Del Rosario"/>
    <m/>
  </r>
  <r>
    <x v="449"/>
    <x v="0"/>
    <x v="2"/>
    <s v="CLFF_1000$$$US01TQ1008"/>
    <s v="P000001358"/>
    <s v="P000001358"/>
    <s v="LFF (MDG-F)"/>
    <s v="US01TQ1008"/>
    <s v="P000001358"/>
    <b v="1"/>
    <x v="3"/>
    <x v="0"/>
    <d v="2025-11-28T00:00:00"/>
    <m/>
    <m/>
    <x v="1"/>
    <n v="10"/>
    <s v="John Rowie Del Rosario"/>
    <m/>
  </r>
  <r>
    <x v="449"/>
    <x v="0"/>
    <x v="2"/>
    <s v="CLFF_1000$$$US01TQ1009"/>
    <s v="P000001358"/>
    <s v="P000001358"/>
    <s v="LFF (MDG-F)"/>
    <s v="US01TQ1009"/>
    <s v="P000001358"/>
    <b v="1"/>
    <x v="3"/>
    <x v="0"/>
    <d v="2025-11-28T00:00:00"/>
    <m/>
    <m/>
    <x v="1"/>
    <n v="10"/>
    <s v="John Rowie Del Rosario"/>
    <m/>
  </r>
  <r>
    <x v="449"/>
    <x v="0"/>
    <x v="2"/>
    <s v="CLFF_VMCA$$$US10TQ1001"/>
    <s v="P000001358"/>
    <s v="P000001358"/>
    <s v="LFF (MDG-F)"/>
    <s v="US10TQ1001"/>
    <s v="P000001358"/>
    <b v="1"/>
    <x v="3"/>
    <x v="0"/>
    <d v="2025-11-28T00:00:00"/>
    <m/>
    <m/>
    <x v="1"/>
    <n v="10"/>
    <s v="John Rowie Del Rosario"/>
    <m/>
  </r>
  <r>
    <x v="449"/>
    <x v="0"/>
    <x v="2"/>
    <s v="CLFF_VMCA$$$US10TQ1002"/>
    <s v="P000001358"/>
    <s v="P000001358"/>
    <s v="LFF (MDG-F)"/>
    <s v="US10TQ1002"/>
    <s v="P000001358"/>
    <b v="1"/>
    <x v="3"/>
    <x v="0"/>
    <d v="2025-11-28T00:00:00"/>
    <m/>
    <m/>
    <x v="1"/>
    <n v="10"/>
    <s v="John Rowie Del Rosario"/>
    <m/>
  </r>
  <r>
    <x v="449"/>
    <x v="0"/>
    <x v="2"/>
    <s v="CLFF_VMCA$$$US10TQ1003"/>
    <s v="P000001358"/>
    <s v="P000001358"/>
    <s v="LFF (MDG-F)"/>
    <s v="US10TQ1003"/>
    <s v="P000001358"/>
    <b v="1"/>
    <x v="3"/>
    <x v="0"/>
    <d v="2025-11-28T00:00:00"/>
    <m/>
    <m/>
    <x v="1"/>
    <n v="10"/>
    <s v="John Rowie Del Rosario"/>
    <m/>
  </r>
  <r>
    <x v="449"/>
    <x v="0"/>
    <x v="2"/>
    <s v="CLFF_VMCA$$$US10TQ1004"/>
    <s v="P000001358"/>
    <s v="P000001358"/>
    <s v="LFF (MDG-F)"/>
    <s v="US10TQ1004"/>
    <s v="P000001358"/>
    <b v="1"/>
    <x v="3"/>
    <x v="0"/>
    <d v="2025-11-28T00:00:00"/>
    <m/>
    <m/>
    <x v="1"/>
    <n v="10"/>
    <s v="John Rowie Del Rosario"/>
    <m/>
  </r>
  <r>
    <x v="449"/>
    <x v="0"/>
    <x v="2"/>
    <s v="CLFF_VMCA$$$US10TQ1005"/>
    <s v="P000001358"/>
    <s v="P000001358"/>
    <s v="LFF (MDG-F)"/>
    <s v="US10TQ1005"/>
    <s v="P000001358"/>
    <b v="1"/>
    <x v="3"/>
    <x v="0"/>
    <d v="2025-11-28T00:00:00"/>
    <m/>
    <m/>
    <x v="1"/>
    <n v="10"/>
    <s v="John Rowie Del Rosario"/>
    <m/>
  </r>
  <r>
    <x v="449"/>
    <x v="0"/>
    <x v="2"/>
    <s v="CLFF_VMCA$$$US10TQ1006"/>
    <s v="P000001358"/>
    <s v="P000001358"/>
    <s v="LFF (MDG-F)"/>
    <s v="US10TQ1006"/>
    <s v="P000001358"/>
    <b v="1"/>
    <x v="3"/>
    <x v="0"/>
    <d v="2025-11-28T00:00:00"/>
    <m/>
    <m/>
    <x v="1"/>
    <n v="10"/>
    <s v="John Rowie Del Rosario"/>
    <m/>
  </r>
  <r>
    <x v="449"/>
    <x v="0"/>
    <x v="2"/>
    <s v="CLFF_VMCA$$$US10TQ1007"/>
    <s v="P000001358"/>
    <s v="P000001358"/>
    <s v="LFF (MDG-F)"/>
    <s v="US10TQ1007"/>
    <s v="P000001358"/>
    <b v="1"/>
    <x v="3"/>
    <x v="0"/>
    <d v="2025-11-28T00:00:00"/>
    <m/>
    <m/>
    <x v="1"/>
    <n v="10"/>
    <s v="John Rowie Del Rosario"/>
    <m/>
  </r>
  <r>
    <x v="449"/>
    <x v="0"/>
    <x v="2"/>
    <s v="CLFF_VMCA$$$US10TQ1008"/>
    <s v="P000001358"/>
    <s v="P000001358"/>
    <s v="LFF (MDG-F)"/>
    <s v="US10TQ1008"/>
    <s v="P000001358"/>
    <b v="1"/>
    <x v="3"/>
    <x v="0"/>
    <d v="2025-11-28T00:00:00"/>
    <m/>
    <m/>
    <x v="1"/>
    <n v="10"/>
    <s v="John Rowie Del Rosario"/>
    <m/>
  </r>
  <r>
    <x v="449"/>
    <x v="0"/>
    <x v="2"/>
    <s v="CLFF_VMCA$$$US10TQ1009"/>
    <s v="P000001358"/>
    <s v="P000001358"/>
    <s v="LFF (MDG-F)"/>
    <s v="US10TQ1009"/>
    <s v="P000001358"/>
    <b v="1"/>
    <x v="3"/>
    <x v="0"/>
    <d v="2025-11-28T00:00:00"/>
    <m/>
    <m/>
    <x v="1"/>
    <n v="10"/>
    <s v="John Rowie Del Rosario"/>
    <m/>
  </r>
  <r>
    <x v="449"/>
    <x v="0"/>
    <x v="2"/>
    <s v="CLFF_VMCA$$$US10TQ1010"/>
    <s v="P000001358"/>
    <s v="P000001358"/>
    <s v="LFF (MDG-F)"/>
    <s v="US10TQ1010"/>
    <s v="P000001358"/>
    <b v="1"/>
    <x v="3"/>
    <x v="0"/>
    <d v="2025-11-28T00:00:00"/>
    <m/>
    <m/>
    <x v="1"/>
    <n v="10"/>
    <s v="John Rowie Del Rosario"/>
    <m/>
  </r>
  <r>
    <x v="449"/>
    <x v="0"/>
    <x v="2"/>
    <s v="CLFF_VMCA$$$US10TQ1011"/>
    <s v="P000001358"/>
    <s v="P000001358"/>
    <s v="LFF (MDG-F)"/>
    <s v="US10TQ1011"/>
    <s v="P000001358"/>
    <b v="1"/>
    <x v="3"/>
    <x v="0"/>
    <d v="2025-11-28T00:00:00"/>
    <m/>
    <m/>
    <x v="1"/>
    <n v="10"/>
    <s v="John Rowie Del Rosario"/>
    <m/>
  </r>
  <r>
    <x v="449"/>
    <x v="0"/>
    <x v="2"/>
    <s v="CLFF_VMCA$$$US10TQ1012"/>
    <s v="P000001358"/>
    <s v="P000001358"/>
    <s v="LFF (MDG-F)"/>
    <s v="US10TQ1012"/>
    <s v="P000001358"/>
    <b v="1"/>
    <x v="3"/>
    <x v="0"/>
    <d v="2025-11-28T00:00:00"/>
    <m/>
    <m/>
    <x v="1"/>
    <n v="10"/>
    <s v="John Rowie Del Rosario"/>
    <m/>
  </r>
  <r>
    <x v="449"/>
    <x v="0"/>
    <x v="2"/>
    <s v="CLFF_VMCA$$$US10TQ1013"/>
    <s v="P000001358"/>
    <s v="P000001358"/>
    <s v="LFF (MDG-F)"/>
    <s v="US10TQ1013"/>
    <s v="P000001358"/>
    <b v="1"/>
    <x v="3"/>
    <x v="0"/>
    <d v="2025-11-28T00:00:00"/>
    <m/>
    <m/>
    <x v="1"/>
    <n v="10"/>
    <s v="John Rowie Del Rosario"/>
    <m/>
  </r>
  <r>
    <x v="449"/>
    <x v="0"/>
    <x v="2"/>
    <s v="CLFF_1000$$$US01TPBZ01 Freight Collector - Inbound (BRB)"/>
    <s v="P000001356"/>
    <s v="P000001356"/>
    <s v="LFF (MDG-F)"/>
    <s v="US01TPBZ01"/>
    <s v="P000001356"/>
    <b v="1"/>
    <x v="3"/>
    <x v="0"/>
    <d v="2025-11-28T00:00:00"/>
    <m/>
    <m/>
    <x v="1"/>
    <n v="10"/>
    <s v="John Rowie Del Rosario"/>
    <m/>
  </r>
  <r>
    <x v="449"/>
    <x v="0"/>
    <x v="2"/>
    <s v="CLFF_1000$$$US01TPBZ02 Freight Collector - Outbound (BRB)"/>
    <s v="P000001356"/>
    <s v="P000001356"/>
    <s v="LFF (MDG-F)"/>
    <s v="US01TPBZ02"/>
    <s v="P000001356"/>
    <b v="1"/>
    <x v="3"/>
    <x v="0"/>
    <d v="2025-11-28T00:00:00"/>
    <m/>
    <m/>
    <x v="1"/>
    <n v="10"/>
    <s v="John Rowie Del Rosario"/>
    <m/>
  </r>
  <r>
    <x v="449"/>
    <x v="0"/>
    <x v="2"/>
    <s v="CLFF_1000$$$US01TQBZ01 BRB IC Outbound Freight Expense"/>
    <s v="P000001356"/>
    <s v="P000001356"/>
    <s v="LFF (MDG-F)"/>
    <s v="US01TQBZ01"/>
    <s v="P000001356"/>
    <b v="1"/>
    <x v="3"/>
    <x v="0"/>
    <d v="2025-11-28T00:00:00"/>
    <m/>
    <m/>
    <x v="1"/>
    <n v="10"/>
    <s v="John Rowie Del Rosario"/>
    <m/>
  </r>
  <r>
    <x v="449"/>
    <x v="0"/>
    <x v="2"/>
    <s v="CLFF_1000$$$US01TQHZ01 Sheboygan Outbound Freight"/>
    <s v="P000001356"/>
    <s v="P000001356"/>
    <s v="LFF (MDG-F)"/>
    <s v="US01TQHZ01"/>
    <s v="P000001356"/>
    <b v="1"/>
    <x v="3"/>
    <x v="0"/>
    <d v="2025-11-28T00:00:00"/>
    <m/>
    <m/>
    <x v="1"/>
    <n v="10"/>
    <s v="John Rowie Del Rosario"/>
    <m/>
  </r>
  <r>
    <x v="449"/>
    <x v="0"/>
    <x v="2"/>
    <s v="CLFF_1000$$$US01TQHZ03 Sheboygan IC Outbound Freight Expense"/>
    <s v="P000001356"/>
    <s v="P000001356"/>
    <s v="LFF (MDG-F)"/>
    <s v="US01TQHZ03"/>
    <s v="P000001356"/>
    <b v="1"/>
    <x v="3"/>
    <x v="0"/>
    <d v="2025-11-28T00:00:00"/>
    <m/>
    <m/>
    <x v="1"/>
    <n v="10"/>
    <s v="John Rowie Del Rosario"/>
    <m/>
  </r>
  <r>
    <x v="449"/>
    <x v="0"/>
    <x v="2"/>
    <s v="CLFF_VMCA$$$US10DB3000 Catoosa Shipping"/>
    <s v="P000001356"/>
    <s v="P000001356"/>
    <s v="LFF (MDG-F)"/>
    <s v="US10DB3000"/>
    <s v="P000001356"/>
    <b v="1"/>
    <x v="3"/>
    <x v="0"/>
    <d v="2025-11-28T00:00:00"/>
    <m/>
    <m/>
    <x v="1"/>
    <n v="10"/>
    <s v="John Rowie Del Rosario"/>
    <m/>
  </r>
  <r>
    <x v="449"/>
    <x v="0"/>
    <x v="2"/>
    <s v="CLFF_VMCA$$$US10DB3012 Carlsbad Shipping"/>
    <s v="P000001356"/>
    <s v="P000001356"/>
    <s v="LFF (MDG-F)"/>
    <s v="US10DB3012"/>
    <s v="P000001356"/>
    <b v="1"/>
    <x v="3"/>
    <x v="0"/>
    <d v="2025-11-28T00:00:00"/>
    <m/>
    <m/>
    <x v="1"/>
    <n v="10"/>
    <s v="John Rowie Del Rosario"/>
    <m/>
  </r>
  <r>
    <x v="449"/>
    <x v="0"/>
    <x v="2"/>
    <s v="CLFF_VMCA$$$US10DB3013 Hometown PM Shipping"/>
    <s v="P000001356"/>
    <s v="P000001356"/>
    <s v="LFF (MDG-F)"/>
    <s v="US10DB3013"/>
    <s v="P000001356"/>
    <b v="1"/>
    <x v="3"/>
    <x v="0"/>
    <d v="2025-11-28T00:00:00"/>
    <m/>
    <m/>
    <x v="1"/>
    <n v="10"/>
    <s v="John Rowie Del Rosario"/>
    <m/>
  </r>
  <r>
    <x v="449"/>
    <x v="0"/>
    <x v="2"/>
    <s v="CLFF_VMCA$$$US10DB3016 Tempe AM Shipping"/>
    <s v="P000001356"/>
    <s v="P000001356"/>
    <s v="LFF (MDG-F)"/>
    <s v="US10DB3016"/>
    <s v="P000001356"/>
    <b v="1"/>
    <x v="3"/>
    <x v="0"/>
    <d v="2025-11-28T00:00:00"/>
    <m/>
    <m/>
    <x v="1"/>
    <n v="10"/>
    <s v="John Rowie Del Rosario"/>
    <m/>
  </r>
  <r>
    <x v="449"/>
    <x v="0"/>
    <x v="2"/>
    <s v="CLFF_VMCA$$$US10DB3017 Dallas AM Shipping"/>
    <s v="P000001356"/>
    <s v="P000001356"/>
    <s v="LFF (MDG-F)"/>
    <s v="US10DB3017"/>
    <s v="P000001356"/>
    <b v="1"/>
    <x v="3"/>
    <x v="0"/>
    <d v="2025-11-28T00:00:00"/>
    <m/>
    <m/>
    <x v="1"/>
    <n v="10"/>
    <s v="John Rowie Del Rosario"/>
    <m/>
  </r>
  <r>
    <x v="449"/>
    <x v="0"/>
    <x v="2"/>
    <s v="CLFF_1000$$$US01TM2001"/>
    <s v="P000001356"/>
    <s v="P000001356"/>
    <s v="LFF (MDG-F)"/>
    <s v="US01TM2001"/>
    <s v="P000001356"/>
    <b v="1"/>
    <x v="3"/>
    <x v="0"/>
    <d v="2025-11-28T00:00:00"/>
    <m/>
    <m/>
    <x v="1"/>
    <n v="10"/>
    <s v="John Rowie Del Rosario"/>
    <m/>
  </r>
  <r>
    <x v="449"/>
    <x v="0"/>
    <x v="2"/>
    <s v="CLFF_VMCA$$$US10TM2010"/>
    <s v="P000001356"/>
    <s v="P000001356"/>
    <s v="LFF (MDG-F)"/>
    <s v="US10TM2010"/>
    <s v="P000001356"/>
    <b v="1"/>
    <x v="3"/>
    <x v="0"/>
    <d v="2025-11-28T00:00:00"/>
    <m/>
    <m/>
    <x v="1"/>
    <n v="10"/>
    <s v="John Rowie Del Rosario"/>
    <m/>
  </r>
  <r>
    <x v="449"/>
    <x v="0"/>
    <x v="2"/>
    <s v="CLFF_1000$$$US01TPPZ04 PM-US Logistics Organization"/>
    <s v="P000001359"/>
    <s v="P000001359"/>
    <s v="LFF (MDG-F)"/>
    <s v="US01TPPZ04"/>
    <s v="P000001359"/>
    <b v="1"/>
    <x v="3"/>
    <x v="0"/>
    <d v="2025-11-28T00:00:00"/>
    <m/>
    <m/>
    <x v="1"/>
    <n v="10"/>
    <s v="John Rowie Del Rosario"/>
    <m/>
  </r>
  <r>
    <x v="449"/>
    <x v="0"/>
    <x v="2"/>
    <s v="CLFF_VMCA$$$US10DB3003 US Customer Fulfillment"/>
    <s v="P000001359"/>
    <s v="P000001359"/>
    <s v="LFF (MDG-F)"/>
    <s v="US10DB3003"/>
    <s v="P000001359"/>
    <b v="1"/>
    <x v="3"/>
    <x v="0"/>
    <d v="2025-11-28T00:00:00"/>
    <m/>
    <m/>
    <x v="1"/>
    <n v="10"/>
    <s v="John Rowie Del Rosario"/>
    <m/>
  </r>
  <r>
    <x v="449"/>
    <x v="0"/>
    <x v="2"/>
    <s v="CLFF_VMCA$$$US10TM3001"/>
    <s v="P000001359"/>
    <s v="P000001359"/>
    <s v="LFF (MDG-F)"/>
    <s v="US10TM3001"/>
    <s v="P000001359"/>
    <b v="1"/>
    <x v="3"/>
    <x v="0"/>
    <d v="2025-11-28T00:00:00"/>
    <m/>
    <m/>
    <x v="1"/>
    <n v="10"/>
    <s v="John Rowie Del Rosario"/>
    <m/>
  </r>
  <r>
    <x v="449"/>
    <x v="0"/>
    <x v="2"/>
    <s v="CLFF_VMCA$$$US10TM3002"/>
    <s v="P000001359"/>
    <s v="P000001359"/>
    <s v="LFF (MDG-F)"/>
    <s v="US10TM3002"/>
    <s v="P000001359"/>
    <b v="1"/>
    <x v="3"/>
    <x v="0"/>
    <d v="2025-11-28T00:00:00"/>
    <m/>
    <m/>
    <x v="1"/>
    <n v="10"/>
    <s v="John Rowie Del Rosario"/>
    <m/>
  </r>
  <r>
    <x v="449"/>
    <x v="0"/>
    <x v="2"/>
    <s v="CLFF_VMCA$$$US10DB3014 3PL Customs &amp; Duties"/>
    <s v="P000001360"/>
    <s v="P000001360"/>
    <s v="LFF (MDG-F)"/>
    <s v="US10DB3014"/>
    <s v="P000001360"/>
    <b v="1"/>
    <x v="3"/>
    <x v="0"/>
    <d v="2025-11-28T00:00:00"/>
    <m/>
    <m/>
    <x v="1"/>
    <n v="10"/>
    <s v="John Rowie Del Rosario"/>
    <m/>
  </r>
  <r>
    <x v="450"/>
    <x v="0"/>
    <x v="2"/>
    <s v="CLFF_1000$$$DE10B08450"/>
    <s v="L000013429"/>
    <s v="L000013429"/>
    <s v="LFF (MDG-F)"/>
    <s v="DE10B08450"/>
    <m/>
    <b v="1"/>
    <x v="5"/>
    <x v="0"/>
    <d v="2025-12-01T00:00:00"/>
    <m/>
    <m/>
    <x v="1"/>
    <n v="9"/>
    <s v="Analyn Ayson"/>
    <m/>
  </r>
  <r>
    <x v="450"/>
    <x v="0"/>
    <x v="2"/>
    <s v="CLFF_1000$$$DE10A48610"/>
    <s v="G000000877"/>
    <s v="G000000877"/>
    <s v="LFF (MDG-F)"/>
    <s v="DE10A48610"/>
    <m/>
    <b v="1"/>
    <x v="5"/>
    <x v="0"/>
    <d v="2025-12-01T00:00:00"/>
    <m/>
    <m/>
    <x v="1"/>
    <n v="9"/>
    <s v="Analyn Ayson"/>
    <m/>
  </r>
  <r>
    <x v="450"/>
    <x v="0"/>
    <x v="2"/>
    <s v="CLFF_1000$$$DE10A48607"/>
    <s v="G000000877"/>
    <s v="G000000877"/>
    <s v="LFF (MDG-F)"/>
    <s v="DE10A48607"/>
    <m/>
    <b v="1"/>
    <x v="5"/>
    <x v="0"/>
    <d v="2025-12-01T00:00:00"/>
    <m/>
    <m/>
    <x v="1"/>
    <n v="9"/>
    <s v="Analyn Ayson"/>
    <m/>
  </r>
  <r>
    <x v="450"/>
    <x v="0"/>
    <x v="2"/>
    <s v="CLFF_1000$$$DE10538392"/>
    <s v="G000001084"/>
    <s v="G000001084"/>
    <s v="LFF (MDG-F)"/>
    <s v="DE10538392"/>
    <m/>
    <b v="1"/>
    <x v="5"/>
    <x v="0"/>
    <d v="2025-12-01T00:00:00"/>
    <m/>
    <m/>
    <x v="1"/>
    <n v="9"/>
    <s v="Analyn Ayson"/>
    <m/>
  </r>
  <r>
    <x v="450"/>
    <x v="0"/>
    <x v="2"/>
    <s v="CLFF_1000$$$DE20700060"/>
    <s v="G000000544"/>
    <s v="G000000544"/>
    <s v="LFF (MDG-F)"/>
    <s v="DE20700060"/>
    <m/>
    <b v="1"/>
    <x v="5"/>
    <x v="0"/>
    <d v="2025-12-01T00:00:00"/>
    <m/>
    <m/>
    <x v="1"/>
    <n v="9"/>
    <s v="Analyn Ayson"/>
    <m/>
  </r>
  <r>
    <x v="451"/>
    <x v="0"/>
    <x v="2"/>
    <s v="PLEAN_X370121DE6514800 RT Ogsiveo Oth.Prom. MAP HTA"/>
    <s v="H000004415"/>
    <s v="H000004415"/>
    <s v="Non-LFF"/>
    <s v=""/>
    <s v="H000004415"/>
    <b v="1"/>
    <x v="1"/>
    <x v="0"/>
    <d v="2025-12-01T00:00:00"/>
    <m/>
    <m/>
    <x v="1"/>
    <n v="9"/>
    <s v="Rayneil Reas"/>
    <m/>
  </r>
  <r>
    <x v="451"/>
    <x v="0"/>
    <x v="2"/>
    <s v="PLEAN_X370131DE6514800 RT Ezmekly Oth.Prom. MAP HTA"/>
    <s v="H000004416"/>
    <s v="H000004416"/>
    <s v="Non-LFF"/>
    <s v=""/>
    <s v="H000004416"/>
    <b v="1"/>
    <x v="1"/>
    <x v="0"/>
    <d v="2025-12-01T00:00:00"/>
    <m/>
    <m/>
    <x v="1"/>
    <n v="9"/>
    <s v="Rayneil Reas"/>
    <m/>
  </r>
  <r>
    <x v="451"/>
    <x v="0"/>
    <x v="2"/>
    <s v="PLEAN_X310181DK5015201 Bavencio Commercial DK50 Other Promo and"/>
    <s v="H000000218"/>
    <s v="H000000218"/>
    <s v="Non-LFF"/>
    <s v=""/>
    <m/>
    <b v="1"/>
    <x v="1"/>
    <x v="0"/>
    <d v="2025-12-01T00:00:00"/>
    <m/>
    <m/>
    <x v="1"/>
    <n v="9"/>
    <s v="Rayneil Reas"/>
    <m/>
  </r>
  <r>
    <x v="451"/>
    <x v="0"/>
    <x v="2"/>
    <s v="PLEAN_X370122AT5023200"/>
    <s v="H000004527"/>
    <s v="H000004527"/>
    <s v="Non-LFF"/>
    <s v=""/>
    <s v="H000004527"/>
    <b v="1"/>
    <x v="1"/>
    <x v="0"/>
    <d v="2025-12-01T00:00:00"/>
    <m/>
    <m/>
    <x v="1"/>
    <n v="9"/>
    <s v="Rayneil Reas"/>
    <m/>
  </r>
  <r>
    <x v="451"/>
    <x v="0"/>
    <x v="2"/>
    <s v="PLEAN_X370131AT5015200"/>
    <s v="H000004517"/>
    <s v="H000004517"/>
    <s v="Non-LFF"/>
    <s v=""/>
    <s v="H000004517"/>
    <b v="1"/>
    <x v="1"/>
    <x v="0"/>
    <d v="2025-12-01T00:00:00"/>
    <m/>
    <m/>
    <x v="1"/>
    <n v="9"/>
    <s v="Rayneil Reas"/>
    <m/>
  </r>
  <r>
    <x v="451"/>
    <x v="0"/>
    <x v="2"/>
    <s v="PLEAN_X370231CH7610201 RT Ezmekly COM Promo"/>
    <s v="H000004515"/>
    <s v="H000004515"/>
    <s v="Non-LFF"/>
    <s v=""/>
    <m/>
    <b v="1"/>
    <x v="1"/>
    <x v="0"/>
    <d v="2025-12-01T00:00:00"/>
    <m/>
    <m/>
    <x v="1"/>
    <n v="9"/>
    <s v="Rayneil Reas"/>
    <m/>
  </r>
  <r>
    <x v="451"/>
    <x v="0"/>
    <x v="2"/>
    <s v="PLEAN_X370232AT5023200 RG Ezmekly Medical activities"/>
    <s v="H000004528"/>
    <s v="H000004528"/>
    <s v="Non-LFF"/>
    <s v=""/>
    <m/>
    <b v="1"/>
    <x v="1"/>
    <x v="0"/>
    <d v="2025-12-01T00:00:00"/>
    <m/>
    <m/>
    <x v="1"/>
    <n v="9"/>
    <s v="Rayneil Reas"/>
    <m/>
  </r>
  <r>
    <x v="451"/>
    <x v="0"/>
    <x v="2"/>
    <s v="CSCALA_1759$E375"/>
    <s v="H000003613"/>
    <s v="H000003613"/>
    <s v="Non-LFF"/>
    <s v=""/>
    <m/>
    <b v="1"/>
    <x v="1"/>
    <x v="0"/>
    <d v="2025-12-01T00:00:00"/>
    <m/>
    <m/>
    <x v="1"/>
    <n v="9"/>
    <s v="Rayneil Reas"/>
    <m/>
  </r>
  <r>
    <x v="451"/>
    <x v="0"/>
    <x v="2"/>
    <s v="CSCALA_1759$E376"/>
    <s v="H000003613"/>
    <s v="H000003613"/>
    <s v="Non-LFF"/>
    <s v=""/>
    <m/>
    <b v="1"/>
    <x v="1"/>
    <x v="0"/>
    <d v="2025-12-01T00:00:00"/>
    <m/>
    <m/>
    <x v="1"/>
    <n v="9"/>
    <s v="Rayneil Reas"/>
    <m/>
  </r>
  <r>
    <x v="451"/>
    <x v="0"/>
    <x v="2"/>
    <s v="CSCALA_1759$O209"/>
    <s v="H000003613"/>
    <s v="H000003613"/>
    <s v="Non-LFF"/>
    <s v=""/>
    <m/>
    <b v="1"/>
    <x v="1"/>
    <x v="0"/>
    <d v="2025-12-01T00:00:00"/>
    <m/>
    <m/>
    <x v="1"/>
    <n v="9"/>
    <s v="Rayneil Reas"/>
    <m/>
  </r>
  <r>
    <x v="451"/>
    <x v="0"/>
    <x v="2"/>
    <s v="CSCALA_1759$C229"/>
    <s v="H000003613"/>
    <s v="H000003613"/>
    <s v="Non-LFF"/>
    <s v=""/>
    <m/>
    <b v="1"/>
    <x v="1"/>
    <x v="0"/>
    <d v="2025-12-01T00:00:00"/>
    <m/>
    <m/>
    <x v="1"/>
    <n v="9"/>
    <s v="Rayneil Reas"/>
    <m/>
  </r>
  <r>
    <x v="451"/>
    <x v="0"/>
    <x v="2"/>
    <s v="CSCALA_1759$C219"/>
    <s v="H000003613"/>
    <s v="H000003613"/>
    <s v="Non-LFF"/>
    <s v=""/>
    <m/>
    <b v="1"/>
    <x v="1"/>
    <x v="0"/>
    <d v="2025-12-01T00:00:00"/>
    <m/>
    <m/>
    <x v="1"/>
    <n v="9"/>
    <s v="Rayneil Reas"/>
    <m/>
  </r>
  <r>
    <x v="451"/>
    <x v="0"/>
    <x v="2"/>
    <s v="CSCALA_1759$C220"/>
    <s v="H000003613"/>
    <s v="H000003613"/>
    <s v="Non-LFF"/>
    <s v=""/>
    <m/>
    <b v="1"/>
    <x v="1"/>
    <x v="0"/>
    <d v="2025-12-01T00:00:00"/>
    <m/>
    <m/>
    <x v="1"/>
    <n v="9"/>
    <s v="Rayneil Reas"/>
    <m/>
  </r>
  <r>
    <x v="451"/>
    <x v="0"/>
    <x v="2"/>
    <s v="CSCALA_1759$C221"/>
    <s v="H000003613"/>
    <s v="H000003613"/>
    <s v="Non-LFF"/>
    <s v=""/>
    <m/>
    <b v="1"/>
    <x v="1"/>
    <x v="0"/>
    <d v="2025-12-01T00:00:00"/>
    <m/>
    <m/>
    <x v="1"/>
    <n v="9"/>
    <s v="Rayneil Reas"/>
    <m/>
  </r>
  <r>
    <x v="451"/>
    <x v="0"/>
    <x v="2"/>
    <s v="CSCALA_1759$C222"/>
    <s v="H000003613"/>
    <s v="H000003613"/>
    <s v="Non-LFF"/>
    <s v=""/>
    <m/>
    <b v="1"/>
    <x v="1"/>
    <x v="0"/>
    <d v="2025-12-01T00:00:00"/>
    <m/>
    <m/>
    <x v="1"/>
    <n v="9"/>
    <s v="Rayneil Reas"/>
    <m/>
  </r>
  <r>
    <x v="451"/>
    <x v="0"/>
    <x v="2"/>
    <s v="CSCALA_1759$C223"/>
    <s v="H000003613"/>
    <s v="H000003613"/>
    <s v="Non-LFF"/>
    <s v=""/>
    <m/>
    <b v="1"/>
    <x v="1"/>
    <x v="0"/>
    <d v="2025-12-01T00:00:00"/>
    <m/>
    <m/>
    <x v="1"/>
    <n v="9"/>
    <s v="Rayneil Reas"/>
    <m/>
  </r>
  <r>
    <x v="451"/>
    <x v="0"/>
    <x v="2"/>
    <s v="CSCALA_1759$C224"/>
    <s v="H000003613"/>
    <s v="H000003613"/>
    <s v="Non-LFF"/>
    <s v=""/>
    <m/>
    <b v="1"/>
    <x v="1"/>
    <x v="0"/>
    <d v="2025-12-01T00:00:00"/>
    <m/>
    <m/>
    <x v="1"/>
    <n v="9"/>
    <s v="Rayneil Reas"/>
    <m/>
  </r>
  <r>
    <x v="451"/>
    <x v="0"/>
    <x v="2"/>
    <s v="CSCALA_1759$C225"/>
    <s v="H000003613"/>
    <s v="H000003613"/>
    <s v="Non-LFF"/>
    <s v=""/>
    <m/>
    <b v="1"/>
    <x v="1"/>
    <x v="0"/>
    <d v="2025-12-01T00:00:00"/>
    <m/>
    <m/>
    <x v="1"/>
    <n v="9"/>
    <s v="Rayneil Reas"/>
    <m/>
  </r>
  <r>
    <x v="451"/>
    <x v="0"/>
    <x v="2"/>
    <s v="CSCALA_1759$C226"/>
    <s v="H000003613"/>
    <s v="H000003613"/>
    <s v="Non-LFF"/>
    <s v=""/>
    <m/>
    <b v="1"/>
    <x v="1"/>
    <x v="0"/>
    <d v="2025-12-01T00:00:00"/>
    <m/>
    <m/>
    <x v="1"/>
    <n v="9"/>
    <s v="Rayneil Reas"/>
    <m/>
  </r>
  <r>
    <x v="451"/>
    <x v="0"/>
    <x v="2"/>
    <s v="CSCALA_1759$C227"/>
    <s v="H000003613"/>
    <s v="H000003613"/>
    <s v="Non-LFF"/>
    <s v=""/>
    <m/>
    <b v="1"/>
    <x v="1"/>
    <x v="0"/>
    <d v="2025-12-01T00:00:00"/>
    <m/>
    <m/>
    <x v="1"/>
    <n v="9"/>
    <s v="Rayneil Reas"/>
    <m/>
  </r>
  <r>
    <x v="451"/>
    <x v="0"/>
    <x v="2"/>
    <s v="CSCALA_1759$C228"/>
    <s v="H000003613"/>
    <s v="H000003613"/>
    <s v="Non-LFF"/>
    <s v=""/>
    <m/>
    <b v="1"/>
    <x v="1"/>
    <x v="0"/>
    <d v="2025-12-01T00:00:00"/>
    <m/>
    <m/>
    <x v="1"/>
    <n v="9"/>
    <s v="Rayneil Reas"/>
    <m/>
  </r>
  <r>
    <x v="451"/>
    <x v="0"/>
    <x v="2"/>
    <s v="CSCALA_1759$C231"/>
    <s v="H000003613"/>
    <s v="H000003613"/>
    <s v="Non-LFF"/>
    <s v=""/>
    <m/>
    <b v="1"/>
    <x v="1"/>
    <x v="0"/>
    <d v="2025-12-01T00:00:00"/>
    <m/>
    <m/>
    <x v="1"/>
    <n v="9"/>
    <s v="Rayneil Reas"/>
    <m/>
  </r>
  <r>
    <x v="451"/>
    <x v="0"/>
    <x v="2"/>
    <s v="CSCALA_1759$G233"/>
    <s v="H000003613"/>
    <s v="H000003613"/>
    <s v="Non-LFF"/>
    <s v=""/>
    <m/>
    <b v="1"/>
    <x v="1"/>
    <x v="0"/>
    <d v="2025-12-01T00:00:00"/>
    <m/>
    <m/>
    <x v="1"/>
    <n v="9"/>
    <s v="Rayneil Reas"/>
    <m/>
  </r>
  <r>
    <x v="452"/>
    <x v="0"/>
    <x v="2"/>
    <s v="CSCALA_1022$ITR"/>
    <s v="G000001238"/>
    <s v="G000001238"/>
    <s v="Non-LFF"/>
    <s v=""/>
    <m/>
    <b v="1"/>
    <x v="0"/>
    <x v="0"/>
    <d v="2025-12-02T00:00:00"/>
    <m/>
    <m/>
    <x v="1"/>
    <n v="8"/>
    <s v="Jay-R Lizardo"/>
    <m/>
  </r>
  <r>
    <x v="452"/>
    <x v="0"/>
    <x v="2"/>
    <s v="CLFF_1000$$$CN90GM4004"/>
    <s v="G000001457"/>
    <s v="G000001457"/>
    <s v="LFF (MDG-F)"/>
    <s v="CN90GM4004"/>
    <s v="G000001457"/>
    <b v="1"/>
    <x v="0"/>
    <x v="0"/>
    <d v="2025-12-02T00:00:00"/>
    <m/>
    <m/>
    <x v="1"/>
    <n v="8"/>
    <s v="Jay-R Lizardo"/>
    <m/>
  </r>
  <r>
    <x v="452"/>
    <x v="0"/>
    <x v="2"/>
    <s v="CTEMPEU_1000PL80GFO045"/>
    <s v="G000001458"/>
    <s v="G000001458"/>
    <s v="Non-LFF"/>
    <s v=""/>
    <s v="G000001458"/>
    <b v="1"/>
    <x v="0"/>
    <x v="0"/>
    <d v="2025-12-02T00:00:00"/>
    <m/>
    <m/>
    <x v="1"/>
    <n v="8"/>
    <s v="Jay-R Lizardo"/>
    <m/>
  </r>
  <r>
    <x v="452"/>
    <x v="0"/>
    <x v="2"/>
    <s v="CTEMPEU_1000PL80GMS040"/>
    <s v="G000001459"/>
    <s v="G000001459"/>
    <s v="Non-LFF"/>
    <s v=""/>
    <s v="G000001459"/>
    <b v="1"/>
    <x v="0"/>
    <x v="0"/>
    <d v="2025-12-02T00:00:00"/>
    <m/>
    <m/>
    <x v="1"/>
    <n v="8"/>
    <s v="Jay-R Lizardo"/>
    <m/>
  </r>
  <r>
    <x v="452"/>
    <x v="0"/>
    <x v="2"/>
    <s v="CTEMPNA_1000PH80GFO026"/>
    <s v="G000001460"/>
    <s v="G000001460"/>
    <s v="Non-LFF"/>
    <s v=""/>
    <s v="G000001460"/>
    <b v="1"/>
    <x v="0"/>
    <x v="0"/>
    <d v="2025-12-02T00:00:00"/>
    <m/>
    <m/>
    <x v="1"/>
    <n v="8"/>
    <s v="Jay-R Lizardo"/>
    <m/>
  </r>
  <r>
    <x v="452"/>
    <x v="0"/>
    <x v="2"/>
    <s v="CTEMPNA_1000PH80GFO120"/>
    <s v="G000001457"/>
    <s v="G000001457"/>
    <s v="Non-LFF"/>
    <s v=""/>
    <s v="G000001457"/>
    <b v="1"/>
    <x v="0"/>
    <x v="0"/>
    <d v="2025-12-02T00:00:00"/>
    <m/>
    <m/>
    <x v="1"/>
    <n v="8"/>
    <s v="Jay-R Lizardo"/>
    <m/>
  </r>
  <r>
    <x v="452"/>
    <x v="0"/>
    <x v="2"/>
    <s v="CLFF_1000$$$DE10GMS041"/>
    <s v="G000001459"/>
    <s v="G000001459"/>
    <s v="LFF (MDG-F)"/>
    <s v="DE10GMS041"/>
    <s v="G000001459"/>
    <b v="1"/>
    <x v="0"/>
    <x v="0"/>
    <d v="2025-12-02T00:00:00"/>
    <m/>
    <m/>
    <x v="1"/>
    <n v="8"/>
    <s v="Jay-R Lizardo"/>
    <m/>
  </r>
  <r>
    <x v="452"/>
    <x v="0"/>
    <x v="2"/>
    <s v="CLFF_1000$$$DE10GMS070"/>
    <s v="G000001460"/>
    <s v="G000001460"/>
    <s v="LFF (MDG-F)"/>
    <s v="DE10GMS070"/>
    <s v="G000001460"/>
    <b v="1"/>
    <x v="0"/>
    <x v="0"/>
    <d v="2025-12-02T00:00:00"/>
    <m/>
    <m/>
    <x v="1"/>
    <n v="8"/>
    <s v="Jay-R Lizardo"/>
    <m/>
  </r>
  <r>
    <x v="452"/>
    <x v="0"/>
    <x v="2"/>
    <s v="CLFF_1000$$$DE10669632"/>
    <s v="G000001459"/>
    <s v="G000001459"/>
    <s v="LFF (MDG-F)"/>
    <s v="DE10669632"/>
    <s v="G000001459"/>
    <b v="1"/>
    <x v="0"/>
    <x v="0"/>
    <d v="2025-12-02T00:00:00"/>
    <m/>
    <m/>
    <x v="1"/>
    <n v="8"/>
    <s v="Jay-R Lizardo"/>
    <m/>
  </r>
  <r>
    <x v="452"/>
    <x v="0"/>
    <x v="2"/>
    <s v="CTEMPLA_1000UY10100040"/>
    <s v="G000001457"/>
    <s v="G000001457"/>
    <s v="Non-LFF"/>
    <s v=""/>
    <s v="G000001457"/>
    <b v="1"/>
    <x v="0"/>
    <x v="0"/>
    <d v="2025-12-02T00:00:00"/>
    <m/>
    <m/>
    <x v="1"/>
    <n v="8"/>
    <s v="Jay-R Lizardo"/>
    <m/>
  </r>
  <r>
    <x v="452"/>
    <x v="0"/>
    <x v="2"/>
    <s v="CNOW_7210$$$0000021361"/>
    <s v="G000000736"/>
    <s v="G000000736"/>
    <s v="Non-LFF"/>
    <s v=""/>
    <s v="G000000736"/>
    <b v="1"/>
    <x v="0"/>
    <x v="0"/>
    <d v="2025-12-02T00:00:00"/>
    <m/>
    <m/>
    <x v="1"/>
    <n v="8"/>
    <s v="Jay-R Lizardo"/>
    <m/>
  </r>
  <r>
    <x v="453"/>
    <x v="0"/>
    <x v="2"/>
    <s v="CSCALA_1248$VR00_L36"/>
    <s v="H000004401"/>
    <s v="H000004401"/>
    <s v="Non-LFF"/>
    <s v=""/>
    <m/>
    <b v="1"/>
    <x v="1"/>
    <x v="0"/>
    <d v="2025-12-03T00:00:00"/>
    <m/>
    <m/>
    <x v="1"/>
    <n v="7"/>
    <s v="Erjo Miguel Tagle"/>
    <m/>
  </r>
  <r>
    <x v="453"/>
    <x v="0"/>
    <x v="2"/>
    <s v="CSCALA_1248$VR00_L37"/>
    <s v="H000004401"/>
    <s v="H000004401"/>
    <s v="Non-LFF"/>
    <s v=""/>
    <m/>
    <b v="1"/>
    <x v="1"/>
    <x v="0"/>
    <d v="2025-12-03T00:00:00"/>
    <m/>
    <m/>
    <x v="1"/>
    <n v="7"/>
    <s v="Erjo Miguel Tagle"/>
    <m/>
  </r>
  <r>
    <x v="453"/>
    <x v="0"/>
    <x v="2"/>
    <s v="CSCALA_1248$VR00_L38"/>
    <s v="H000004401"/>
    <s v="H000004401"/>
    <s v="Non-LFF"/>
    <s v=""/>
    <m/>
    <b v="1"/>
    <x v="1"/>
    <x v="0"/>
    <d v="2025-12-03T00:00:00"/>
    <m/>
    <m/>
    <x v="1"/>
    <n v="7"/>
    <s v="Erjo Miguel Tagle"/>
    <m/>
  </r>
  <r>
    <x v="454"/>
    <x v="0"/>
    <x v="2"/>
    <s v="CSCALA_1248$A350_L40"/>
    <s v="H000004401"/>
    <s v="H000004401"/>
    <s v="Non-LFF"/>
    <s v=""/>
    <m/>
    <b v="1"/>
    <x v="1"/>
    <x v="0"/>
    <d v="2025-12-03T00:00:00"/>
    <m/>
    <m/>
    <x v="1"/>
    <n v="7"/>
    <s v="Erjo Miguel Tagle"/>
    <m/>
  </r>
  <r>
    <x v="454"/>
    <x v="0"/>
    <x v="2"/>
    <s v="CSCALA_1248$A350"/>
    <s v="H000004401"/>
    <s v="H000004401"/>
    <s v="Non-LFF"/>
    <s v=""/>
    <m/>
    <b v="1"/>
    <x v="1"/>
    <x v="0"/>
    <d v="2025-12-03T00:00:00"/>
    <m/>
    <m/>
    <x v="1"/>
    <n v="7"/>
    <s v="Erjo Miguel Tagle"/>
    <m/>
  </r>
  <r>
    <x v="454"/>
    <x v="0"/>
    <x v="2"/>
    <s v="CSCALA_1248$A350_L05"/>
    <s v="H000004401"/>
    <s v="H000004401"/>
    <s v="Non-LFF"/>
    <s v=""/>
    <m/>
    <b v="1"/>
    <x v="1"/>
    <x v="0"/>
    <d v="2025-12-03T00:00:00"/>
    <m/>
    <m/>
    <x v="1"/>
    <n v="7"/>
    <s v="Erjo Miguel Tagle"/>
    <m/>
  </r>
  <r>
    <x v="454"/>
    <x v="0"/>
    <x v="2"/>
    <s v="CSCALA_1248$A350_L09"/>
    <s v="H000004401"/>
    <s v="H000004401"/>
    <s v="Non-LFF"/>
    <s v=""/>
    <m/>
    <b v="1"/>
    <x v="1"/>
    <x v="0"/>
    <d v="2025-12-03T00:00:00"/>
    <m/>
    <m/>
    <x v="1"/>
    <n v="7"/>
    <s v="Erjo Miguel Tagle"/>
    <m/>
  </r>
  <r>
    <x v="454"/>
    <x v="0"/>
    <x v="2"/>
    <s v="CSCALA_1248$A350_L11"/>
    <s v="H000004401"/>
    <s v="H000004401"/>
    <s v="Non-LFF"/>
    <s v=""/>
    <m/>
    <b v="1"/>
    <x v="1"/>
    <x v="0"/>
    <d v="2025-12-03T00:00:00"/>
    <m/>
    <m/>
    <x v="1"/>
    <n v="7"/>
    <s v="Erjo Miguel Tagle"/>
    <m/>
  </r>
  <r>
    <x v="454"/>
    <x v="0"/>
    <x v="2"/>
    <s v="CSCALA_1248$A350_L33"/>
    <s v="H000004401"/>
    <s v="H000004401"/>
    <s v="Non-LFF"/>
    <s v=""/>
    <m/>
    <b v="1"/>
    <x v="1"/>
    <x v="0"/>
    <d v="2025-12-03T00:00:00"/>
    <m/>
    <m/>
    <x v="1"/>
    <n v="7"/>
    <s v="Erjo Miguel Tagle"/>
    <m/>
  </r>
  <r>
    <x v="455"/>
    <x v="0"/>
    <x v="4"/>
    <s v="PEMERAL_6403H2018040201__1001 SI_Project Chronos/H.20180402.01.1001"/>
    <s v="RDC0000993 Others"/>
    <s v="DFLTPGCOH_000000"/>
    <s v="Non-LFF"/>
    <s v=""/>
    <m/>
    <b v="0"/>
    <x v="1"/>
    <x v="0"/>
    <d v="2025-12-03T00:00:00"/>
    <m/>
    <m/>
    <x v="1"/>
    <n v="7"/>
    <s v="Erjo Miguel Tagle"/>
    <m/>
  </r>
  <r>
    <x v="455"/>
    <x v="0"/>
    <x v="2"/>
    <s v="CSCALA_1022$RDG_L39"/>
    <s v="H000001088"/>
    <s v="H000001088"/>
    <s v="Non-LFF"/>
    <s v=""/>
    <m/>
    <b v="1"/>
    <x v="1"/>
    <x v="0"/>
    <d v="2025-12-03T00:00:00"/>
    <m/>
    <m/>
    <x v="1"/>
    <n v="7"/>
    <s v="Erjo Miguel Tagle"/>
    <m/>
  </r>
  <r>
    <x v="455"/>
    <x v="0"/>
    <x v="2"/>
    <s v="CSCALA_1022$RDG_L38"/>
    <s v="H000001088"/>
    <s v="H000001088"/>
    <s v="Non-LFF"/>
    <s v=""/>
    <m/>
    <b v="1"/>
    <x v="1"/>
    <x v="0"/>
    <d v="2025-12-03T00:00:00"/>
    <m/>
    <m/>
    <x v="1"/>
    <n v="7"/>
    <s v="Erjo Miguel Tagle"/>
    <m/>
  </r>
  <r>
    <x v="455"/>
    <x v="0"/>
    <x v="2"/>
    <s v="CSCALA_1022$RDG_L35"/>
    <s v="H000001088"/>
    <s v="H000001088"/>
    <s v="Non-LFF"/>
    <s v=""/>
    <m/>
    <b v="1"/>
    <x v="1"/>
    <x v="0"/>
    <d v="2025-12-03T00:00:00"/>
    <m/>
    <m/>
    <x v="1"/>
    <n v="7"/>
    <s v="Erjo Miguel Tagle"/>
    <m/>
  </r>
  <r>
    <x v="455"/>
    <x v="0"/>
    <x v="2"/>
    <s v="CSCALA_1022$RDG_L36"/>
    <s v="H000001088"/>
    <s v="H000001088"/>
    <s v="Non-LFF"/>
    <s v=""/>
    <m/>
    <b v="1"/>
    <x v="1"/>
    <x v="0"/>
    <d v="2025-12-03T00:00:00"/>
    <m/>
    <m/>
    <x v="1"/>
    <n v="7"/>
    <s v="Erjo Miguel Tagle"/>
    <m/>
  </r>
  <r>
    <x v="455"/>
    <x v="0"/>
    <x v="2"/>
    <s v="CSCALA_1022$RDG_L37"/>
    <s v="H000001088"/>
    <s v="H000001088"/>
    <s v="Non-LFF"/>
    <s v=""/>
    <m/>
    <b v="1"/>
    <x v="1"/>
    <x v="0"/>
    <d v="2025-12-03T00:00:00"/>
    <m/>
    <m/>
    <x v="1"/>
    <n v="7"/>
    <s v="Erjo Miguel Tagle"/>
    <m/>
  </r>
  <r>
    <x v="455"/>
    <x v="0"/>
    <x v="2"/>
    <s v="CSCALA_1022$PVS_L40"/>
    <s v="H000001086"/>
    <s v="H000001086"/>
    <s v="Non-LFF"/>
    <s v=""/>
    <m/>
    <b v="1"/>
    <x v="1"/>
    <x v="0"/>
    <d v="2025-12-03T00:00:00"/>
    <m/>
    <m/>
    <x v="1"/>
    <n v="7"/>
    <s v="Erjo Miguel Tagle"/>
    <m/>
  </r>
  <r>
    <x v="455"/>
    <x v="0"/>
    <x v="2"/>
    <s v="CSCALA_1248$6528_L40"/>
    <s v="H000000923"/>
    <s v="H000000923"/>
    <s v="Non-LFF"/>
    <s v=""/>
    <m/>
    <b v="1"/>
    <x v="1"/>
    <x v="0"/>
    <d v="2025-12-03T00:00:00"/>
    <m/>
    <m/>
    <x v="1"/>
    <n v="7"/>
    <s v="Erjo Miguel Tagle"/>
    <m/>
  </r>
  <r>
    <x v="455"/>
    <x v="0"/>
    <x v="2"/>
    <s v="CSCALA_1248$6528_L39"/>
    <s v="H000000923"/>
    <s v="H000000923"/>
    <s v="Non-LFF"/>
    <s v=""/>
    <m/>
    <b v="1"/>
    <x v="1"/>
    <x v="0"/>
    <d v="2025-12-03T00:00:00"/>
    <m/>
    <m/>
    <x v="1"/>
    <n v="7"/>
    <s v="Erjo Miguel Tagle"/>
    <m/>
  </r>
  <r>
    <x v="455"/>
    <x v="0"/>
    <x v="2"/>
    <s v="CSCALA_1248$VR00_V03"/>
    <s v="H000004401"/>
    <s v="H000004401"/>
    <s v="Non-LFF"/>
    <s v=""/>
    <m/>
    <b v="1"/>
    <x v="1"/>
    <x v="0"/>
    <d v="2025-12-03T00:00:00"/>
    <m/>
    <m/>
    <x v="1"/>
    <n v="7"/>
    <s v="Erjo Miguel Tagle"/>
    <m/>
  </r>
  <r>
    <x v="455"/>
    <x v="0"/>
    <x v="2"/>
    <s v="CSCALA_1248$A350_L40"/>
    <s v="H000000729"/>
    <s v="H000000729"/>
    <s v="Non-LFF"/>
    <s v=""/>
    <m/>
    <b v="1"/>
    <x v="1"/>
    <x v="0"/>
    <d v="2025-12-03T00:00:00"/>
    <m/>
    <m/>
    <x v="1"/>
    <n v="7"/>
    <s v="Erjo Miguel Tagle"/>
    <m/>
  </r>
  <r>
    <x v="455"/>
    <x v="0"/>
    <x v="2"/>
    <s v="CSCALA_1872$195_GCQ"/>
    <s v="H000000907"/>
    <s v="H000000907"/>
    <s v="Non-LFF"/>
    <s v=""/>
    <m/>
    <b v="1"/>
    <x v="1"/>
    <x v="0"/>
    <d v="2025-12-03T00:00:00"/>
    <m/>
    <m/>
    <x v="1"/>
    <n v="7"/>
    <s v="Erjo Miguel Tagle"/>
    <m/>
  </r>
  <r>
    <x v="456"/>
    <x v="0"/>
    <x v="2"/>
    <s v="CSCALA_1248$A351"/>
    <s v="H000004401"/>
    <s v="H000004401"/>
    <s v="Non-LFF"/>
    <s v=""/>
    <m/>
    <b v="1"/>
    <x v="1"/>
    <x v="0"/>
    <d v="2025-12-03T00:00:00"/>
    <m/>
    <m/>
    <x v="1"/>
    <n v="7"/>
    <s v="Erjo Miguel Tagle"/>
    <m/>
  </r>
  <r>
    <x v="456"/>
    <x v="0"/>
    <x v="2"/>
    <s v="CSCALA_1248$A351_L05"/>
    <s v="H000004401"/>
    <s v="H000004401"/>
    <s v="Non-LFF"/>
    <s v=""/>
    <m/>
    <b v="1"/>
    <x v="1"/>
    <x v="0"/>
    <d v="2025-12-03T00:00:00"/>
    <m/>
    <m/>
    <x v="1"/>
    <n v="7"/>
    <s v="Erjo Miguel Tagle"/>
    <m/>
  </r>
  <r>
    <x v="456"/>
    <x v="0"/>
    <x v="2"/>
    <s v="CSCALA_1248$A351_L12"/>
    <s v="H000004401"/>
    <s v="H000004401"/>
    <s v="Non-LFF"/>
    <s v=""/>
    <m/>
    <b v="1"/>
    <x v="1"/>
    <x v="0"/>
    <d v="2025-12-03T00:00:00"/>
    <m/>
    <m/>
    <x v="1"/>
    <n v="7"/>
    <s v="Erjo Miguel Tagle"/>
    <m/>
  </r>
  <r>
    <x v="456"/>
    <x v="0"/>
    <x v="2"/>
    <s v="CSCALA_1248$A351_L33"/>
    <s v="H000004401"/>
    <s v="H000004401"/>
    <s v="Non-LFF"/>
    <s v=""/>
    <m/>
    <b v="1"/>
    <x v="1"/>
    <x v="0"/>
    <d v="2025-12-03T00:00:00"/>
    <m/>
    <m/>
    <x v="1"/>
    <n v="7"/>
    <s v="Erjo Miguel Tagle"/>
    <m/>
  </r>
  <r>
    <x v="456"/>
    <x v="0"/>
    <x v="2"/>
    <s v="CSCALA_1248$A351_L34"/>
    <s v="H000004401"/>
    <s v="H000004401"/>
    <s v="Non-LFF"/>
    <s v=""/>
    <m/>
    <b v="1"/>
    <x v="1"/>
    <x v="0"/>
    <d v="2025-12-03T00:00:00"/>
    <m/>
    <m/>
    <x v="1"/>
    <n v="7"/>
    <s v="Erjo Miguel Tagle"/>
    <m/>
  </r>
  <r>
    <x v="457"/>
    <x v="0"/>
    <x v="2"/>
    <s v="CFLTFLE_10548-151-RA REGULATORY AFFAIRS"/>
    <s v="H000000719"/>
    <s v="H000000719"/>
    <s v="Non-LFF"/>
    <s v=""/>
    <m/>
    <b v="1"/>
    <x v="1"/>
    <x v="0"/>
    <d v="2025-12-04T00:00:00"/>
    <m/>
    <m/>
    <x v="1"/>
    <n v="6"/>
    <s v="Gay Geanuza del Mundo"/>
    <m/>
  </r>
  <r>
    <x v="458"/>
    <x v="0"/>
    <x v="2"/>
    <s v="CSCALA_1022$ITS_T02"/>
    <s v="G000000895"/>
    <s v="G000000895"/>
    <s v="Non-LFF"/>
    <s v=""/>
    <m/>
    <b v="1"/>
    <x v="0"/>
    <x v="0"/>
    <d v="2025-12-04T00:00:00"/>
    <m/>
    <m/>
    <x v="1"/>
    <n v="6"/>
    <s v="Jay-R Lizardo"/>
    <m/>
  </r>
  <r>
    <x v="459"/>
    <x v="0"/>
    <x v="2"/>
    <s v="CSCALA_1820$Q319_AQ2"/>
    <s v="H000004399"/>
    <s v="H000004399"/>
    <s v="Non-LFF"/>
    <s v=""/>
    <m/>
    <b v="1"/>
    <x v="1"/>
    <x v="0"/>
    <d v="2025-12-05T00:00:00"/>
    <m/>
    <m/>
    <x v="0"/>
    <n v="5"/>
    <s v="Erjo Miguel Tagle"/>
    <m/>
  </r>
  <r>
    <x v="459"/>
    <x v="0"/>
    <x v="2"/>
    <s v="CSCALA_1025$25DS_B01"/>
    <s v="H000001085"/>
    <s v="H000001085"/>
    <s v="Non-LFF"/>
    <s v=""/>
    <m/>
    <b v="1"/>
    <x v="1"/>
    <x v="0"/>
    <d v="2025-12-05T00:00:00"/>
    <m/>
    <m/>
    <x v="0"/>
    <n v="5"/>
    <s v="Erjo Miguel Tagle"/>
    <m/>
  </r>
  <r>
    <x v="459"/>
    <x v="0"/>
    <x v="2"/>
    <s v="CSCALA_1025$25RA_B05"/>
    <s v="H000001074"/>
    <s v="H000001074"/>
    <s v="Non-LFF"/>
    <s v=""/>
    <m/>
    <b v="1"/>
    <x v="1"/>
    <x v="0"/>
    <d v="2025-12-05T00:00:00"/>
    <m/>
    <m/>
    <x v="0"/>
    <n v="5"/>
    <s v="Erjo Miguel Tagle"/>
    <m/>
  </r>
  <r>
    <x v="459"/>
    <x v="0"/>
    <x v="2"/>
    <s v="CSCALA_1042$MSRG_P19"/>
    <s v="H000000723"/>
    <s v="H000000723"/>
    <s v="Non-LFF"/>
    <s v=""/>
    <m/>
    <b v="1"/>
    <x v="1"/>
    <x v="0"/>
    <d v="2025-12-05T00:00:00"/>
    <m/>
    <m/>
    <x v="0"/>
    <n v="5"/>
    <s v="Erjo Miguel Tagle"/>
    <m/>
  </r>
  <r>
    <x v="459"/>
    <x v="0"/>
    <x v="2"/>
    <s v="CSCALA_1042$MSRG_P48"/>
    <s v="H000000723"/>
    <s v="H000000723"/>
    <s v="Non-LFF"/>
    <s v=""/>
    <m/>
    <b v="1"/>
    <x v="1"/>
    <x v="0"/>
    <d v="2025-12-05T00:00:00"/>
    <m/>
    <m/>
    <x v="0"/>
    <n v="5"/>
    <s v="Erjo Miguel Tagle"/>
    <m/>
  </r>
  <r>
    <x v="459"/>
    <x v="0"/>
    <x v="2"/>
    <s v="CSCALA_1248$A353_L33"/>
    <s v="H000000802"/>
    <s v="H000000802"/>
    <s v="Non-LFF"/>
    <s v=""/>
    <m/>
    <b v="1"/>
    <x v="1"/>
    <x v="0"/>
    <d v="2025-12-05T00:00:00"/>
    <m/>
    <m/>
    <x v="0"/>
    <n v="5"/>
    <s v="Erjo Miguel Tagle"/>
    <m/>
  </r>
  <r>
    <x v="459"/>
    <x v="0"/>
    <x v="2"/>
    <s v="CSCALA_1248$A353_L12"/>
    <s v="H000000802"/>
    <s v="H000000802"/>
    <s v="Non-LFF"/>
    <s v=""/>
    <m/>
    <b v="1"/>
    <x v="1"/>
    <x v="0"/>
    <d v="2025-12-05T00:00:00"/>
    <m/>
    <m/>
    <x v="0"/>
    <n v="5"/>
    <s v="Erjo Miguel Tagle"/>
    <m/>
  </r>
  <r>
    <x v="459"/>
    <x v="0"/>
    <x v="2"/>
    <s v="CSCALA_1248$A353_L05"/>
    <s v="H000000802"/>
    <s v="H000000802"/>
    <s v="Non-LFF"/>
    <s v=""/>
    <m/>
    <b v="1"/>
    <x v="1"/>
    <x v="0"/>
    <d v="2025-12-05T00:00:00"/>
    <m/>
    <m/>
    <x v="0"/>
    <n v="5"/>
    <s v="Erjo Miguel Tagle"/>
    <m/>
  </r>
  <r>
    <x v="459"/>
    <x v="0"/>
    <x v="2"/>
    <s v="CSCALA_1248$A353_L34"/>
    <s v="H000000802"/>
    <s v="H000000802"/>
    <s v="Non-LFF"/>
    <s v=""/>
    <m/>
    <b v="1"/>
    <x v="1"/>
    <x v="0"/>
    <d v="2025-12-05T00:00:00"/>
    <m/>
    <m/>
    <x v="0"/>
    <n v="5"/>
    <s v="Erjo Miguel Tagle"/>
    <m/>
  </r>
  <r>
    <x v="459"/>
    <x v="0"/>
    <x v="2"/>
    <s v="CSCALA_1248$A353 LPSO GPS"/>
    <s v="H000000802"/>
    <s v="H000000802"/>
    <s v="Non-LFF"/>
    <s v=""/>
    <m/>
    <b v="1"/>
    <x v="1"/>
    <x v="0"/>
    <d v="2025-12-05T00:00:00"/>
    <m/>
    <m/>
    <x v="0"/>
    <n v="5"/>
    <s v="Erjo Miguel Tagle"/>
    <m/>
  </r>
  <r>
    <x v="460"/>
    <x v="0"/>
    <x v="2"/>
    <s v="CSCALA_1248$A350"/>
    <s v="H000000726"/>
    <s v="H000000726"/>
    <s v="Non-LFF"/>
    <s v=""/>
    <m/>
    <b v="1"/>
    <x v="1"/>
    <x v="0"/>
    <d v="2025-12-05T00:00:00"/>
    <m/>
    <m/>
    <x v="0"/>
    <n v="5"/>
    <s v="Erjo Miguel Tagle"/>
    <m/>
  </r>
  <r>
    <x v="460"/>
    <x v="0"/>
    <x v="2"/>
    <s v="CSCALA_1248$A350_L05"/>
    <s v="H000000726"/>
    <s v="H000000726"/>
    <s v="Non-LFF"/>
    <s v=""/>
    <m/>
    <b v="1"/>
    <x v="1"/>
    <x v="0"/>
    <d v="2025-12-05T00:00:00"/>
    <m/>
    <m/>
    <x v="0"/>
    <n v="5"/>
    <s v="Erjo Miguel Tagle"/>
    <m/>
  </r>
  <r>
    <x v="460"/>
    <x v="0"/>
    <x v="2"/>
    <s v="CSCALA_1248$A350_L09"/>
    <s v="H000000726"/>
    <s v="H000000726"/>
    <s v="Non-LFF"/>
    <s v=""/>
    <m/>
    <b v="1"/>
    <x v="1"/>
    <x v="0"/>
    <d v="2025-12-05T00:00:00"/>
    <m/>
    <m/>
    <x v="0"/>
    <n v="5"/>
    <s v="Erjo Miguel Tagle"/>
    <m/>
  </r>
  <r>
    <x v="460"/>
    <x v="0"/>
    <x v="2"/>
    <s v="CSCALA_1248$A350_L11"/>
    <s v="H000000726"/>
    <s v="H000000726"/>
    <s v="Non-LFF"/>
    <s v=""/>
    <m/>
    <b v="1"/>
    <x v="1"/>
    <x v="0"/>
    <d v="2025-12-05T00:00:00"/>
    <m/>
    <m/>
    <x v="0"/>
    <n v="5"/>
    <s v="Erjo Miguel Tagle"/>
    <m/>
  </r>
  <r>
    <x v="460"/>
    <x v="0"/>
    <x v="2"/>
    <s v="CSCALA_1248$A350_L33"/>
    <s v="H000000726"/>
    <s v="H000000726"/>
    <s v="Non-LFF"/>
    <s v=""/>
    <m/>
    <b v="1"/>
    <x v="1"/>
    <x v="0"/>
    <d v="2025-12-05T00:00:00"/>
    <m/>
    <m/>
    <x v="0"/>
    <n v="5"/>
    <s v="Erjo Miguel Tagle"/>
    <m/>
  </r>
  <r>
    <x v="460"/>
    <x v="0"/>
    <x v="2"/>
    <s v="CSCALA_1248$A351"/>
    <s v="H000000802"/>
    <s v="H000000802"/>
    <s v="Non-LFF"/>
    <s v=""/>
    <m/>
    <b v="1"/>
    <x v="1"/>
    <x v="0"/>
    <d v="2025-12-05T00:00:00"/>
    <m/>
    <m/>
    <x v="0"/>
    <n v="5"/>
    <s v="Erjo Miguel Tagle"/>
    <m/>
  </r>
  <r>
    <x v="460"/>
    <x v="0"/>
    <x v="2"/>
    <s v="CSCALA_1248$A351_L05"/>
    <s v="H000000802"/>
    <s v="H000000802"/>
    <s v="Non-LFF"/>
    <s v=""/>
    <m/>
    <b v="1"/>
    <x v="1"/>
    <x v="0"/>
    <d v="2025-12-05T00:00:00"/>
    <m/>
    <m/>
    <x v="0"/>
    <n v="5"/>
    <s v="Erjo Miguel Tagle"/>
    <m/>
  </r>
  <r>
    <x v="460"/>
    <x v="0"/>
    <x v="2"/>
    <s v="CSCALA_1248$A351_L12"/>
    <s v="H000000802"/>
    <s v="H000000802"/>
    <s v="Non-LFF"/>
    <s v=""/>
    <m/>
    <b v="1"/>
    <x v="1"/>
    <x v="0"/>
    <d v="2025-12-05T00:00:00"/>
    <m/>
    <m/>
    <x v="0"/>
    <n v="5"/>
    <s v="Erjo Miguel Tagle"/>
    <m/>
  </r>
  <r>
    <x v="460"/>
    <x v="0"/>
    <x v="2"/>
    <s v="CSCALA_1248$A351_L33"/>
    <s v="H000000802"/>
    <s v="H000000802"/>
    <s v="Non-LFF"/>
    <s v=""/>
    <m/>
    <b v="1"/>
    <x v="1"/>
    <x v="0"/>
    <d v="2025-12-05T00:00:00"/>
    <m/>
    <m/>
    <x v="0"/>
    <n v="5"/>
    <s v="Erjo Miguel Tagle"/>
    <m/>
  </r>
  <r>
    <x v="460"/>
    <x v="0"/>
    <x v="2"/>
    <s v="CSCALA_1248$A351_L34"/>
    <s v="H000000802"/>
    <s v="H000000802"/>
    <s v="Non-LFF"/>
    <s v=""/>
    <m/>
    <b v="1"/>
    <x v="1"/>
    <x v="0"/>
    <d v="2025-12-05T00:00:00"/>
    <m/>
    <m/>
    <x v="0"/>
    <n v="5"/>
    <s v="Erjo Miguel Tagle"/>
    <m/>
  </r>
  <r>
    <x v="461"/>
    <x v="0"/>
    <x v="2"/>
    <s v="CSCALA_1042$MSRG_P19"/>
    <s v="H000000725"/>
    <s v="H000000725"/>
    <s v="Non-LFF"/>
    <s v=""/>
    <m/>
    <b v="1"/>
    <x v="1"/>
    <x v="0"/>
    <d v="2025-12-08T00:00:00"/>
    <m/>
    <m/>
    <x v="0"/>
    <n v="4"/>
    <s v="Erjo Miguel Tagle"/>
    <m/>
  </r>
  <r>
    <x v="461"/>
    <x v="0"/>
    <x v="2"/>
    <s v="CSCALA_1042$MSRG_P48"/>
    <s v="H000000725"/>
    <s v="H000000725"/>
    <s v="Non-LFF"/>
    <s v=""/>
    <m/>
    <b v="1"/>
    <x v="1"/>
    <x v="0"/>
    <d v="2025-12-08T00:00:00"/>
    <m/>
    <m/>
    <x v="0"/>
    <n v="4"/>
    <s v="Erjo Miguel Tagle"/>
    <m/>
  </r>
  <r>
    <x v="462"/>
    <x v="0"/>
    <x v="2"/>
    <s v="CPHOENX_01010000648924 "/>
    <s v="L000013461"/>
    <s v="L000013461"/>
    <s v="Non-LFF"/>
    <s v=""/>
    <m/>
    <b v="1"/>
    <x v="2"/>
    <x v="0"/>
    <d v="2025-12-08T00:00:00"/>
    <m/>
    <m/>
    <x v="0"/>
    <n v="4"/>
    <s v="Ruby Grace Garcia"/>
    <m/>
  </r>
  <r>
    <x v="462"/>
    <x v="0"/>
    <x v="2"/>
    <s v="CNOW_7210$$$0000008099"/>
    <s v="L000009635"/>
    <s v="L000009635"/>
    <s v="Non-LFF"/>
    <s v=""/>
    <m/>
    <b v="1"/>
    <x v="2"/>
    <x v="0"/>
    <d v="2025-12-08T00:00:00"/>
    <m/>
    <m/>
    <x v="0"/>
    <n v="4"/>
    <s v="Ruby Grace Garcia"/>
    <m/>
  </r>
  <r>
    <x v="462"/>
    <x v="0"/>
    <x v="2"/>
    <s v="CNOW_7210$$$0000010313"/>
    <s v="L000013359"/>
    <s v="L000013359"/>
    <s v="Non-LFF"/>
    <s v=""/>
    <m/>
    <b v="1"/>
    <x v="2"/>
    <x v="0"/>
    <d v="2025-12-08T00:00:00"/>
    <m/>
    <m/>
    <x v="0"/>
    <n v="4"/>
    <s v="Ruby Grace Garcia"/>
    <m/>
  </r>
  <r>
    <x v="462"/>
    <x v="0"/>
    <x v="2"/>
    <s v="CNOW_7210$$$0000015417"/>
    <s v="L000010020"/>
    <s v="L000010020"/>
    <s v="Non-LFF"/>
    <s v=""/>
    <m/>
    <b v="1"/>
    <x v="2"/>
    <x v="0"/>
    <d v="2025-12-08T00:00:00"/>
    <m/>
    <m/>
    <x v="0"/>
    <n v="4"/>
    <s v="Ruby Grace Garcia"/>
    <m/>
  </r>
  <r>
    <x v="462"/>
    <x v="0"/>
    <x v="2"/>
    <s v="CNOW_7210$$$0000057267"/>
    <s v="L000010037"/>
    <s v="L000010037"/>
    <s v="Non-LFF"/>
    <s v=""/>
    <m/>
    <b v="1"/>
    <x v="2"/>
    <x v="0"/>
    <d v="2025-12-08T00:00:00"/>
    <m/>
    <m/>
    <x v="0"/>
    <n v="4"/>
    <s v="Ruby Grace Garcia"/>
    <m/>
  </r>
  <r>
    <x v="462"/>
    <x v="0"/>
    <x v="2"/>
    <s v="CNOW_7210$$$0000020734"/>
    <s v="L000005341"/>
    <s v="L000005341"/>
    <s v="Non-LFF"/>
    <s v=""/>
    <m/>
    <b v="1"/>
    <x v="2"/>
    <x v="0"/>
    <d v="2025-12-08T00:00:00"/>
    <m/>
    <m/>
    <x v="0"/>
    <n v="4"/>
    <s v="Ruby Grace Garcia"/>
    <m/>
  </r>
  <r>
    <x v="462"/>
    <x v="0"/>
    <x v="2"/>
    <s v="CNOW_7210$$$0000020735"/>
    <s v="L000007080"/>
    <s v="L000007080"/>
    <s v="Non-LFF"/>
    <s v=""/>
    <m/>
    <b v="1"/>
    <x v="2"/>
    <x v="0"/>
    <d v="2025-12-08T00:00:00"/>
    <m/>
    <m/>
    <x v="0"/>
    <n v="4"/>
    <s v="Ruby Grace Garcia"/>
    <m/>
  </r>
  <r>
    <x v="462"/>
    <x v="0"/>
    <x v="2"/>
    <s v="CNOW_7210$$$0000040066"/>
    <s v="L000013317"/>
    <s v="L000013317"/>
    <s v="Non-LFF"/>
    <s v=""/>
    <m/>
    <b v="1"/>
    <x v="2"/>
    <x v="0"/>
    <d v="2025-12-08T00:00:00"/>
    <m/>
    <m/>
    <x v="0"/>
    <n v="4"/>
    <s v="Ruby Grace Garcia"/>
    <m/>
  </r>
  <r>
    <x v="462"/>
    <x v="0"/>
    <x v="2"/>
    <s v="CNOW_7210$$$0000020741"/>
    <s v="L000013227"/>
    <s v="L000013227"/>
    <s v="Non-LFF"/>
    <s v=""/>
    <m/>
    <b v="1"/>
    <x v="2"/>
    <x v="0"/>
    <d v="2025-12-08T00:00:00"/>
    <m/>
    <m/>
    <x v="0"/>
    <n v="4"/>
    <s v="Ruby Grace Garcia"/>
    <m/>
  </r>
  <r>
    <x v="462"/>
    <x v="0"/>
    <x v="2"/>
    <s v="CNOW_7210$$$0000020736"/>
    <s v="L000011186"/>
    <s v="L000011186"/>
    <s v="Non-LFF"/>
    <s v=""/>
    <m/>
    <b v="1"/>
    <x v="2"/>
    <x v="0"/>
    <d v="2025-12-08T00:00:00"/>
    <m/>
    <m/>
    <x v="0"/>
    <n v="4"/>
    <s v="Ruby Grace Garcia"/>
    <m/>
  </r>
  <r>
    <x v="462"/>
    <x v="0"/>
    <x v="2"/>
    <s v="CNOW_7210$$$0000020737"/>
    <s v="L000011186"/>
    <s v="L000011186"/>
    <s v="Non-LFF"/>
    <s v=""/>
    <m/>
    <b v="1"/>
    <x v="2"/>
    <x v="0"/>
    <d v="2025-12-08T00:00:00"/>
    <m/>
    <m/>
    <x v="0"/>
    <n v="4"/>
    <s v="Ruby Grace Garcia"/>
    <m/>
  </r>
  <r>
    <x v="462"/>
    <x v="0"/>
    <x v="2"/>
    <s v="CNOW_7210$$$0000020738"/>
    <s v="L000011185"/>
    <s v="L000011185"/>
    <s v="Non-LFF"/>
    <s v=""/>
    <m/>
    <b v="1"/>
    <x v="2"/>
    <x v="0"/>
    <d v="2025-12-08T00:00:00"/>
    <m/>
    <m/>
    <x v="0"/>
    <n v="4"/>
    <s v="Ruby Grace Garcia"/>
    <m/>
  </r>
  <r>
    <x v="462"/>
    <x v="0"/>
    <x v="2"/>
    <s v="CNOW_7210$$$0000020739"/>
    <s v="L000011185"/>
    <s v="L000011185"/>
    <s v="Non-LFF"/>
    <s v=""/>
    <m/>
    <b v="1"/>
    <x v="2"/>
    <x v="0"/>
    <d v="2025-12-08T00:00:00"/>
    <m/>
    <m/>
    <x v="0"/>
    <n v="4"/>
    <s v="Ruby Grace Garcia"/>
    <m/>
  </r>
  <r>
    <x v="462"/>
    <x v="0"/>
    <x v="2"/>
    <s v="CNOW_7210$$$0000025508"/>
    <s v="L000013915"/>
    <s v="L000013915"/>
    <s v="Non-LFF"/>
    <s v=""/>
    <m/>
    <b v="1"/>
    <x v="2"/>
    <x v="0"/>
    <d v="2025-12-08T00:00:00"/>
    <m/>
    <m/>
    <x v="0"/>
    <n v="4"/>
    <s v="Ruby Grace Garcia"/>
    <m/>
  </r>
  <r>
    <x v="462"/>
    <x v="0"/>
    <x v="2"/>
    <s v="CNOW_7210$$$0000057566"/>
    <s v="L000009119"/>
    <s v="L000009119"/>
    <s v="Non-LFF"/>
    <s v=""/>
    <m/>
    <b v="1"/>
    <x v="2"/>
    <x v="0"/>
    <d v="2025-12-08T00:00:00"/>
    <m/>
    <m/>
    <x v="0"/>
    <n v="4"/>
    <s v="Ruby Grace Garcia"/>
    <m/>
  </r>
  <r>
    <x v="462"/>
    <x v="0"/>
    <x v="2"/>
    <s v="CNOW_7210$$$0000269903"/>
    <s v="L000009119"/>
    <s v="L000009119"/>
    <s v="Non-LFF"/>
    <s v=""/>
    <m/>
    <b v="1"/>
    <x v="2"/>
    <x v="0"/>
    <d v="2025-12-08T00:00:00"/>
    <m/>
    <m/>
    <x v="0"/>
    <n v="4"/>
    <s v="Ruby Grace Garcia"/>
    <m/>
  </r>
  <r>
    <x v="462"/>
    <x v="0"/>
    <x v="2"/>
    <s v="CNOW_7210$$$0000009003"/>
    <s v="L000009119"/>
    <s v="L000009119"/>
    <s v="Non-LFF"/>
    <s v=""/>
    <m/>
    <b v="1"/>
    <x v="2"/>
    <x v="0"/>
    <d v="2025-12-08T00:00:00"/>
    <m/>
    <m/>
    <x v="0"/>
    <n v="4"/>
    <s v="Ruby Grace Garcia"/>
    <m/>
  </r>
  <r>
    <x v="462"/>
    <x v="0"/>
    <x v="2"/>
    <s v="CNOW_7210$$$0000025537"/>
    <s v="L000009119"/>
    <s v="L000009119"/>
    <s v="Non-LFF"/>
    <s v=""/>
    <m/>
    <b v="1"/>
    <x v="2"/>
    <x v="0"/>
    <d v="2025-12-08T00:00:00"/>
    <m/>
    <m/>
    <x v="0"/>
    <n v="4"/>
    <s v="Ruby Grace Garcia"/>
    <m/>
  </r>
  <r>
    <x v="462"/>
    <x v="0"/>
    <x v="2"/>
    <s v="CNOW_7210$$$0000020428"/>
    <s v="L000009119"/>
    <s v="L000009119"/>
    <s v="Non-LFF"/>
    <s v=""/>
    <m/>
    <b v="1"/>
    <x v="2"/>
    <x v="0"/>
    <d v="2025-12-08T00:00:00"/>
    <m/>
    <m/>
    <x v="0"/>
    <n v="4"/>
    <s v="Ruby Grace Garcia"/>
    <m/>
  </r>
  <r>
    <x v="462"/>
    <x v="0"/>
    <x v="2"/>
    <s v="CNOW_7210$$$0000020429"/>
    <s v="L000009119"/>
    <s v="L000009119"/>
    <s v="Non-LFF"/>
    <s v=""/>
    <m/>
    <b v="1"/>
    <x v="2"/>
    <x v="0"/>
    <d v="2025-12-08T00:00:00"/>
    <m/>
    <m/>
    <x v="0"/>
    <n v="4"/>
    <s v="Ruby Grace Garcia"/>
    <m/>
  </r>
  <r>
    <x v="462"/>
    <x v="0"/>
    <x v="2"/>
    <s v="CNOW_7210$$$0000040593"/>
    <s v="L000009119"/>
    <s v="L000009119"/>
    <s v="Non-LFF"/>
    <s v=""/>
    <m/>
    <b v="1"/>
    <x v="2"/>
    <x v="0"/>
    <d v="2025-12-08T00:00:00"/>
    <m/>
    <m/>
    <x v="0"/>
    <n v="4"/>
    <s v="Ruby Grace Garcia"/>
    <m/>
  </r>
  <r>
    <x v="462"/>
    <x v="0"/>
    <x v="2"/>
    <s v="CNOW_7210$$$0000020750"/>
    <s v="L000009119"/>
    <s v="L000009119"/>
    <s v="Non-LFF"/>
    <s v=""/>
    <m/>
    <b v="1"/>
    <x v="2"/>
    <x v="0"/>
    <d v="2025-12-08T00:00:00"/>
    <m/>
    <m/>
    <x v="0"/>
    <n v="4"/>
    <s v="Ruby Grace Garcia"/>
    <m/>
  </r>
  <r>
    <x v="462"/>
    <x v="0"/>
    <x v="2"/>
    <s v="CNOW_7210$$$0000497199"/>
    <s v="L000005269"/>
    <s v="L000005269"/>
    <s v="Non-LFF"/>
    <s v=""/>
    <m/>
    <b v="1"/>
    <x v="2"/>
    <x v="0"/>
    <d v="2025-12-08T00:00:00"/>
    <m/>
    <m/>
    <x v="0"/>
    <n v="4"/>
    <s v="Ruby Grace Garcia"/>
    <m/>
  </r>
  <r>
    <x v="462"/>
    <x v="0"/>
    <x v="2"/>
    <s v="CNOW_7210$$$0000008063"/>
    <s v="L000011184"/>
    <s v="L000011184"/>
    <s v="Non-LFF"/>
    <s v=""/>
    <m/>
    <b v="1"/>
    <x v="2"/>
    <x v="0"/>
    <d v="2025-12-08T00:00:00"/>
    <m/>
    <m/>
    <x v="0"/>
    <n v="4"/>
    <s v="Ruby Grace Garcia"/>
    <m/>
  </r>
  <r>
    <x v="462"/>
    <x v="0"/>
    <x v="2"/>
    <s v="CNOW_7210$$$0000008064"/>
    <s v="L000011188"/>
    <s v="L000011188"/>
    <s v="Non-LFF"/>
    <s v=""/>
    <m/>
    <b v="1"/>
    <x v="2"/>
    <x v="0"/>
    <d v="2025-12-08T00:00:00"/>
    <m/>
    <m/>
    <x v="0"/>
    <n v="4"/>
    <s v="Ruby Grace Garcia"/>
    <m/>
  </r>
  <r>
    <x v="462"/>
    <x v="0"/>
    <x v="2"/>
    <s v="D30012000000000 "/>
    <s v="L000011451"/>
    <s v="L000011451"/>
    <s v="Non-LFF"/>
    <s v=""/>
    <m/>
    <b v="1"/>
    <x v="2"/>
    <x v="0"/>
    <d v="2025-12-08T00:00:00"/>
    <m/>
    <m/>
    <x v="0"/>
    <n v="4"/>
    <s v="Ruby Grace Garcia"/>
    <m/>
  </r>
  <r>
    <x v="463"/>
    <x v="1"/>
    <x v="5"/>
    <s v="RDC0000095"/>
    <s v="H000004396"/>
    <s v="DFLTPGCOH_MISSING_NODES"/>
    <s v="Non-LFF"/>
    <s v=""/>
    <m/>
    <b v="0"/>
    <x v="1"/>
    <x v="0"/>
    <d v="2025-12-08T00:00:00"/>
    <m/>
    <m/>
    <x v="0"/>
    <n v="4"/>
    <s v="Erjo Miguel Tagle"/>
    <m/>
  </r>
  <r>
    <x v="464"/>
    <x v="0"/>
    <x v="2"/>
    <s v="CEMERAL_70006101LSCORE LS China Core and Capabilities"/>
    <s v="L000013903"/>
    <s v="L000013903"/>
    <s v="Non-LFF"/>
    <s v=""/>
    <m/>
    <b v="1"/>
    <x v="2"/>
    <x v="0"/>
    <d v="2025-12-08T00:00:00"/>
    <m/>
    <m/>
    <x v="0"/>
    <n v="4"/>
    <s v="Ruby Grace Garcia"/>
    <m/>
  </r>
  <r>
    <x v="464"/>
    <x v="0"/>
    <x v="2"/>
    <s v="CLFF_1000$$$DE10Z0319A LS Project Eagle"/>
    <s v="L000013905"/>
    <s v="L000013905"/>
    <s v="LFF (MDG-F)"/>
    <s v="DE10Z0319A"/>
    <m/>
    <b v="1"/>
    <x v="2"/>
    <x v="0"/>
    <d v="2025-12-08T00:00:00"/>
    <m/>
    <m/>
    <x v="0"/>
    <n v="4"/>
    <s v="Ruby Grace Garcia"/>
    <m/>
  </r>
  <r>
    <x v="464"/>
    <x v="0"/>
    <x v="2"/>
    <s v="CORAERP_MMOR1975.9114 LS Project Eagle"/>
    <s v="L000013905"/>
    <s v="L000013905"/>
    <s v="Non-LFF"/>
    <s v=""/>
    <m/>
    <b v="1"/>
    <x v="2"/>
    <x v="0"/>
    <d v="2025-12-08T00:00:00"/>
    <m/>
    <m/>
    <x v="0"/>
    <n v="4"/>
    <s v="Ruby Grace Garcia"/>
    <m/>
  </r>
  <r>
    <x v="464"/>
    <x v="0"/>
    <x v="2"/>
    <s v="CPHOENX_01010000697001 Project Eagle"/>
    <s v="L000013905"/>
    <s v="L000013905"/>
    <s v="Non-LFF"/>
    <s v=""/>
    <m/>
    <b v="1"/>
    <x v="2"/>
    <x v="0"/>
    <d v="2025-12-08T00:00:00"/>
    <m/>
    <m/>
    <x v="0"/>
    <n v="4"/>
    <s v="Ruby Grace Garcia"/>
    <m/>
  </r>
  <r>
    <x v="464"/>
    <x v="0"/>
    <x v="2"/>
    <s v="CNOW_7210$$$0000021307 Applied Solutions Mgmt"/>
    <s v="L000005321"/>
    <s v="L000005321"/>
    <s v="Non-LFF"/>
    <s v=""/>
    <m/>
    <b v="1"/>
    <x v="2"/>
    <x v="0"/>
    <d v="2025-12-08T00:00:00"/>
    <m/>
    <m/>
    <x v="0"/>
    <n v="4"/>
    <s v="Ruby Grace Garcia"/>
    <m/>
  </r>
  <r>
    <x v="465"/>
    <x v="0"/>
    <x v="2"/>
    <s v="D00134300000000 EUV Rinse G5 – Samsung SF1.4"/>
    <s v="P000001013"/>
    <s v="P000001013"/>
    <s v="Non-LFF"/>
    <s v=""/>
    <m/>
    <b v="1"/>
    <x v="3"/>
    <x v="0"/>
    <d v="2025-12-10T00:00:00"/>
    <m/>
    <m/>
    <x v="0"/>
    <n v="2"/>
    <s v="John Rowie Del Rosario"/>
    <m/>
  </r>
  <r>
    <x v="465"/>
    <x v="0"/>
    <x v="2"/>
    <s v="D00134400000000 EUV Rinse G5 – Intel A14"/>
    <s v="P000001013"/>
    <s v="P000001013"/>
    <s v="Non-LFF"/>
    <s v=""/>
    <m/>
    <b v="1"/>
    <x v="3"/>
    <x v="0"/>
    <d v="2025-12-10T00:00:00"/>
    <m/>
    <m/>
    <x v="0"/>
    <n v="2"/>
    <s v="John Rowie Del Rosario"/>
    <m/>
  </r>
  <r>
    <x v="465"/>
    <x v="0"/>
    <x v="2"/>
    <s v="D00134000000000 PFAS-free KrF Resist"/>
    <s v="P000001013"/>
    <s v="P000001013"/>
    <s v="Non-LFF"/>
    <m/>
    <m/>
    <b v="1"/>
    <x v="3"/>
    <x v="0"/>
    <d v="2025-12-10T00:00:00"/>
    <m/>
    <m/>
    <x v="0"/>
    <n v="2"/>
    <s v="John Rowie Del Rosario"/>
    <m/>
  </r>
  <r>
    <x v="465"/>
    <x v="0"/>
    <x v="2"/>
    <s v="D00134100000000 EUV Rinse G5 – Micron 180s"/>
    <s v="P000001013"/>
    <s v="P000001013"/>
    <s v="Non-LFF"/>
    <s v=""/>
    <m/>
    <b v="1"/>
    <x v="3"/>
    <x v="0"/>
    <d v="2025-12-10T00:00:00"/>
    <m/>
    <m/>
    <x v="0"/>
    <n v="2"/>
    <s v="John Rowie Del Rosario"/>
    <m/>
  </r>
  <r>
    <x v="465"/>
    <x v="0"/>
    <x v="2"/>
    <s v="D00133900000000 PFAS-free i-line Resists"/>
    <s v="P000001013"/>
    <s v="P000001013"/>
    <s v="Non-LFF"/>
    <s v=""/>
    <m/>
    <b v="1"/>
    <x v="3"/>
    <x v="0"/>
    <d v="2025-12-10T00:00:00"/>
    <m/>
    <m/>
    <x v="0"/>
    <n v="2"/>
    <s v="John Rowie Del Rosario"/>
    <m/>
  </r>
  <r>
    <x v="465"/>
    <x v="0"/>
    <x v="2"/>
    <s v="D00134700000000 FZero Sensitizer tBuDHN"/>
    <s v="P000001013"/>
    <s v="P000001013"/>
    <s v="Non-LFF"/>
    <s v=""/>
    <m/>
    <b v="1"/>
    <x v="3"/>
    <x v="0"/>
    <d v="2025-12-10T00:00:00"/>
    <m/>
    <m/>
    <x v="0"/>
    <n v="2"/>
    <s v="John Rowie Del Rosario"/>
    <m/>
  </r>
  <r>
    <x v="465"/>
    <x v="0"/>
    <x v="2"/>
    <s v="D00134200000000 EUV Rinse G5 – SK Hynix D1d"/>
    <s v="P000001013"/>
    <s v="P000001013"/>
    <s v="Non-LFF"/>
    <s v=""/>
    <m/>
    <b v="1"/>
    <x v="3"/>
    <x v="0"/>
    <d v="2025-12-10T00:00:00"/>
    <m/>
    <m/>
    <x v="0"/>
    <n v="2"/>
    <s v="John Rowie Del Rosario"/>
    <m/>
  </r>
  <r>
    <x v="465"/>
    <x v="0"/>
    <x v="2"/>
    <s v="DP000009000000 HPD8701/8720 for Intel Adv. Packaging"/>
    <s v="P000001013"/>
    <s v="P000001013"/>
    <s v="Non-LFF"/>
    <s v=""/>
    <m/>
    <b v="1"/>
    <x v="3"/>
    <x v="0"/>
    <d v="2025-12-10T00:00:00"/>
    <m/>
    <m/>
    <x v="0"/>
    <n v="2"/>
    <s v="John Rowie Del Rosario"/>
    <m/>
  </r>
  <r>
    <x v="466"/>
    <x v="1"/>
    <x v="5"/>
    <s v="CFLTFLE_2152IMIPEVOL01"/>
    <s v="P000000411"/>
    <m/>
    <s v="Non-LFF"/>
    <s v=""/>
    <m/>
    <b v="0"/>
    <x v="3"/>
    <x v="0"/>
    <d v="2025-12-12T00:00:00"/>
    <m/>
    <m/>
    <x v="0"/>
    <n v="0"/>
    <s v="Roselle Delos Angeles"/>
    <m/>
  </r>
  <r>
    <x v="466"/>
    <x v="1"/>
    <x v="8"/>
    <s v="CFLTFLE_2152IMIPPCRD01"/>
    <s v="P000000540"/>
    <m/>
    <s v="Non-LFF"/>
    <s v=""/>
    <m/>
    <b v="0"/>
    <x v="3"/>
    <x v="0"/>
    <d v="2025-12-12T00:00:00"/>
    <m/>
    <m/>
    <x v="0"/>
    <n v="0"/>
    <s v="Roselle Delos Angeles"/>
    <m/>
  </r>
  <r>
    <x v="466"/>
    <x v="1"/>
    <x v="6"/>
    <s v="CLFF_1000$$$DE04OF1000 R&amp;D Europe GoGlobal Trainee"/>
    <s v="P000001336"/>
    <m/>
    <s v="LFF (MDG-F)"/>
    <s v="DE04OF1000"/>
    <s v="to be done for 2026 as well"/>
    <b v="0"/>
    <x v="3"/>
    <x v="0"/>
    <d v="2025-12-12T00:00:00"/>
    <m/>
    <m/>
    <x v="0"/>
    <n v="0"/>
    <s v="Roselle Delos Angeles"/>
    <m/>
  </r>
  <r>
    <x v="466"/>
    <x v="1"/>
    <x v="6"/>
    <s v="CLFF_1000$$$DE01OF0304 PM-OES Supply Chain 4.0"/>
    <s v="P000000575"/>
    <m/>
    <s v="LFF (MDG-F)"/>
    <s v="DE01OF0304"/>
    <s v="to be done for 2026 as well"/>
    <b v="0"/>
    <x v="3"/>
    <x v="0"/>
    <d v="2025-12-12T00:00:00"/>
    <m/>
    <m/>
    <x v="0"/>
    <n v="0"/>
    <s v="Roselle Delos Angeles"/>
    <m/>
  </r>
  <r>
    <x v="466"/>
    <x v="1"/>
    <x v="6"/>
    <s v="CLFF_1000$$$TW02TPTA14 PM-OES Supply Chain 4.0"/>
    <s v="P000000575"/>
    <m/>
    <s v="LFF (MDG-F)"/>
    <s v="TW02TPTA14"/>
    <s v="to be done for 2026 as well"/>
    <b v="0"/>
    <x v="3"/>
    <x v="0"/>
    <d v="2025-12-12T00:00:00"/>
    <m/>
    <m/>
    <x v="0"/>
    <n v="0"/>
    <s v="Roselle Delos Angeles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8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31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2">
        <item sd="0" m="1" x="8"/>
        <item sd="0" m="1" x="6"/>
        <item sd="0" m="1" x="7"/>
        <item x="0"/>
        <item m="1" x="9"/>
        <item sd="0" m="1" x="10"/>
        <item x="2"/>
        <item x="1"/>
        <item x="3"/>
        <item x="4"/>
        <item x="5"/>
        <item t="default" sd="0"/>
      </items>
    </pivotField>
    <pivotField axis="axisPage" multipleItemSelectionAllowed="1" showAll="0">
      <items count="6">
        <item x="0"/>
        <item h="1" x="1"/>
        <item m="1"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8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>
      <x v="7"/>
    </i>
    <i r="1">
      <x/>
    </i>
    <i r="1">
      <x v="3"/>
    </i>
    <i r="1">
      <x v="10"/>
    </i>
    <i r="1">
      <x v="13"/>
    </i>
    <i>
      <x v="8"/>
    </i>
    <i r="1">
      <x/>
    </i>
    <i r="1">
      <x v="3"/>
    </i>
    <i r="1">
      <x v="10"/>
    </i>
    <i r="1">
      <x v="11"/>
    </i>
    <i r="1">
      <x v="13"/>
    </i>
    <i>
      <x v="9"/>
    </i>
    <i r="1">
      <x/>
    </i>
    <i>
      <x v="10"/>
    </i>
    <i r="1">
      <x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8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15" firstHeaderRow="1" firstDataRow="1" firstDataCol="1" rowPageCount="1" colPageCount="1"/>
  <pivotFields count="19">
    <pivotField axis="axisRow" showAll="0" sortType="ascending">
      <items count="1649">
        <item m="1" x="1033"/>
        <item x="0"/>
        <item m="1" x="1103"/>
        <item m="1" x="1524"/>
        <item m="1" x="686"/>
        <item m="1" x="1541"/>
        <item m="1" x="1063"/>
        <item m="1" x="1153"/>
        <item m="1" x="1574"/>
        <item m="1" x="1368"/>
        <item m="1" x="1056"/>
        <item m="1" x="1640"/>
        <item m="1" x="1386"/>
        <item m="1" x="1630"/>
        <item m="1" x="1004"/>
        <item m="1" x="905"/>
        <item m="1" x="609"/>
        <item m="1" x="870"/>
        <item m="1" x="1594"/>
        <item m="1" x="662"/>
        <item m="1" x="970"/>
        <item m="1" x="1338"/>
        <item m="1" x="1053"/>
        <item m="1" x="1146"/>
        <item m="1" x="1442"/>
        <item m="1" x="1627"/>
        <item m="1" x="1088"/>
        <item m="1" x="1110"/>
        <item m="1" x="875"/>
        <item m="1" x="1276"/>
        <item m="1" x="1035"/>
        <item m="1" x="1581"/>
        <item m="1" x="1238"/>
        <item m="1" x="671"/>
        <item m="1" x="779"/>
        <item m="1" x="1566"/>
        <item m="1" x="1330"/>
        <item m="1" x="584"/>
        <item m="1" x="1416"/>
        <item m="1" x="1082"/>
        <item m="1" x="1377"/>
        <item m="1" x="963"/>
        <item m="1" x="1315"/>
        <item m="1" x="574"/>
        <item m="1" x="604"/>
        <item m="1" x="1643"/>
        <item m="1" x="1322"/>
        <item m="1" x="1390"/>
        <item m="1" x="1497"/>
        <item m="1" x="1266"/>
        <item m="1" x="1364"/>
        <item m="1" x="1203"/>
        <item m="1" x="658"/>
        <item m="1" x="849"/>
        <item m="1" x="1625"/>
        <item m="1" x="1193"/>
        <item m="1" x="1333"/>
        <item m="1" x="861"/>
        <item m="1" x="822"/>
        <item m="1" x="1114"/>
        <item m="1" x="1006"/>
        <item m="1" x="1039"/>
        <item m="1" x="598"/>
        <item m="1" x="737"/>
        <item m="1" x="1399"/>
        <item m="1" x="1616"/>
        <item m="1" x="802"/>
        <item m="1" x="1207"/>
        <item m="1" x="1217"/>
        <item m="1" x="1394"/>
        <item m="1" x="1504"/>
        <item m="1" x="1382"/>
        <item m="1" x="677"/>
        <item m="1" x="1525"/>
        <item m="1" x="1255"/>
        <item m="1" x="1242"/>
        <item m="1" x="777"/>
        <item m="1" x="1130"/>
        <item m="1" x="1477"/>
        <item m="1" x="595"/>
        <item m="1" x="1174"/>
        <item m="1" x="1527"/>
        <item m="1" x="1365"/>
        <item m="1" x="1100"/>
        <item m="1" x="1142"/>
        <item m="1" x="1023"/>
        <item m="1" x="1258"/>
        <item m="1" x="1070"/>
        <item m="1" x="1302"/>
        <item m="1" x="786"/>
        <item m="1" x="1615"/>
        <item m="1" x="1140"/>
        <item m="1" x="1426"/>
        <item m="1" x="503"/>
        <item m="1" x="1631"/>
        <item m="1" x="1167"/>
        <item m="1" x="1456"/>
        <item m="1" x="1369"/>
        <item m="1" x="1147"/>
        <item m="1" x="657"/>
        <item m="1" x="664"/>
        <item m="1" x="704"/>
        <item m="1" x="886"/>
        <item m="1" x="1310"/>
        <item m="1" x="1071"/>
        <item m="1" x="1187"/>
        <item m="1" x="1250"/>
        <item m="1" x="1397"/>
        <item m="1" x="1480"/>
        <item m="1" x="1042"/>
        <item m="1" x="763"/>
        <item m="1" x="606"/>
        <item m="1" x="749"/>
        <item m="1" x="1624"/>
        <item m="1" x="781"/>
        <item m="1" x="1462"/>
        <item m="1" x="1391"/>
        <item m="1" x="1009"/>
        <item m="1" x="1081"/>
        <item m="1" x="947"/>
        <item m="1" x="1204"/>
        <item m="1" x="1579"/>
        <item m="1" x="755"/>
        <item m="1" x="703"/>
        <item m="1" x="638"/>
        <item m="1" x="1304"/>
        <item m="1" x="1564"/>
        <item m="1" x="1492"/>
        <item m="1" x="1149"/>
        <item m="1" x="673"/>
        <item m="1" x="1398"/>
        <item m="1" x="850"/>
        <item m="1" x="1104"/>
        <item m="1" x="1279"/>
        <item m="1" x="1387"/>
        <item m="1" x="507"/>
        <item m="1" x="1336"/>
        <item m="1" x="1299"/>
        <item m="1" x="740"/>
        <item m="1" x="1188"/>
        <item m="1" x="1076"/>
        <item m="1" x="1029"/>
        <item m="1" x="762"/>
        <item m="1" x="698"/>
        <item m="1" x="938"/>
        <item m="1" x="1125"/>
        <item m="1" x="532"/>
        <item m="1" x="871"/>
        <item m="1" x="730"/>
        <item m="1" x="472"/>
        <item m="1" x="982"/>
        <item m="1" x="1183"/>
        <item m="1" x="1065"/>
        <item m="1" x="1111"/>
        <item m="1" x="1430"/>
        <item m="1" x="1012"/>
        <item m="1" x="1538"/>
        <item m="1" x="1262"/>
        <item m="1" x="1201"/>
        <item m="1" x="715"/>
        <item m="1" x="1348"/>
        <item m="1" x="1626"/>
        <item m="1" x="1314"/>
        <item m="1" x="1298"/>
        <item m="1" x="585"/>
        <item m="1" x="633"/>
        <item m="1" x="1168"/>
        <item m="1" x="674"/>
        <item m="1" x="1611"/>
        <item m="1" x="1277"/>
        <item m="1" x="1202"/>
        <item m="1" x="1154"/>
        <item m="1" x="955"/>
        <item m="1" x="583"/>
        <item m="1" x="683"/>
        <item m="1" x="789"/>
        <item m="1" x="1522"/>
        <item m="1" x="1554"/>
        <item m="1" x="1253"/>
        <item m="1" x="980"/>
        <item m="1" x="1068"/>
        <item m="1" x="578"/>
        <item m="1" x="618"/>
        <item m="1" x="957"/>
        <item m="1" x="1182"/>
        <item m="1" x="1095"/>
        <item m="1" x="753"/>
        <item m="1" x="986"/>
        <item m="1" x="700"/>
        <item m="1" x="895"/>
        <item m="1" x="817"/>
        <item m="1" x="652"/>
        <item m="1" x="788"/>
        <item m="1" x="1158"/>
        <item m="1" x="568"/>
        <item m="1" x="807"/>
        <item m="1" x="599"/>
        <item m="1" x="1292"/>
        <item m="1" x="1481"/>
        <item m="1" x="1091"/>
        <item m="1" x="735"/>
        <item m="1" x="1385"/>
        <item m="1" x="1230"/>
        <item m="1" x="747"/>
        <item m="1" x="748"/>
        <item m="1" x="933"/>
        <item m="1" x="623"/>
        <item m="1" x="812"/>
        <item m="1" x="607"/>
        <item m="1" x="793"/>
        <item m="1" x="1361"/>
        <item m="1" x="872"/>
        <item m="1" x="1239"/>
        <item m="1" x="1289"/>
        <item m="1" x="1423"/>
        <item m="1" x="1427"/>
        <item m="1" x="1144"/>
        <item m="1" x="985"/>
        <item m="1" x="1024"/>
        <item m="1" x="1591"/>
        <item m="1" x="884"/>
        <item m="1" x="696"/>
        <item m="1" x="1074"/>
        <item m="1" x="531"/>
        <item m="1" x="1595"/>
        <item m="1" x="1058"/>
        <item m="1" x="492"/>
        <item m="1" x="1513"/>
        <item m="1" x="1556"/>
        <item m="1" x="1393"/>
        <item m="1" x="770"/>
        <item m="1" x="509"/>
        <item m="1" x="1443"/>
        <item m="1" x="834"/>
        <item m="1" x="470"/>
        <item m="1" x="1614"/>
        <item m="1" x="858"/>
        <item m="1" x="1013"/>
        <item m="1" x="1458"/>
        <item m="1" x="545"/>
        <item m="1" x="1370"/>
        <item m="1" x="1178"/>
        <item m="1" x="1043"/>
        <item m="1" x="913"/>
        <item m="1" x="660"/>
        <item m="1" x="1161"/>
        <item m="1" x="863"/>
        <item m="1" x="1401"/>
        <item m="1" x="723"/>
        <item m="1" x="1471"/>
        <item m="1" x="1478"/>
        <item m="1" x="1162"/>
        <item m="1" x="1352"/>
        <item m="1" x="769"/>
        <item m="1" x="1066"/>
        <item m="1" x="1355"/>
        <item m="1" x="939"/>
        <item m="1" x="1229"/>
        <item m="1" x="868"/>
        <item m="1" x="653"/>
        <item m="1" x="857"/>
        <item m="1" x="1623"/>
        <item m="1" x="1565"/>
        <item m="1" x="710"/>
        <item m="1" x="1511"/>
        <item m="1" x="517"/>
        <item m="1" x="1533"/>
        <item m="1" x="552"/>
        <item m="1" x="854"/>
        <item m="1" x="952"/>
        <item m="1" x="899"/>
        <item m="1" x="1506"/>
        <item m="1" x="1409"/>
        <item m="1" x="650"/>
        <item m="1" x="1220"/>
        <item m="1" x="1428"/>
        <item m="1" x="1562"/>
        <item m="1" x="1469"/>
        <item m="1" x="555"/>
        <item m="1" x="1635"/>
        <item m="1" x="706"/>
        <item m="1" x="987"/>
        <item m="1" x="1431"/>
        <item m="1" x="554"/>
        <item m="1" x="1490"/>
        <item m="1" x="719"/>
        <item m="1" x="1363"/>
        <item m="1" x="1227"/>
        <item m="1" x="1205"/>
        <item m="1" x="784"/>
        <item m="1" x="746"/>
        <item m="1" x="1558"/>
        <item m="1" x="499"/>
        <item m="1" x="681"/>
        <item m="1" x="1340"/>
        <item m="1" x="1451"/>
        <item m="1" x="1378"/>
        <item m="1" x="1582"/>
        <item m="1" x="1086"/>
        <item m="1" x="713"/>
        <item m="1" x="833"/>
        <item m="1" x="1152"/>
        <item m="1" x="894"/>
        <item m="1" x="1222"/>
        <item m="1" x="835"/>
        <item m="1" x="637"/>
        <item m="1" x="1290"/>
        <item m="1" x="692"/>
        <item m="1" x="572"/>
        <item m="1" x="1424"/>
        <item m="1" x="1571"/>
        <item m="1" x="1272"/>
        <item m="1" x="537"/>
        <item m="1" x="1463"/>
        <item m="1" x="1261"/>
        <item m="1" x="1371"/>
        <item m="1" x="1510"/>
        <item m="1" x="738"/>
        <item m="1" x="930"/>
        <item m="1" x="768"/>
        <item m="1" x="1036"/>
        <item m="1" x="960"/>
        <item m="1" x="990"/>
        <item m="1" x="1526"/>
        <item m="1" x="972"/>
        <item m="1" x="1175"/>
        <item m="1" x="707"/>
        <item m="1" x="906"/>
        <item m="1" x="880"/>
        <item m="1" x="1223"/>
        <item m="1" x="1126"/>
        <item m="1" x="1354"/>
        <item m="1" x="876"/>
        <item m="1" x="1512"/>
        <item m="1" x="714"/>
        <item m="1" x="640"/>
        <item m="1" x="896"/>
        <item m="1" x="1437"/>
        <item m="1" x="547"/>
        <item m="1" x="548"/>
        <item m="1" x="844"/>
        <item m="1" x="1517"/>
        <item m="1" x="911"/>
        <item m="1" x="556"/>
        <item m="1" x="716"/>
        <item m="1" x="958"/>
        <item m="1" x="1269"/>
        <item m="1" x="1241"/>
        <item m="1" x="912"/>
        <item m="1" x="493"/>
        <item m="1" x="631"/>
        <item m="1" x="843"/>
        <item m="1" x="731"/>
        <item m="1" x="488"/>
        <item m="1" x="1441"/>
        <item m="1" x="1570"/>
        <item m="1" x="1040"/>
        <item m="1" x="1470"/>
        <item m="1" x="1530"/>
        <item m="1" x="553"/>
        <item m="1" x="1568"/>
        <item m="1" x="1306"/>
        <item m="1" x="729"/>
        <item m="1" x="915"/>
        <item m="1" x="819"/>
        <item m="1" x="1181"/>
        <item m="1" x="752"/>
        <item m="1" x="968"/>
        <item m="1" x="1263"/>
        <item m="1" x="1388"/>
        <item m="1" x="891"/>
        <item m="1" x="1019"/>
        <item m="1" x="831"/>
        <item m="1" x="757"/>
        <item m="1" x="1268"/>
        <item m="1" x="1383"/>
        <item m="1" x="1545"/>
        <item m="1" x="587"/>
        <item m="1" x="791"/>
        <item m="1" x="1231"/>
        <item m="1" x="632"/>
        <item m="1" x="919"/>
        <item m="1" x="1300"/>
        <item m="1" x="565"/>
        <item m="1" x="775"/>
        <item m="1" x="885"/>
        <item m="1" x="1491"/>
        <item m="1" x="724"/>
        <item m="1" x="994"/>
        <item m="1" x="1547"/>
        <item m="1" x="675"/>
        <item m="1" x="864"/>
        <item m="1" x="1052"/>
        <item m="1" x="1389"/>
        <item m="1" x="687"/>
        <item m="1" x="943"/>
        <item m="1" x="785"/>
        <item m="1" x="1281"/>
        <item m="1" x="1467"/>
        <item m="1" x="593"/>
        <item m="1" x="813"/>
        <item m="1" x="1549"/>
        <item m="1" x="1514"/>
        <item m="1" x="614"/>
        <item m="1" x="931"/>
        <item m="1" x="1455"/>
        <item m="1" x="1586"/>
        <item m="1" x="1457"/>
        <item m="1" x="1432"/>
        <item m="1" x="563"/>
        <item m="1" x="739"/>
        <item m="1" x="821"/>
        <item m="1" x="810"/>
        <item m="1" x="1037"/>
        <item m="1" x="525"/>
        <item m="1" x="1224"/>
        <item m="1" x="1295"/>
        <item m="1" x="477"/>
        <item m="1" x="1555"/>
        <item m="1" x="1417"/>
        <item m="1" x="1546"/>
        <item m="1" x="1576"/>
        <item m="1" x="1612"/>
        <item m="1" x="1550"/>
        <item m="1" x="914"/>
        <item m="1" x="1274"/>
        <item m="1" x="881"/>
        <item m="1" x="1287"/>
        <item m="1" x="1252"/>
        <item m="1" x="690"/>
        <item m="1" x="728"/>
        <item m="1" x="866"/>
        <item m="1" x="1331"/>
        <item m="1" x="851"/>
        <item m="1" x="597"/>
        <item m="1" x="1596"/>
        <item m="1" x="1346"/>
        <item m="1" x="1179"/>
        <item m="1" x="1211"/>
        <item m="1" x="1260"/>
        <item m="1" x="685"/>
        <item m="1" x="1027"/>
        <item m="1" x="1372"/>
        <item m="1" x="523"/>
        <item m="1" x="766"/>
        <item m="1" x="666"/>
        <item m="1" x="663"/>
        <item m="1" x="667"/>
        <item m="1" x="468"/>
        <item m="1" x="689"/>
        <item m="1" x="1486"/>
        <item m="1" x="490"/>
        <item m="1" x="1136"/>
        <item m="1" x="1573"/>
        <item m="1" x="1384"/>
        <item m="1" x="644"/>
        <item m="1" x="1644"/>
        <item m="1" x="573"/>
        <item m="1" x="940"/>
        <item m="1" x="1163"/>
        <item m="1" x="619"/>
        <item m="1" x="1072"/>
        <item m="1" x="1232"/>
        <item m="1" x="1500"/>
        <item m="1" x="1402"/>
        <item m="1" x="481"/>
        <item m="1" x="1164"/>
        <item m="1" x="564"/>
        <item m="1" x="800"/>
        <item m="1" x="772"/>
        <item m="1" x="534"/>
        <item m="1" x="1127"/>
        <item m="1" x="1134"/>
        <item m="1" x="1234"/>
        <item m="1" x="983"/>
        <item m="1" x="1483"/>
        <item m="1" x="892"/>
        <item m="1" x="1602"/>
        <item m="1" x="1237"/>
        <item m="1" x="1128"/>
        <item m="1" x="792"/>
        <item m="1" x="1200"/>
        <item m="1" x="1498"/>
        <item m="1" x="1563"/>
        <item m="1" x="1542"/>
        <item m="1" x="1472"/>
        <item m="1" x="1221"/>
        <item m="1" x="1334"/>
        <item m="1" x="847"/>
        <item m="1" x="1296"/>
        <item m="1" x="1121"/>
        <item m="1" x="1080"/>
        <item m="1" x="1078"/>
        <item m="1" x="1079"/>
        <item m="1" x="776"/>
        <item m="1" x="820"/>
        <item m="1" x="1433"/>
        <item m="1" x="998"/>
        <item m="1" x="840"/>
        <item m="1" x="882"/>
        <item m="1" x="928"/>
        <item m="1" x="1180"/>
        <item m="1" x="1518"/>
        <item m="1" x="1607"/>
        <item m="1" x="725"/>
        <item m="1" x="676"/>
        <item m="1" x="513"/>
        <item m="1" x="535"/>
        <item m="1" x="832"/>
        <item m="1" x="620"/>
        <item m="1" x="948"/>
        <item m="1" x="1484"/>
        <item m="1" x="825"/>
        <item m="1" x="617"/>
        <item m="1" x="1376"/>
        <item m="1" x="494"/>
        <item m="1" x="1502"/>
        <item m="1" x="1577"/>
        <item m="1" x="1641"/>
        <item m="1" x="1516"/>
        <item m="1" x="759"/>
        <item m="1" x="536"/>
        <item m="1" x="1000"/>
        <item m="1" x="1084"/>
        <item m="1" x="1280"/>
        <item m="1" x="1248"/>
        <item m="1" x="1284"/>
        <item m="1" x="1061"/>
        <item m="1" x="1099"/>
        <item m="1" x="1540"/>
        <item m="1" x="1303"/>
        <item m="1" x="1273"/>
        <item m="1" x="1212"/>
        <item m="1" x="1285"/>
        <item m="1" x="486"/>
        <item m="1" x="491"/>
        <item m="1" x="1094"/>
        <item m="1" x="1479"/>
        <item m="1" x="1049"/>
        <item m="1" x="1619"/>
        <item m="1" x="1018"/>
        <item m="1" x="1194"/>
        <item m="1" x="1265"/>
        <item m="1" x="879"/>
        <item m="1" x="711"/>
        <item m="1" x="1087"/>
        <item m="1" x="773"/>
        <item m="1" x="1628"/>
        <item m="1" x="1543"/>
        <item m="1" x="1356"/>
        <item m="1" x="613"/>
        <item m="1" x="540"/>
        <item m="1" x="1113"/>
        <item m="1" x="1357"/>
        <item m="1" x="1646"/>
        <item m="1" x="992"/>
        <item m="1" x="1593"/>
        <item m="1" x="527"/>
        <item m="1" x="641"/>
        <item m="1" x="953"/>
        <item m="1" x="1044"/>
        <item m="1" x="1473"/>
        <item m="1" x="797"/>
        <item m="1" x="1476"/>
        <item m="1" x="893"/>
        <item m="1" x="1465"/>
        <item m="1" x="1629"/>
        <item m="1" x="557"/>
        <item m="1" x="1613"/>
        <item m="1" x="504"/>
        <item m="1" x="1366"/>
        <item m="1" x="984"/>
        <item m="1" x="815"/>
        <item m="1" x="778"/>
        <item m="1" x="922"/>
        <item m="1" x="521"/>
        <item m="1" x="1606"/>
        <item m="1" x="605"/>
        <item m="1" x="626"/>
        <item m="1" x="1499"/>
        <item m="1" x="1578"/>
        <item m="1" x="1092"/>
        <item m="1" x="1233"/>
        <item m="1" x="934"/>
        <item m="1" x="1047"/>
        <item m="1" x="1196"/>
        <item m="1" x="1313"/>
        <item m="1" x="900"/>
        <item m="1" x="1176"/>
        <item m="1" x="995"/>
        <item m="1" x="1632"/>
        <item m="1" x="485"/>
        <item m="1" x="924"/>
        <item m="1" x="865"/>
        <item m="1" x="826"/>
        <item m="1" x="1620"/>
        <item m="1" x="1438"/>
        <item m="1" x="1569"/>
        <item m="1" x="582"/>
        <item m="1" x="1580"/>
        <item m="1" x="1567"/>
        <item m="1" x="1444"/>
        <item m="1" x="679"/>
        <item m="1" x="1048"/>
        <item m="1" x="1141"/>
        <item m="1" x="887"/>
        <item m="1" x="1485"/>
        <item m="1" x="1271"/>
        <item m="1" x="1291"/>
        <item m="1" x="1185"/>
        <item m="1" x="528"/>
        <item m="1" x="1358"/>
        <item m="1" x="1520"/>
        <item m="1" x="925"/>
        <item m="1" x="1639"/>
        <item m="1" x="1133"/>
        <item m="1" x="720"/>
        <item m="1" x="853"/>
        <item m="1" x="889"/>
        <item m="1" x="1548"/>
        <item m="1" x="1532"/>
        <item m="1" x="592"/>
        <item m="1" x="594"/>
        <item m="1" x="508"/>
        <item m="1" x="1468"/>
        <item m="1" x="510"/>
        <item m="1" x="927"/>
        <item m="1" x="827"/>
        <item m="1" x="1283"/>
        <item m="1" x="1226"/>
        <item m="1" x="1575"/>
        <item m="1" x="1507"/>
        <item m="1" x="999"/>
        <item m="1" x="1213"/>
        <item m="1" x="1448"/>
        <item m="1" x="561"/>
        <item m="1" x="993"/>
        <item m="1" x="923"/>
        <item m="1" x="1617"/>
        <item m="1" x="1584"/>
        <item m="1" x="1015"/>
        <item m="1" x="621"/>
        <item m="1" x="916"/>
        <item m="1" x="1089"/>
        <item m="1" x="543"/>
        <item m="1" x="1379"/>
        <item m="1" x="973"/>
        <item m="1" x="783"/>
        <item m="1" x="877"/>
        <item m="1" x="1323"/>
        <item m="1" x="1622"/>
        <item m="1" x="701"/>
        <item m="1" x="1474"/>
        <item m="1" x="695"/>
        <item m="1" x="1259"/>
        <item m="1" x="1031"/>
        <item m="1" x="962"/>
        <item m="1" x="684"/>
        <item m="1" x="751"/>
        <item m="1" x="539"/>
        <item m="1" x="1339"/>
        <item m="1" x="852"/>
        <item m="1" x="576"/>
        <item m="1" x="1190"/>
        <item m="1" x="1505"/>
        <item m="1" x="1045"/>
        <item m="1" x="1003"/>
        <item m="1" x="474"/>
        <item m="1" x="1610"/>
        <item m="1" x="860"/>
        <item m="1" x="920"/>
        <item m="1" x="1327"/>
        <item m="1" x="1604"/>
        <item m="1" x="1529"/>
        <item m="1" x="1380"/>
        <item m="1" x="1495"/>
        <item m="1" x="656"/>
        <item m="1" x="855"/>
        <item m="1" x="688"/>
        <item m="1" x="480"/>
        <item m="1" x="1093"/>
        <item m="1" x="542"/>
        <item m="1" x="764"/>
        <item m="1" x="708"/>
        <item m="1" x="654"/>
        <item m="1" x="1609"/>
        <item m="1" x="705"/>
        <item m="1" x="1307"/>
        <item m="1" x="1519"/>
        <item m="1" x="645"/>
        <item m="1" x="549"/>
        <item m="1" x="1342"/>
        <item m="1" x="1318"/>
        <item m="1" x="1359"/>
        <item m="1" x="1278"/>
        <item m="1" x="622"/>
        <item m="1" x="978"/>
        <item m="1" x="1246"/>
        <item m="1" x="1496"/>
        <item m="1" x="1090"/>
        <item m="1" x="1208"/>
        <item m="1" x="1552"/>
        <item m="1" x="964"/>
        <item m="1" x="808"/>
        <item m="1" x="1041"/>
        <item m="1" x="988"/>
        <item m="1" x="918"/>
        <item m="1" x="1435"/>
        <item m="1" x="1122"/>
        <item m="1" x="1218"/>
        <item m="1" x="469"/>
        <item m="1" x="1014"/>
        <item m="1" x="616"/>
        <item m="1" x="883"/>
        <item m="1" x="1021"/>
        <item m="1" x="551"/>
        <item m="1" x="668"/>
        <item m="1" x="1123"/>
        <item m="1" x="1320"/>
        <item m="1" x="1590"/>
        <item m="1" x="1633"/>
        <item m="1" x="1243"/>
        <item m="1" x="591"/>
        <item m="1" x="519"/>
        <item m="1" x="1105"/>
        <item m="1" x="727"/>
        <item m="1" x="1001"/>
        <item m="1" x="629"/>
        <item m="1" x="732"/>
        <item m="1" x="1159"/>
        <item m="1" x="1515"/>
        <item m="1" x="1446"/>
        <item m="1" x="862"/>
        <item m="1" x="897"/>
        <item m="1" x="1173"/>
        <item m="1" x="1603"/>
        <item m="1" x="1329"/>
        <item m="1" x="495"/>
        <item m="1" x="1557"/>
        <item m="1" x="603"/>
        <item m="1" x="1249"/>
        <item m="1" x="1294"/>
        <item m="1" x="1297"/>
        <item m="1" x="1637"/>
        <item m="1" x="530"/>
        <item m="1" x="1308"/>
        <item m="1" x="1405"/>
        <item m="1" x="1177"/>
        <item m="1" x="1347"/>
        <item m="1" x="589"/>
        <item m="1" x="981"/>
        <item m="1" x="828"/>
        <item m="1" x="1440"/>
        <item m="1" x="1535"/>
        <item m="1" x="1064"/>
        <item m="1" x="1503"/>
        <item m="1" x="1551"/>
        <item m="1" x="904"/>
        <item m="1" x="1407"/>
        <item m="1" x="1270"/>
        <item m="1" x="1553"/>
        <item m="1" x="1597"/>
        <item m="1" x="1335"/>
        <item m="1" x="945"/>
        <item m="1" x="750"/>
        <item m="1" x="1585"/>
        <item m="1" x="1132"/>
        <item m="1" x="1106"/>
        <item m="1" x="1115"/>
        <item m="1" x="1636"/>
        <item m="1" x="1360"/>
        <item m="1" x="1055"/>
        <item m="1" x="1324"/>
        <item m="1" x="1301"/>
        <item m="1" x="917"/>
        <item m="1" x="818"/>
        <item m="1" x="1317"/>
        <item m="1" x="712"/>
        <item m="1" x="669"/>
        <item m="1" x="611"/>
        <item m="1" x="1598"/>
        <item m="1" x="1214"/>
        <item m="1" x="949"/>
        <item m="1" x="1030"/>
        <item m="1" x="511"/>
        <item m="1" x="1587"/>
        <item m="1" x="1138"/>
        <item m="1" x="1286"/>
        <item m="1" x="734"/>
        <item m="1" x="1418"/>
        <item m="1" x="921"/>
        <item m="1" x="814"/>
        <item m="1" x="1642"/>
        <item m="1" x="944"/>
        <item m="1" x="1583"/>
        <item m="1" x="1169"/>
        <item m="1" x="845"/>
        <item m="1" x="636"/>
        <item m="1" x="579"/>
        <item m="1" x="873"/>
        <item m="1" x="570"/>
        <item m="1" x="541"/>
        <item m="1" x="558"/>
        <item m="1" x="837"/>
        <item m="1" x="682"/>
        <item m="1" x="989"/>
        <item m="1" x="1046"/>
        <item m="1" x="1145"/>
        <item m="1" x="1016"/>
        <item m="1" x="1349"/>
        <item m="1" x="1413"/>
        <item m="1" x="625"/>
        <item m="1" x="635"/>
        <item m="1" x="824"/>
        <item m="1" x="966"/>
        <item m="1" x="756"/>
        <item m="1" x="1309"/>
        <item m="1" x="1059"/>
        <item m="1" x="976"/>
        <item m="1" x="1109"/>
        <item m="1" x="1415"/>
        <item m="1" x="1353"/>
        <item m="1" x="1439"/>
        <item m="1" x="1195"/>
        <item m="1" x="615"/>
        <item m="1" x="1621"/>
        <item m="1" x="1034"/>
        <item m="1" x="649"/>
        <item m="1" x="473"/>
        <item m="1" x="1618"/>
        <item m="1" x="1102"/>
        <item m="1" x="1069"/>
        <item m="1" x="841"/>
        <item m="1" x="721"/>
        <item m="1" x="805"/>
        <item m="1" x="959"/>
        <item m="1" x="1534"/>
        <item m="1" x="1453"/>
        <item m="1" x="829"/>
        <item m="1" x="902"/>
        <item m="1" x="909"/>
        <item m="1" x="1447"/>
        <item m="1" x="1050"/>
        <item m="1" x="522"/>
        <item m="1" x="1083"/>
        <item m="1" x="1362"/>
        <item m="1" x="1488"/>
        <item m="1" x="1381"/>
        <item m="1" x="1189"/>
        <item m="1" x="1487"/>
        <item m="1" x="501"/>
        <item m="1" x="1404"/>
        <item m="1" x="483"/>
        <item m="1" x="823"/>
        <item m="1" x="487"/>
        <item m="1" x="646"/>
        <item m="1" x="736"/>
        <item m="1" x="742"/>
        <item m="1" x="1160"/>
        <item m="1" x="1414"/>
        <item m="1" x="941"/>
        <item m="1" x="512"/>
        <item m="1" x="718"/>
        <item m="1" x="506"/>
        <item m="1" x="1501"/>
        <item m="1" x="726"/>
        <item m="1" x="1062"/>
        <item m="1" x="1521"/>
        <item m="1" x="848"/>
        <item m="1" x="790"/>
        <item m="1" x="1186"/>
        <item m="1" x="743"/>
        <item m="1" x="1051"/>
        <item m="1" x="1345"/>
        <item m="1" x="484"/>
        <item m="1" x="997"/>
        <item m="1" x="1116"/>
        <item m="1" x="608"/>
        <item m="1" x="950"/>
        <item m="1" x="1085"/>
        <item m="1" x="836"/>
        <item m="1" x="874"/>
        <item m="1" x="601"/>
        <item m="1" x="1007"/>
        <item m="1" x="471"/>
        <item m="1" x="1143"/>
        <item m="1" x="1536"/>
        <item m="1" x="1257"/>
        <item m="1" x="1251"/>
        <item m="1" x="1150"/>
        <item m="1" x="476"/>
        <item m="1" x="1282"/>
        <item m="1" x="1325"/>
        <item m="1" x="1131"/>
        <item m="1" x="475"/>
        <item m="1" x="1482"/>
        <item m="1" x="1449"/>
        <item m="1" x="479"/>
        <item m="1" x="758"/>
        <item m="1" x="1148"/>
        <item m="1" x="1403"/>
        <item m="1" x="600"/>
        <item m="1" x="496"/>
        <item m="1" x="655"/>
        <item m="1" x="546"/>
        <item m="1" x="954"/>
        <item m="1" x="767"/>
        <item m="1" x="765"/>
        <item m="1" x="936"/>
        <item m="1" x="1038"/>
        <item m="1" x="942"/>
        <item m="1" x="1139"/>
        <item m="1" x="991"/>
        <item m="1" x="856"/>
        <item m="1" x="971"/>
        <item m="1" x="1464"/>
        <item m="1" x="1559"/>
        <item m="1" x="816"/>
        <item m="1" x="1539"/>
        <item m="1" x="581"/>
        <item m="1" x="1528"/>
        <item m="1" x="1225"/>
        <item m="1" x="1396"/>
        <item m="1" x="1475"/>
        <item m="1" x="1155"/>
        <item m="1" x="1367"/>
        <item m="1" x="659"/>
        <item m="1" x="642"/>
        <item m="1" x="1264"/>
        <item m="1" x="1236"/>
        <item m="1" x="798"/>
        <item m="1" x="1634"/>
        <item m="1" x="1206"/>
        <item m="1" x="946"/>
        <item m="1" x="1020"/>
        <item m="1" x="979"/>
        <item m="1" x="1489"/>
        <item m="1" x="1493"/>
        <item m="1" x="489"/>
        <item m="1" x="1373"/>
        <item m="1" x="1419"/>
        <item m="1" x="538"/>
        <item m="1" x="910"/>
        <item m="1" x="901"/>
        <item m="1" x="1408"/>
        <item m="1" x="1107"/>
        <item m="1" x="1311"/>
        <item m="1" x="977"/>
        <item m="1" x="1328"/>
        <item m="1" x="516"/>
        <item m="1" x="639"/>
        <item m="1" x="1608"/>
        <item m="1" x="1228"/>
        <item m="1" x="1600"/>
        <item m="1" x="520"/>
        <item m="1" x="780"/>
        <item m="1" x="596"/>
        <item m="1" x="529"/>
        <item m="1" x="544"/>
        <item m="1" x="1096"/>
        <item m="1" x="1129"/>
        <item m="1" x="801"/>
        <item m="1" x="1219"/>
        <item m="1" x="1537"/>
        <item m="1" x="888"/>
        <item m="1" x="967"/>
        <item m="1" x="1117"/>
        <item m="1" x="1605"/>
        <item m="1" x="782"/>
        <item m="1" x="794"/>
        <item m="1" x="804"/>
        <item m="1" x="1425"/>
        <item m="1" x="1561"/>
        <item m="1" x="478"/>
        <item m="1" x="1305"/>
        <item m="1" x="1601"/>
        <item m="1" x="702"/>
        <item m="1" x="1017"/>
        <item m="1" x="1638"/>
        <item m="1" x="1544"/>
        <item m="1" x="691"/>
        <item m="1" x="803"/>
        <item m="1" x="890"/>
        <item m="1" x="1215"/>
        <item m="1" x="1412"/>
        <item m="1" x="647"/>
        <item m="1" x="1118"/>
        <item m="1" x="643"/>
        <item m="1" x="612"/>
        <item m="1" x="560"/>
        <item m="1" x="1531"/>
        <item m="1" x="1124"/>
        <item m="1" x="1572"/>
        <item m="1" x="965"/>
        <item m="1" x="1589"/>
        <item m="1" x="1341"/>
        <item m="1" x="630"/>
        <item m="1" x="1445"/>
        <item m="1" x="1459"/>
        <item m="1" x="1119"/>
        <item m="1" x="1494"/>
        <item m="1" x="1332"/>
        <item m="1" x="1197"/>
        <item m="1" x="514"/>
        <item m="1" x="1343"/>
        <item m="1" x="1075"/>
        <item m="1" x="1008"/>
        <item m="1" x="1351"/>
        <item m="1" x="935"/>
        <item m="1" x="569"/>
        <item m="1" x="741"/>
        <item m="1" x="518"/>
        <item m="1" x="867"/>
        <item m="1" x="1245"/>
        <item m="1" x="830"/>
        <item m="1" x="693"/>
        <item m="1" x="908"/>
        <item m="1" x="586"/>
        <item m="1" x="838"/>
        <item m="1" x="709"/>
        <item m="1" x="1060"/>
        <item m="1" x="1647"/>
        <item m="1" x="1101"/>
        <item m="1" x="697"/>
        <item m="1" x="974"/>
        <item m="1" x="680"/>
        <item m="1" x="733"/>
        <item m="1" x="1025"/>
        <item m="1" x="1293"/>
        <item m="1" x="1010"/>
        <item m="1" x="1460"/>
        <item m="1" x="1022"/>
        <item m="1" x="1256"/>
        <item m="1" x="571"/>
        <item m="1" x="1054"/>
        <item m="1" x="694"/>
        <item m="1" x="624"/>
        <item m="1" x="1350"/>
        <item m="1" x="665"/>
        <item m="1" x="1374"/>
        <item m="1" x="566"/>
        <item m="1" x="1191"/>
        <item m="1" x="1198"/>
        <item m="1" x="602"/>
        <item m="1" x="1120"/>
        <item m="1" x="498"/>
        <item m="1" x="1321"/>
        <item m="1" x="1026"/>
        <item m="1" x="1247"/>
        <item m="1" x="1216"/>
        <item m="1" x="1436"/>
        <item m="1" x="1209"/>
        <item m="1" x="787"/>
        <item m="1" x="1288"/>
        <item m="1" x="1422"/>
        <item m="1" x="1112"/>
        <item m="1" x="1244"/>
        <item m="1" x="577"/>
        <item m="1" x="1410"/>
        <item m="1" x="1067"/>
        <item m="1" x="932"/>
        <item m="1" x="1316"/>
        <item m="1" x="842"/>
        <item m="1" x="1165"/>
        <item m="1" x="699"/>
        <item m="1" x="795"/>
        <item m="1" x="1192"/>
        <item m="1" x="961"/>
        <item m="1" x="505"/>
        <item m="1" x="839"/>
        <item m="1" x="1319"/>
        <item m="1" x="1421"/>
        <item m="1" x="524"/>
        <item m="1" x="809"/>
        <item m="1" x="744"/>
        <item m="1" x="1077"/>
        <item m="1" x="1170"/>
        <item m="1" x="610"/>
        <item m="1" x="1592"/>
        <item m="1" x="575"/>
        <item m="1" x="648"/>
        <item m="1" x="1429"/>
        <item m="1" x="937"/>
        <item m="1" x="951"/>
        <item m="1" x="1005"/>
        <item m="1" x="580"/>
        <item m="1" x="859"/>
        <item m="1" x="1254"/>
        <item m="1" x="1166"/>
        <item m="1" x="956"/>
        <item m="1" x="903"/>
        <item m="1" x="533"/>
        <item m="1" x="771"/>
        <item m="1" x="1235"/>
        <item m="1" x="869"/>
        <item m="1" x="1032"/>
        <item m="1" x="969"/>
        <item m="1" x="1151"/>
        <item m="1" x="515"/>
        <item m="1" x="996"/>
        <item m="1" x="670"/>
        <item m="1" x="1073"/>
        <item m="1" x="1199"/>
        <item m="1" x="1275"/>
        <item m="1" x="1210"/>
        <item m="1" x="1171"/>
        <item m="1" x="1097"/>
        <item m="1" x="1508"/>
        <item m="1" x="1400"/>
        <item m="1" x="651"/>
        <item m="1" x="1392"/>
        <item m="1" x="846"/>
        <item m="1" x="1156"/>
        <item m="1" x="562"/>
        <item m="1" x="1135"/>
        <item m="1" x="1002"/>
        <item m="1" x="1434"/>
        <item m="1" x="588"/>
        <item m="1" x="1645"/>
        <item m="1" x="627"/>
        <item m="1" x="567"/>
        <item m="1" x="1137"/>
        <item m="1" x="1337"/>
        <item m="1" x="1240"/>
        <item m="1" x="526"/>
        <item m="1" x="678"/>
        <item m="1" x="1466"/>
        <item m="1" x="1406"/>
        <item m="1" x="661"/>
        <item m="1" x="634"/>
        <item m="1" x="929"/>
        <item m="1" x="550"/>
        <item m="1" x="1157"/>
        <item m="1" x="590"/>
        <item m="1" x="760"/>
        <item m="1" x="1057"/>
        <item m="1" x="1588"/>
        <item m="1" x="628"/>
        <item m="1" x="898"/>
        <item m="1" x="745"/>
        <item m="1" x="907"/>
        <item m="1" x="1461"/>
        <item m="1" x="1344"/>
        <item m="1" x="806"/>
        <item m="1" x="559"/>
        <item m="1" x="1509"/>
        <item m="1" x="672"/>
        <item m="1" x="1454"/>
        <item m="1" x="1011"/>
        <item m="1" x="1395"/>
        <item m="1" x="754"/>
        <item m="1" x="926"/>
        <item m="1" x="1411"/>
        <item m="1" x="1599"/>
        <item m="1" x="1375"/>
        <item m="1" x="774"/>
        <item m="1" x="717"/>
        <item m="1" x="1420"/>
        <item m="1" x="1184"/>
        <item m="1" x="1028"/>
        <item m="1" x="1452"/>
        <item m="1" x="500"/>
        <item m="1" x="497"/>
        <item m="1" x="1172"/>
        <item m="1" x="1312"/>
        <item m="1" x="1267"/>
        <item m="1" x="1450"/>
        <item m="1" x="975"/>
        <item m="1" x="722"/>
        <item m="1" x="796"/>
        <item m="1" x="1326"/>
        <item m="1" x="878"/>
        <item m="1" x="1108"/>
        <item m="1" x="1523"/>
        <item m="1" x="761"/>
        <item m="1" x="1098"/>
        <item m="1" x="482"/>
        <item m="1" x="811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1"/>
        <item x="440"/>
        <item x="442"/>
        <item x="443"/>
        <item x="444"/>
        <item x="446"/>
        <item x="445"/>
        <item x="447"/>
        <item x="448"/>
        <item x="449"/>
        <item x="450"/>
        <item x="451"/>
        <item x="452"/>
        <item x="455"/>
        <item x="463"/>
        <item x="454"/>
        <item x="453"/>
        <item x="456"/>
        <item x="457"/>
        <item x="458"/>
        <item x="460"/>
        <item x="459"/>
        <item x="461"/>
        <item x="462"/>
        <item x="464"/>
        <item x="465"/>
        <item x="466"/>
        <item m="1" x="799"/>
        <item m="1" x="1560"/>
        <item m="1" x="502"/>
        <item m="1" x="467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1">
    <i>
      <x/>
    </i>
    <i r="1">
      <x v="1631"/>
    </i>
    <i r="2">
      <x v="8"/>
    </i>
    <i r="1">
      <x v="1643"/>
    </i>
    <i r="2">
      <x v="8"/>
    </i>
    <i r="2">
      <x v="11"/>
    </i>
    <i r="2">
      <x v="13"/>
    </i>
    <i>
      <x v="1"/>
    </i>
    <i r="1">
      <x v="1580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4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3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2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31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390" totalsRowShown="0" totalsRowDxfId="27">
  <autoFilter ref="A1:C1390" xr:uid="{43456A03-EFD4-416A-B021-C441A7C21E4E}"/>
  <tableColumns count="3">
    <tableColumn id="1" xr3:uid="{96F9219D-1D74-4611-A7AA-8AB4E044352A}" name="Ticket" totalsRowDxfId="26"/>
    <tableColumn id="2" xr3:uid="{D6F02EDE-42BA-4EF9-A278-EA070340E315}" name="Number" totalsRowDxfId="25"/>
    <tableColumn id="3" xr3:uid="{F6A90E5F-0E5C-41D7-A40C-1CC9A86DC194}" name="Status" totalsRowDxfId="2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5108" totalsRowShown="0">
  <autoFilter ref="A1:S5108" xr:uid="{678037D6-A574-4B81-B392-ED766472D9FE}">
    <filterColumn colId="1">
      <filters>
        <filter val="open"/>
      </filters>
    </filterColumn>
    <filterColumn colId="2">
      <filters>
        <filter val="New"/>
      </filters>
    </filterColumn>
    <filterColumn colId="6">
      <filters>
        <filter val="LFF (MDG-F)"/>
      </filters>
    </filterColumn>
  </autoFilter>
  <tableColumns count="19">
    <tableColumn id="1" xr3:uid="{5BF112CC-BAD1-48FD-B930-E0EF8CA67570}" name="App"/>
    <tableColumn id="2" xr3:uid="{F44F7455-95E4-448C-84F7-0BD5E8515FF2}" name="Filter" dataDxfId="21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0"/>
    <tableColumn id="7" xr3:uid="{D69C8A00-2CB4-4F31-920A-C1D332375D40}" name="type"/>
    <tableColumn id="9" xr3:uid="{3D246B09-CC89-411A-9E7E-B79496797F29}" name="LFF_ID" dataDxfId="19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8">
      <calculatedColumnFormula>Proc[[#This Row],[Requested]]=Proc[[#This Row],[CurrentParent]]</calculatedColumnFormula>
    </tableColumn>
    <tableColumn id="24" xr3:uid="{9DAA192A-7AAB-4460-A9EA-787D5AF7E069}" name="Sector" dataDxfId="17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6"/>
    <tableColumn id="15" xr3:uid="{F0BFEDC5-AB85-4752-8DBE-1E2D2A86C38C}" name="DateOpened" dataDxfId="15"/>
    <tableColumn id="17" xr3:uid="{78B7D816-31FE-4F8F-8018-91CE8D5DE9A2}" name="DateMapped" dataDxfId="14"/>
    <tableColumn id="16" xr3:uid="{37F76675-DAA7-497A-B0C3-D5ADC87396FC}" name="DateClosed" dataDxfId="13"/>
    <tableColumn id="23" xr3:uid="{77371810-6F86-4EEF-85D0-5FCFC20B88DC}" name="Delayed?" dataDxfId="12">
      <calculatedColumnFormula>IF(Proc[[#This Row],[DaysAgeing]]&gt;5,"yep","on track")</calculatedColumnFormula>
    </tableColumn>
    <tableColumn id="18" xr3:uid="{6AC4A96E-CE6C-49CA-A4F1-794160BB5940}" name="DaysAgeing" dataDxfId="11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0"/>
    <tableColumn id="22" xr3:uid="{87389AE1-9ECE-4C7F-80F9-48A35BE78A62}" name="Prognosis" dataDxfId="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5" totalsRowShown="0">
  <autoFilter ref="A1:B145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8"/>
    <tableColumn id="6" xr3:uid="{73647D57-303F-4AF5-983C-1CCB32EBD08D}" name="Forecast Period" dataDxfId="7"/>
    <tableColumn id="4" xr3:uid="{FA11B267-B5E3-452C-A4E3-1668B4A12A28}" name="Number of Tickets Raised" dataDxfId="6"/>
    <tableColumn id="1" xr3:uid="{441BC59C-A1EA-4CA8-B944-D602CD57D89D}" name="Delayed Tickets"/>
    <tableColumn id="5" xr3:uid="{29680677-3B0F-4EC4-81FF-46A6FDD4C5F7}" name="Number of Total Objects" dataDxfId="5"/>
    <tableColumn id="2" xr3:uid="{3D96D299-AEA2-4D9C-9BE6-F98ADF0CDB84}" name="Commentary for delayed tickets" dataDxf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31"/>
  <sheetViews>
    <sheetView workbookViewId="0">
      <selection activeCell="C33" sqref="C33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49" t="s">
        <v>401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253</v>
      </c>
    </row>
    <row r="5" spans="1:2">
      <c r="A5" s="111" t="s">
        <v>369</v>
      </c>
      <c r="B5" s="150">
        <v>251</v>
      </c>
    </row>
    <row r="6" spans="1:2">
      <c r="A6" s="111" t="s">
        <v>404</v>
      </c>
      <c r="B6" s="150"/>
    </row>
    <row r="7" spans="1:2">
      <c r="A7" s="111" t="s">
        <v>370</v>
      </c>
      <c r="B7" s="150"/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1</v>
      </c>
    </row>
    <row r="11" spans="1:2">
      <c r="A11" s="111" t="s">
        <v>375</v>
      </c>
      <c r="B11" s="150"/>
    </row>
    <row r="12" spans="1:2">
      <c r="A12" s="111" t="s">
        <v>405</v>
      </c>
      <c r="B12" s="150"/>
    </row>
    <row r="13" spans="1:2">
      <c r="A13" s="111" t="s">
        <v>692</v>
      </c>
      <c r="B13" s="150">
        <v>1</v>
      </c>
    </row>
    <row r="14" spans="1:2">
      <c r="A14" s="17" t="s">
        <v>568</v>
      </c>
      <c r="B14" s="150">
        <v>214</v>
      </c>
    </row>
    <row r="15" spans="1:2">
      <c r="A15" s="111" t="s">
        <v>369</v>
      </c>
      <c r="B15" s="150">
        <v>214</v>
      </c>
    </row>
    <row r="16" spans="1:2">
      <c r="A16" s="17" t="s">
        <v>569</v>
      </c>
      <c r="B16" s="150">
        <v>221</v>
      </c>
    </row>
    <row r="17" spans="1:2">
      <c r="A17" s="111" t="s">
        <v>369</v>
      </c>
      <c r="B17" s="150">
        <v>216</v>
      </c>
    </row>
    <row r="18" spans="1:2">
      <c r="A18" s="111" t="s">
        <v>370</v>
      </c>
      <c r="B18" s="150">
        <v>1</v>
      </c>
    </row>
    <row r="19" spans="1:2">
      <c r="A19" s="111" t="s">
        <v>377</v>
      </c>
      <c r="B19" s="150">
        <v>2</v>
      </c>
    </row>
    <row r="20" spans="1:2">
      <c r="A20" s="111" t="s">
        <v>692</v>
      </c>
      <c r="B20" s="150">
        <v>2</v>
      </c>
    </row>
    <row r="21" spans="1:2">
      <c r="A21" s="17" t="s">
        <v>570</v>
      </c>
      <c r="B21" s="150">
        <v>307</v>
      </c>
    </row>
    <row r="22" spans="1:2">
      <c r="A22" s="111" t="s">
        <v>369</v>
      </c>
      <c r="B22" s="150">
        <v>293</v>
      </c>
    </row>
    <row r="23" spans="1:2">
      <c r="A23" s="111" t="s">
        <v>370</v>
      </c>
      <c r="B23" s="150">
        <v>1</v>
      </c>
    </row>
    <row r="24" spans="1:2">
      <c r="A24" s="111" t="s">
        <v>377</v>
      </c>
      <c r="B24" s="150">
        <v>9</v>
      </c>
    </row>
    <row r="25" spans="1:2">
      <c r="A25" s="111" t="s">
        <v>375</v>
      </c>
      <c r="B25" s="150">
        <v>3</v>
      </c>
    </row>
    <row r="26" spans="1:2">
      <c r="A26" s="111" t="s">
        <v>692</v>
      </c>
      <c r="B26" s="150">
        <v>1</v>
      </c>
    </row>
    <row r="27" spans="1:2">
      <c r="A27" s="17" t="s">
        <v>6998</v>
      </c>
      <c r="B27" s="150">
        <v>4</v>
      </c>
    </row>
    <row r="28" spans="1:2">
      <c r="A28" s="111" t="s">
        <v>369</v>
      </c>
      <c r="B28" s="150">
        <v>4</v>
      </c>
    </row>
    <row r="29" spans="1:2">
      <c r="A29" s="17" t="s">
        <v>7194</v>
      </c>
      <c r="B29" s="150">
        <v>5</v>
      </c>
    </row>
    <row r="30" spans="1:2">
      <c r="A30" s="111" t="s">
        <v>369</v>
      </c>
      <c r="B30" s="150">
        <v>5</v>
      </c>
    </row>
    <row r="31" spans="1:2">
      <c r="A31" s="17" t="s">
        <v>381</v>
      </c>
      <c r="B31" s="150">
        <v>1004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D19" sqref="D19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6532</v>
      </c>
      <c r="B5" s="150">
        <v>6</v>
      </c>
      <c r="C5"/>
      <c r="D5"/>
      <c r="E5"/>
    </row>
    <row r="6" spans="1:6">
      <c r="A6" s="111" t="s">
        <v>7343</v>
      </c>
      <c r="B6" s="150">
        <v>1</v>
      </c>
      <c r="C6" s="126"/>
      <c r="D6" s="124"/>
      <c r="E6" s="124"/>
    </row>
    <row r="7" spans="1:6">
      <c r="A7" s="112" t="s">
        <v>370</v>
      </c>
      <c r="B7" s="150">
        <v>1</v>
      </c>
      <c r="C7"/>
      <c r="D7"/>
      <c r="E7"/>
    </row>
    <row r="8" spans="1:6">
      <c r="A8" s="111" t="s">
        <v>7393</v>
      </c>
      <c r="B8" s="150">
        <v>5</v>
      </c>
      <c r="C8" s="56"/>
      <c r="D8" s="124"/>
      <c r="E8" s="124"/>
    </row>
    <row r="9" spans="1:6">
      <c r="A9" s="112" t="s">
        <v>370</v>
      </c>
      <c r="B9" s="150">
        <v>1</v>
      </c>
      <c r="C9"/>
      <c r="D9"/>
    </row>
    <row r="10" spans="1:6">
      <c r="A10" s="112" t="s">
        <v>375</v>
      </c>
      <c r="B10" s="150">
        <v>3</v>
      </c>
      <c r="C10" s="53"/>
      <c r="D10" s="124"/>
      <c r="E10" s="124"/>
    </row>
    <row r="11" spans="1:6">
      <c r="A11" s="112" t="s">
        <v>692</v>
      </c>
      <c r="B11" s="150">
        <v>1</v>
      </c>
      <c r="C11"/>
      <c r="D11"/>
    </row>
    <row r="12" spans="1:6">
      <c r="A12" s="17" t="s">
        <v>4326</v>
      </c>
      <c r="B12" s="150">
        <v>2</v>
      </c>
      <c r="C12" s="126"/>
      <c r="D12"/>
    </row>
    <row r="13" spans="1:6">
      <c r="A13" s="111" t="s">
        <v>6639</v>
      </c>
      <c r="B13" s="150">
        <v>2</v>
      </c>
      <c r="C13"/>
      <c r="D13"/>
    </row>
    <row r="14" spans="1:6">
      <c r="A14" s="112" t="s">
        <v>692</v>
      </c>
      <c r="B14" s="150">
        <v>2</v>
      </c>
      <c r="C14" s="126"/>
      <c r="D14"/>
    </row>
    <row r="15" spans="1:6">
      <c r="A15" s="17" t="s">
        <v>381</v>
      </c>
      <c r="B15" s="150">
        <v>8</v>
      </c>
      <c r="C15"/>
      <c r="D15" s="124"/>
      <c r="E15" s="124"/>
    </row>
    <row r="16" spans="1:6">
      <c r="C16"/>
      <c r="D16"/>
    </row>
    <row r="17" spans="3:5">
      <c r="C17"/>
      <c r="D17" s="124"/>
      <c r="E17" s="124"/>
    </row>
    <row r="18" spans="3:5">
      <c r="C18" s="126"/>
      <c r="D18"/>
    </row>
    <row r="19" spans="3:5">
      <c r="C19" s="47"/>
      <c r="D19"/>
    </row>
    <row r="20" spans="3:5">
      <c r="C20" s="126"/>
    </row>
    <row r="21" spans="3:5" ht="17.25" customHeight="1"/>
    <row r="25" spans="3:5">
      <c r="D25" s="124"/>
      <c r="E25" s="124"/>
    </row>
    <row r="26" spans="3:5">
      <c r="C26" s="126"/>
    </row>
    <row r="31" spans="3:5">
      <c r="C31" s="30"/>
    </row>
    <row r="32" spans="3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390"/>
  <sheetViews>
    <sheetView topLeftCell="A1341" workbookViewId="0">
      <selection activeCell="C1390" sqref="C1390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4304</v>
      </c>
      <c r="B1190">
        <v>2</v>
      </c>
      <c r="C1190" s="103" t="s">
        <v>4</v>
      </c>
    </row>
    <row r="1191" spans="1:3">
      <c r="A1191" t="s">
        <v>4328</v>
      </c>
      <c r="B1191">
        <v>2</v>
      </c>
      <c r="C1191" s="103" t="s">
        <v>4</v>
      </c>
    </row>
    <row r="1192" spans="1:3">
      <c r="A1192" t="s">
        <v>4312</v>
      </c>
      <c r="B1192">
        <v>9</v>
      </c>
      <c r="C1192" s="103" t="s">
        <v>4</v>
      </c>
    </row>
    <row r="1193" spans="1:3">
      <c r="A1193" t="s">
        <v>4335</v>
      </c>
      <c r="B1193">
        <v>58</v>
      </c>
      <c r="C1193" s="103" t="s">
        <v>4</v>
      </c>
    </row>
    <row r="1194" spans="1:3">
      <c r="A1194" t="s">
        <v>4334</v>
      </c>
      <c r="B1194">
        <v>1</v>
      </c>
      <c r="C1194" s="103" t="s">
        <v>4</v>
      </c>
    </row>
    <row r="1195" spans="1:3">
      <c r="A1195" t="s">
        <v>4415</v>
      </c>
      <c r="B1195">
        <v>1</v>
      </c>
      <c r="C1195" s="103" t="s">
        <v>4</v>
      </c>
    </row>
    <row r="1196" spans="1:3">
      <c r="A1196" t="s">
        <v>4301</v>
      </c>
      <c r="B1196">
        <v>4</v>
      </c>
      <c r="C1196" s="117" t="s">
        <v>4</v>
      </c>
    </row>
    <row r="1197" spans="1:3">
      <c r="A1197" t="s">
        <v>4782</v>
      </c>
      <c r="B1197">
        <v>2</v>
      </c>
      <c r="C1197" s="117" t="s">
        <v>4</v>
      </c>
    </row>
    <row r="1198" spans="1:3">
      <c r="A1198" t="s">
        <v>4765</v>
      </c>
      <c r="B1198">
        <v>12</v>
      </c>
      <c r="C1198" s="117" t="s">
        <v>4</v>
      </c>
    </row>
    <row r="1199" spans="1:3">
      <c r="A1199" t="s">
        <v>4755</v>
      </c>
      <c r="B1199">
        <v>8</v>
      </c>
      <c r="C1199" s="117" t="s">
        <v>4</v>
      </c>
    </row>
    <row r="1200" spans="1:3">
      <c r="A1200" t="s">
        <v>4420</v>
      </c>
      <c r="B1200">
        <v>1</v>
      </c>
      <c r="C1200" s="117" t="s">
        <v>4</v>
      </c>
    </row>
    <row r="1201" spans="1:3">
      <c r="A1201" t="s">
        <v>4422</v>
      </c>
      <c r="B1201">
        <v>311</v>
      </c>
      <c r="C1201" s="117" t="s">
        <v>4</v>
      </c>
    </row>
    <row r="1202" spans="1:3">
      <c r="A1202" t="s">
        <v>4418</v>
      </c>
      <c r="B1202">
        <v>1</v>
      </c>
      <c r="C1202" s="117" t="s">
        <v>4</v>
      </c>
    </row>
    <row r="1203" spans="1:3">
      <c r="A1203" t="s">
        <v>4786</v>
      </c>
      <c r="B1203">
        <v>1</v>
      </c>
      <c r="C1203" s="117" t="s">
        <v>4</v>
      </c>
    </row>
    <row r="1204" spans="1:3">
      <c r="A1204" t="s">
        <v>4788</v>
      </c>
      <c r="B1204">
        <v>7</v>
      </c>
      <c r="C1204" s="117" t="s">
        <v>4</v>
      </c>
    </row>
    <row r="1205" spans="1:3">
      <c r="A1205" t="s">
        <v>4796</v>
      </c>
      <c r="B1205">
        <v>1</v>
      </c>
      <c r="C1205" s="117" t="s">
        <v>4</v>
      </c>
    </row>
    <row r="1206" spans="1:3">
      <c r="A1206" t="s">
        <v>4799</v>
      </c>
      <c r="B1206">
        <v>1</v>
      </c>
      <c r="C1206" s="117" t="s">
        <v>4</v>
      </c>
    </row>
    <row r="1207" spans="1:3">
      <c r="A1207" t="s">
        <v>4808</v>
      </c>
      <c r="B1207">
        <v>3</v>
      </c>
      <c r="C1207" s="117" t="s">
        <v>4</v>
      </c>
    </row>
    <row r="1208" spans="1:3">
      <c r="A1208" t="s">
        <v>4812</v>
      </c>
      <c r="B1208">
        <v>1</v>
      </c>
      <c r="C1208" s="117" t="s">
        <v>4</v>
      </c>
    </row>
    <row r="1209" spans="1:3">
      <c r="A1209" t="s">
        <v>4814</v>
      </c>
      <c r="B1209">
        <v>3</v>
      </c>
      <c r="C1209" s="117" t="s">
        <v>4</v>
      </c>
    </row>
    <row r="1210" spans="1:3">
      <c r="A1210" t="s">
        <v>4816</v>
      </c>
      <c r="B1210">
        <v>2</v>
      </c>
      <c r="C1210" s="117" t="s">
        <v>4</v>
      </c>
    </row>
    <row r="1211" spans="1:3">
      <c r="A1211" t="s">
        <v>4308</v>
      </c>
      <c r="B1211">
        <v>2</v>
      </c>
      <c r="C1211" s="117" t="s">
        <v>4</v>
      </c>
    </row>
    <row r="1212" spans="1:3">
      <c r="A1212" t="s">
        <v>4823</v>
      </c>
      <c r="B1212">
        <v>1</v>
      </c>
      <c r="C1212" s="117" t="s">
        <v>4</v>
      </c>
    </row>
    <row r="1213" spans="1:3">
      <c r="A1213" t="s">
        <v>4825</v>
      </c>
      <c r="B1213">
        <v>1</v>
      </c>
      <c r="C1213" s="117" t="s">
        <v>4</v>
      </c>
    </row>
    <row r="1214" spans="1:3">
      <c r="A1214" t="s">
        <v>4830</v>
      </c>
      <c r="B1214">
        <v>1</v>
      </c>
      <c r="C1214" s="121" t="s">
        <v>4</v>
      </c>
    </row>
    <row r="1215" spans="1:3">
      <c r="A1215" t="s">
        <v>4834</v>
      </c>
      <c r="B1215">
        <v>1</v>
      </c>
      <c r="C1215" s="121" t="s">
        <v>4</v>
      </c>
    </row>
    <row r="1216" spans="1:3">
      <c r="A1216" t="s">
        <v>4838</v>
      </c>
      <c r="B1216">
        <v>2</v>
      </c>
      <c r="C1216" s="121" t="s">
        <v>4</v>
      </c>
    </row>
    <row r="1217" spans="1:3">
      <c r="A1217" t="s">
        <v>4842</v>
      </c>
      <c r="B1217">
        <v>1</v>
      </c>
      <c r="C1217" s="124" t="s">
        <v>4</v>
      </c>
    </row>
    <row r="1218" spans="1:3">
      <c r="A1218" t="s">
        <v>4844</v>
      </c>
      <c r="B1218">
        <v>1</v>
      </c>
      <c r="C1218" s="124" t="s">
        <v>4</v>
      </c>
    </row>
    <row r="1219" spans="1:3">
      <c r="A1219" t="s">
        <v>4846</v>
      </c>
      <c r="B1219">
        <v>1</v>
      </c>
      <c r="C1219" s="124" t="s">
        <v>4</v>
      </c>
    </row>
    <row r="1220" spans="1:3">
      <c r="A1220" t="s">
        <v>4854</v>
      </c>
      <c r="B1220">
        <v>1</v>
      </c>
      <c r="C1220" s="124" t="s">
        <v>4</v>
      </c>
    </row>
    <row r="1221" spans="1:3">
      <c r="A1221" t="s">
        <v>4857</v>
      </c>
      <c r="B1221">
        <v>1</v>
      </c>
      <c r="C1221" s="124" t="s">
        <v>4</v>
      </c>
    </row>
    <row r="1222" spans="1:3">
      <c r="A1222" t="s">
        <v>4858</v>
      </c>
      <c r="B1222">
        <v>1</v>
      </c>
      <c r="C1222" s="124" t="s">
        <v>4</v>
      </c>
    </row>
    <row r="1223" spans="1:3">
      <c r="A1223" t="s">
        <v>4848</v>
      </c>
      <c r="B1223">
        <v>1</v>
      </c>
      <c r="C1223" s="124" t="s">
        <v>4</v>
      </c>
    </row>
    <row r="1224" spans="1:3">
      <c r="A1224" t="s">
        <v>4853</v>
      </c>
      <c r="B1224">
        <v>4</v>
      </c>
      <c r="C1224" s="124" t="s">
        <v>4</v>
      </c>
    </row>
    <row r="1225" spans="1:3">
      <c r="A1225" t="s">
        <v>4862</v>
      </c>
      <c r="B1225">
        <v>1</v>
      </c>
      <c r="C1225" s="124" t="s">
        <v>4</v>
      </c>
    </row>
    <row r="1226" spans="1:3">
      <c r="A1226" t="s">
        <v>4866</v>
      </c>
      <c r="B1226">
        <v>18</v>
      </c>
      <c r="C1226" s="124" t="s">
        <v>4</v>
      </c>
    </row>
    <row r="1227" spans="1:3">
      <c r="A1227" t="s">
        <v>4892</v>
      </c>
      <c r="B1227">
        <v>7</v>
      </c>
      <c r="C1227" s="124" t="s">
        <v>4</v>
      </c>
    </row>
    <row r="1228" spans="1:3">
      <c r="A1228" t="s">
        <v>4895</v>
      </c>
      <c r="B1228">
        <v>3</v>
      </c>
      <c r="C1228" s="124" t="s">
        <v>4</v>
      </c>
    </row>
    <row r="1229" spans="1:3">
      <c r="A1229" t="s">
        <v>4902</v>
      </c>
      <c r="B1229">
        <v>2</v>
      </c>
      <c r="C1229" s="124" t="s">
        <v>4</v>
      </c>
    </row>
    <row r="1230" spans="1:3">
      <c r="A1230" t="s">
        <v>4903</v>
      </c>
      <c r="B1230">
        <v>3</v>
      </c>
      <c r="C1230" s="124" t="s">
        <v>4</v>
      </c>
    </row>
    <row r="1231" spans="1:3">
      <c r="A1231" t="s">
        <v>4906</v>
      </c>
      <c r="B1231">
        <v>2</v>
      </c>
      <c r="C1231" s="124" t="s">
        <v>4</v>
      </c>
    </row>
    <row r="1232" spans="1:3">
      <c r="A1232" t="s">
        <v>4907</v>
      </c>
      <c r="B1232">
        <v>1</v>
      </c>
      <c r="C1232" s="124" t="s">
        <v>4</v>
      </c>
    </row>
    <row r="1233" spans="1:3">
      <c r="A1233" s="126" t="s">
        <v>4917</v>
      </c>
      <c r="B1233" s="30">
        <v>3</v>
      </c>
      <c r="C1233" s="124" t="s">
        <v>4</v>
      </c>
    </row>
    <row r="1234" spans="1:3">
      <c r="A1234" s="126" t="s">
        <v>4919</v>
      </c>
      <c r="B1234" s="30">
        <v>1</v>
      </c>
      <c r="C1234" s="124" t="s">
        <v>4</v>
      </c>
    </row>
    <row r="1235" spans="1:3">
      <c r="A1235" s="126" t="s">
        <v>4933</v>
      </c>
      <c r="B1235" s="30">
        <v>7</v>
      </c>
      <c r="C1235" s="124" t="s">
        <v>4</v>
      </c>
    </row>
    <row r="1236" spans="1:3">
      <c r="A1236" s="126" t="s">
        <v>4934</v>
      </c>
      <c r="B1236" s="30">
        <v>18</v>
      </c>
      <c r="C1236" s="124" t="s">
        <v>4</v>
      </c>
    </row>
    <row r="1237" spans="1:3">
      <c r="A1237" s="126" t="s">
        <v>5258</v>
      </c>
      <c r="B1237" s="30">
        <v>295</v>
      </c>
      <c r="C1237" s="124" t="s">
        <v>4</v>
      </c>
    </row>
    <row r="1238" spans="1:3">
      <c r="A1238" t="s">
        <v>5271</v>
      </c>
      <c r="B1238">
        <v>11</v>
      </c>
      <c r="C1238" s="124" t="s">
        <v>4</v>
      </c>
    </row>
    <row r="1239" spans="1:3">
      <c r="A1239" t="s">
        <v>5493</v>
      </c>
      <c r="B1239">
        <v>13</v>
      </c>
      <c r="C1239" s="124" t="s">
        <v>4</v>
      </c>
    </row>
    <row r="1240" spans="1:3">
      <c r="A1240" t="s">
        <v>5499</v>
      </c>
      <c r="B1240">
        <v>2</v>
      </c>
      <c r="C1240" s="124" t="s">
        <v>4</v>
      </c>
    </row>
    <row r="1241" spans="1:3">
      <c r="A1241" t="s">
        <v>5502</v>
      </c>
      <c r="B1241">
        <v>19</v>
      </c>
      <c r="C1241" s="124" t="s">
        <v>4</v>
      </c>
    </row>
    <row r="1242" spans="1:3">
      <c r="A1242" t="s">
        <v>5524</v>
      </c>
      <c r="B1242">
        <v>2</v>
      </c>
      <c r="C1242" s="124" t="s">
        <v>4</v>
      </c>
    </row>
    <row r="1243" spans="1:3">
      <c r="A1243" t="s">
        <v>5533</v>
      </c>
      <c r="B1243">
        <v>10</v>
      </c>
      <c r="C1243" s="124" t="s">
        <v>4</v>
      </c>
    </row>
    <row r="1244" spans="1:3">
      <c r="A1244" t="s">
        <v>5522</v>
      </c>
      <c r="B1244">
        <v>1</v>
      </c>
      <c r="C1244" s="124" t="s">
        <v>4</v>
      </c>
    </row>
    <row r="1245" spans="1:3">
      <c r="A1245" t="s">
        <v>5529</v>
      </c>
      <c r="B1245">
        <v>1</v>
      </c>
      <c r="C1245" s="124" t="s">
        <v>4</v>
      </c>
    </row>
    <row r="1246" spans="1:3">
      <c r="A1246" t="s">
        <v>5530</v>
      </c>
      <c r="B1246">
        <v>8</v>
      </c>
      <c r="C1246" s="124" t="s">
        <v>4</v>
      </c>
    </row>
    <row r="1247" spans="1:3">
      <c r="A1247" t="s">
        <v>5546</v>
      </c>
      <c r="B1247">
        <v>1</v>
      </c>
      <c r="C1247" s="124" t="s">
        <v>4</v>
      </c>
    </row>
    <row r="1248" spans="1:3">
      <c r="A1248" t="s">
        <v>5549</v>
      </c>
      <c r="B1248">
        <v>1</v>
      </c>
      <c r="C1248" s="124" t="s">
        <v>4</v>
      </c>
    </row>
    <row r="1249" spans="1:3">
      <c r="A1249" t="s">
        <v>5554</v>
      </c>
      <c r="B1249">
        <v>7</v>
      </c>
      <c r="C1249" s="128" t="s">
        <v>4</v>
      </c>
    </row>
    <row r="1250" spans="1:3">
      <c r="A1250" t="s">
        <v>5571</v>
      </c>
      <c r="B1250">
        <v>1</v>
      </c>
      <c r="C1250" s="128" t="s">
        <v>4</v>
      </c>
    </row>
    <row r="1251" spans="1:3">
      <c r="A1251" t="s">
        <v>5574</v>
      </c>
      <c r="B1251">
        <v>2</v>
      </c>
      <c r="C1251" s="135" t="s">
        <v>4</v>
      </c>
    </row>
    <row r="1252" spans="1:3">
      <c r="A1252" t="s">
        <v>5669</v>
      </c>
      <c r="B1252">
        <v>93</v>
      </c>
      <c r="C1252" s="135" t="s">
        <v>4</v>
      </c>
    </row>
    <row r="1253" spans="1:3">
      <c r="A1253" t="s">
        <v>5670</v>
      </c>
      <c r="B1253">
        <v>1</v>
      </c>
      <c r="C1253" s="135" t="s">
        <v>4</v>
      </c>
    </row>
    <row r="1254" spans="1:3">
      <c r="A1254" t="s">
        <v>5672</v>
      </c>
      <c r="B1254">
        <v>6</v>
      </c>
      <c r="C1254" s="135" t="s">
        <v>4</v>
      </c>
    </row>
    <row r="1255" spans="1:3">
      <c r="A1255" t="s">
        <v>5683</v>
      </c>
      <c r="B1255">
        <v>12</v>
      </c>
      <c r="C1255" s="135" t="s">
        <v>4</v>
      </c>
    </row>
    <row r="1256" spans="1:3">
      <c r="A1256" t="s">
        <v>5696</v>
      </c>
      <c r="B1256">
        <v>1</v>
      </c>
      <c r="C1256" s="135" t="s">
        <v>4</v>
      </c>
    </row>
    <row r="1257" spans="1:3">
      <c r="A1257" t="s">
        <v>5700</v>
      </c>
      <c r="B1257">
        <v>5</v>
      </c>
      <c r="C1257" s="135" t="s">
        <v>4</v>
      </c>
    </row>
    <row r="1258" spans="1:3">
      <c r="A1258" t="s">
        <v>5710</v>
      </c>
      <c r="B1258">
        <v>12</v>
      </c>
      <c r="C1258" s="135" t="s">
        <v>4</v>
      </c>
    </row>
    <row r="1259" spans="1:3">
      <c r="A1259" t="s">
        <v>5721</v>
      </c>
      <c r="B1259">
        <v>8</v>
      </c>
      <c r="C1259" s="135" t="s">
        <v>4</v>
      </c>
    </row>
    <row r="1260" spans="1:3">
      <c r="A1260" t="s">
        <v>5731</v>
      </c>
      <c r="B1260">
        <v>2</v>
      </c>
      <c r="C1260" s="135" t="s">
        <v>4</v>
      </c>
    </row>
    <row r="1261" spans="1:3">
      <c r="A1261" t="s">
        <v>5708</v>
      </c>
      <c r="B1261">
        <v>1</v>
      </c>
      <c r="C1261" s="135" t="s">
        <v>4</v>
      </c>
    </row>
    <row r="1262" spans="1:3">
      <c r="A1262" t="s">
        <v>5734</v>
      </c>
      <c r="B1262">
        <v>1</v>
      </c>
      <c r="C1262" s="135" t="s">
        <v>4</v>
      </c>
    </row>
    <row r="1263" spans="1:3">
      <c r="A1263" t="s">
        <v>5737</v>
      </c>
      <c r="B1263">
        <v>1</v>
      </c>
      <c r="C1263" s="135" t="s">
        <v>4</v>
      </c>
    </row>
    <row r="1264" spans="1:3">
      <c r="A1264" t="s">
        <v>5741</v>
      </c>
      <c r="B1264">
        <v>18</v>
      </c>
      <c r="C1264" s="135" t="s">
        <v>4</v>
      </c>
    </row>
    <row r="1265" spans="1:3">
      <c r="A1265" t="s">
        <v>5855</v>
      </c>
      <c r="B1265">
        <v>2</v>
      </c>
      <c r="C1265" s="135" t="s">
        <v>4</v>
      </c>
    </row>
    <row r="1266" spans="1:3">
      <c r="A1266" t="s">
        <v>5774</v>
      </c>
      <c r="B1266">
        <v>35</v>
      </c>
      <c r="C1266" s="138" t="s">
        <v>4</v>
      </c>
    </row>
    <row r="1267" spans="1:3">
      <c r="A1267" t="s">
        <v>5815</v>
      </c>
      <c r="B1267">
        <v>36</v>
      </c>
      <c r="C1267" s="138" t="s">
        <v>4</v>
      </c>
    </row>
    <row r="1268" spans="1:3">
      <c r="A1268" t="s">
        <v>5856</v>
      </c>
      <c r="B1268">
        <v>60</v>
      </c>
      <c r="C1268" s="138" t="s">
        <v>4</v>
      </c>
    </row>
    <row r="1269" spans="1:3">
      <c r="A1269" t="s">
        <v>5918</v>
      </c>
      <c r="B1269">
        <v>5</v>
      </c>
      <c r="C1269" s="138" t="s">
        <v>4</v>
      </c>
    </row>
    <row r="1270" spans="1:3">
      <c r="A1270" t="s">
        <v>5920</v>
      </c>
      <c r="B1270">
        <v>19</v>
      </c>
      <c r="C1270" s="138" t="s">
        <v>4</v>
      </c>
    </row>
    <row r="1271" spans="1:3">
      <c r="A1271" t="s">
        <v>6089</v>
      </c>
      <c r="B1271">
        <v>5</v>
      </c>
      <c r="C1271" s="138" t="s">
        <v>4</v>
      </c>
    </row>
    <row r="1272" spans="1:3">
      <c r="A1272" t="s">
        <v>6098</v>
      </c>
      <c r="B1272">
        <v>7</v>
      </c>
      <c r="C1272" s="138" t="s">
        <v>4</v>
      </c>
    </row>
    <row r="1273" spans="1:3">
      <c r="A1273" s="138" t="s">
        <v>5815</v>
      </c>
      <c r="B1273" s="30">
        <v>35</v>
      </c>
      <c r="C1273" s="138" t="s">
        <v>4</v>
      </c>
    </row>
    <row r="1274" spans="1:3">
      <c r="A1274" t="s">
        <v>6106</v>
      </c>
      <c r="B1274">
        <v>39</v>
      </c>
      <c r="C1274" s="139" t="s">
        <v>4</v>
      </c>
    </row>
    <row r="1275" spans="1:3">
      <c r="A1275" t="s">
        <v>6147</v>
      </c>
      <c r="B1275">
        <v>1</v>
      </c>
      <c r="C1275" s="144" t="s">
        <v>4</v>
      </c>
    </row>
    <row r="1276" spans="1:3">
      <c r="A1276" t="s">
        <v>6161</v>
      </c>
      <c r="B1276">
        <v>1</v>
      </c>
      <c r="C1276" s="144" t="s">
        <v>4</v>
      </c>
    </row>
    <row r="1277" spans="1:3">
      <c r="A1277" t="s">
        <v>6099</v>
      </c>
      <c r="B1277">
        <v>3</v>
      </c>
      <c r="C1277" s="144" t="s">
        <v>4</v>
      </c>
    </row>
    <row r="1278" spans="1:3">
      <c r="A1278" t="s">
        <v>6217</v>
      </c>
      <c r="B1278">
        <v>1</v>
      </c>
      <c r="C1278" s="149" t="s">
        <v>4</v>
      </c>
    </row>
    <row r="1279" spans="1:3">
      <c r="A1279" t="s">
        <v>6236</v>
      </c>
      <c r="B1279">
        <v>17</v>
      </c>
      <c r="C1279" s="149" t="s">
        <v>4</v>
      </c>
    </row>
    <row r="1280" spans="1:3">
      <c r="A1280" t="s">
        <v>6239</v>
      </c>
      <c r="B1280">
        <v>1</v>
      </c>
      <c r="C1280" s="149" t="s">
        <v>4</v>
      </c>
    </row>
    <row r="1281" spans="1:3">
      <c r="A1281" t="s">
        <v>6241</v>
      </c>
      <c r="B1281">
        <v>4</v>
      </c>
      <c r="C1281" s="149" t="s">
        <v>4</v>
      </c>
    </row>
    <row r="1282" spans="1:3">
      <c r="A1282" t="s">
        <v>6246</v>
      </c>
      <c r="B1282">
        <v>5</v>
      </c>
      <c r="C1282" s="149" t="s">
        <v>4</v>
      </c>
    </row>
    <row r="1283" spans="1:3">
      <c r="A1283" t="s">
        <v>6250</v>
      </c>
      <c r="B1283">
        <v>3</v>
      </c>
      <c r="C1283" s="149" t="s">
        <v>4</v>
      </c>
    </row>
    <row r="1284" spans="1:3">
      <c r="A1284" s="149" t="s">
        <v>6246</v>
      </c>
      <c r="B1284" s="30">
        <v>3</v>
      </c>
      <c r="C1284" s="149" t="s">
        <v>4</v>
      </c>
    </row>
    <row r="1285" spans="1:3">
      <c r="A1285" s="149" t="s">
        <v>6202</v>
      </c>
      <c r="B1285">
        <v>1</v>
      </c>
      <c r="C1285" s="149" t="s">
        <v>4</v>
      </c>
    </row>
    <row r="1286" spans="1:3">
      <c r="A1286" t="s">
        <v>6270</v>
      </c>
      <c r="B1286">
        <v>9</v>
      </c>
      <c r="C1286" s="149" t="s">
        <v>4</v>
      </c>
    </row>
    <row r="1287" spans="1:3">
      <c r="A1287" t="s">
        <v>6274</v>
      </c>
      <c r="B1287">
        <v>1</v>
      </c>
      <c r="C1287" s="149" t="s">
        <v>4</v>
      </c>
    </row>
    <row r="1288" spans="1:3">
      <c r="A1288" t="s">
        <v>6086</v>
      </c>
      <c r="B1288">
        <v>114</v>
      </c>
      <c r="C1288" s="149" t="s">
        <v>4</v>
      </c>
    </row>
    <row r="1289" spans="1:3">
      <c r="A1289" t="s">
        <v>6105</v>
      </c>
      <c r="B1289">
        <v>1</v>
      </c>
      <c r="C1289" s="149" t="s">
        <v>4</v>
      </c>
    </row>
    <row r="1290" spans="1:3">
      <c r="A1290" t="s">
        <v>6201</v>
      </c>
      <c r="B1290">
        <v>113</v>
      </c>
      <c r="C1290" s="149" t="s">
        <v>4</v>
      </c>
    </row>
    <row r="1291" spans="1:3">
      <c r="A1291" t="s">
        <v>6216</v>
      </c>
      <c r="B1291">
        <v>11</v>
      </c>
      <c r="C1291" s="149" t="s">
        <v>4</v>
      </c>
    </row>
    <row r="1292" spans="1:3">
      <c r="A1292" s="149" t="s">
        <v>6287</v>
      </c>
      <c r="B1292" s="30">
        <v>6</v>
      </c>
      <c r="C1292" s="149" t="s">
        <v>4</v>
      </c>
    </row>
    <row r="1293" spans="1:3">
      <c r="A1293" t="s">
        <v>6303</v>
      </c>
      <c r="B1293">
        <v>17</v>
      </c>
      <c r="C1293" s="149" t="s">
        <v>4</v>
      </c>
    </row>
    <row r="1294" spans="1:3">
      <c r="A1294" t="s">
        <v>6304</v>
      </c>
      <c r="B1294">
        <v>3</v>
      </c>
      <c r="C1294" s="149" t="s">
        <v>4</v>
      </c>
    </row>
    <row r="1295" spans="1:3">
      <c r="A1295" t="s">
        <v>6344</v>
      </c>
      <c r="B1295">
        <v>12</v>
      </c>
      <c r="C1295" s="149" t="s">
        <v>4</v>
      </c>
    </row>
    <row r="1296" spans="1:3">
      <c r="A1296" t="s">
        <v>6352</v>
      </c>
      <c r="B1296">
        <v>1</v>
      </c>
      <c r="C1296" s="149" t="s">
        <v>4</v>
      </c>
    </row>
    <row r="1297" spans="1:3">
      <c r="A1297" t="s">
        <v>6356</v>
      </c>
      <c r="B1297">
        <v>1</v>
      </c>
      <c r="C1297" s="149" t="s">
        <v>4</v>
      </c>
    </row>
    <row r="1298" spans="1:3">
      <c r="A1298" t="s">
        <v>6409</v>
      </c>
      <c r="B1298">
        <v>2</v>
      </c>
      <c r="C1298" s="149" t="s">
        <v>4</v>
      </c>
    </row>
    <row r="1299" spans="1:3">
      <c r="A1299" t="s">
        <v>6426</v>
      </c>
      <c r="B1299">
        <v>14</v>
      </c>
      <c r="C1299" s="149" t="s">
        <v>4</v>
      </c>
    </row>
    <row r="1300" spans="1:3">
      <c r="A1300" t="s">
        <v>6427</v>
      </c>
      <c r="B1300">
        <v>1</v>
      </c>
      <c r="C1300" s="149" t="s">
        <v>4</v>
      </c>
    </row>
    <row r="1301" spans="1:3">
      <c r="A1301" t="s">
        <v>6430</v>
      </c>
      <c r="B1301">
        <v>4</v>
      </c>
      <c r="C1301" s="149" t="s">
        <v>4</v>
      </c>
    </row>
    <row r="1302" spans="1:3">
      <c r="A1302" t="s">
        <v>6434</v>
      </c>
      <c r="B1302">
        <v>2</v>
      </c>
      <c r="C1302" s="149" t="s">
        <v>4</v>
      </c>
    </row>
    <row r="1303" spans="1:3">
      <c r="A1303" t="s">
        <v>6451</v>
      </c>
      <c r="B1303">
        <v>22</v>
      </c>
      <c r="C1303" s="149" t="s">
        <v>4</v>
      </c>
    </row>
    <row r="1304" spans="1:3">
      <c r="A1304" t="s">
        <v>6474</v>
      </c>
      <c r="B1304">
        <v>2</v>
      </c>
      <c r="C1304" s="149" t="s">
        <v>4</v>
      </c>
    </row>
    <row r="1305" spans="1:3">
      <c r="A1305" t="s">
        <v>6479</v>
      </c>
      <c r="B1305">
        <v>2</v>
      </c>
      <c r="C1305" s="149" t="s">
        <v>4</v>
      </c>
    </row>
    <row r="1306" spans="1:3">
      <c r="A1306" t="s">
        <v>6484</v>
      </c>
      <c r="B1306">
        <v>2</v>
      </c>
      <c r="C1306" s="149" t="s">
        <v>4</v>
      </c>
    </row>
    <row r="1307" spans="1:3">
      <c r="A1307" t="s">
        <v>6485</v>
      </c>
      <c r="B1307">
        <v>12</v>
      </c>
      <c r="C1307" s="149" t="s">
        <v>4</v>
      </c>
    </row>
    <row r="1308" spans="1:3">
      <c r="A1308" t="s">
        <v>6311</v>
      </c>
      <c r="B1308">
        <v>12</v>
      </c>
      <c r="C1308" s="149" t="s">
        <v>4</v>
      </c>
    </row>
    <row r="1309" spans="1:3">
      <c r="A1309" t="s">
        <v>6402</v>
      </c>
      <c r="B1309">
        <v>48</v>
      </c>
      <c r="C1309" s="149" t="s">
        <v>4</v>
      </c>
    </row>
    <row r="1310" spans="1:3">
      <c r="A1310" t="s">
        <v>5772</v>
      </c>
      <c r="B1310">
        <v>11</v>
      </c>
      <c r="C1310" s="149" t="s">
        <v>4</v>
      </c>
    </row>
    <row r="1311" spans="1:3">
      <c r="A1311" t="s">
        <v>6504</v>
      </c>
      <c r="B1311">
        <v>4</v>
      </c>
      <c r="C1311" s="149" t="s">
        <v>4</v>
      </c>
    </row>
    <row r="1312" spans="1:3">
      <c r="A1312" t="s">
        <v>6240</v>
      </c>
      <c r="B1312">
        <v>1</v>
      </c>
      <c r="C1312" s="149" t="s">
        <v>4</v>
      </c>
    </row>
    <row r="1313" spans="1:3">
      <c r="A1313" t="s">
        <v>6481</v>
      </c>
      <c r="B1313">
        <v>2</v>
      </c>
      <c r="C1313" s="149" t="s">
        <v>4</v>
      </c>
    </row>
    <row r="1314" spans="1:3">
      <c r="A1314" t="s">
        <v>6513</v>
      </c>
      <c r="B1314">
        <v>2</v>
      </c>
      <c r="C1314" s="149" t="s">
        <v>4</v>
      </c>
    </row>
    <row r="1315" spans="1:3">
      <c r="A1315" t="s">
        <v>6509</v>
      </c>
      <c r="B1315">
        <v>1</v>
      </c>
      <c r="C1315" s="149" t="s">
        <v>4</v>
      </c>
    </row>
    <row r="1316" spans="1:3">
      <c r="A1316" t="s">
        <v>6516</v>
      </c>
      <c r="B1316">
        <v>1</v>
      </c>
      <c r="C1316" s="149" t="s">
        <v>4</v>
      </c>
    </row>
    <row r="1317" spans="1:3">
      <c r="A1317" t="s">
        <v>6514</v>
      </c>
      <c r="B1317">
        <v>1</v>
      </c>
      <c r="C1317" s="149" t="s">
        <v>4</v>
      </c>
    </row>
    <row r="1318" spans="1:3">
      <c r="A1318" t="s">
        <v>6530</v>
      </c>
      <c r="B1318">
        <v>12</v>
      </c>
      <c r="C1318" s="149" t="s">
        <v>4</v>
      </c>
    </row>
    <row r="1319" spans="1:3">
      <c r="A1319" t="s">
        <v>6564</v>
      </c>
      <c r="B1319">
        <v>3</v>
      </c>
      <c r="C1319" s="149" t="s">
        <v>4</v>
      </c>
    </row>
    <row r="1320" spans="1:3">
      <c r="A1320" t="s">
        <v>6541</v>
      </c>
      <c r="B1320">
        <v>20</v>
      </c>
      <c r="C1320" s="149" t="s">
        <v>4</v>
      </c>
    </row>
    <row r="1321" spans="1:3">
      <c r="A1321" t="s">
        <v>6539</v>
      </c>
      <c r="B1321">
        <v>2</v>
      </c>
      <c r="C1321" s="149" t="s">
        <v>4</v>
      </c>
    </row>
    <row r="1322" spans="1:3">
      <c r="A1322" t="s">
        <v>6533</v>
      </c>
      <c r="B1322">
        <v>4</v>
      </c>
      <c r="C1322" s="149" t="s">
        <v>4</v>
      </c>
    </row>
    <row r="1323" spans="1:3">
      <c r="A1323" t="s">
        <v>6572</v>
      </c>
      <c r="B1323">
        <v>1</v>
      </c>
      <c r="C1323" s="149" t="s">
        <v>4</v>
      </c>
    </row>
    <row r="1324" spans="1:3">
      <c r="A1324" t="s">
        <v>6599</v>
      </c>
      <c r="B1324">
        <v>24</v>
      </c>
      <c r="C1324" s="149" t="s">
        <v>4</v>
      </c>
    </row>
    <row r="1325" spans="1:3">
      <c r="A1325" t="s">
        <v>6574</v>
      </c>
      <c r="B1325">
        <v>1</v>
      </c>
      <c r="C1325" s="149" t="s">
        <v>4</v>
      </c>
    </row>
    <row r="1326" spans="1:3">
      <c r="A1326" t="s">
        <v>6606</v>
      </c>
      <c r="B1326">
        <v>1</v>
      </c>
      <c r="C1326" s="149" t="s">
        <v>4</v>
      </c>
    </row>
    <row r="1327" spans="1:3">
      <c r="A1327" t="s">
        <v>6608</v>
      </c>
      <c r="B1327">
        <v>2</v>
      </c>
      <c r="C1327" s="149" t="s">
        <v>4</v>
      </c>
    </row>
    <row r="1328" spans="1:3">
      <c r="A1328" t="s">
        <v>6629</v>
      </c>
      <c r="B1328">
        <v>4</v>
      </c>
      <c r="C1328" s="149" t="s">
        <v>4</v>
      </c>
    </row>
    <row r="1329" spans="1:3">
      <c r="A1329" s="149" t="s">
        <v>6666</v>
      </c>
      <c r="B1329">
        <v>46</v>
      </c>
      <c r="C1329" s="149" t="s">
        <v>4</v>
      </c>
    </row>
    <row r="1330" spans="1:3">
      <c r="A1330" s="149" t="s">
        <v>6636</v>
      </c>
      <c r="B1330" s="149">
        <v>1</v>
      </c>
      <c r="C1330" s="149" t="s">
        <v>4</v>
      </c>
    </row>
    <row r="1331" spans="1:3">
      <c r="A1331" s="149" t="s">
        <v>6715</v>
      </c>
      <c r="B1331" s="149">
        <v>26</v>
      </c>
      <c r="C1331" s="149" t="s">
        <v>4</v>
      </c>
    </row>
    <row r="1332" spans="1:3">
      <c r="A1332" s="149" t="s">
        <v>6642</v>
      </c>
      <c r="B1332" s="149">
        <v>21</v>
      </c>
      <c r="C1332" s="149" t="s">
        <v>4</v>
      </c>
    </row>
    <row r="1333" spans="1:3">
      <c r="A1333" t="s">
        <v>4412</v>
      </c>
      <c r="B1333">
        <v>11</v>
      </c>
      <c r="C1333" s="149" t="s">
        <v>4</v>
      </c>
    </row>
    <row r="1334" spans="1:3">
      <c r="A1334" t="s">
        <v>5478</v>
      </c>
      <c r="B1334">
        <v>178</v>
      </c>
      <c r="C1334" s="149" t="s">
        <v>4</v>
      </c>
    </row>
    <row r="1335" spans="1:3">
      <c r="A1335" t="s">
        <v>6160</v>
      </c>
      <c r="B1335">
        <v>17</v>
      </c>
      <c r="C1335" s="149" t="s">
        <v>4</v>
      </c>
    </row>
    <row r="1336" spans="1:3">
      <c r="A1336" t="s">
        <v>6436</v>
      </c>
      <c r="B1336">
        <v>21</v>
      </c>
      <c r="C1336" s="149" t="s">
        <v>4</v>
      </c>
    </row>
    <row r="1337" spans="1:3">
      <c r="A1337" t="s">
        <v>6750</v>
      </c>
      <c r="B1337">
        <v>25</v>
      </c>
      <c r="C1337" s="149" t="s">
        <v>4</v>
      </c>
    </row>
    <row r="1338" spans="1:3">
      <c r="A1338" t="s">
        <v>6628</v>
      </c>
      <c r="B1338">
        <v>35</v>
      </c>
      <c r="C1338" s="149" t="s">
        <v>4</v>
      </c>
    </row>
    <row r="1339" spans="1:3">
      <c r="A1339" t="s">
        <v>6854</v>
      </c>
      <c r="B1339">
        <v>7</v>
      </c>
      <c r="C1339" s="149" t="s">
        <v>4</v>
      </c>
    </row>
    <row r="1340" spans="1:3">
      <c r="A1340" t="s">
        <v>6864</v>
      </c>
      <c r="B1340">
        <v>1</v>
      </c>
      <c r="C1340" s="149" t="s">
        <v>4</v>
      </c>
    </row>
    <row r="1341" spans="1:3">
      <c r="A1341" t="s">
        <v>6866</v>
      </c>
      <c r="B1341">
        <v>1</v>
      </c>
      <c r="C1341" s="149" t="s">
        <v>4</v>
      </c>
    </row>
    <row r="1342" spans="1:3">
      <c r="A1342" t="s">
        <v>6868</v>
      </c>
      <c r="B1342">
        <v>2</v>
      </c>
      <c r="C1342" s="149" t="s">
        <v>4</v>
      </c>
    </row>
    <row r="1343" spans="1:3">
      <c r="A1343" t="s">
        <v>6870</v>
      </c>
      <c r="B1343">
        <v>1</v>
      </c>
      <c r="C1343" s="149" t="s">
        <v>4</v>
      </c>
    </row>
    <row r="1344" spans="1:3">
      <c r="A1344" t="s">
        <v>6884</v>
      </c>
      <c r="B1344">
        <v>12</v>
      </c>
      <c r="C1344" s="149" t="s">
        <v>4</v>
      </c>
    </row>
    <row r="1345" spans="1:3">
      <c r="A1345" t="s">
        <v>6885</v>
      </c>
      <c r="B1345">
        <v>1</v>
      </c>
      <c r="C1345" s="149" t="s">
        <v>4</v>
      </c>
    </row>
    <row r="1346" spans="1:3">
      <c r="A1346" t="s">
        <v>6888</v>
      </c>
      <c r="B1346">
        <v>2</v>
      </c>
      <c r="C1346" s="149" t="s">
        <v>4</v>
      </c>
    </row>
    <row r="1347" spans="1:3">
      <c r="A1347" t="s">
        <v>6892</v>
      </c>
      <c r="B1347">
        <v>1</v>
      </c>
      <c r="C1347" s="149" t="s">
        <v>4</v>
      </c>
    </row>
    <row r="1348" spans="1:3">
      <c r="A1348" t="s">
        <v>6893</v>
      </c>
      <c r="B1348">
        <v>1</v>
      </c>
      <c r="C1348" s="149" t="s">
        <v>4</v>
      </c>
    </row>
    <row r="1349" spans="1:3">
      <c r="A1349" t="s">
        <v>6896</v>
      </c>
      <c r="B1349">
        <v>1</v>
      </c>
      <c r="C1349" s="149" t="s">
        <v>4</v>
      </c>
    </row>
    <row r="1350" spans="1:3">
      <c r="A1350" t="s">
        <v>6898</v>
      </c>
      <c r="B1350">
        <v>1</v>
      </c>
      <c r="C1350" s="149" t="s">
        <v>4</v>
      </c>
    </row>
    <row r="1351" spans="1:3">
      <c r="A1351" t="s">
        <v>6899</v>
      </c>
      <c r="B1351">
        <v>1</v>
      </c>
      <c r="C1351" s="149" t="s">
        <v>4</v>
      </c>
    </row>
    <row r="1352" spans="1:3">
      <c r="A1352" t="s">
        <v>6902</v>
      </c>
      <c r="B1352">
        <v>1</v>
      </c>
      <c r="C1352" s="149" t="s">
        <v>4</v>
      </c>
    </row>
    <row r="1353" spans="1:3">
      <c r="A1353" t="s">
        <v>6904</v>
      </c>
      <c r="B1353">
        <v>1</v>
      </c>
      <c r="C1353" s="149" t="s">
        <v>4</v>
      </c>
    </row>
    <row r="1354" spans="1:3">
      <c r="A1354" t="s">
        <v>6905</v>
      </c>
      <c r="B1354">
        <v>1</v>
      </c>
      <c r="C1354" s="149" t="s">
        <v>4</v>
      </c>
    </row>
    <row r="1355" spans="1:3">
      <c r="A1355" t="s">
        <v>6908</v>
      </c>
      <c r="B1355">
        <v>1</v>
      </c>
      <c r="C1355" s="149" t="s">
        <v>4</v>
      </c>
    </row>
    <row r="1356" spans="1:3">
      <c r="A1356" t="s">
        <v>6910</v>
      </c>
      <c r="B1356">
        <v>1</v>
      </c>
      <c r="C1356" s="149" t="s">
        <v>4</v>
      </c>
    </row>
    <row r="1357" spans="1:3">
      <c r="A1357" t="s">
        <v>6912</v>
      </c>
      <c r="B1357">
        <v>1</v>
      </c>
      <c r="C1357" s="149" t="s">
        <v>4</v>
      </c>
    </row>
    <row r="1358" spans="1:3">
      <c r="A1358" t="s">
        <v>6777</v>
      </c>
      <c r="B1358">
        <v>1</v>
      </c>
      <c r="C1358" s="149" t="s">
        <v>4</v>
      </c>
    </row>
    <row r="1359" spans="1:3">
      <c r="A1359" t="s">
        <v>6781</v>
      </c>
      <c r="B1359">
        <v>1</v>
      </c>
      <c r="C1359" s="149" t="s">
        <v>4</v>
      </c>
    </row>
    <row r="1360" spans="1:3">
      <c r="A1360" t="s">
        <v>6785</v>
      </c>
      <c r="B1360">
        <v>1</v>
      </c>
      <c r="C1360" s="149" t="s">
        <v>4</v>
      </c>
    </row>
    <row r="1361" spans="1:3">
      <c r="A1361" t="s">
        <v>6853</v>
      </c>
      <c r="B1361">
        <v>21</v>
      </c>
      <c r="C1361" s="149" t="s">
        <v>4</v>
      </c>
    </row>
    <row r="1362" spans="1:3">
      <c r="A1362" t="s">
        <v>6788</v>
      </c>
      <c r="B1362">
        <v>38</v>
      </c>
      <c r="C1362" s="149" t="s">
        <v>4</v>
      </c>
    </row>
    <row r="1363" spans="1:3">
      <c r="A1363" t="s">
        <v>6928</v>
      </c>
      <c r="B1363">
        <v>7</v>
      </c>
      <c r="C1363" s="149" t="s">
        <v>4</v>
      </c>
    </row>
    <row r="1364" spans="1:3">
      <c r="A1364" t="s">
        <v>6748</v>
      </c>
      <c r="B1364">
        <v>4</v>
      </c>
      <c r="C1364" s="149" t="s">
        <v>4</v>
      </c>
    </row>
    <row r="1365" spans="1:3">
      <c r="A1365" t="s">
        <v>6929</v>
      </c>
      <c r="B1365">
        <v>6</v>
      </c>
      <c r="C1365" s="149" t="s">
        <v>4</v>
      </c>
    </row>
    <row r="1366" spans="1:3">
      <c r="A1366" t="s">
        <v>6934</v>
      </c>
      <c r="B1366">
        <v>24</v>
      </c>
      <c r="C1366" s="149" t="s">
        <v>4</v>
      </c>
    </row>
    <row r="1367" spans="1:3">
      <c r="A1367" t="s">
        <v>6968</v>
      </c>
      <c r="B1367">
        <v>3</v>
      </c>
      <c r="C1367" s="149" t="s">
        <v>4</v>
      </c>
    </row>
    <row r="1368" spans="1:3">
      <c r="A1368" t="s">
        <v>6975</v>
      </c>
      <c r="B1368">
        <v>6</v>
      </c>
      <c r="C1368" s="149" t="s">
        <v>4</v>
      </c>
    </row>
    <row r="1369" spans="1:3">
      <c r="A1369" t="s">
        <v>6991</v>
      </c>
      <c r="B1369">
        <v>5</v>
      </c>
      <c r="C1369" s="149" t="s">
        <v>4</v>
      </c>
    </row>
    <row r="1370" spans="1:3">
      <c r="A1370" t="s">
        <v>7192</v>
      </c>
      <c r="B1370">
        <v>5</v>
      </c>
      <c r="C1370" s="149" t="s">
        <v>4</v>
      </c>
    </row>
    <row r="1371" spans="1:3">
      <c r="A1371" t="s">
        <v>6784</v>
      </c>
      <c r="B1371">
        <v>1</v>
      </c>
      <c r="C1371" s="149" t="s">
        <v>4</v>
      </c>
    </row>
    <row r="1372" spans="1:3">
      <c r="A1372" t="s">
        <v>6974</v>
      </c>
      <c r="B1372">
        <v>25</v>
      </c>
      <c r="C1372" s="149" t="s">
        <v>4</v>
      </c>
    </row>
    <row r="1373" spans="1:3">
      <c r="A1373" t="s">
        <v>6984</v>
      </c>
      <c r="B1373">
        <v>4</v>
      </c>
      <c r="C1373" s="149" t="s">
        <v>4</v>
      </c>
    </row>
    <row r="1374" spans="1:3">
      <c r="A1374" t="s">
        <v>6999</v>
      </c>
      <c r="B1374">
        <v>1</v>
      </c>
      <c r="C1374" s="149" t="s">
        <v>4</v>
      </c>
    </row>
    <row r="1375" spans="1:3">
      <c r="A1375" t="s">
        <v>7195</v>
      </c>
      <c r="B1375">
        <v>23</v>
      </c>
      <c r="C1375" s="149" t="s">
        <v>4</v>
      </c>
    </row>
    <row r="1376" spans="1:3">
      <c r="A1376" t="s">
        <v>7247</v>
      </c>
      <c r="B1376">
        <v>3</v>
      </c>
      <c r="C1376" s="149" t="s">
        <v>4</v>
      </c>
    </row>
    <row r="1377" spans="1:3">
      <c r="A1377" t="s">
        <v>7279</v>
      </c>
      <c r="B1377">
        <v>1</v>
      </c>
      <c r="C1377" s="149" t="s">
        <v>4</v>
      </c>
    </row>
    <row r="1378" spans="1:3">
      <c r="A1378" t="s">
        <v>7301</v>
      </c>
      <c r="B1378">
        <v>10</v>
      </c>
      <c r="C1378" s="149" t="s">
        <v>4</v>
      </c>
    </row>
    <row r="1379" spans="1:3">
      <c r="A1379" t="s">
        <v>7285</v>
      </c>
      <c r="B1379">
        <v>10</v>
      </c>
      <c r="C1379" s="149" t="s">
        <v>4</v>
      </c>
    </row>
    <row r="1380" spans="1:3">
      <c r="A1380" t="s">
        <v>7001</v>
      </c>
      <c r="B1380">
        <v>34</v>
      </c>
      <c r="C1380" s="149" t="s">
        <v>4</v>
      </c>
    </row>
    <row r="1381" spans="1:3">
      <c r="A1381" t="s">
        <v>7039</v>
      </c>
      <c r="B1381">
        <v>145</v>
      </c>
      <c r="C1381" s="149" t="s">
        <v>4</v>
      </c>
    </row>
    <row r="1382" spans="1:3">
      <c r="A1382" t="s">
        <v>7221</v>
      </c>
      <c r="B1382">
        <v>11</v>
      </c>
      <c r="C1382" s="149" t="s">
        <v>4</v>
      </c>
    </row>
    <row r="1383" spans="1:3">
      <c r="A1383" t="s">
        <v>7258</v>
      </c>
      <c r="B1383">
        <v>12</v>
      </c>
      <c r="C1383" s="149" t="s">
        <v>4</v>
      </c>
    </row>
    <row r="1384" spans="1:3">
      <c r="A1384" t="s">
        <v>7252</v>
      </c>
      <c r="B1384">
        <v>6</v>
      </c>
      <c r="C1384" s="149" t="s">
        <v>4</v>
      </c>
    </row>
    <row r="1385" spans="1:3">
      <c r="A1385" t="s">
        <v>7273</v>
      </c>
      <c r="B1385">
        <v>5</v>
      </c>
      <c r="C1385" s="149" t="s">
        <v>4</v>
      </c>
    </row>
    <row r="1386" spans="1:3">
      <c r="A1386" t="s">
        <v>7303</v>
      </c>
      <c r="B1386">
        <v>2</v>
      </c>
      <c r="C1386" s="149" t="s">
        <v>4</v>
      </c>
    </row>
    <row r="1387" spans="1:3">
      <c r="A1387" t="s">
        <v>7304</v>
      </c>
      <c r="B1387">
        <v>26</v>
      </c>
      <c r="C1387" s="149" t="s">
        <v>4</v>
      </c>
    </row>
    <row r="1388" spans="1:3">
      <c r="A1388" t="s">
        <v>7283</v>
      </c>
      <c r="B1388">
        <v>1</v>
      </c>
      <c r="C1388" s="149" t="s">
        <v>4</v>
      </c>
    </row>
    <row r="1389" spans="1:3">
      <c r="A1389" t="s">
        <v>7352</v>
      </c>
      <c r="B1389">
        <v>5</v>
      </c>
      <c r="C1389" s="149" t="s">
        <v>4</v>
      </c>
    </row>
    <row r="1390" spans="1:3">
      <c r="A1390" t="s">
        <v>7379</v>
      </c>
      <c r="B1390">
        <v>8</v>
      </c>
      <c r="C1390" s="149" t="s">
        <v>4</v>
      </c>
    </row>
  </sheetData>
  <conditionalFormatting sqref="A2:A545 A548:A568 A570:A1036 A1038:A1232 A1238:A1272 A1274:A1283 A1286:A1291 A1293:A1048576">
    <cfRule type="duplicateValues" dxfId="30" priority="4"/>
  </conditionalFormatting>
  <conditionalFormatting sqref="A1284">
    <cfRule type="duplicateValues" dxfId="29" priority="2"/>
  </conditionalFormatting>
  <conditionalFormatting sqref="A1292">
    <cfRule type="duplicateValues" dxfId="2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5108"/>
  <sheetViews>
    <sheetView tabSelected="1" zoomScale="105" zoomScaleNormal="105" workbookViewId="0">
      <selection activeCell="I5114" sqref="I5114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59.28515625" customWidth="1"/>
    <col min="5" max="5" width="46.85546875" bestFit="1" customWidth="1"/>
    <col min="6" max="6" width="37.42578125" customWidth="1"/>
    <col min="7" max="7" width="14.85546875" customWidth="1"/>
    <col min="8" max="8" width="12.42578125" customWidth="1" outlineLevel="1"/>
    <col min="9" max="9" width="65.710937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255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230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230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230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230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230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230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230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230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230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230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230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226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223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223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223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223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223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223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223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223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223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223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223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223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223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223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223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223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223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223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223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223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223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223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223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223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223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223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223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223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223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223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223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223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223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223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223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223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223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223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223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223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223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222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222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222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222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222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222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222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222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222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222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222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222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222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222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222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222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222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222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222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222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222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222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222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222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222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222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222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222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222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222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222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222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222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222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222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222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222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222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222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222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222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222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222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222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222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222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222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222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222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222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222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222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222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222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222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222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222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222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222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221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221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221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221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221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220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220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218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218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217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214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214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214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214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214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214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214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214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214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214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214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214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214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214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214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214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214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214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214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214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214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213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213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213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213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213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208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208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208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203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203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203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203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203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203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203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203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203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203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203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203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203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203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203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203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203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203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199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199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199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194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193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193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193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193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193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193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193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193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193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193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193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193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179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179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178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178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178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168</v>
      </c>
      <c r="R1152" s="80" t="s">
        <v>515</v>
      </c>
      <c r="S1152" s="69"/>
    </row>
    <row r="1153" spans="1:19" hidden="1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 hidden="1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153</v>
      </c>
      <c r="R1434" s="80" t="s">
        <v>489</v>
      </c>
      <c r="S1434" s="69"/>
    </row>
    <row r="1435" spans="1:19" hidden="1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153</v>
      </c>
      <c r="R1435" s="80" t="s">
        <v>489</v>
      </c>
      <c r="S1435" s="69"/>
    </row>
    <row r="1436" spans="1:19" hidden="1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153</v>
      </c>
      <c r="R1436" s="80" t="s">
        <v>489</v>
      </c>
      <c r="S1436" s="69"/>
    </row>
    <row r="1437" spans="1:19" hidden="1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153</v>
      </c>
      <c r="R1437" s="80" t="s">
        <v>489</v>
      </c>
      <c r="S1437" s="69"/>
    </row>
    <row r="1438" spans="1:19" hidden="1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153</v>
      </c>
      <c r="R1438" s="80" t="s">
        <v>489</v>
      </c>
      <c r="S1438" s="69"/>
    </row>
    <row r="1439" spans="1:19" hidden="1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153</v>
      </c>
      <c r="R1439" s="80" t="s">
        <v>489</v>
      </c>
      <c r="S1439" s="69"/>
    </row>
    <row r="1440" spans="1:19" hidden="1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153</v>
      </c>
      <c r="R1440" s="80" t="s">
        <v>489</v>
      </c>
      <c r="S1440" s="69"/>
    </row>
    <row r="1441" spans="1:19" hidden="1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153</v>
      </c>
      <c r="R1441" s="80" t="s">
        <v>489</v>
      </c>
      <c r="S1441" s="69"/>
    </row>
    <row r="1442" spans="1:19" hidden="1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153</v>
      </c>
      <c r="R1442" s="80" t="s">
        <v>489</v>
      </c>
      <c r="S1442" s="69"/>
    </row>
    <row r="1443" spans="1:19" hidden="1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153</v>
      </c>
      <c r="R1443" s="80" t="s">
        <v>489</v>
      </c>
      <c r="S1443" s="69"/>
    </row>
    <row r="1444" spans="1:19" hidden="1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153</v>
      </c>
      <c r="R1444" s="80" t="s">
        <v>489</v>
      </c>
      <c r="S1444" s="69"/>
    </row>
    <row r="1445" spans="1:19" hidden="1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153</v>
      </c>
      <c r="R1445" s="80" t="s">
        <v>489</v>
      </c>
      <c r="S1445" s="69"/>
    </row>
    <row r="1446" spans="1:19" hidden="1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153</v>
      </c>
      <c r="R1446" s="80" t="s">
        <v>489</v>
      </c>
      <c r="S1446" s="69"/>
    </row>
    <row r="1447" spans="1:19" hidden="1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153</v>
      </c>
      <c r="R1447" s="80" t="s">
        <v>489</v>
      </c>
      <c r="S1447" s="69"/>
    </row>
    <row r="1448" spans="1:19" hidden="1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153</v>
      </c>
      <c r="R1448" s="80" t="s">
        <v>489</v>
      </c>
      <c r="S1448" s="69"/>
    </row>
    <row r="1449" spans="1:19" hidden="1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153</v>
      </c>
      <c r="R1449" s="80" t="s">
        <v>489</v>
      </c>
      <c r="S1449" s="69"/>
    </row>
    <row r="1450" spans="1:19" hidden="1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153</v>
      </c>
      <c r="R1450" s="80" t="s">
        <v>489</v>
      </c>
      <c r="S1450" s="69"/>
    </row>
    <row r="1451" spans="1:19" hidden="1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153</v>
      </c>
      <c r="R1451" s="80" t="s">
        <v>489</v>
      </c>
      <c r="S1451" s="69"/>
    </row>
    <row r="1452" spans="1:19" hidden="1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153</v>
      </c>
      <c r="R1452" s="80" t="s">
        <v>489</v>
      </c>
      <c r="S1452" s="69"/>
    </row>
    <row r="1453" spans="1:19" hidden="1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153</v>
      </c>
      <c r="R1453" s="80" t="s">
        <v>489</v>
      </c>
      <c r="S1453" s="69"/>
    </row>
    <row r="1454" spans="1:19" hidden="1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 hidden="1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 hidden="1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 hidden="1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 hidden="1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 hidden="1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 hidden="1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 hidden="1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 hidden="1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 hidden="1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 hidden="1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 hidden="1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 hidden="1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150</v>
      </c>
      <c r="R1513" s="86" t="s">
        <v>515</v>
      </c>
      <c r="S1513" s="85"/>
    </row>
    <row r="1514" spans="1:19" hidden="1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150</v>
      </c>
      <c r="R1514" s="86" t="s">
        <v>515</v>
      </c>
      <c r="S1514" s="85"/>
    </row>
    <row r="1515" spans="1:19" s="103" customFormat="1" hidden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150</v>
      </c>
      <c r="R1517" s="86" t="s">
        <v>3290</v>
      </c>
      <c r="S1517" s="85"/>
    </row>
    <row r="1518" spans="1:19" hidden="1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150</v>
      </c>
      <c r="R1518" s="86" t="s">
        <v>3290</v>
      </c>
      <c r="S1518" s="85"/>
    </row>
    <row r="1519" spans="1:19" hidden="1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149</v>
      </c>
      <c r="R1519" s="86" t="s">
        <v>478</v>
      </c>
      <c r="S1519" s="85"/>
    </row>
    <row r="1520" spans="1:19" hidden="1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149</v>
      </c>
      <c r="R1520" s="86" t="s">
        <v>478</v>
      </c>
      <c r="S1520" s="85"/>
    </row>
    <row r="1521" spans="1:19" hidden="1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149</v>
      </c>
      <c r="R1521" s="86" t="s">
        <v>478</v>
      </c>
      <c r="S1521" s="85"/>
    </row>
    <row r="1522" spans="1:19" hidden="1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149</v>
      </c>
      <c r="R1522" s="86" t="s">
        <v>478</v>
      </c>
      <c r="S1522" s="85"/>
    </row>
    <row r="1523" spans="1:19" hidden="1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149</v>
      </c>
      <c r="R1523" s="86" t="s">
        <v>478</v>
      </c>
      <c r="S1523" s="85"/>
    </row>
    <row r="1524" spans="1:19" hidden="1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149</v>
      </c>
      <c r="R1524" s="86" t="s">
        <v>478</v>
      </c>
      <c r="S1524" s="85"/>
    </row>
    <row r="1525" spans="1:19" hidden="1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149</v>
      </c>
      <c r="R1525" s="86" t="s">
        <v>478</v>
      </c>
      <c r="S1525" s="85"/>
    </row>
    <row r="1526" spans="1:19" hidden="1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149</v>
      </c>
      <c r="R1526" s="86" t="s">
        <v>478</v>
      </c>
      <c r="S1526" s="85"/>
    </row>
    <row r="1527" spans="1:19" hidden="1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149</v>
      </c>
      <c r="R1527" s="86" t="s">
        <v>478</v>
      </c>
      <c r="S1527" s="85"/>
    </row>
    <row r="1528" spans="1:19" hidden="1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149</v>
      </c>
      <c r="R1528" s="86" t="s">
        <v>478</v>
      </c>
      <c r="S1528" s="85"/>
    </row>
    <row r="1529" spans="1:19" hidden="1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149</v>
      </c>
      <c r="R1529" s="86" t="s">
        <v>478</v>
      </c>
      <c r="S1529" s="85"/>
    </row>
    <row r="1530" spans="1:19" hidden="1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149</v>
      </c>
      <c r="R1530" s="86" t="s">
        <v>478</v>
      </c>
      <c r="S1530" s="85"/>
    </row>
    <row r="1531" spans="1:19" hidden="1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149</v>
      </c>
      <c r="R1531" s="86" t="s">
        <v>478</v>
      </c>
      <c r="S1531" s="85"/>
    </row>
    <row r="1532" spans="1:19" hidden="1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149</v>
      </c>
      <c r="R1532" s="86" t="s">
        <v>478</v>
      </c>
      <c r="S1532" s="85"/>
    </row>
    <row r="1533" spans="1:19" hidden="1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149</v>
      </c>
      <c r="R1533" s="86" t="s">
        <v>478</v>
      </c>
      <c r="S1533" s="85"/>
    </row>
    <row r="1534" spans="1:19" hidden="1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149</v>
      </c>
      <c r="R1534" s="86" t="s">
        <v>478</v>
      </c>
      <c r="S1534" s="85"/>
    </row>
    <row r="1535" spans="1:19" hidden="1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149</v>
      </c>
      <c r="R1535" s="86" t="s">
        <v>478</v>
      </c>
      <c r="S1535" s="85"/>
    </row>
    <row r="1536" spans="1:19" hidden="1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149</v>
      </c>
      <c r="R1536" s="86" t="s">
        <v>478</v>
      </c>
      <c r="S1536" s="85"/>
    </row>
    <row r="1537" spans="1:19" hidden="1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149</v>
      </c>
      <c r="R1537" s="86" t="s">
        <v>478</v>
      </c>
      <c r="S1537" s="85"/>
    </row>
    <row r="1538" spans="1:19" hidden="1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149</v>
      </c>
      <c r="R1538" s="86" t="s">
        <v>478</v>
      </c>
      <c r="S1538" s="85"/>
    </row>
    <row r="1539" spans="1:19" hidden="1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149</v>
      </c>
      <c r="R1539" s="86" t="s">
        <v>478</v>
      </c>
      <c r="S1539" s="85"/>
    </row>
    <row r="1540" spans="1:19" hidden="1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149</v>
      </c>
      <c r="R1540" s="86" t="s">
        <v>478</v>
      </c>
      <c r="S1540" s="85"/>
    </row>
    <row r="1541" spans="1:19" hidden="1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149</v>
      </c>
      <c r="R1541" s="86" t="s">
        <v>478</v>
      </c>
      <c r="S1541" s="85"/>
    </row>
    <row r="1542" spans="1:19" hidden="1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149</v>
      </c>
      <c r="R1542" s="86" t="s">
        <v>478</v>
      </c>
      <c r="S1542" s="85"/>
    </row>
    <row r="1543" spans="1:19" hidden="1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149</v>
      </c>
      <c r="R1543" s="86" t="s">
        <v>478</v>
      </c>
      <c r="S1543" s="85"/>
    </row>
    <row r="1544" spans="1:19" hidden="1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149</v>
      </c>
      <c r="R1544" s="86" t="s">
        <v>478</v>
      </c>
      <c r="S1544" s="85"/>
    </row>
    <row r="1545" spans="1:19" hidden="1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149</v>
      </c>
      <c r="R1545" s="86" t="s">
        <v>478</v>
      </c>
      <c r="S1545" s="85"/>
    </row>
    <row r="1546" spans="1:19" hidden="1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149</v>
      </c>
      <c r="R1546" s="86" t="s">
        <v>478</v>
      </c>
      <c r="S1546" s="85"/>
    </row>
    <row r="1547" spans="1:19" hidden="1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149</v>
      </c>
      <c r="R1547" s="86" t="s">
        <v>478</v>
      </c>
      <c r="S1547" s="85"/>
    </row>
    <row r="1548" spans="1:19" hidden="1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149</v>
      </c>
      <c r="R1548" s="86" t="s">
        <v>3284</v>
      </c>
      <c r="S1548" s="85"/>
    </row>
    <row r="1549" spans="1:19" hidden="1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148</v>
      </c>
      <c r="R1549" s="86" t="s">
        <v>972</v>
      </c>
      <c r="S1549" s="85"/>
    </row>
    <row r="1550" spans="1:19" hidden="1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148</v>
      </c>
      <c r="R1550" s="86" t="s">
        <v>972</v>
      </c>
      <c r="S1550" s="85"/>
    </row>
    <row r="1551" spans="1:19" hidden="1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148</v>
      </c>
      <c r="R1551" s="86" t="s">
        <v>972</v>
      </c>
      <c r="S1551" s="85"/>
    </row>
    <row r="1552" spans="1:19" hidden="1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148</v>
      </c>
      <c r="R1552" s="86" t="s">
        <v>972</v>
      </c>
      <c r="S1552" s="85"/>
    </row>
    <row r="1553" spans="1:19" hidden="1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148</v>
      </c>
      <c r="R1553" s="86" t="s">
        <v>972</v>
      </c>
      <c r="S1553" s="85"/>
    </row>
    <row r="1554" spans="1:19" hidden="1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148</v>
      </c>
      <c r="R1554" s="86" t="s">
        <v>972</v>
      </c>
      <c r="S1554" s="85"/>
    </row>
    <row r="1555" spans="1:19" hidden="1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148</v>
      </c>
      <c r="R1555" s="86" t="s">
        <v>972</v>
      </c>
      <c r="S1555" s="85"/>
    </row>
    <row r="1556" spans="1:19" hidden="1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148</v>
      </c>
      <c r="R1556" s="86" t="s">
        <v>972</v>
      </c>
      <c r="S1556" s="85"/>
    </row>
    <row r="1557" spans="1:19" hidden="1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148</v>
      </c>
      <c r="R1557" s="86" t="s">
        <v>972</v>
      </c>
      <c r="S1557" s="85"/>
    </row>
    <row r="1558" spans="1:19" hidden="1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148</v>
      </c>
      <c r="R1558" s="86" t="s">
        <v>972</v>
      </c>
      <c r="S1558" s="85"/>
    </row>
    <row r="1559" spans="1:19" hidden="1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148</v>
      </c>
      <c r="R1559" s="86" t="s">
        <v>551</v>
      </c>
      <c r="S1559" s="85"/>
    </row>
    <row r="1560" spans="1:19" hidden="1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148</v>
      </c>
      <c r="R1560" s="86" t="s">
        <v>551</v>
      </c>
      <c r="S1560" s="85"/>
    </row>
    <row r="1561" spans="1:19" hidden="1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148</v>
      </c>
      <c r="R1561" s="86" t="s">
        <v>551</v>
      </c>
      <c r="S1561" s="85"/>
    </row>
    <row r="1562" spans="1:19" hidden="1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148</v>
      </c>
      <c r="R1568" s="86" t="s">
        <v>551</v>
      </c>
      <c r="S1568" s="85"/>
    </row>
    <row r="1569" spans="1:19" hidden="1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148</v>
      </c>
      <c r="R1569" s="86" t="s">
        <v>551</v>
      </c>
      <c r="S1569" s="85"/>
    </row>
    <row r="1570" spans="1:19" hidden="1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148</v>
      </c>
      <c r="R1570" s="86" t="s">
        <v>551</v>
      </c>
      <c r="S1570" s="85"/>
    </row>
    <row r="1571" spans="1:19" hidden="1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148</v>
      </c>
      <c r="R1571" s="86" t="s">
        <v>551</v>
      </c>
      <c r="S1571" s="85"/>
    </row>
    <row r="1572" spans="1:19" hidden="1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148</v>
      </c>
      <c r="R1572" s="86" t="s">
        <v>551</v>
      </c>
      <c r="S1572" s="85"/>
    </row>
    <row r="1573" spans="1:19" hidden="1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144</v>
      </c>
      <c r="R1644" s="90" t="s">
        <v>489</v>
      </c>
      <c r="S1644" s="85"/>
    </row>
    <row r="1645" spans="1:19" hidden="1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144</v>
      </c>
      <c r="R1645" s="90" t="s">
        <v>489</v>
      </c>
      <c r="S1645" s="85"/>
    </row>
    <row r="1646" spans="1:19" hidden="1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144</v>
      </c>
      <c r="R1646" s="90" t="s">
        <v>489</v>
      </c>
      <c r="S1646" s="85"/>
    </row>
    <row r="1647" spans="1:19" hidden="1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144</v>
      </c>
      <c r="R1647" s="90" t="s">
        <v>489</v>
      </c>
      <c r="S1647" s="85"/>
    </row>
    <row r="1648" spans="1:19" hidden="1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144</v>
      </c>
      <c r="R1648" s="90" t="s">
        <v>489</v>
      </c>
      <c r="S1648" s="85"/>
    </row>
    <row r="1649" spans="1:19" hidden="1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144</v>
      </c>
      <c r="R1649" s="90" t="s">
        <v>489</v>
      </c>
      <c r="S1649" s="85"/>
    </row>
    <row r="1650" spans="1:19" hidden="1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144</v>
      </c>
      <c r="R1650" s="90" t="s">
        <v>489</v>
      </c>
      <c r="S1650" s="85"/>
    </row>
    <row r="1651" spans="1:19" hidden="1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144</v>
      </c>
      <c r="R1651" s="90" t="s">
        <v>489</v>
      </c>
      <c r="S1651" s="85"/>
    </row>
    <row r="1652" spans="1:19" hidden="1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144</v>
      </c>
      <c r="R1652" s="90" t="s">
        <v>489</v>
      </c>
      <c r="S1652" s="85"/>
    </row>
    <row r="1653" spans="1:19" hidden="1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144</v>
      </c>
      <c r="R1653" s="90" t="s">
        <v>489</v>
      </c>
      <c r="S1653" s="85"/>
    </row>
    <row r="1654" spans="1:19" hidden="1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144</v>
      </c>
      <c r="R1654" s="90" t="s">
        <v>489</v>
      </c>
      <c r="S1654" s="85"/>
    </row>
    <row r="1655" spans="1:19" hidden="1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144</v>
      </c>
      <c r="R1655" s="90" t="s">
        <v>489</v>
      </c>
      <c r="S1655" s="85"/>
    </row>
    <row r="1656" spans="1:19" hidden="1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144</v>
      </c>
      <c r="R1656" s="90" t="s">
        <v>489</v>
      </c>
      <c r="S1656" s="85"/>
    </row>
    <row r="1657" spans="1:19" hidden="1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144</v>
      </c>
      <c r="R1657" s="90" t="s">
        <v>489</v>
      </c>
      <c r="S1657" s="85"/>
    </row>
    <row r="1658" spans="1:19" hidden="1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144</v>
      </c>
      <c r="R1658" s="90" t="s">
        <v>489</v>
      </c>
      <c r="S1658" s="85"/>
    </row>
    <row r="1659" spans="1:19" hidden="1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144</v>
      </c>
      <c r="R1659" s="90" t="s">
        <v>489</v>
      </c>
      <c r="S1659" s="85"/>
    </row>
    <row r="1660" spans="1:19" hidden="1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144</v>
      </c>
      <c r="R1660" s="90" t="s">
        <v>489</v>
      </c>
      <c r="S1660" s="85"/>
    </row>
    <row r="1661" spans="1:19" hidden="1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144</v>
      </c>
      <c r="R1661" s="90" t="s">
        <v>489</v>
      </c>
      <c r="S1661" s="85"/>
    </row>
    <row r="1662" spans="1:19" hidden="1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144</v>
      </c>
      <c r="R1662" s="90" t="s">
        <v>489</v>
      </c>
      <c r="S1662" s="85"/>
    </row>
    <row r="1663" spans="1:19" hidden="1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144</v>
      </c>
      <c r="R1663" s="90" t="s">
        <v>489</v>
      </c>
      <c r="S1663" s="85"/>
    </row>
    <row r="1664" spans="1:19" hidden="1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144</v>
      </c>
      <c r="R1664" s="90" t="s">
        <v>489</v>
      </c>
      <c r="S1664" s="85"/>
    </row>
    <row r="1665" spans="1:19" hidden="1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144</v>
      </c>
      <c r="R1665" s="90" t="s">
        <v>489</v>
      </c>
      <c r="S1665" s="85"/>
    </row>
    <row r="1666" spans="1:19" hidden="1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144</v>
      </c>
      <c r="R1666" s="90" t="s">
        <v>489</v>
      </c>
      <c r="S1666" s="85"/>
    </row>
    <row r="1667" spans="1:19" hidden="1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144</v>
      </c>
      <c r="R1667" s="90" t="s">
        <v>489</v>
      </c>
      <c r="S1667" s="85"/>
    </row>
    <row r="1668" spans="1:19" hidden="1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144</v>
      </c>
      <c r="R1668" s="90" t="s">
        <v>489</v>
      </c>
      <c r="S1668" s="85"/>
    </row>
    <row r="1669" spans="1:19" hidden="1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144</v>
      </c>
      <c r="R1693" s="90" t="s">
        <v>489</v>
      </c>
      <c r="S1693" s="85"/>
    </row>
    <row r="1694" spans="1:19" hidden="1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144</v>
      </c>
      <c r="R1694" s="90" t="s">
        <v>489</v>
      </c>
      <c r="S1694" s="85"/>
    </row>
    <row r="1695" spans="1:19" hidden="1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144</v>
      </c>
      <c r="R1695" s="90" t="s">
        <v>489</v>
      </c>
      <c r="S1695" s="85"/>
    </row>
    <row r="1696" spans="1:19" hidden="1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144</v>
      </c>
      <c r="R1696" s="90" t="s">
        <v>489</v>
      </c>
      <c r="S1696" s="85"/>
    </row>
    <row r="1697" spans="1:19" hidden="1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144</v>
      </c>
      <c r="R1697" s="90" t="s">
        <v>489</v>
      </c>
      <c r="S1697" s="85"/>
    </row>
    <row r="1698" spans="1:19" hidden="1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144</v>
      </c>
      <c r="R1698" s="90" t="s">
        <v>489</v>
      </c>
      <c r="S1698" s="85"/>
    </row>
    <row r="1699" spans="1:19" hidden="1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144</v>
      </c>
      <c r="R1699" s="90" t="s">
        <v>489</v>
      </c>
      <c r="S1699" s="85"/>
    </row>
    <row r="1700" spans="1:19" hidden="1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144</v>
      </c>
      <c r="R1700" s="90" t="s">
        <v>489</v>
      </c>
      <c r="S1700" s="85"/>
    </row>
    <row r="1701" spans="1:19" hidden="1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144</v>
      </c>
      <c r="R1701" s="90" t="s">
        <v>489</v>
      </c>
      <c r="S1701" s="85"/>
    </row>
    <row r="1702" spans="1:19" hidden="1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144</v>
      </c>
      <c r="R1702" s="90" t="s">
        <v>489</v>
      </c>
      <c r="S1702" s="85"/>
    </row>
    <row r="1703" spans="1:19" hidden="1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144</v>
      </c>
      <c r="R1703" s="90" t="s">
        <v>489</v>
      </c>
      <c r="S1703" s="85"/>
    </row>
    <row r="1704" spans="1:19" hidden="1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144</v>
      </c>
      <c r="R1704" s="90" t="s">
        <v>489</v>
      </c>
      <c r="S1704" s="85"/>
    </row>
    <row r="1705" spans="1:19" hidden="1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144</v>
      </c>
      <c r="R1705" s="90" t="s">
        <v>489</v>
      </c>
      <c r="S1705" s="85"/>
    </row>
    <row r="1706" spans="1:19" hidden="1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144</v>
      </c>
      <c r="R1706" s="90" t="s">
        <v>489</v>
      </c>
      <c r="S1706" s="85"/>
    </row>
    <row r="1707" spans="1:19" hidden="1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144</v>
      </c>
      <c r="R1707" s="90" t="s">
        <v>489</v>
      </c>
      <c r="S1707" s="85"/>
    </row>
    <row r="1708" spans="1:19" hidden="1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144</v>
      </c>
      <c r="R1708" s="90" t="s">
        <v>489</v>
      </c>
      <c r="S1708" s="85"/>
    </row>
    <row r="1709" spans="1:19" hidden="1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144</v>
      </c>
      <c r="R1709" s="90" t="s">
        <v>489</v>
      </c>
      <c r="S1709" s="85"/>
    </row>
    <row r="1710" spans="1:19" hidden="1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144</v>
      </c>
      <c r="R1710" s="90" t="s">
        <v>489</v>
      </c>
      <c r="S1710" s="85"/>
    </row>
    <row r="1711" spans="1:19" hidden="1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144</v>
      </c>
      <c r="R1711" s="90" t="s">
        <v>489</v>
      </c>
      <c r="S1711" s="85"/>
    </row>
    <row r="1712" spans="1:19" hidden="1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144</v>
      </c>
      <c r="R1712" s="90" t="s">
        <v>489</v>
      </c>
      <c r="S1712" s="85"/>
    </row>
    <row r="1713" spans="1:19" hidden="1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144</v>
      </c>
      <c r="R1713" s="90" t="s">
        <v>489</v>
      </c>
      <c r="S1713" s="85"/>
    </row>
    <row r="1714" spans="1:19" hidden="1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144</v>
      </c>
      <c r="R1714" s="90" t="s">
        <v>489</v>
      </c>
      <c r="S1714" s="85"/>
    </row>
    <row r="1715" spans="1:19" hidden="1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144</v>
      </c>
      <c r="R1715" s="90" t="s">
        <v>489</v>
      </c>
      <c r="S1715" s="85"/>
    </row>
    <row r="1716" spans="1:19" hidden="1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144</v>
      </c>
      <c r="R1716" s="90" t="s">
        <v>489</v>
      </c>
      <c r="S1716" s="85"/>
    </row>
    <row r="1717" spans="1:19" hidden="1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144</v>
      </c>
      <c r="R1717" s="90" t="s">
        <v>489</v>
      </c>
      <c r="S1717" s="85"/>
    </row>
    <row r="1718" spans="1:19" hidden="1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144</v>
      </c>
      <c r="R1718" s="90" t="s">
        <v>489</v>
      </c>
      <c r="S1718" s="85"/>
    </row>
    <row r="1719" spans="1:19" hidden="1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144</v>
      </c>
      <c r="R1719" s="90" t="s">
        <v>489</v>
      </c>
      <c r="S1719" s="85"/>
    </row>
    <row r="1720" spans="1:19" hidden="1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144</v>
      </c>
      <c r="R1720" s="90" t="s">
        <v>489</v>
      </c>
      <c r="S1720" s="85"/>
    </row>
    <row r="1721" spans="1:19" hidden="1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144</v>
      </c>
      <c r="R1721" s="90" t="s">
        <v>489</v>
      </c>
      <c r="S1721" s="85"/>
    </row>
    <row r="1722" spans="1:19" hidden="1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144</v>
      </c>
      <c r="R1722" s="90" t="s">
        <v>489</v>
      </c>
      <c r="S1722" s="85"/>
    </row>
    <row r="1723" spans="1:19" hidden="1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144</v>
      </c>
      <c r="R1723" s="90" t="s">
        <v>489</v>
      </c>
      <c r="S1723" s="85"/>
    </row>
    <row r="1724" spans="1:19" hidden="1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144</v>
      </c>
      <c r="R1724" s="90" t="s">
        <v>489</v>
      </c>
      <c r="S1724" s="85"/>
    </row>
    <row r="1725" spans="1:19" hidden="1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144</v>
      </c>
      <c r="R1725" s="90" t="s">
        <v>489</v>
      </c>
      <c r="S1725" s="85"/>
    </row>
    <row r="1726" spans="1:19" hidden="1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144</v>
      </c>
      <c r="R1726" s="90" t="s">
        <v>489</v>
      </c>
      <c r="S1726" s="85"/>
    </row>
    <row r="1727" spans="1:19" hidden="1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144</v>
      </c>
      <c r="R1727" s="90" t="s">
        <v>489</v>
      </c>
      <c r="S1727" s="85"/>
    </row>
    <row r="1728" spans="1:19" hidden="1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144</v>
      </c>
      <c r="R1728" s="90" t="s">
        <v>489</v>
      </c>
      <c r="S1728" s="85"/>
    </row>
    <row r="1729" spans="1:19" hidden="1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144</v>
      </c>
      <c r="R1729" s="90" t="s">
        <v>489</v>
      </c>
      <c r="S1729" s="85"/>
    </row>
    <row r="1730" spans="1:19" hidden="1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144</v>
      </c>
      <c r="R1730" s="90" t="s">
        <v>489</v>
      </c>
      <c r="S1730" s="85"/>
    </row>
    <row r="1731" spans="1:19" hidden="1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144</v>
      </c>
      <c r="R1731" s="90" t="s">
        <v>489</v>
      </c>
      <c r="S1731" s="85"/>
    </row>
    <row r="1732" spans="1:19" hidden="1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144</v>
      </c>
      <c r="R1732" s="90" t="s">
        <v>489</v>
      </c>
      <c r="S1732" s="85"/>
    </row>
    <row r="1733" spans="1:19" hidden="1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144</v>
      </c>
      <c r="R1733" s="90" t="s">
        <v>489</v>
      </c>
      <c r="S1733" s="85"/>
    </row>
    <row r="1734" spans="1:19" hidden="1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144</v>
      </c>
      <c r="R1734" s="90" t="s">
        <v>489</v>
      </c>
      <c r="S1734" s="85"/>
    </row>
    <row r="1735" spans="1:19" hidden="1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144</v>
      </c>
      <c r="R1735" s="90" t="s">
        <v>489</v>
      </c>
      <c r="S1735" s="85"/>
    </row>
    <row r="1736" spans="1:19" hidden="1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144</v>
      </c>
      <c r="R1736" s="90" t="s">
        <v>489</v>
      </c>
      <c r="S1736" s="85"/>
    </row>
    <row r="1737" spans="1:19" hidden="1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144</v>
      </c>
      <c r="R1737" s="90" t="s">
        <v>489</v>
      </c>
      <c r="S1737" s="85"/>
    </row>
    <row r="1738" spans="1:19" hidden="1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144</v>
      </c>
      <c r="R1738" s="90" t="s">
        <v>489</v>
      </c>
      <c r="S1738" s="85"/>
    </row>
    <row r="1739" spans="1:19" hidden="1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144</v>
      </c>
      <c r="R1739" s="90" t="s">
        <v>489</v>
      </c>
      <c r="S1739" s="85"/>
    </row>
    <row r="1740" spans="1:19" hidden="1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144</v>
      </c>
      <c r="R1740" s="90" t="s">
        <v>489</v>
      </c>
      <c r="S1740" s="85"/>
    </row>
    <row r="1741" spans="1:19" hidden="1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144</v>
      </c>
      <c r="R1741" s="90" t="s">
        <v>489</v>
      </c>
      <c r="S1741" s="85"/>
    </row>
    <row r="1742" spans="1:19" hidden="1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144</v>
      </c>
      <c r="R1742" s="90" t="s">
        <v>489</v>
      </c>
      <c r="S1742" s="85"/>
    </row>
    <row r="1743" spans="1:19" hidden="1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144</v>
      </c>
      <c r="R1743" s="90" t="s">
        <v>489</v>
      </c>
      <c r="S1743" s="85"/>
    </row>
    <row r="1744" spans="1:19" hidden="1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144</v>
      </c>
      <c r="R1744" s="90" t="s">
        <v>489</v>
      </c>
      <c r="S1744" s="85"/>
    </row>
    <row r="1745" spans="1:19" hidden="1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144</v>
      </c>
      <c r="R1745" s="90" t="s">
        <v>489</v>
      </c>
      <c r="S1745" s="85"/>
    </row>
    <row r="1746" spans="1:19" hidden="1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144</v>
      </c>
      <c r="R1746" s="90" t="s">
        <v>489</v>
      </c>
      <c r="S1746" s="85"/>
    </row>
    <row r="1747" spans="1:19" hidden="1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144</v>
      </c>
      <c r="R1747" s="90" t="s">
        <v>489</v>
      </c>
      <c r="S1747" s="85"/>
    </row>
    <row r="1748" spans="1:19" hidden="1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144</v>
      </c>
      <c r="R1748" s="90" t="s">
        <v>489</v>
      </c>
      <c r="S1748" s="85"/>
    </row>
    <row r="1749" spans="1:19" hidden="1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144</v>
      </c>
      <c r="R1749" s="90" t="s">
        <v>489</v>
      </c>
      <c r="S1749" s="85"/>
    </row>
    <row r="1750" spans="1:19" hidden="1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144</v>
      </c>
      <c r="R1750" s="90" t="s">
        <v>489</v>
      </c>
      <c r="S1750" s="85"/>
    </row>
    <row r="1751" spans="1:19" hidden="1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144</v>
      </c>
      <c r="R1751" s="90" t="s">
        <v>489</v>
      </c>
      <c r="S1751" s="85"/>
    </row>
    <row r="1752" spans="1:19" hidden="1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144</v>
      </c>
      <c r="R1752" s="90" t="s">
        <v>489</v>
      </c>
      <c r="S1752" s="85"/>
    </row>
    <row r="1753" spans="1:19" hidden="1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144</v>
      </c>
      <c r="R1753" s="90" t="s">
        <v>489</v>
      </c>
      <c r="S1753" s="85"/>
    </row>
    <row r="1754" spans="1:19" hidden="1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144</v>
      </c>
      <c r="R1754" s="90" t="s">
        <v>489</v>
      </c>
      <c r="S1754" s="85"/>
    </row>
    <row r="1755" spans="1:19" hidden="1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144</v>
      </c>
      <c r="R1755" s="90" t="s">
        <v>489</v>
      </c>
      <c r="S1755" s="85"/>
    </row>
    <row r="1756" spans="1:19" hidden="1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144</v>
      </c>
      <c r="R1759" s="90" t="s">
        <v>489</v>
      </c>
      <c r="S1759" s="85"/>
    </row>
    <row r="1760" spans="1:19" hidden="1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144</v>
      </c>
      <c r="R1760" s="90" t="s">
        <v>489</v>
      </c>
      <c r="S1760" s="85"/>
    </row>
    <row r="1761" spans="1:19" hidden="1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144</v>
      </c>
      <c r="R1761" s="90" t="s">
        <v>489</v>
      </c>
      <c r="S1761" s="85"/>
    </row>
    <row r="1762" spans="1:19" hidden="1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144</v>
      </c>
      <c r="R1762" s="90" t="s">
        <v>489</v>
      </c>
      <c r="S1762" s="85"/>
    </row>
    <row r="1763" spans="1:19" hidden="1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 hidden="1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138</v>
      </c>
      <c r="R2245" s="95" t="s">
        <v>764</v>
      </c>
      <c r="S2245" s="94"/>
    </row>
    <row r="2246" spans="1:19" hidden="1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138</v>
      </c>
      <c r="R2246" s="95" t="s">
        <v>515</v>
      </c>
      <c r="S2246" s="94"/>
    </row>
    <row r="2247" spans="1:19" hidden="1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133</v>
      </c>
      <c r="R2259" s="98" t="s">
        <v>515</v>
      </c>
      <c r="S2259" s="94"/>
    </row>
    <row r="2260" spans="1:19" hidden="1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133</v>
      </c>
      <c r="R2260" s="98" t="s">
        <v>515</v>
      </c>
      <c r="S2260" s="94"/>
    </row>
    <row r="2261" spans="1:19" hidden="1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128</v>
      </c>
      <c r="R2302" s="104" t="s">
        <v>410</v>
      </c>
      <c r="S2302" s="94"/>
    </row>
    <row r="2303" spans="1:19" hidden="1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128</v>
      </c>
      <c r="R2303" s="104" t="s">
        <v>410</v>
      </c>
      <c r="S2303" s="94"/>
    </row>
    <row r="2304" spans="1:19" hidden="1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128</v>
      </c>
      <c r="R2304" s="106" t="s">
        <v>955</v>
      </c>
      <c r="S2304" s="94"/>
    </row>
    <row r="2305" spans="1:19" hidden="1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128</v>
      </c>
      <c r="R2305" s="106" t="s">
        <v>972</v>
      </c>
      <c r="S2305" s="94"/>
    </row>
    <row r="2306" spans="1:19" hidden="1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128</v>
      </c>
      <c r="R2306" s="106" t="s">
        <v>972</v>
      </c>
      <c r="S2306" s="94"/>
    </row>
    <row r="2307" spans="1:19" hidden="1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128</v>
      </c>
      <c r="R2307" s="106" t="s">
        <v>972</v>
      </c>
      <c r="S2307" s="94"/>
    </row>
    <row r="2308" spans="1:19" hidden="1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128</v>
      </c>
      <c r="R2308" s="106" t="s">
        <v>972</v>
      </c>
      <c r="S2308" s="94"/>
    </row>
    <row r="2309" spans="1:19" hidden="1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128</v>
      </c>
      <c r="R2309" s="106" t="s">
        <v>972</v>
      </c>
      <c r="S2309" s="94"/>
    </row>
    <row r="2310" spans="1:19" hidden="1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128</v>
      </c>
      <c r="R2310" s="106" t="s">
        <v>780</v>
      </c>
      <c r="S2310" s="94"/>
    </row>
    <row r="2311" spans="1:19" hidden="1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128</v>
      </c>
      <c r="R2311" s="106" t="s">
        <v>780</v>
      </c>
      <c r="S2311" s="94"/>
    </row>
    <row r="2312" spans="1:19" hidden="1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128</v>
      </c>
      <c r="R2312" s="106" t="s">
        <v>780</v>
      </c>
      <c r="S2312" s="94"/>
    </row>
    <row r="2313" spans="1:19" hidden="1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128</v>
      </c>
      <c r="R2313" s="106" t="s">
        <v>780</v>
      </c>
      <c r="S2313" s="94"/>
    </row>
    <row r="2314" spans="1:19" hidden="1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128</v>
      </c>
      <c r="R2314" s="106" t="s">
        <v>780</v>
      </c>
      <c r="S2314" s="94"/>
    </row>
    <row r="2315" spans="1:19" hidden="1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128</v>
      </c>
      <c r="R2315" s="106" t="s">
        <v>780</v>
      </c>
      <c r="S2315" s="94"/>
    </row>
    <row r="2316" spans="1:19" hidden="1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128</v>
      </c>
      <c r="R2316" s="106" t="s">
        <v>780</v>
      </c>
      <c r="S2316" s="94"/>
    </row>
    <row r="2317" spans="1:19" hidden="1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128</v>
      </c>
      <c r="R2317" s="106" t="s">
        <v>780</v>
      </c>
      <c r="S2317" s="94"/>
    </row>
    <row r="2318" spans="1:19" hidden="1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128</v>
      </c>
      <c r="R2318" s="106" t="s">
        <v>780</v>
      </c>
      <c r="S2318" s="94"/>
    </row>
    <row r="2319" spans="1:19" hidden="1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128</v>
      </c>
      <c r="R2319" s="106" t="s">
        <v>780</v>
      </c>
      <c r="S2319" s="94"/>
    </row>
    <row r="2320" spans="1:19" hidden="1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128</v>
      </c>
      <c r="R2320" s="106" t="s">
        <v>780</v>
      </c>
      <c r="S2320" s="94"/>
    </row>
    <row r="2321" spans="1:19" hidden="1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128</v>
      </c>
      <c r="R2321" s="106" t="s">
        <v>780</v>
      </c>
      <c r="S2321" s="94"/>
    </row>
    <row r="2322" spans="1:19" hidden="1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128</v>
      </c>
      <c r="R2322" s="106" t="s">
        <v>780</v>
      </c>
      <c r="S2322" s="94"/>
    </row>
    <row r="2323" spans="1:19" hidden="1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128</v>
      </c>
      <c r="R2323" s="106" t="s">
        <v>780</v>
      </c>
      <c r="S2323" s="94"/>
    </row>
    <row r="2324" spans="1:19" hidden="1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128</v>
      </c>
      <c r="R2324" s="106" t="s">
        <v>780</v>
      </c>
      <c r="S2324" s="94"/>
    </row>
    <row r="2325" spans="1:19" hidden="1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128</v>
      </c>
      <c r="R2325" s="106" t="s">
        <v>780</v>
      </c>
      <c r="S2325" s="94"/>
    </row>
    <row r="2326" spans="1:19" hidden="1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128</v>
      </c>
      <c r="R2326" s="106" t="s">
        <v>780</v>
      </c>
      <c r="S2326" s="94"/>
    </row>
    <row r="2327" spans="1:19" hidden="1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128</v>
      </c>
      <c r="R2327" s="106" t="s">
        <v>780</v>
      </c>
      <c r="S2327" s="94"/>
    </row>
    <row r="2328" spans="1:19" hidden="1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128</v>
      </c>
      <c r="R2328" s="106" t="s">
        <v>780</v>
      </c>
      <c r="S2328" s="94"/>
    </row>
    <row r="2329" spans="1:19" hidden="1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128</v>
      </c>
      <c r="R2329" s="106" t="s">
        <v>780</v>
      </c>
      <c r="S2329" s="94"/>
    </row>
    <row r="2330" spans="1:19" hidden="1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128</v>
      </c>
      <c r="R2330" s="106" t="s">
        <v>780</v>
      </c>
      <c r="S2330" s="94"/>
    </row>
    <row r="2331" spans="1:19" hidden="1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128</v>
      </c>
      <c r="R2331" s="106" t="s">
        <v>780</v>
      </c>
      <c r="S2331" s="94"/>
    </row>
    <row r="2332" spans="1:19" hidden="1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128</v>
      </c>
      <c r="R2332" s="106" t="s">
        <v>780</v>
      </c>
      <c r="S2332" s="94"/>
    </row>
    <row r="2333" spans="1:19" hidden="1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128</v>
      </c>
      <c r="R2333" s="106" t="s">
        <v>780</v>
      </c>
      <c r="S2333" s="94"/>
    </row>
    <row r="2334" spans="1:19" hidden="1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128</v>
      </c>
      <c r="R2334" s="106" t="s">
        <v>780</v>
      </c>
      <c r="S2334" s="94"/>
    </row>
    <row r="2335" spans="1:19" hidden="1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128</v>
      </c>
      <c r="R2335" s="106" t="s">
        <v>780</v>
      </c>
      <c r="S2335" s="94"/>
    </row>
    <row r="2336" spans="1:19" hidden="1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128</v>
      </c>
      <c r="R2336" s="106" t="s">
        <v>780</v>
      </c>
      <c r="S2336" s="94"/>
    </row>
    <row r="2337" spans="1:19" hidden="1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128</v>
      </c>
      <c r="R2337" s="106" t="s">
        <v>780</v>
      </c>
      <c r="S2337" s="94"/>
    </row>
    <row r="2338" spans="1:19" hidden="1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128</v>
      </c>
      <c r="R2338" s="106" t="s">
        <v>780</v>
      </c>
      <c r="S2338" s="94"/>
    </row>
    <row r="2339" spans="1:19" hidden="1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128</v>
      </c>
      <c r="R2339" s="106" t="s">
        <v>780</v>
      </c>
      <c r="S2339" s="94"/>
    </row>
    <row r="2340" spans="1:19" hidden="1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128</v>
      </c>
      <c r="R2340" s="106" t="s">
        <v>780</v>
      </c>
      <c r="S2340" s="94"/>
    </row>
    <row r="2341" spans="1:19" hidden="1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128</v>
      </c>
      <c r="R2341" s="106" t="s">
        <v>780</v>
      </c>
      <c r="S2341" s="94"/>
    </row>
    <row r="2342" spans="1:19" hidden="1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128</v>
      </c>
      <c r="R2342" s="106" t="s">
        <v>780</v>
      </c>
      <c r="S2342" s="94"/>
    </row>
    <row r="2343" spans="1:19" hidden="1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128</v>
      </c>
      <c r="R2343" s="106" t="s">
        <v>780</v>
      </c>
      <c r="S2343" s="94"/>
    </row>
    <row r="2344" spans="1:19" hidden="1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128</v>
      </c>
      <c r="R2344" s="106" t="s">
        <v>780</v>
      </c>
      <c r="S2344" s="94"/>
    </row>
    <row r="2345" spans="1:19" hidden="1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128</v>
      </c>
      <c r="R2345" s="106" t="s">
        <v>780</v>
      </c>
      <c r="S2345" s="94"/>
    </row>
    <row r="2346" spans="1:19" hidden="1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128</v>
      </c>
      <c r="R2346" s="106" t="s">
        <v>780</v>
      </c>
      <c r="S2346" s="94"/>
    </row>
    <row r="2347" spans="1:19" hidden="1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128</v>
      </c>
      <c r="R2347" s="106" t="s">
        <v>780</v>
      </c>
      <c r="S2347" s="94"/>
    </row>
    <row r="2348" spans="1:19" hidden="1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128</v>
      </c>
      <c r="R2348" s="106" t="s">
        <v>780</v>
      </c>
      <c r="S2348" s="94"/>
    </row>
    <row r="2349" spans="1:19" hidden="1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128</v>
      </c>
      <c r="R2349" s="106" t="s">
        <v>780</v>
      </c>
      <c r="S2349" s="94"/>
    </row>
    <row r="2350" spans="1:19" hidden="1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128</v>
      </c>
      <c r="R2350" s="106" t="s">
        <v>780</v>
      </c>
      <c r="S2350" s="94"/>
    </row>
    <row r="2351" spans="1:19" hidden="1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128</v>
      </c>
      <c r="R2351" s="106" t="s">
        <v>780</v>
      </c>
      <c r="S2351" s="94"/>
    </row>
    <row r="2352" spans="1:19" hidden="1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128</v>
      </c>
      <c r="R2352" s="106" t="s">
        <v>780</v>
      </c>
      <c r="S2352" s="94"/>
    </row>
    <row r="2353" spans="1:19" hidden="1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128</v>
      </c>
      <c r="R2353" s="106" t="s">
        <v>780</v>
      </c>
      <c r="S2353" s="94"/>
    </row>
    <row r="2354" spans="1:19" hidden="1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128</v>
      </c>
      <c r="R2354" s="106" t="s">
        <v>780</v>
      </c>
      <c r="S2354" s="94"/>
    </row>
    <row r="2355" spans="1:19" hidden="1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128</v>
      </c>
      <c r="R2355" s="106" t="s">
        <v>780</v>
      </c>
      <c r="S2355" s="94"/>
    </row>
    <row r="2356" spans="1:19" hidden="1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128</v>
      </c>
      <c r="R2356" s="106" t="s">
        <v>780</v>
      </c>
      <c r="S2356" s="94"/>
    </row>
    <row r="2357" spans="1:19" hidden="1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128</v>
      </c>
      <c r="R2357" s="106" t="s">
        <v>780</v>
      </c>
      <c r="S2357" s="94"/>
    </row>
    <row r="2358" spans="1:19" hidden="1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128</v>
      </c>
      <c r="R2358" s="106" t="s">
        <v>780</v>
      </c>
      <c r="S2358" s="94"/>
    </row>
    <row r="2359" spans="1:19" hidden="1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128</v>
      </c>
      <c r="R2359" s="106" t="s">
        <v>780</v>
      </c>
      <c r="S2359" s="94"/>
    </row>
    <row r="2360" spans="1:19" hidden="1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128</v>
      </c>
      <c r="R2360" s="106" t="s">
        <v>780</v>
      </c>
      <c r="S2360" s="94"/>
    </row>
    <row r="2361" spans="1:19" hidden="1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128</v>
      </c>
      <c r="R2361" s="106" t="s">
        <v>780</v>
      </c>
      <c r="S2361" s="94"/>
    </row>
    <row r="2362" spans="1:19" hidden="1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128</v>
      </c>
      <c r="R2362" s="106" t="s">
        <v>780</v>
      </c>
      <c r="S2362" s="94"/>
    </row>
    <row r="2363" spans="1:19" hidden="1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128</v>
      </c>
      <c r="R2363" s="106" t="s">
        <v>780</v>
      </c>
      <c r="S2363" s="94"/>
    </row>
    <row r="2364" spans="1:19" hidden="1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128</v>
      </c>
      <c r="R2364" s="106" t="s">
        <v>780</v>
      </c>
      <c r="S2364" s="94"/>
    </row>
    <row r="2365" spans="1:19" hidden="1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128</v>
      </c>
      <c r="R2365" s="106" t="s">
        <v>780</v>
      </c>
      <c r="S2365" s="94"/>
    </row>
    <row r="2366" spans="1:19" hidden="1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128</v>
      </c>
      <c r="R2366" s="106" t="s">
        <v>780</v>
      </c>
      <c r="S2366" s="94"/>
    </row>
    <row r="2367" spans="1:19" hidden="1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128</v>
      </c>
      <c r="R2367" s="106" t="s">
        <v>780</v>
      </c>
      <c r="S2367" s="94"/>
    </row>
    <row r="2368" spans="1:19" hidden="1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128</v>
      </c>
      <c r="R2368" s="106" t="s">
        <v>780</v>
      </c>
      <c r="S2368" s="94"/>
    </row>
    <row r="2369" spans="1:19" hidden="1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128</v>
      </c>
      <c r="R2369" s="106" t="s">
        <v>780</v>
      </c>
      <c r="S2369" s="94"/>
    </row>
    <row r="2370" spans="1:19" hidden="1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128</v>
      </c>
      <c r="R2370" s="106" t="s">
        <v>780</v>
      </c>
      <c r="S2370" s="94"/>
    </row>
    <row r="2371" spans="1:19" hidden="1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128</v>
      </c>
      <c r="R2371" s="106" t="s">
        <v>780</v>
      </c>
      <c r="S2371" s="94"/>
    </row>
    <row r="2372" spans="1:19" hidden="1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128</v>
      </c>
      <c r="R2372" s="106" t="s">
        <v>780</v>
      </c>
      <c r="S2372" s="94"/>
    </row>
    <row r="2373" spans="1:19" hidden="1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128</v>
      </c>
      <c r="R2373" s="106" t="s">
        <v>780</v>
      </c>
      <c r="S2373" s="94"/>
    </row>
    <row r="2374" spans="1:19" hidden="1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128</v>
      </c>
      <c r="R2374" s="106" t="s">
        <v>780</v>
      </c>
      <c r="S2374" s="94"/>
    </row>
    <row r="2375" spans="1:19" hidden="1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128</v>
      </c>
      <c r="R2375" s="106" t="s">
        <v>780</v>
      </c>
      <c r="S2375" s="94"/>
    </row>
    <row r="2376" spans="1:19" hidden="1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128</v>
      </c>
      <c r="R2376" s="106" t="s">
        <v>780</v>
      </c>
      <c r="S2376" s="94"/>
    </row>
    <row r="2377" spans="1:19" hidden="1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128</v>
      </c>
      <c r="R2377" s="106" t="s">
        <v>780</v>
      </c>
      <c r="S2377" s="94"/>
    </row>
    <row r="2378" spans="1:19" hidden="1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128</v>
      </c>
      <c r="R2378" s="106" t="s">
        <v>780</v>
      </c>
      <c r="S2378" s="94"/>
    </row>
    <row r="2379" spans="1:19" hidden="1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128</v>
      </c>
      <c r="R2379" s="106" t="s">
        <v>780</v>
      </c>
      <c r="S2379" s="94"/>
    </row>
    <row r="2380" spans="1:19" hidden="1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128</v>
      </c>
      <c r="R2380" s="106" t="s">
        <v>780</v>
      </c>
      <c r="S2380" s="94"/>
    </row>
    <row r="2381" spans="1:19" hidden="1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128</v>
      </c>
      <c r="R2381" s="106" t="s">
        <v>780</v>
      </c>
      <c r="S2381" s="94"/>
    </row>
    <row r="2382" spans="1:19" hidden="1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128</v>
      </c>
      <c r="R2382" s="106" t="s">
        <v>780</v>
      </c>
      <c r="S2382" s="94"/>
    </row>
    <row r="2383" spans="1:19" hidden="1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128</v>
      </c>
      <c r="R2383" s="106" t="s">
        <v>780</v>
      </c>
      <c r="S2383" s="94"/>
    </row>
    <row r="2384" spans="1:19" hidden="1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128</v>
      </c>
      <c r="R2384" s="106" t="s">
        <v>780</v>
      </c>
      <c r="S2384" s="94"/>
    </row>
    <row r="2385" spans="1:19" hidden="1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128</v>
      </c>
      <c r="R2385" s="106" t="s">
        <v>780</v>
      </c>
      <c r="S2385" s="94"/>
    </row>
    <row r="2386" spans="1:19" hidden="1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128</v>
      </c>
      <c r="R2386" s="106" t="s">
        <v>780</v>
      </c>
      <c r="S2386" s="94"/>
    </row>
    <row r="2387" spans="1:19" hidden="1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128</v>
      </c>
      <c r="R2387" s="106" t="s">
        <v>780</v>
      </c>
      <c r="S2387" s="94"/>
    </row>
    <row r="2388" spans="1:19" hidden="1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128</v>
      </c>
      <c r="R2388" s="106" t="s">
        <v>780</v>
      </c>
      <c r="S2388" s="94"/>
    </row>
    <row r="2389" spans="1:19" hidden="1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128</v>
      </c>
      <c r="R2389" s="106" t="s">
        <v>780</v>
      </c>
      <c r="S2389" s="94"/>
    </row>
    <row r="2390" spans="1:19" hidden="1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128</v>
      </c>
      <c r="R2390" s="106" t="s">
        <v>780</v>
      </c>
      <c r="S2390" s="94"/>
    </row>
    <row r="2391" spans="1:19" hidden="1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128</v>
      </c>
      <c r="R2391" s="106" t="s">
        <v>780</v>
      </c>
      <c r="S2391" s="94"/>
    </row>
    <row r="2392" spans="1:19" hidden="1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128</v>
      </c>
      <c r="R2392" s="106" t="s">
        <v>780</v>
      </c>
      <c r="S2392" s="94"/>
    </row>
    <row r="2393" spans="1:19" hidden="1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128</v>
      </c>
      <c r="R2393" s="106" t="s">
        <v>780</v>
      </c>
      <c r="S2393" s="94"/>
    </row>
    <row r="2394" spans="1:19" hidden="1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128</v>
      </c>
      <c r="R2394" s="106" t="s">
        <v>780</v>
      </c>
      <c r="S2394" s="94"/>
    </row>
    <row r="2395" spans="1:19" hidden="1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128</v>
      </c>
      <c r="R2395" s="106" t="s">
        <v>780</v>
      </c>
      <c r="S2395" s="94"/>
    </row>
    <row r="2396" spans="1:19" hidden="1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128</v>
      </c>
      <c r="R2396" s="106" t="s">
        <v>780</v>
      </c>
      <c r="S2396" s="94"/>
    </row>
    <row r="2397" spans="1:19" hidden="1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128</v>
      </c>
      <c r="R2397" s="106" t="s">
        <v>780</v>
      </c>
      <c r="S2397" s="94"/>
    </row>
    <row r="2398" spans="1:19" hidden="1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128</v>
      </c>
      <c r="R2398" s="106" t="s">
        <v>780</v>
      </c>
      <c r="S2398" s="94"/>
    </row>
    <row r="2399" spans="1:19" hidden="1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128</v>
      </c>
      <c r="R2399" s="106" t="s">
        <v>780</v>
      </c>
      <c r="S2399" s="94"/>
    </row>
    <row r="2400" spans="1:19" hidden="1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128</v>
      </c>
      <c r="R2400" s="106" t="s">
        <v>780</v>
      </c>
      <c r="S2400" s="94"/>
    </row>
    <row r="2401" spans="1:19" hidden="1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128</v>
      </c>
      <c r="R2401" s="106" t="s">
        <v>780</v>
      </c>
      <c r="S2401" s="94"/>
    </row>
    <row r="2402" spans="1:19" hidden="1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128</v>
      </c>
      <c r="R2402" s="106" t="s">
        <v>780</v>
      </c>
      <c r="S2402" s="94"/>
    </row>
    <row r="2403" spans="1:19" hidden="1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128</v>
      </c>
      <c r="R2403" s="106" t="s">
        <v>780</v>
      </c>
      <c r="S2403" s="94"/>
    </row>
    <row r="2404" spans="1:19" hidden="1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128</v>
      </c>
      <c r="R2404" s="106" t="s">
        <v>780</v>
      </c>
      <c r="S2404" s="94"/>
    </row>
    <row r="2405" spans="1:19" hidden="1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128</v>
      </c>
      <c r="R2405" s="106" t="s">
        <v>780</v>
      </c>
      <c r="S2405" s="94"/>
    </row>
    <row r="2406" spans="1:19" hidden="1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128</v>
      </c>
      <c r="R2406" s="106" t="s">
        <v>3639</v>
      </c>
      <c r="S2406" s="94"/>
    </row>
    <row r="2407" spans="1:19" hidden="1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4301</v>
      </c>
      <c r="B2409" s="149" t="str">
        <f>IFERROR(VLOOKUP(Proc[[#This Row],[App]],Table2[],3,0),"open")</f>
        <v>ok</v>
      </c>
      <c r="C2409" t="s">
        <v>377</v>
      </c>
      <c r="D2409" t="s">
        <v>4295</v>
      </c>
      <c r="E2409" t="s">
        <v>4299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4302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125</v>
      </c>
      <c r="R2409" s="108" t="s">
        <v>415</v>
      </c>
      <c r="S2409" s="94"/>
    </row>
    <row r="2410" spans="1:19" hidden="1">
      <c r="A2410" s="103" t="s">
        <v>4301</v>
      </c>
      <c r="B2410" s="149" t="str">
        <f>IFERROR(VLOOKUP(Proc[[#This Row],[App]],Table2[],3,0),"open")</f>
        <v>ok</v>
      </c>
      <c r="C2410" s="103" t="s">
        <v>369</v>
      </c>
      <c r="D2410" t="s">
        <v>4296</v>
      </c>
      <c r="E2410" t="s">
        <v>4300</v>
      </c>
      <c r="F2410" s="120" t="s">
        <v>4300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125</v>
      </c>
      <c r="R2410" s="108" t="s">
        <v>415</v>
      </c>
      <c r="S2410" s="94"/>
    </row>
    <row r="2411" spans="1:19" hidden="1">
      <c r="A2411" s="103" t="s">
        <v>4301</v>
      </c>
      <c r="B2411" s="149" t="str">
        <f>IFERROR(VLOOKUP(Proc[[#This Row],[App]],Table2[],3,0),"open")</f>
        <v>ok</v>
      </c>
      <c r="C2411" s="103" t="s">
        <v>369</v>
      </c>
      <c r="D2411" t="s">
        <v>4297</v>
      </c>
      <c r="E2411" t="s">
        <v>4300</v>
      </c>
      <c r="F2411" s="120" t="s">
        <v>4300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125</v>
      </c>
      <c r="R2411" s="108" t="s">
        <v>415</v>
      </c>
      <c r="S2411" s="94"/>
    </row>
    <row r="2412" spans="1:19" hidden="1">
      <c r="A2412" s="103" t="s">
        <v>4301</v>
      </c>
      <c r="B2412" s="149" t="str">
        <f>IFERROR(VLOOKUP(Proc[[#This Row],[App]],Table2[],3,0),"open")</f>
        <v>ok</v>
      </c>
      <c r="C2412" s="117" t="s">
        <v>369</v>
      </c>
      <c r="D2412" t="s">
        <v>4298</v>
      </c>
      <c r="E2412" t="s">
        <v>4300</v>
      </c>
      <c r="F2412" s="120" t="s">
        <v>4300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125</v>
      </c>
      <c r="R2412" s="108" t="s">
        <v>415</v>
      </c>
      <c r="S2412" s="94"/>
    </row>
    <row r="2413" spans="1:19" hidden="1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4303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126</v>
      </c>
      <c r="R2413" s="108" t="s">
        <v>972</v>
      </c>
      <c r="S2413" s="94"/>
    </row>
    <row r="2414" spans="1:19" hidden="1">
      <c r="A2414" t="s">
        <v>4304</v>
      </c>
      <c r="B2414" s="149" t="str">
        <f>IFERROR(VLOOKUP(Proc[[#This Row],[App]],Table2[],3,0),"open")</f>
        <v>ok</v>
      </c>
      <c r="C2414" t="s">
        <v>369</v>
      </c>
      <c r="D2414" t="s">
        <v>4305</v>
      </c>
      <c r="E2414" t="s">
        <v>4307</v>
      </c>
      <c r="F2414" s="120" t="s">
        <v>4307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4304</v>
      </c>
      <c r="B2415" s="149" t="str">
        <f>IFERROR(VLOOKUP(Proc[[#This Row],[App]],Table2[],3,0),"open")</f>
        <v>ok</v>
      </c>
      <c r="C2415" s="103" t="s">
        <v>369</v>
      </c>
      <c r="D2415" t="s">
        <v>4306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4308</v>
      </c>
      <c r="B2416" s="149" t="str">
        <f>IFERROR(VLOOKUP(Proc[[#This Row],[App]],Table2[],3,0),"open")</f>
        <v>ok</v>
      </c>
      <c r="C2416" s="117" t="s">
        <v>369</v>
      </c>
      <c r="D2416" t="s">
        <v>4828</v>
      </c>
      <c r="E2416" t="s">
        <v>4310</v>
      </c>
      <c r="F2416" s="117" t="s">
        <v>4310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4311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123</v>
      </c>
      <c r="R2416" s="110" t="s">
        <v>515</v>
      </c>
      <c r="S2416" s="94"/>
    </row>
    <row r="2417" spans="1:19" hidden="1">
      <c r="A2417" s="103" t="s">
        <v>4308</v>
      </c>
      <c r="B2417" s="149" t="str">
        <f>IFERROR(VLOOKUP(Proc[[#This Row],[App]],Table2[],3,0),"open")</f>
        <v>ok</v>
      </c>
      <c r="C2417" s="103" t="s">
        <v>369</v>
      </c>
      <c r="D2417" t="s">
        <v>4309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4311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123</v>
      </c>
      <c r="R2417" s="110" t="s">
        <v>515</v>
      </c>
      <c r="S2417" s="94"/>
    </row>
    <row r="2418" spans="1:19" hidden="1">
      <c r="A2418" t="s">
        <v>4312</v>
      </c>
      <c r="B2418" s="149" t="str">
        <f>IFERROR(VLOOKUP(Proc[[#This Row],[App]],Table2[],3,0),"open")</f>
        <v>ok</v>
      </c>
      <c r="C2418" s="103" t="s">
        <v>369</v>
      </c>
      <c r="D2418" t="s">
        <v>4313</v>
      </c>
      <c r="E2418" t="s">
        <v>4322</v>
      </c>
      <c r="F2418" s="120" t="s">
        <v>4322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4325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4312</v>
      </c>
      <c r="B2419" s="149" t="str">
        <f>IFERROR(VLOOKUP(Proc[[#This Row],[App]],Table2[],3,0),"open")</f>
        <v>ok</v>
      </c>
      <c r="C2419" s="103" t="s">
        <v>369</v>
      </c>
      <c r="D2419" t="s">
        <v>4314</v>
      </c>
      <c r="E2419" t="s">
        <v>4322</v>
      </c>
      <c r="F2419" s="120" t="s">
        <v>4322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4325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4312</v>
      </c>
      <c r="B2420" s="149" t="str">
        <f>IFERROR(VLOOKUP(Proc[[#This Row],[App]],Table2[],3,0),"open")</f>
        <v>ok</v>
      </c>
      <c r="C2420" s="103" t="s">
        <v>369</v>
      </c>
      <c r="D2420" t="s">
        <v>4315</v>
      </c>
      <c r="E2420" t="s">
        <v>4322</v>
      </c>
      <c r="F2420" s="120" t="s">
        <v>4322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4325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4312</v>
      </c>
      <c r="B2421" s="149" t="str">
        <f>IFERROR(VLOOKUP(Proc[[#This Row],[App]],Table2[],3,0),"open")</f>
        <v>ok</v>
      </c>
      <c r="C2421" s="103" t="s">
        <v>369</v>
      </c>
      <c r="D2421" t="s">
        <v>4316</v>
      </c>
      <c r="E2421" t="s">
        <v>4322</v>
      </c>
      <c r="F2421" s="120" t="s">
        <v>4322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4325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4312</v>
      </c>
      <c r="B2422" s="149" t="str">
        <f>IFERROR(VLOOKUP(Proc[[#This Row],[App]],Table2[],3,0),"open")</f>
        <v>ok</v>
      </c>
      <c r="C2422" s="103" t="s">
        <v>369</v>
      </c>
      <c r="D2422" t="s">
        <v>4317</v>
      </c>
      <c r="E2422" t="s">
        <v>4322</v>
      </c>
      <c r="F2422" s="120" t="s">
        <v>4322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4325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4312</v>
      </c>
      <c r="B2423" s="149" t="str">
        <f>IFERROR(VLOOKUP(Proc[[#This Row],[App]],Table2[],3,0),"open")</f>
        <v>ok</v>
      </c>
      <c r="C2423" s="103" t="s">
        <v>369</v>
      </c>
      <c r="D2423" t="s">
        <v>4318</v>
      </c>
      <c r="E2423" t="s">
        <v>4322</v>
      </c>
      <c r="F2423" s="120" t="s">
        <v>4322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4325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4312</v>
      </c>
      <c r="B2424" s="149" t="str">
        <f>IFERROR(VLOOKUP(Proc[[#This Row],[App]],Table2[],3,0),"open")</f>
        <v>ok</v>
      </c>
      <c r="C2424" s="103" t="s">
        <v>369</v>
      </c>
      <c r="D2424" t="s">
        <v>4321</v>
      </c>
      <c r="E2424" t="s">
        <v>4322</v>
      </c>
      <c r="F2424" s="120" t="s">
        <v>4322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4325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4312</v>
      </c>
      <c r="B2425" s="149" t="str">
        <f>IFERROR(VLOOKUP(Proc[[#This Row],[App]],Table2[],3,0),"open")</f>
        <v>ok</v>
      </c>
      <c r="C2425" s="103" t="s">
        <v>377</v>
      </c>
      <c r="D2425" t="s">
        <v>4319</v>
      </c>
      <c r="E2425" t="s">
        <v>4322</v>
      </c>
      <c r="F2425" s="94" t="s">
        <v>4323</v>
      </c>
      <c r="G2425" s="103" t="s">
        <v>400</v>
      </c>
      <c r="H2425" s="94" t="str">
        <f>IF(Proc[[#This Row],[type]]="LFF (MDG-F)",MID(Proc[[#This Row],[Obj]],13,10),"")</f>
        <v/>
      </c>
      <c r="I2425" t="s">
        <v>4324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4312</v>
      </c>
      <c r="B2426" s="149" t="str">
        <f>IFERROR(VLOOKUP(Proc[[#This Row],[App]],Table2[],3,0),"open")</f>
        <v>ok</v>
      </c>
      <c r="C2426" s="103" t="s">
        <v>377</v>
      </c>
      <c r="D2426" t="s">
        <v>4320</v>
      </c>
      <c r="E2426" t="s">
        <v>4322</v>
      </c>
      <c r="F2426" s="94" t="s">
        <v>4323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4324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4328</v>
      </c>
      <c r="B2427" s="149" t="str">
        <f>IFERROR(VLOOKUP(Proc[[#This Row],[App]],Table2[],3,0),"open")</f>
        <v>ok</v>
      </c>
      <c r="C2427" t="s">
        <v>369</v>
      </c>
      <c r="D2427" t="s">
        <v>4327</v>
      </c>
      <c r="E2427" t="s">
        <v>4330</v>
      </c>
      <c r="F2427" s="120" t="s">
        <v>4330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4328</v>
      </c>
      <c r="B2428" s="149" t="str">
        <f>IFERROR(VLOOKUP(Proc[[#This Row],[App]],Table2[],3,0),"open")</f>
        <v>ok</v>
      </c>
      <c r="C2428" s="103" t="s">
        <v>369</v>
      </c>
      <c r="D2428" t="s">
        <v>4329</v>
      </c>
      <c r="E2428" t="s">
        <v>4331</v>
      </c>
      <c r="F2428" s="120" t="s">
        <v>4331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4334</v>
      </c>
      <c r="B2429" s="149" t="str">
        <f>IFERROR(VLOOKUP(Proc[[#This Row],[App]],Table2[],3,0),"open")</f>
        <v>ok</v>
      </c>
      <c r="C2429" t="s">
        <v>369</v>
      </c>
      <c r="D2429" t="s">
        <v>4332</v>
      </c>
      <c r="E2429" t="s">
        <v>4333</v>
      </c>
      <c r="F2429" s="120" t="s">
        <v>4333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4894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4335</v>
      </c>
      <c r="B2430" s="149" t="str">
        <f>IFERROR(VLOOKUP(Proc[[#This Row],[App]],Table2[],3,0),"open")</f>
        <v>ok</v>
      </c>
      <c r="C2430" s="103" t="s">
        <v>369</v>
      </c>
      <c r="D2430" t="s">
        <v>4336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4335</v>
      </c>
      <c r="B2431" s="149" t="str">
        <f>IFERROR(VLOOKUP(Proc[[#This Row],[App]],Table2[],3,0),"open")</f>
        <v>ok</v>
      </c>
      <c r="C2431" s="103" t="s">
        <v>369</v>
      </c>
      <c r="D2431" t="s">
        <v>4337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4335</v>
      </c>
      <c r="B2432" s="149" t="str">
        <f>IFERROR(VLOOKUP(Proc[[#This Row],[App]],Table2[],3,0),"open")</f>
        <v>ok</v>
      </c>
      <c r="C2432" s="103" t="s">
        <v>369</v>
      </c>
      <c r="D2432" t="s">
        <v>4338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4335</v>
      </c>
      <c r="B2433" s="149" t="str">
        <f>IFERROR(VLOOKUP(Proc[[#This Row],[App]],Table2[],3,0),"open")</f>
        <v>ok</v>
      </c>
      <c r="C2433" s="103" t="s">
        <v>369</v>
      </c>
      <c r="D2433" t="s">
        <v>4339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4335</v>
      </c>
      <c r="B2434" s="149" t="str">
        <f>IFERROR(VLOOKUP(Proc[[#This Row],[App]],Table2[],3,0),"open")</f>
        <v>ok</v>
      </c>
      <c r="C2434" s="103" t="s">
        <v>369</v>
      </c>
      <c r="D2434" t="s">
        <v>4340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4335</v>
      </c>
      <c r="B2435" s="149" t="str">
        <f>IFERROR(VLOOKUP(Proc[[#This Row],[App]],Table2[],3,0),"open")</f>
        <v>ok</v>
      </c>
      <c r="C2435" s="103" t="s">
        <v>369</v>
      </c>
      <c r="D2435" t="s">
        <v>4341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4335</v>
      </c>
      <c r="B2436" s="149" t="str">
        <f>IFERROR(VLOOKUP(Proc[[#This Row],[App]],Table2[],3,0),"open")</f>
        <v>ok</v>
      </c>
      <c r="C2436" s="103" t="s">
        <v>369</v>
      </c>
      <c r="D2436" t="s">
        <v>4342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4335</v>
      </c>
      <c r="B2437" s="149" t="str">
        <f>IFERROR(VLOOKUP(Proc[[#This Row],[App]],Table2[],3,0),"open")</f>
        <v>ok</v>
      </c>
      <c r="C2437" s="103" t="s">
        <v>369</v>
      </c>
      <c r="D2437" t="s">
        <v>4343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4335</v>
      </c>
      <c r="B2438" s="149" t="str">
        <f>IFERROR(VLOOKUP(Proc[[#This Row],[App]],Table2[],3,0),"open")</f>
        <v>ok</v>
      </c>
      <c r="C2438" s="103" t="s">
        <v>369</v>
      </c>
      <c r="D2438" t="s">
        <v>4344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4335</v>
      </c>
      <c r="B2439" s="149" t="str">
        <f>IFERROR(VLOOKUP(Proc[[#This Row],[App]],Table2[],3,0),"open")</f>
        <v>ok</v>
      </c>
      <c r="C2439" s="103" t="s">
        <v>369</v>
      </c>
      <c r="D2439" t="s">
        <v>4345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4335</v>
      </c>
      <c r="B2440" s="149" t="str">
        <f>IFERROR(VLOOKUP(Proc[[#This Row],[App]],Table2[],3,0),"open")</f>
        <v>ok</v>
      </c>
      <c r="C2440" s="103" t="s">
        <v>369</v>
      </c>
      <c r="D2440" t="s">
        <v>4346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4335</v>
      </c>
      <c r="B2441" s="149" t="str">
        <f>IFERROR(VLOOKUP(Proc[[#This Row],[App]],Table2[],3,0),"open")</f>
        <v>ok</v>
      </c>
      <c r="C2441" s="103" t="s">
        <v>369</v>
      </c>
      <c r="D2441" t="s">
        <v>4347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4335</v>
      </c>
      <c r="B2442" s="149" t="str">
        <f>IFERROR(VLOOKUP(Proc[[#This Row],[App]],Table2[],3,0),"open")</f>
        <v>ok</v>
      </c>
      <c r="C2442" s="103" t="s">
        <v>369</v>
      </c>
      <c r="D2442" t="s">
        <v>4348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4335</v>
      </c>
      <c r="B2443" s="149" t="str">
        <f>IFERROR(VLOOKUP(Proc[[#This Row],[App]],Table2[],3,0),"open")</f>
        <v>ok</v>
      </c>
      <c r="C2443" s="103" t="s">
        <v>369</v>
      </c>
      <c r="D2443" t="s">
        <v>4349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4335</v>
      </c>
      <c r="B2444" s="149" t="str">
        <f>IFERROR(VLOOKUP(Proc[[#This Row],[App]],Table2[],3,0),"open")</f>
        <v>ok</v>
      </c>
      <c r="C2444" s="103" t="s">
        <v>369</v>
      </c>
      <c r="D2444" t="s">
        <v>4350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4335</v>
      </c>
      <c r="B2445" s="149" t="str">
        <f>IFERROR(VLOOKUP(Proc[[#This Row],[App]],Table2[],3,0),"open")</f>
        <v>ok</v>
      </c>
      <c r="C2445" s="103" t="s">
        <v>369</v>
      </c>
      <c r="D2445" t="s">
        <v>4351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4335</v>
      </c>
      <c r="B2446" s="149" t="str">
        <f>IFERROR(VLOOKUP(Proc[[#This Row],[App]],Table2[],3,0),"open")</f>
        <v>ok</v>
      </c>
      <c r="C2446" s="103" t="s">
        <v>369</v>
      </c>
      <c r="D2446" t="s">
        <v>4352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4335</v>
      </c>
      <c r="B2447" s="149" t="str">
        <f>IFERROR(VLOOKUP(Proc[[#This Row],[App]],Table2[],3,0),"open")</f>
        <v>ok</v>
      </c>
      <c r="C2447" s="103" t="s">
        <v>369</v>
      </c>
      <c r="D2447" t="s">
        <v>4353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4335</v>
      </c>
      <c r="B2448" s="149" t="str">
        <f>IFERROR(VLOOKUP(Proc[[#This Row],[App]],Table2[],3,0),"open")</f>
        <v>ok</v>
      </c>
      <c r="C2448" s="103" t="s">
        <v>369</v>
      </c>
      <c r="D2448" t="s">
        <v>4354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4335</v>
      </c>
      <c r="B2449" s="149" t="str">
        <f>IFERROR(VLOOKUP(Proc[[#This Row],[App]],Table2[],3,0),"open")</f>
        <v>ok</v>
      </c>
      <c r="C2449" s="103" t="s">
        <v>369</v>
      </c>
      <c r="D2449" t="s">
        <v>4355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4335</v>
      </c>
      <c r="B2450" s="149" t="str">
        <f>IFERROR(VLOOKUP(Proc[[#This Row],[App]],Table2[],3,0),"open")</f>
        <v>ok</v>
      </c>
      <c r="C2450" s="103" t="s">
        <v>369</v>
      </c>
      <c r="D2450" t="s">
        <v>4356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4335</v>
      </c>
      <c r="B2451" s="149" t="str">
        <f>IFERROR(VLOOKUP(Proc[[#This Row],[App]],Table2[],3,0),"open")</f>
        <v>ok</v>
      </c>
      <c r="C2451" s="103" t="s">
        <v>369</v>
      </c>
      <c r="D2451" t="s">
        <v>4357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4335</v>
      </c>
      <c r="B2452" s="149" t="str">
        <f>IFERROR(VLOOKUP(Proc[[#This Row],[App]],Table2[],3,0),"open")</f>
        <v>ok</v>
      </c>
      <c r="C2452" s="103" t="s">
        <v>369</v>
      </c>
      <c r="D2452" t="s">
        <v>4358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4335</v>
      </c>
      <c r="B2453" s="149" t="str">
        <f>IFERROR(VLOOKUP(Proc[[#This Row],[App]],Table2[],3,0),"open")</f>
        <v>ok</v>
      </c>
      <c r="C2453" s="103" t="s">
        <v>369</v>
      </c>
      <c r="D2453" t="s">
        <v>4359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4335</v>
      </c>
      <c r="B2454" s="149" t="str">
        <f>IFERROR(VLOOKUP(Proc[[#This Row],[App]],Table2[],3,0),"open")</f>
        <v>ok</v>
      </c>
      <c r="C2454" s="103" t="s">
        <v>369</v>
      </c>
      <c r="D2454" t="s">
        <v>4360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4335</v>
      </c>
      <c r="B2455" s="149" t="str">
        <f>IFERROR(VLOOKUP(Proc[[#This Row],[App]],Table2[],3,0),"open")</f>
        <v>ok</v>
      </c>
      <c r="C2455" s="103" t="s">
        <v>369</v>
      </c>
      <c r="D2455" t="s">
        <v>4361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4335</v>
      </c>
      <c r="B2456" s="149" t="str">
        <f>IFERROR(VLOOKUP(Proc[[#This Row],[App]],Table2[],3,0),"open")</f>
        <v>ok</v>
      </c>
      <c r="C2456" s="103" t="s">
        <v>369</v>
      </c>
      <c r="D2456" t="s">
        <v>4362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4335</v>
      </c>
      <c r="B2457" s="149" t="str">
        <f>IFERROR(VLOOKUP(Proc[[#This Row],[App]],Table2[],3,0),"open")</f>
        <v>ok</v>
      </c>
      <c r="C2457" s="103" t="s">
        <v>369</v>
      </c>
      <c r="D2457" t="s">
        <v>4363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4335</v>
      </c>
      <c r="B2458" s="149" t="str">
        <f>IFERROR(VLOOKUP(Proc[[#This Row],[App]],Table2[],3,0),"open")</f>
        <v>ok</v>
      </c>
      <c r="C2458" s="103" t="s">
        <v>369</v>
      </c>
      <c r="D2458" t="s">
        <v>4364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4335</v>
      </c>
      <c r="B2459" s="149" t="str">
        <f>IFERROR(VLOOKUP(Proc[[#This Row],[App]],Table2[],3,0),"open")</f>
        <v>ok</v>
      </c>
      <c r="C2459" s="103" t="s">
        <v>369</v>
      </c>
      <c r="D2459" t="s">
        <v>4365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4335</v>
      </c>
      <c r="B2460" s="149" t="str">
        <f>IFERROR(VLOOKUP(Proc[[#This Row],[App]],Table2[],3,0),"open")</f>
        <v>ok</v>
      </c>
      <c r="C2460" s="103" t="s">
        <v>369</v>
      </c>
      <c r="D2460" t="s">
        <v>4366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4335</v>
      </c>
      <c r="B2461" s="149" t="str">
        <f>IFERROR(VLOOKUP(Proc[[#This Row],[App]],Table2[],3,0),"open")</f>
        <v>ok</v>
      </c>
      <c r="C2461" s="103" t="s">
        <v>369</v>
      </c>
      <c r="D2461" t="s">
        <v>4367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4335</v>
      </c>
      <c r="B2462" s="149" t="str">
        <f>IFERROR(VLOOKUP(Proc[[#This Row],[App]],Table2[],3,0),"open")</f>
        <v>ok</v>
      </c>
      <c r="C2462" s="103" t="s">
        <v>369</v>
      </c>
      <c r="D2462" t="s">
        <v>4368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4335</v>
      </c>
      <c r="B2463" s="149" t="str">
        <f>IFERROR(VLOOKUP(Proc[[#This Row],[App]],Table2[],3,0),"open")</f>
        <v>ok</v>
      </c>
      <c r="C2463" s="103" t="s">
        <v>369</v>
      </c>
      <c r="D2463" t="s">
        <v>4369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4335</v>
      </c>
      <c r="B2464" s="149" t="str">
        <f>IFERROR(VLOOKUP(Proc[[#This Row],[App]],Table2[],3,0),"open")</f>
        <v>ok</v>
      </c>
      <c r="C2464" s="103" t="s">
        <v>369</v>
      </c>
      <c r="D2464" t="s">
        <v>4370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4335</v>
      </c>
      <c r="B2465" s="149" t="str">
        <f>IFERROR(VLOOKUP(Proc[[#This Row],[App]],Table2[],3,0),"open")</f>
        <v>ok</v>
      </c>
      <c r="C2465" s="103" t="s">
        <v>369</v>
      </c>
      <c r="D2465" t="s">
        <v>4371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4335</v>
      </c>
      <c r="B2466" s="149" t="str">
        <f>IFERROR(VLOOKUP(Proc[[#This Row],[App]],Table2[],3,0),"open")</f>
        <v>ok</v>
      </c>
      <c r="C2466" s="103" t="s">
        <v>369</v>
      </c>
      <c r="D2466" t="s">
        <v>4372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4335</v>
      </c>
      <c r="B2467" s="149" t="str">
        <f>IFERROR(VLOOKUP(Proc[[#This Row],[App]],Table2[],3,0),"open")</f>
        <v>ok</v>
      </c>
      <c r="C2467" s="103" t="s">
        <v>369</v>
      </c>
      <c r="D2467" t="s">
        <v>4373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4335</v>
      </c>
      <c r="B2468" s="149" t="str">
        <f>IFERROR(VLOOKUP(Proc[[#This Row],[App]],Table2[],3,0),"open")</f>
        <v>ok</v>
      </c>
      <c r="C2468" s="103" t="s">
        <v>369</v>
      </c>
      <c r="D2468" t="s">
        <v>4374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4335</v>
      </c>
      <c r="B2469" s="149" t="str">
        <f>IFERROR(VLOOKUP(Proc[[#This Row],[App]],Table2[],3,0),"open")</f>
        <v>ok</v>
      </c>
      <c r="C2469" s="103" t="s">
        <v>369</v>
      </c>
      <c r="D2469" t="s">
        <v>4375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4335</v>
      </c>
      <c r="B2470" s="149" t="str">
        <f>IFERROR(VLOOKUP(Proc[[#This Row],[App]],Table2[],3,0),"open")</f>
        <v>ok</v>
      </c>
      <c r="C2470" s="103" t="s">
        <v>369</v>
      </c>
      <c r="D2470" t="s">
        <v>4376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4335</v>
      </c>
      <c r="B2471" s="149" t="str">
        <f>IFERROR(VLOOKUP(Proc[[#This Row],[App]],Table2[],3,0),"open")</f>
        <v>ok</v>
      </c>
      <c r="C2471" s="103" t="s">
        <v>369</v>
      </c>
      <c r="D2471" t="s">
        <v>4377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4335</v>
      </c>
      <c r="B2472" s="149" t="str">
        <f>IFERROR(VLOOKUP(Proc[[#This Row],[App]],Table2[],3,0),"open")</f>
        <v>ok</v>
      </c>
      <c r="C2472" s="103" t="s">
        <v>369</v>
      </c>
      <c r="D2472" t="s">
        <v>4378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4335</v>
      </c>
      <c r="B2473" s="149" t="str">
        <f>IFERROR(VLOOKUP(Proc[[#This Row],[App]],Table2[],3,0),"open")</f>
        <v>ok</v>
      </c>
      <c r="C2473" s="103" t="s">
        <v>369</v>
      </c>
      <c r="D2473" t="s">
        <v>4379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4335</v>
      </c>
      <c r="B2474" s="149" t="str">
        <f>IFERROR(VLOOKUP(Proc[[#This Row],[App]],Table2[],3,0),"open")</f>
        <v>ok</v>
      </c>
      <c r="C2474" s="103" t="s">
        <v>369</v>
      </c>
      <c r="D2474" t="s">
        <v>4380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4335</v>
      </c>
      <c r="B2475" s="149" t="str">
        <f>IFERROR(VLOOKUP(Proc[[#This Row],[App]],Table2[],3,0),"open")</f>
        <v>ok</v>
      </c>
      <c r="C2475" s="103" t="s">
        <v>369</v>
      </c>
      <c r="D2475" t="s">
        <v>4381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4335</v>
      </c>
      <c r="B2476" s="149" t="str">
        <f>IFERROR(VLOOKUP(Proc[[#This Row],[App]],Table2[],3,0),"open")</f>
        <v>ok</v>
      </c>
      <c r="C2476" s="103" t="s">
        <v>369</v>
      </c>
      <c r="D2476" t="s">
        <v>4382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4335</v>
      </c>
      <c r="B2477" s="149" t="str">
        <f>IFERROR(VLOOKUP(Proc[[#This Row],[App]],Table2[],3,0),"open")</f>
        <v>ok</v>
      </c>
      <c r="C2477" s="103" t="s">
        <v>369</v>
      </c>
      <c r="D2477" t="s">
        <v>4383</v>
      </c>
      <c r="E2477" t="s">
        <v>4384</v>
      </c>
      <c r="F2477" s="120" t="s">
        <v>4384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4335</v>
      </c>
      <c r="B2478" s="149" t="str">
        <f>IFERROR(VLOOKUP(Proc[[#This Row],[App]],Table2[],3,0),"open")</f>
        <v>ok</v>
      </c>
      <c r="C2478" s="103" t="s">
        <v>369</v>
      </c>
      <c r="D2478" t="s">
        <v>4385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4335</v>
      </c>
      <c r="B2479" s="149" t="str">
        <f>IFERROR(VLOOKUP(Proc[[#This Row],[App]],Table2[],3,0),"open")</f>
        <v>ok</v>
      </c>
      <c r="C2479" s="103" t="s">
        <v>369</v>
      </c>
      <c r="D2479" t="s">
        <v>4386</v>
      </c>
      <c r="E2479" t="s">
        <v>4387</v>
      </c>
      <c r="F2479" s="120" t="s">
        <v>4387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4335</v>
      </c>
      <c r="B2480" s="149" t="str">
        <f>IFERROR(VLOOKUP(Proc[[#This Row],[App]],Table2[],3,0),"open")</f>
        <v>ok</v>
      </c>
      <c r="C2480" s="103" t="s">
        <v>369</v>
      </c>
      <c r="D2480" t="s">
        <v>4388</v>
      </c>
      <c r="E2480" t="s">
        <v>4389</v>
      </c>
      <c r="F2480" s="120" t="s">
        <v>4389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4335</v>
      </c>
      <c r="B2481" s="149" t="str">
        <f>IFERROR(VLOOKUP(Proc[[#This Row],[App]],Table2[],3,0),"open")</f>
        <v>ok</v>
      </c>
      <c r="C2481" s="103" t="s">
        <v>369</v>
      </c>
      <c r="D2481" t="s">
        <v>4390</v>
      </c>
      <c r="E2481" t="s">
        <v>4391</v>
      </c>
      <c r="F2481" s="120" t="s">
        <v>4391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4335</v>
      </c>
      <c r="B2482" s="149" t="str">
        <f>IFERROR(VLOOKUP(Proc[[#This Row],[App]],Table2[],3,0),"open")</f>
        <v>ok</v>
      </c>
      <c r="C2482" s="103" t="s">
        <v>369</v>
      </c>
      <c r="D2482" t="s">
        <v>4392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4335</v>
      </c>
      <c r="B2483" s="149" t="str">
        <f>IFERROR(VLOOKUP(Proc[[#This Row],[App]],Table2[],3,0),"open")</f>
        <v>ok</v>
      </c>
      <c r="C2483" s="103" t="s">
        <v>369</v>
      </c>
      <c r="D2483" t="s">
        <v>4393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4335</v>
      </c>
      <c r="B2484" s="149" t="str">
        <f>IFERROR(VLOOKUP(Proc[[#This Row],[App]],Table2[],3,0),"open")</f>
        <v>ok</v>
      </c>
      <c r="C2484" s="103" t="s">
        <v>369</v>
      </c>
      <c r="D2484" t="s">
        <v>4394</v>
      </c>
      <c r="E2484" t="s">
        <v>4395</v>
      </c>
      <c r="F2484" s="120" t="s">
        <v>4395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4335</v>
      </c>
      <c r="B2485" s="149" t="str">
        <f>IFERROR(VLOOKUP(Proc[[#This Row],[App]],Table2[],3,0),"open")</f>
        <v>ok</v>
      </c>
      <c r="C2485" s="103" t="s">
        <v>369</v>
      </c>
      <c r="D2485" t="s">
        <v>4396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4335</v>
      </c>
      <c r="B2486" s="149" t="str">
        <f>IFERROR(VLOOKUP(Proc[[#This Row],[App]],Table2[],3,0),"open")</f>
        <v>ok</v>
      </c>
      <c r="C2486" s="103" t="s">
        <v>369</v>
      </c>
      <c r="D2486" t="s">
        <v>4397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4335</v>
      </c>
      <c r="B2487" s="149" t="str">
        <f>IFERROR(VLOOKUP(Proc[[#This Row],[App]],Table2[],3,0),"open")</f>
        <v>ok</v>
      </c>
      <c r="C2487" s="103" t="s">
        <v>369</v>
      </c>
      <c r="D2487" t="s">
        <v>4398</v>
      </c>
      <c r="E2487" t="s">
        <v>4399</v>
      </c>
      <c r="F2487" s="120" t="s">
        <v>4399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4412</v>
      </c>
      <c r="B2488" s="149" t="str">
        <f>IFERROR(VLOOKUP(Proc[[#This Row],[App]],Table2[],3,0),"open")</f>
        <v>ok</v>
      </c>
      <c r="C2488" s="117" t="s">
        <v>369</v>
      </c>
      <c r="D2488" t="s">
        <v>4400</v>
      </c>
      <c r="E2488" t="s">
        <v>4409</v>
      </c>
      <c r="F2488" s="117" t="s">
        <v>4409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4413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4894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118</v>
      </c>
      <c r="R2488" s="110" t="s">
        <v>1459</v>
      </c>
      <c r="S2488" s="94"/>
    </row>
    <row r="2489" spans="1:19" hidden="1">
      <c r="A2489" s="103" t="s">
        <v>4412</v>
      </c>
      <c r="B2489" s="149" t="str">
        <f>IFERROR(VLOOKUP(Proc[[#This Row],[App]],Table2[],3,0),"open")</f>
        <v>ok</v>
      </c>
      <c r="C2489" s="117" t="s">
        <v>377</v>
      </c>
      <c r="D2489" t="s">
        <v>2319</v>
      </c>
      <c r="E2489" t="s">
        <v>430</v>
      </c>
      <c r="F2489" s="94" t="s">
        <v>5569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4832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4894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118</v>
      </c>
      <c r="R2489" s="110" t="s">
        <v>1459</v>
      </c>
      <c r="S2489" s="94"/>
    </row>
    <row r="2490" spans="1:19" hidden="1">
      <c r="A2490" s="103" t="s">
        <v>4412</v>
      </c>
      <c r="B2490" s="149" t="str">
        <f>IFERROR(VLOOKUP(Proc[[#This Row],[App]],Table2[],3,0),"open")</f>
        <v>ok</v>
      </c>
      <c r="C2490" s="124" t="s">
        <v>369</v>
      </c>
      <c r="D2490" t="s">
        <v>4401</v>
      </c>
      <c r="E2490" t="s">
        <v>4410</v>
      </c>
      <c r="F2490" s="124" t="s">
        <v>4410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4413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4894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118</v>
      </c>
      <c r="R2490" s="110" t="s">
        <v>1459</v>
      </c>
      <c r="S2490" s="94"/>
    </row>
    <row r="2491" spans="1:19" hidden="1">
      <c r="A2491" s="103" t="s">
        <v>4412</v>
      </c>
      <c r="B2491" s="149" t="str">
        <f>IFERROR(VLOOKUP(Proc[[#This Row],[App]],Table2[],3,0),"open")</f>
        <v>ok</v>
      </c>
      <c r="C2491" s="124" t="s">
        <v>369</v>
      </c>
      <c r="D2491" t="s">
        <v>4402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4413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4894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118</v>
      </c>
      <c r="R2491" s="110" t="s">
        <v>1459</v>
      </c>
      <c r="S2491" s="94"/>
    </row>
    <row r="2492" spans="1:19" hidden="1">
      <c r="A2492" s="103" t="s">
        <v>4412</v>
      </c>
      <c r="B2492" s="149" t="str">
        <f>IFERROR(VLOOKUP(Proc[[#This Row],[App]],Table2[],3,0),"open")</f>
        <v>ok</v>
      </c>
      <c r="C2492" s="124" t="s">
        <v>369</v>
      </c>
      <c r="D2492" t="s">
        <v>4403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4894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118</v>
      </c>
      <c r="R2492" s="110" t="s">
        <v>1459</v>
      </c>
      <c r="S2492" s="94"/>
    </row>
    <row r="2493" spans="1:19" hidden="1">
      <c r="A2493" s="103" t="s">
        <v>4412</v>
      </c>
      <c r="B2493" s="149" t="str">
        <f>IFERROR(VLOOKUP(Proc[[#This Row],[App]],Table2[],3,0),"open")</f>
        <v>ok</v>
      </c>
      <c r="C2493" s="124" t="s">
        <v>369</v>
      </c>
      <c r="D2493" t="s">
        <v>4404</v>
      </c>
      <c r="E2493" t="s">
        <v>4411</v>
      </c>
      <c r="F2493" s="124" t="s">
        <v>4411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4894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118</v>
      </c>
      <c r="R2493" s="110" t="s">
        <v>1459</v>
      </c>
      <c r="S2493" s="94"/>
    </row>
    <row r="2494" spans="1:19" hidden="1">
      <c r="A2494" s="103" t="s">
        <v>4412</v>
      </c>
      <c r="B2494" s="149" t="str">
        <f>IFERROR(VLOOKUP(Proc[[#This Row],[App]],Table2[],3,0),"open")</f>
        <v>ok</v>
      </c>
      <c r="C2494" s="124" t="s">
        <v>369</v>
      </c>
      <c r="D2494" t="s">
        <v>4405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4894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118</v>
      </c>
      <c r="R2494" s="110" t="s">
        <v>1459</v>
      </c>
      <c r="S2494" s="94"/>
    </row>
    <row r="2495" spans="1:19" hidden="1">
      <c r="A2495" s="103" t="s">
        <v>4412</v>
      </c>
      <c r="B2495" s="149" t="str">
        <f>IFERROR(VLOOKUP(Proc[[#This Row],[App]],Table2[],3,0),"open")</f>
        <v>ok</v>
      </c>
      <c r="C2495" s="124" t="s">
        <v>369</v>
      </c>
      <c r="D2495" t="s">
        <v>4406</v>
      </c>
      <c r="E2495" t="s">
        <v>4411</v>
      </c>
      <c r="F2495" s="124" t="s">
        <v>4411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4894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118</v>
      </c>
      <c r="R2495" s="110" t="s">
        <v>1459</v>
      </c>
      <c r="S2495" s="94"/>
    </row>
    <row r="2496" spans="1:19" hidden="1">
      <c r="A2496" s="103" t="s">
        <v>4412</v>
      </c>
      <c r="B2496" s="149" t="str">
        <f>IFERROR(VLOOKUP(Proc[[#This Row],[App]],Table2[],3,0),"open")</f>
        <v>ok</v>
      </c>
      <c r="C2496" s="124" t="s">
        <v>369</v>
      </c>
      <c r="D2496" t="s">
        <v>4407</v>
      </c>
      <c r="E2496" t="s">
        <v>4411</v>
      </c>
      <c r="F2496" s="124" t="s">
        <v>4411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4894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118</v>
      </c>
      <c r="R2496" s="110" t="s">
        <v>1459</v>
      </c>
      <c r="S2496" s="94"/>
    </row>
    <row r="2497" spans="1:19" hidden="1">
      <c r="A2497" s="103" t="s">
        <v>4412</v>
      </c>
      <c r="B2497" s="149" t="str">
        <f>IFERROR(VLOOKUP(Proc[[#This Row],[App]],Table2[],3,0),"open")</f>
        <v>ok</v>
      </c>
      <c r="C2497" s="124" t="s">
        <v>369</v>
      </c>
      <c r="D2497" t="s">
        <v>4408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4894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118</v>
      </c>
      <c r="R2497" s="110" t="s">
        <v>1459</v>
      </c>
      <c r="S2497" s="94"/>
    </row>
    <row r="2498" spans="1:19" hidden="1">
      <c r="A2498" s="103" t="s">
        <v>4412</v>
      </c>
      <c r="B2498" s="149" t="str">
        <f>IFERROR(VLOOKUP(Proc[[#This Row],[App]],Table2[],3,0),"open")</f>
        <v>ok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4894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118</v>
      </c>
      <c r="R2498" s="110" t="s">
        <v>1459</v>
      </c>
      <c r="S2498" s="94"/>
    </row>
    <row r="2499" spans="1:19" hidden="1">
      <c r="A2499" t="s">
        <v>4415</v>
      </c>
      <c r="B2499" s="149" t="str">
        <f>IFERROR(VLOOKUP(Proc[[#This Row],[App]],Table2[],3,0),"open")</f>
        <v>ok</v>
      </c>
      <c r="C2499" s="103" t="s">
        <v>369</v>
      </c>
      <c r="D2499" t="s">
        <v>4414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4894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4416</v>
      </c>
      <c r="S2499" s="94"/>
    </row>
    <row r="2500" spans="1:19" hidden="1">
      <c r="A2500" t="s">
        <v>4418</v>
      </c>
      <c r="B2500" s="149" t="str">
        <f>IFERROR(VLOOKUP(Proc[[#This Row],[App]],Table2[],3,0),"open")</f>
        <v>ok</v>
      </c>
      <c r="C2500" s="103" t="s">
        <v>369</v>
      </c>
      <c r="D2500" t="s">
        <v>4417</v>
      </c>
      <c r="E2500" t="s">
        <v>4803</v>
      </c>
      <c r="F2500" s="94" t="s">
        <v>4803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4894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116</v>
      </c>
      <c r="R2500" s="110" t="s">
        <v>489</v>
      </c>
      <c r="S2500" s="94"/>
    </row>
    <row r="2501" spans="1:19" hidden="1">
      <c r="A2501" t="s">
        <v>4420</v>
      </c>
      <c r="B2501" s="149" t="str">
        <f>IFERROR(VLOOKUP(Proc[[#This Row],[App]],Table2[],3,0),"open")</f>
        <v>ok</v>
      </c>
      <c r="C2501" s="103" t="s">
        <v>369</v>
      </c>
      <c r="D2501" t="s">
        <v>4419</v>
      </c>
      <c r="E2501" t="s">
        <v>4421</v>
      </c>
      <c r="F2501" s="94" t="s">
        <v>4421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4894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116</v>
      </c>
      <c r="R2501" s="110" t="s">
        <v>489</v>
      </c>
      <c r="S2501" s="94"/>
    </row>
    <row r="2502" spans="1:19" hidden="1">
      <c r="A2502" t="s">
        <v>4422</v>
      </c>
      <c r="B2502" s="149" t="str">
        <f>IFERROR(VLOOKUP(Proc[[#This Row],[App]],Table2[],3,0),"open")</f>
        <v>ok</v>
      </c>
      <c r="C2502" s="117" t="s">
        <v>369</v>
      </c>
      <c r="D2502" t="s">
        <v>4423</v>
      </c>
      <c r="E2502" t="s">
        <v>4734</v>
      </c>
      <c r="F2502" s="94" t="s">
        <v>4734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4784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4894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116</v>
      </c>
      <c r="R2502" s="110" t="s">
        <v>485</v>
      </c>
      <c r="S2502" s="94"/>
    </row>
    <row r="2503" spans="1:19" hidden="1">
      <c r="A2503" s="103" t="s">
        <v>4422</v>
      </c>
      <c r="B2503" s="149" t="str">
        <f>IFERROR(VLOOKUP(Proc[[#This Row],[App]],Table2[],3,0),"open")</f>
        <v>ok</v>
      </c>
      <c r="C2503" s="117" t="s">
        <v>369</v>
      </c>
      <c r="D2503" t="s">
        <v>4424</v>
      </c>
      <c r="E2503" t="s">
        <v>4734</v>
      </c>
      <c r="F2503" s="94" t="s">
        <v>4734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4784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4894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116</v>
      </c>
      <c r="R2503" s="110" t="s">
        <v>485</v>
      </c>
      <c r="S2503" s="94"/>
    </row>
    <row r="2504" spans="1:19" hidden="1">
      <c r="A2504" s="103" t="s">
        <v>4422</v>
      </c>
      <c r="B2504" s="149" t="str">
        <f>IFERROR(VLOOKUP(Proc[[#This Row],[App]],Table2[],3,0),"open")</f>
        <v>ok</v>
      </c>
      <c r="C2504" s="117" t="s">
        <v>369</v>
      </c>
      <c r="D2504" t="s">
        <v>4425</v>
      </c>
      <c r="E2504" t="s">
        <v>4735</v>
      </c>
      <c r="F2504" s="94" t="s">
        <v>4735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4784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4894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116</v>
      </c>
      <c r="R2504" s="110" t="s">
        <v>485</v>
      </c>
      <c r="S2504" s="94"/>
    </row>
    <row r="2505" spans="1:19" hidden="1">
      <c r="A2505" s="103" t="s">
        <v>4422</v>
      </c>
      <c r="B2505" s="149" t="str">
        <f>IFERROR(VLOOKUP(Proc[[#This Row],[App]],Table2[],3,0),"open")</f>
        <v>ok</v>
      </c>
      <c r="C2505" s="117" t="s">
        <v>369</v>
      </c>
      <c r="D2505" t="s">
        <v>4426</v>
      </c>
      <c r="E2505" t="s">
        <v>4735</v>
      </c>
      <c r="F2505" s="94" t="s">
        <v>4735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4784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4894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116</v>
      </c>
      <c r="R2505" s="110" t="s">
        <v>485</v>
      </c>
      <c r="S2505" s="94"/>
    </row>
    <row r="2506" spans="1:19" hidden="1">
      <c r="A2506" s="103" t="s">
        <v>4422</v>
      </c>
      <c r="B2506" s="149" t="str">
        <f>IFERROR(VLOOKUP(Proc[[#This Row],[App]],Table2[],3,0),"open")</f>
        <v>ok</v>
      </c>
      <c r="C2506" s="117" t="s">
        <v>369</v>
      </c>
      <c r="D2506" t="s">
        <v>4427</v>
      </c>
      <c r="E2506" t="s">
        <v>4735</v>
      </c>
      <c r="F2506" s="94" t="s">
        <v>4735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4784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4894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116</v>
      </c>
      <c r="R2506" s="110" t="s">
        <v>485</v>
      </c>
      <c r="S2506" s="94"/>
    </row>
    <row r="2507" spans="1:19" hidden="1">
      <c r="A2507" s="103" t="s">
        <v>4422</v>
      </c>
      <c r="B2507" s="149" t="str">
        <f>IFERROR(VLOOKUP(Proc[[#This Row],[App]],Table2[],3,0),"open")</f>
        <v>ok</v>
      </c>
      <c r="C2507" s="117" t="s">
        <v>369</v>
      </c>
      <c r="D2507" t="s">
        <v>4428</v>
      </c>
      <c r="E2507" t="s">
        <v>4736</v>
      </c>
      <c r="F2507" s="94" t="s">
        <v>4736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4784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4894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116</v>
      </c>
      <c r="R2507" s="110" t="s">
        <v>485</v>
      </c>
      <c r="S2507" s="94"/>
    </row>
    <row r="2508" spans="1:19" hidden="1">
      <c r="A2508" s="103" t="s">
        <v>4422</v>
      </c>
      <c r="B2508" s="149" t="str">
        <f>IFERROR(VLOOKUP(Proc[[#This Row],[App]],Table2[],3,0),"open")</f>
        <v>ok</v>
      </c>
      <c r="C2508" s="117" t="s">
        <v>369</v>
      </c>
      <c r="D2508" t="s">
        <v>4429</v>
      </c>
      <c r="E2508" t="s">
        <v>4736</v>
      </c>
      <c r="F2508" s="94" t="s">
        <v>4736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4784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4894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116</v>
      </c>
      <c r="R2508" s="110" t="s">
        <v>485</v>
      </c>
      <c r="S2508" s="94"/>
    </row>
    <row r="2509" spans="1:19" hidden="1">
      <c r="A2509" s="103" t="s">
        <v>4422</v>
      </c>
      <c r="B2509" s="149" t="str">
        <f>IFERROR(VLOOKUP(Proc[[#This Row],[App]],Table2[],3,0),"open")</f>
        <v>ok</v>
      </c>
      <c r="C2509" s="117" t="s">
        <v>369</v>
      </c>
      <c r="D2509" t="s">
        <v>4430</v>
      </c>
      <c r="E2509" t="s">
        <v>4736</v>
      </c>
      <c r="F2509" s="94" t="s">
        <v>4736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4784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4894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116</v>
      </c>
      <c r="R2509" s="110" t="s">
        <v>485</v>
      </c>
      <c r="S2509" s="94"/>
    </row>
    <row r="2510" spans="1:19" hidden="1">
      <c r="A2510" s="103" t="s">
        <v>4422</v>
      </c>
      <c r="B2510" s="149" t="str">
        <f>IFERROR(VLOOKUP(Proc[[#This Row],[App]],Table2[],3,0),"open")</f>
        <v>ok</v>
      </c>
      <c r="C2510" s="117" t="s">
        <v>369</v>
      </c>
      <c r="D2510" t="s">
        <v>4431</v>
      </c>
      <c r="E2510" t="s">
        <v>4736</v>
      </c>
      <c r="F2510" s="94" t="s">
        <v>4736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4784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4894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116</v>
      </c>
      <c r="R2510" s="110" t="s">
        <v>485</v>
      </c>
      <c r="S2510" s="94"/>
    </row>
    <row r="2511" spans="1:19" hidden="1">
      <c r="A2511" s="103" t="s">
        <v>4422</v>
      </c>
      <c r="B2511" s="149" t="str">
        <f>IFERROR(VLOOKUP(Proc[[#This Row],[App]],Table2[],3,0),"open")</f>
        <v>ok</v>
      </c>
      <c r="C2511" s="117" t="s">
        <v>369</v>
      </c>
      <c r="D2511" t="s">
        <v>4432</v>
      </c>
      <c r="E2511" t="s">
        <v>4736</v>
      </c>
      <c r="F2511" s="94" t="s">
        <v>4736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4784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4894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116</v>
      </c>
      <c r="R2511" s="110" t="s">
        <v>485</v>
      </c>
      <c r="S2511" s="94"/>
    </row>
    <row r="2512" spans="1:19" hidden="1">
      <c r="A2512" s="103" t="s">
        <v>4422</v>
      </c>
      <c r="B2512" s="149" t="str">
        <f>IFERROR(VLOOKUP(Proc[[#This Row],[App]],Table2[],3,0),"open")</f>
        <v>ok</v>
      </c>
      <c r="C2512" s="117" t="s">
        <v>369</v>
      </c>
      <c r="D2512" t="s">
        <v>4433</v>
      </c>
      <c r="E2512" t="s">
        <v>4736</v>
      </c>
      <c r="F2512" s="94" t="s">
        <v>4736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4784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4894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116</v>
      </c>
      <c r="R2512" s="110" t="s">
        <v>485</v>
      </c>
      <c r="S2512" s="94"/>
    </row>
    <row r="2513" spans="1:19" hidden="1">
      <c r="A2513" s="103" t="s">
        <v>4422</v>
      </c>
      <c r="B2513" s="149" t="str">
        <f>IFERROR(VLOOKUP(Proc[[#This Row],[App]],Table2[],3,0),"open")</f>
        <v>ok</v>
      </c>
      <c r="C2513" s="117" t="s">
        <v>369</v>
      </c>
      <c r="D2513" t="s">
        <v>4434</v>
      </c>
      <c r="E2513" t="s">
        <v>4736</v>
      </c>
      <c r="F2513" s="94" t="s">
        <v>4736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4784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4894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116</v>
      </c>
      <c r="R2513" s="110" t="s">
        <v>485</v>
      </c>
      <c r="S2513" s="94"/>
    </row>
    <row r="2514" spans="1:19" hidden="1">
      <c r="A2514" s="103" t="s">
        <v>4422</v>
      </c>
      <c r="B2514" s="149" t="str">
        <f>IFERROR(VLOOKUP(Proc[[#This Row],[App]],Table2[],3,0),"open")</f>
        <v>ok</v>
      </c>
      <c r="C2514" s="117" t="s">
        <v>369</v>
      </c>
      <c r="D2514" t="s">
        <v>4435</v>
      </c>
      <c r="E2514" t="s">
        <v>4737</v>
      </c>
      <c r="F2514" s="94" t="s">
        <v>4737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4784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4894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116</v>
      </c>
      <c r="R2514" s="110" t="s">
        <v>485</v>
      </c>
      <c r="S2514" s="94"/>
    </row>
    <row r="2515" spans="1:19" hidden="1">
      <c r="A2515" s="103" t="s">
        <v>4422</v>
      </c>
      <c r="B2515" s="149" t="str">
        <f>IFERROR(VLOOKUP(Proc[[#This Row],[App]],Table2[],3,0),"open")</f>
        <v>ok</v>
      </c>
      <c r="C2515" s="117" t="s">
        <v>369</v>
      </c>
      <c r="D2515" t="s">
        <v>4436</v>
      </c>
      <c r="E2515" t="s">
        <v>4737</v>
      </c>
      <c r="F2515" s="94" t="s">
        <v>4737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4784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4894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116</v>
      </c>
      <c r="R2515" s="110" t="s">
        <v>485</v>
      </c>
      <c r="S2515" s="94"/>
    </row>
    <row r="2516" spans="1:19" hidden="1">
      <c r="A2516" s="103" t="s">
        <v>4422</v>
      </c>
      <c r="B2516" s="149" t="str">
        <f>IFERROR(VLOOKUP(Proc[[#This Row],[App]],Table2[],3,0),"open")</f>
        <v>ok</v>
      </c>
      <c r="C2516" s="117" t="s">
        <v>369</v>
      </c>
      <c r="D2516" t="s">
        <v>4437</v>
      </c>
      <c r="E2516" t="s">
        <v>4737</v>
      </c>
      <c r="F2516" s="94" t="s">
        <v>4737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4784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4894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116</v>
      </c>
      <c r="R2516" s="110" t="s">
        <v>485</v>
      </c>
      <c r="S2516" s="94"/>
    </row>
    <row r="2517" spans="1:19" hidden="1">
      <c r="A2517" s="103" t="s">
        <v>4422</v>
      </c>
      <c r="B2517" s="149" t="str">
        <f>IFERROR(VLOOKUP(Proc[[#This Row],[App]],Table2[],3,0),"open")</f>
        <v>ok</v>
      </c>
      <c r="C2517" s="117" t="s">
        <v>369</v>
      </c>
      <c r="D2517" t="s">
        <v>4438</v>
      </c>
      <c r="E2517" t="s">
        <v>4738</v>
      </c>
      <c r="F2517" s="94" t="s">
        <v>4738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4784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4894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116</v>
      </c>
      <c r="R2517" s="110" t="s">
        <v>485</v>
      </c>
      <c r="S2517" s="94"/>
    </row>
    <row r="2518" spans="1:19" hidden="1">
      <c r="A2518" s="103" t="s">
        <v>4422</v>
      </c>
      <c r="B2518" s="149" t="str">
        <f>IFERROR(VLOOKUP(Proc[[#This Row],[App]],Table2[],3,0),"open")</f>
        <v>ok</v>
      </c>
      <c r="C2518" s="117" t="s">
        <v>369</v>
      </c>
      <c r="D2518" t="s">
        <v>4439</v>
      </c>
      <c r="E2518" t="s">
        <v>4737</v>
      </c>
      <c r="F2518" s="94" t="s">
        <v>4737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4784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4894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116</v>
      </c>
      <c r="R2518" s="110" t="s">
        <v>485</v>
      </c>
      <c r="S2518" s="94"/>
    </row>
    <row r="2519" spans="1:19" hidden="1">
      <c r="A2519" s="103" t="s">
        <v>4422</v>
      </c>
      <c r="B2519" s="149" t="str">
        <f>IFERROR(VLOOKUP(Proc[[#This Row],[App]],Table2[],3,0),"open")</f>
        <v>ok</v>
      </c>
      <c r="C2519" s="117" t="s">
        <v>369</v>
      </c>
      <c r="D2519" t="s">
        <v>4440</v>
      </c>
      <c r="E2519" t="s">
        <v>4738</v>
      </c>
      <c r="F2519" s="94" t="s">
        <v>4738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4784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4894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116</v>
      </c>
      <c r="R2519" s="110" t="s">
        <v>485</v>
      </c>
      <c r="S2519" s="94"/>
    </row>
    <row r="2520" spans="1:19" hidden="1">
      <c r="A2520" s="103" t="s">
        <v>4422</v>
      </c>
      <c r="B2520" s="149" t="str">
        <f>IFERROR(VLOOKUP(Proc[[#This Row],[App]],Table2[],3,0),"open")</f>
        <v>ok</v>
      </c>
      <c r="C2520" s="117" t="s">
        <v>369</v>
      </c>
      <c r="D2520" t="s">
        <v>4441</v>
      </c>
      <c r="E2520" t="s">
        <v>4739</v>
      </c>
      <c r="F2520" s="94" t="s">
        <v>4739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4784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4894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116</v>
      </c>
      <c r="R2520" s="110" t="s">
        <v>485</v>
      </c>
      <c r="S2520" s="94"/>
    </row>
    <row r="2521" spans="1:19" hidden="1">
      <c r="A2521" s="103" t="s">
        <v>4422</v>
      </c>
      <c r="B2521" s="149" t="str">
        <f>IFERROR(VLOOKUP(Proc[[#This Row],[App]],Table2[],3,0),"open")</f>
        <v>ok</v>
      </c>
      <c r="C2521" s="117" t="s">
        <v>369</v>
      </c>
      <c r="D2521" t="s">
        <v>4442</v>
      </c>
      <c r="E2521" t="s">
        <v>4738</v>
      </c>
      <c r="F2521" s="94" t="s">
        <v>4738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4784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4894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116</v>
      </c>
      <c r="R2521" s="110" t="s">
        <v>485</v>
      </c>
      <c r="S2521" s="94"/>
    </row>
    <row r="2522" spans="1:19" hidden="1">
      <c r="A2522" s="103" t="s">
        <v>4422</v>
      </c>
      <c r="B2522" s="149" t="str">
        <f>IFERROR(VLOOKUP(Proc[[#This Row],[App]],Table2[],3,0),"open")</f>
        <v>ok</v>
      </c>
      <c r="C2522" s="117" t="s">
        <v>369</v>
      </c>
      <c r="D2522" t="s">
        <v>4443</v>
      </c>
      <c r="E2522" t="s">
        <v>4738</v>
      </c>
      <c r="F2522" s="94" t="s">
        <v>4738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4784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4894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116</v>
      </c>
      <c r="R2522" s="110" t="s">
        <v>485</v>
      </c>
      <c r="S2522" s="94"/>
    </row>
    <row r="2523" spans="1:19" hidden="1">
      <c r="A2523" s="103" t="s">
        <v>4422</v>
      </c>
      <c r="B2523" s="149" t="str">
        <f>IFERROR(VLOOKUP(Proc[[#This Row],[App]],Table2[],3,0),"open")</f>
        <v>ok</v>
      </c>
      <c r="C2523" s="117" t="s">
        <v>369</v>
      </c>
      <c r="D2523" t="s">
        <v>4444</v>
      </c>
      <c r="E2523" t="s">
        <v>4737</v>
      </c>
      <c r="F2523" s="94" t="s">
        <v>4737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4784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4894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116</v>
      </c>
      <c r="R2523" s="110" t="s">
        <v>485</v>
      </c>
      <c r="S2523" s="94"/>
    </row>
    <row r="2524" spans="1:19" hidden="1">
      <c r="A2524" s="103" t="s">
        <v>4422</v>
      </c>
      <c r="B2524" s="149" t="str">
        <f>IFERROR(VLOOKUP(Proc[[#This Row],[App]],Table2[],3,0),"open")</f>
        <v>ok</v>
      </c>
      <c r="C2524" s="117" t="s">
        <v>369</v>
      </c>
      <c r="D2524" t="s">
        <v>4445</v>
      </c>
      <c r="E2524" t="s">
        <v>4737</v>
      </c>
      <c r="F2524" s="94" t="s">
        <v>4737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4784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4894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116</v>
      </c>
      <c r="R2524" s="110" t="s">
        <v>485</v>
      </c>
      <c r="S2524" s="94"/>
    </row>
    <row r="2525" spans="1:19" hidden="1">
      <c r="A2525" s="103" t="s">
        <v>4422</v>
      </c>
      <c r="B2525" s="149" t="str">
        <f>IFERROR(VLOOKUP(Proc[[#This Row],[App]],Table2[],3,0),"open")</f>
        <v>ok</v>
      </c>
      <c r="C2525" s="117" t="s">
        <v>369</v>
      </c>
      <c r="D2525" t="s">
        <v>4446</v>
      </c>
      <c r="E2525" t="s">
        <v>4737</v>
      </c>
      <c r="F2525" s="94" t="s">
        <v>4737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4784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4894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116</v>
      </c>
      <c r="R2525" s="110" t="s">
        <v>485</v>
      </c>
      <c r="S2525" s="94"/>
    </row>
    <row r="2526" spans="1:19" hidden="1">
      <c r="A2526" s="103" t="s">
        <v>4422</v>
      </c>
      <c r="B2526" s="149" t="str">
        <f>IFERROR(VLOOKUP(Proc[[#This Row],[App]],Table2[],3,0),"open")</f>
        <v>ok</v>
      </c>
      <c r="C2526" s="117" t="s">
        <v>369</v>
      </c>
      <c r="D2526" t="s">
        <v>4447</v>
      </c>
      <c r="E2526" t="s">
        <v>4737</v>
      </c>
      <c r="F2526" s="94" t="s">
        <v>4737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4784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4894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116</v>
      </c>
      <c r="R2526" s="110" t="s">
        <v>485</v>
      </c>
      <c r="S2526" s="94"/>
    </row>
    <row r="2527" spans="1:19" hidden="1">
      <c r="A2527" s="103" t="s">
        <v>4422</v>
      </c>
      <c r="B2527" s="149" t="str">
        <f>IFERROR(VLOOKUP(Proc[[#This Row],[App]],Table2[],3,0),"open")</f>
        <v>ok</v>
      </c>
      <c r="C2527" s="117" t="s">
        <v>369</v>
      </c>
      <c r="D2527" t="s">
        <v>4448</v>
      </c>
      <c r="E2527" t="s">
        <v>4737</v>
      </c>
      <c r="F2527" s="94" t="s">
        <v>4737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4784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4894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116</v>
      </c>
      <c r="R2527" s="110" t="s">
        <v>485</v>
      </c>
      <c r="S2527" s="94"/>
    </row>
    <row r="2528" spans="1:19" hidden="1">
      <c r="A2528" s="103" t="s">
        <v>4422</v>
      </c>
      <c r="B2528" s="149" t="str">
        <f>IFERROR(VLOOKUP(Proc[[#This Row],[App]],Table2[],3,0),"open")</f>
        <v>ok</v>
      </c>
      <c r="C2528" s="117" t="s">
        <v>369</v>
      </c>
      <c r="D2528" t="s">
        <v>4449</v>
      </c>
      <c r="E2528" t="s">
        <v>4739</v>
      </c>
      <c r="F2528" s="94" t="s">
        <v>4739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4784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4894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116</v>
      </c>
      <c r="R2528" s="110" t="s">
        <v>485</v>
      </c>
      <c r="S2528" s="94"/>
    </row>
    <row r="2529" spans="1:19" hidden="1">
      <c r="A2529" s="103" t="s">
        <v>4422</v>
      </c>
      <c r="B2529" s="149" t="str">
        <f>IFERROR(VLOOKUP(Proc[[#This Row],[App]],Table2[],3,0),"open")</f>
        <v>ok</v>
      </c>
      <c r="C2529" s="117" t="s">
        <v>369</v>
      </c>
      <c r="D2529" t="s">
        <v>4450</v>
      </c>
      <c r="E2529" t="s">
        <v>4737</v>
      </c>
      <c r="F2529" s="94" t="s">
        <v>4737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4784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4894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116</v>
      </c>
      <c r="R2529" s="110" t="s">
        <v>485</v>
      </c>
      <c r="S2529" s="94"/>
    </row>
    <row r="2530" spans="1:19" hidden="1">
      <c r="A2530" s="103" t="s">
        <v>4422</v>
      </c>
      <c r="B2530" s="149" t="str">
        <f>IFERROR(VLOOKUP(Proc[[#This Row],[App]],Table2[],3,0),"open")</f>
        <v>ok</v>
      </c>
      <c r="C2530" s="117" t="s">
        <v>369</v>
      </c>
      <c r="D2530" t="s">
        <v>4451</v>
      </c>
      <c r="E2530" t="s">
        <v>4737</v>
      </c>
      <c r="F2530" s="94" t="s">
        <v>4737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4784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4894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116</v>
      </c>
      <c r="R2530" s="110" t="s">
        <v>485</v>
      </c>
      <c r="S2530" s="94"/>
    </row>
    <row r="2531" spans="1:19" hidden="1">
      <c r="A2531" s="103" t="s">
        <v>4422</v>
      </c>
      <c r="B2531" s="149" t="str">
        <f>IFERROR(VLOOKUP(Proc[[#This Row],[App]],Table2[],3,0),"open")</f>
        <v>ok</v>
      </c>
      <c r="C2531" s="117" t="s">
        <v>369</v>
      </c>
      <c r="D2531" t="s">
        <v>4452</v>
      </c>
      <c r="E2531" t="s">
        <v>4737</v>
      </c>
      <c r="F2531" s="94" t="s">
        <v>4737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4784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4894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116</v>
      </c>
      <c r="R2531" s="110" t="s">
        <v>485</v>
      </c>
      <c r="S2531" s="94"/>
    </row>
    <row r="2532" spans="1:19" hidden="1">
      <c r="A2532" s="103" t="s">
        <v>4422</v>
      </c>
      <c r="B2532" s="149" t="str">
        <f>IFERROR(VLOOKUP(Proc[[#This Row],[App]],Table2[],3,0),"open")</f>
        <v>ok</v>
      </c>
      <c r="C2532" s="117" t="s">
        <v>369</v>
      </c>
      <c r="D2532" t="s">
        <v>4453</v>
      </c>
      <c r="E2532" t="s">
        <v>4739</v>
      </c>
      <c r="F2532" s="94" t="s">
        <v>4739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4784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4894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116</v>
      </c>
      <c r="R2532" s="110" t="s">
        <v>485</v>
      </c>
      <c r="S2532" s="94"/>
    </row>
    <row r="2533" spans="1:19" hidden="1">
      <c r="A2533" s="103" t="s">
        <v>4422</v>
      </c>
      <c r="B2533" s="149" t="str">
        <f>IFERROR(VLOOKUP(Proc[[#This Row],[App]],Table2[],3,0),"open")</f>
        <v>ok</v>
      </c>
      <c r="C2533" s="117" t="s">
        <v>369</v>
      </c>
      <c r="D2533" t="s">
        <v>4454</v>
      </c>
      <c r="E2533" t="s">
        <v>4737</v>
      </c>
      <c r="F2533" s="94" t="s">
        <v>4737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4784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4894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116</v>
      </c>
      <c r="R2533" s="110" t="s">
        <v>485</v>
      </c>
      <c r="S2533" s="94"/>
    </row>
    <row r="2534" spans="1:19" hidden="1">
      <c r="A2534" s="103" t="s">
        <v>4422</v>
      </c>
      <c r="B2534" s="149" t="str">
        <f>IFERROR(VLOOKUP(Proc[[#This Row],[App]],Table2[],3,0),"open")</f>
        <v>ok</v>
      </c>
      <c r="C2534" s="117" t="s">
        <v>369</v>
      </c>
      <c r="D2534" t="s">
        <v>4455</v>
      </c>
      <c r="E2534" t="s">
        <v>4737</v>
      </c>
      <c r="F2534" s="94" t="s">
        <v>4737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4784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4894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116</v>
      </c>
      <c r="R2534" s="110" t="s">
        <v>485</v>
      </c>
      <c r="S2534" s="94"/>
    </row>
    <row r="2535" spans="1:19" hidden="1">
      <c r="A2535" s="103" t="s">
        <v>4422</v>
      </c>
      <c r="B2535" s="149" t="str">
        <f>IFERROR(VLOOKUP(Proc[[#This Row],[App]],Table2[],3,0),"open")</f>
        <v>ok</v>
      </c>
      <c r="C2535" s="117" t="s">
        <v>369</v>
      </c>
      <c r="D2535" t="s">
        <v>4456</v>
      </c>
      <c r="E2535" t="s">
        <v>4737</v>
      </c>
      <c r="F2535" s="94" t="s">
        <v>4737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4784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4894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116</v>
      </c>
      <c r="R2535" s="110" t="s">
        <v>485</v>
      </c>
      <c r="S2535" s="94"/>
    </row>
    <row r="2536" spans="1:19" hidden="1">
      <c r="A2536" s="103" t="s">
        <v>4422</v>
      </c>
      <c r="B2536" s="149" t="str">
        <f>IFERROR(VLOOKUP(Proc[[#This Row],[App]],Table2[],3,0),"open")</f>
        <v>ok</v>
      </c>
      <c r="C2536" s="117" t="s">
        <v>369</v>
      </c>
      <c r="D2536" t="s">
        <v>4457</v>
      </c>
      <c r="E2536" t="s">
        <v>4738</v>
      </c>
      <c r="F2536" s="94" t="s">
        <v>4738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4784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4894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116</v>
      </c>
      <c r="R2536" s="110" t="s">
        <v>485</v>
      </c>
      <c r="S2536" s="94"/>
    </row>
    <row r="2537" spans="1:19" hidden="1">
      <c r="A2537" s="103" t="s">
        <v>4422</v>
      </c>
      <c r="B2537" s="149" t="str">
        <f>IFERROR(VLOOKUP(Proc[[#This Row],[App]],Table2[],3,0),"open")</f>
        <v>ok</v>
      </c>
      <c r="C2537" s="117" t="s">
        <v>369</v>
      </c>
      <c r="D2537" t="s">
        <v>4458</v>
      </c>
      <c r="E2537" t="s">
        <v>4737</v>
      </c>
      <c r="F2537" s="94" t="s">
        <v>4737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4784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4894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116</v>
      </c>
      <c r="R2537" s="110" t="s">
        <v>485</v>
      </c>
      <c r="S2537" s="94"/>
    </row>
    <row r="2538" spans="1:19" hidden="1">
      <c r="A2538" s="103" t="s">
        <v>4422</v>
      </c>
      <c r="B2538" s="149" t="str">
        <f>IFERROR(VLOOKUP(Proc[[#This Row],[App]],Table2[],3,0),"open")</f>
        <v>ok</v>
      </c>
      <c r="C2538" s="117" t="s">
        <v>369</v>
      </c>
      <c r="D2538" t="s">
        <v>4459</v>
      </c>
      <c r="E2538" t="s">
        <v>4739</v>
      </c>
      <c r="F2538" s="94" t="s">
        <v>4739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4784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4894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116</v>
      </c>
      <c r="R2538" s="110" t="s">
        <v>485</v>
      </c>
      <c r="S2538" s="94"/>
    </row>
    <row r="2539" spans="1:19" hidden="1">
      <c r="A2539" s="103" t="s">
        <v>4422</v>
      </c>
      <c r="B2539" s="149" t="str">
        <f>IFERROR(VLOOKUP(Proc[[#This Row],[App]],Table2[],3,0),"open")</f>
        <v>ok</v>
      </c>
      <c r="C2539" s="117" t="s">
        <v>369</v>
      </c>
      <c r="D2539" t="s">
        <v>4460</v>
      </c>
      <c r="E2539" t="s">
        <v>4739</v>
      </c>
      <c r="F2539" s="94" t="s">
        <v>4739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4784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4894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116</v>
      </c>
      <c r="R2539" s="110" t="s">
        <v>485</v>
      </c>
      <c r="S2539" s="94"/>
    </row>
    <row r="2540" spans="1:19" hidden="1">
      <c r="A2540" s="103" t="s">
        <v>4422</v>
      </c>
      <c r="B2540" s="149" t="str">
        <f>IFERROR(VLOOKUP(Proc[[#This Row],[App]],Table2[],3,0),"open")</f>
        <v>ok</v>
      </c>
      <c r="C2540" s="117" t="s">
        <v>369</v>
      </c>
      <c r="D2540" t="s">
        <v>4461</v>
      </c>
      <c r="E2540" t="s">
        <v>4737</v>
      </c>
      <c r="F2540" s="94" t="s">
        <v>4737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4784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4894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116</v>
      </c>
      <c r="R2540" s="110" t="s">
        <v>485</v>
      </c>
      <c r="S2540" s="94"/>
    </row>
    <row r="2541" spans="1:19" hidden="1">
      <c r="A2541" s="103" t="s">
        <v>4422</v>
      </c>
      <c r="B2541" s="149" t="str">
        <f>IFERROR(VLOOKUP(Proc[[#This Row],[App]],Table2[],3,0),"open")</f>
        <v>ok</v>
      </c>
      <c r="C2541" s="117" t="s">
        <v>369</v>
      </c>
      <c r="D2541" t="s">
        <v>4462</v>
      </c>
      <c r="E2541" t="s">
        <v>4737</v>
      </c>
      <c r="F2541" s="94" t="s">
        <v>4737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4784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4894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116</v>
      </c>
      <c r="R2541" s="110" t="s">
        <v>485</v>
      </c>
      <c r="S2541" s="94"/>
    </row>
    <row r="2542" spans="1:19" hidden="1">
      <c r="A2542" s="103" t="s">
        <v>4422</v>
      </c>
      <c r="B2542" s="149" t="str">
        <f>IFERROR(VLOOKUP(Proc[[#This Row],[App]],Table2[],3,0),"open")</f>
        <v>ok</v>
      </c>
      <c r="C2542" s="117" t="s">
        <v>369</v>
      </c>
      <c r="D2542" t="s">
        <v>4463</v>
      </c>
      <c r="E2542" t="s">
        <v>4737</v>
      </c>
      <c r="F2542" s="94" t="s">
        <v>4737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4784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4894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116</v>
      </c>
      <c r="R2542" s="110" t="s">
        <v>485</v>
      </c>
      <c r="S2542" s="94"/>
    </row>
    <row r="2543" spans="1:19" hidden="1">
      <c r="A2543" s="103" t="s">
        <v>4422</v>
      </c>
      <c r="B2543" s="149" t="str">
        <f>IFERROR(VLOOKUP(Proc[[#This Row],[App]],Table2[],3,0),"open")</f>
        <v>ok</v>
      </c>
      <c r="C2543" s="117" t="s">
        <v>369</v>
      </c>
      <c r="D2543" t="s">
        <v>4464</v>
      </c>
      <c r="E2543" t="s">
        <v>4738</v>
      </c>
      <c r="F2543" s="94" t="s">
        <v>4738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4784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4894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116</v>
      </c>
      <c r="R2543" s="110" t="s">
        <v>485</v>
      </c>
      <c r="S2543" s="94"/>
    </row>
    <row r="2544" spans="1:19" hidden="1">
      <c r="A2544" s="103" t="s">
        <v>4422</v>
      </c>
      <c r="B2544" s="149" t="str">
        <f>IFERROR(VLOOKUP(Proc[[#This Row],[App]],Table2[],3,0),"open")</f>
        <v>ok</v>
      </c>
      <c r="C2544" s="117" t="s">
        <v>369</v>
      </c>
      <c r="D2544" t="s">
        <v>4465</v>
      </c>
      <c r="E2544" t="s">
        <v>4738</v>
      </c>
      <c r="F2544" s="94" t="s">
        <v>4738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4784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4894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116</v>
      </c>
      <c r="R2544" s="110" t="s">
        <v>485</v>
      </c>
      <c r="S2544" s="94"/>
    </row>
    <row r="2545" spans="1:19" hidden="1">
      <c r="A2545" s="103" t="s">
        <v>4422</v>
      </c>
      <c r="B2545" s="149" t="str">
        <f>IFERROR(VLOOKUP(Proc[[#This Row],[App]],Table2[],3,0),"open")</f>
        <v>ok</v>
      </c>
      <c r="C2545" s="117" t="s">
        <v>369</v>
      </c>
      <c r="D2545" t="s">
        <v>4466</v>
      </c>
      <c r="E2545" t="s">
        <v>4738</v>
      </c>
      <c r="F2545" s="94" t="s">
        <v>4738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4784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4894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116</v>
      </c>
      <c r="R2545" s="110" t="s">
        <v>485</v>
      </c>
      <c r="S2545" s="94"/>
    </row>
    <row r="2546" spans="1:19" hidden="1">
      <c r="A2546" s="103" t="s">
        <v>4422</v>
      </c>
      <c r="B2546" s="149" t="str">
        <f>IFERROR(VLOOKUP(Proc[[#This Row],[App]],Table2[],3,0),"open")</f>
        <v>ok</v>
      </c>
      <c r="C2546" s="117" t="s">
        <v>369</v>
      </c>
      <c r="D2546" t="s">
        <v>4467</v>
      </c>
      <c r="E2546" t="s">
        <v>4738</v>
      </c>
      <c r="F2546" s="94" t="s">
        <v>4738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4784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4894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116</v>
      </c>
      <c r="R2546" s="110" t="s">
        <v>485</v>
      </c>
      <c r="S2546" s="94"/>
    </row>
    <row r="2547" spans="1:19" hidden="1">
      <c r="A2547" s="103" t="s">
        <v>4422</v>
      </c>
      <c r="B2547" s="149" t="str">
        <f>IFERROR(VLOOKUP(Proc[[#This Row],[App]],Table2[],3,0),"open")</f>
        <v>ok</v>
      </c>
      <c r="C2547" s="117" t="s">
        <v>369</v>
      </c>
      <c r="D2547" t="s">
        <v>4468</v>
      </c>
      <c r="E2547" t="s">
        <v>4738</v>
      </c>
      <c r="F2547" s="94" t="s">
        <v>4738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4784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4894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116</v>
      </c>
      <c r="R2547" s="110" t="s">
        <v>485</v>
      </c>
      <c r="S2547" s="94"/>
    </row>
    <row r="2548" spans="1:19" hidden="1">
      <c r="A2548" s="103" t="s">
        <v>4422</v>
      </c>
      <c r="B2548" s="149" t="str">
        <f>IFERROR(VLOOKUP(Proc[[#This Row],[App]],Table2[],3,0),"open")</f>
        <v>ok</v>
      </c>
      <c r="C2548" s="117" t="s">
        <v>369</v>
      </c>
      <c r="D2548" t="s">
        <v>4469</v>
      </c>
      <c r="E2548" t="s">
        <v>4738</v>
      </c>
      <c r="F2548" s="94" t="s">
        <v>4738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4784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4894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116</v>
      </c>
      <c r="R2548" s="110" t="s">
        <v>485</v>
      </c>
      <c r="S2548" s="94"/>
    </row>
    <row r="2549" spans="1:19" hidden="1">
      <c r="A2549" s="103" t="s">
        <v>4422</v>
      </c>
      <c r="B2549" s="149" t="str">
        <f>IFERROR(VLOOKUP(Proc[[#This Row],[App]],Table2[],3,0),"open")</f>
        <v>ok</v>
      </c>
      <c r="C2549" s="117" t="s">
        <v>369</v>
      </c>
      <c r="D2549" t="s">
        <v>4470</v>
      </c>
      <c r="E2549" t="s">
        <v>4738</v>
      </c>
      <c r="F2549" s="94" t="s">
        <v>4738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4784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4894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116</v>
      </c>
      <c r="R2549" s="110" t="s">
        <v>485</v>
      </c>
      <c r="S2549" s="94"/>
    </row>
    <row r="2550" spans="1:19" hidden="1">
      <c r="A2550" s="103" t="s">
        <v>4422</v>
      </c>
      <c r="B2550" s="149" t="str">
        <f>IFERROR(VLOOKUP(Proc[[#This Row],[App]],Table2[],3,0),"open")</f>
        <v>ok</v>
      </c>
      <c r="C2550" s="117" t="s">
        <v>369</v>
      </c>
      <c r="D2550" t="s">
        <v>4471</v>
      </c>
      <c r="E2550" t="s">
        <v>4738</v>
      </c>
      <c r="F2550" s="94" t="s">
        <v>4738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4784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4894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116</v>
      </c>
      <c r="R2550" s="110" t="s">
        <v>485</v>
      </c>
      <c r="S2550" s="94"/>
    </row>
    <row r="2551" spans="1:19" hidden="1">
      <c r="A2551" s="103" t="s">
        <v>4422</v>
      </c>
      <c r="B2551" s="149" t="str">
        <f>IFERROR(VLOOKUP(Proc[[#This Row],[App]],Table2[],3,0),"open")</f>
        <v>ok</v>
      </c>
      <c r="C2551" s="117" t="s">
        <v>369</v>
      </c>
      <c r="D2551" t="s">
        <v>4472</v>
      </c>
      <c r="E2551" t="s">
        <v>4738</v>
      </c>
      <c r="F2551" s="94" t="s">
        <v>4738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4784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4894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116</v>
      </c>
      <c r="R2551" s="110" t="s">
        <v>485</v>
      </c>
      <c r="S2551" s="94"/>
    </row>
    <row r="2552" spans="1:19" hidden="1">
      <c r="A2552" s="103" t="s">
        <v>4422</v>
      </c>
      <c r="B2552" s="149" t="str">
        <f>IFERROR(VLOOKUP(Proc[[#This Row],[App]],Table2[],3,0),"open")</f>
        <v>ok</v>
      </c>
      <c r="C2552" s="117" t="s">
        <v>369</v>
      </c>
      <c r="D2552" t="s">
        <v>4473</v>
      </c>
      <c r="E2552" t="s">
        <v>4738</v>
      </c>
      <c r="F2552" s="94" t="s">
        <v>4738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4784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4894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116</v>
      </c>
      <c r="R2552" s="110" t="s">
        <v>485</v>
      </c>
      <c r="S2552" s="94"/>
    </row>
    <row r="2553" spans="1:19" hidden="1">
      <c r="A2553" s="103" t="s">
        <v>4422</v>
      </c>
      <c r="B2553" s="149" t="str">
        <f>IFERROR(VLOOKUP(Proc[[#This Row],[App]],Table2[],3,0),"open")</f>
        <v>ok</v>
      </c>
      <c r="C2553" s="117" t="s">
        <v>369</v>
      </c>
      <c r="D2553" t="s">
        <v>4474</v>
      </c>
      <c r="E2553" t="s">
        <v>4738</v>
      </c>
      <c r="F2553" s="94" t="s">
        <v>4738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4784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4894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116</v>
      </c>
      <c r="R2553" s="110" t="s">
        <v>485</v>
      </c>
      <c r="S2553" s="94"/>
    </row>
    <row r="2554" spans="1:19" hidden="1">
      <c r="A2554" s="103" t="s">
        <v>4422</v>
      </c>
      <c r="B2554" s="149" t="str">
        <f>IFERROR(VLOOKUP(Proc[[#This Row],[App]],Table2[],3,0),"open")</f>
        <v>ok</v>
      </c>
      <c r="C2554" s="117" t="s">
        <v>369</v>
      </c>
      <c r="D2554" t="s">
        <v>4475</v>
      </c>
      <c r="E2554" t="s">
        <v>4738</v>
      </c>
      <c r="F2554" s="94" t="s">
        <v>4738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4784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4894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116</v>
      </c>
      <c r="R2554" s="110" t="s">
        <v>485</v>
      </c>
      <c r="S2554" s="94"/>
    </row>
    <row r="2555" spans="1:19" hidden="1">
      <c r="A2555" s="103" t="s">
        <v>4422</v>
      </c>
      <c r="B2555" s="149" t="str">
        <f>IFERROR(VLOOKUP(Proc[[#This Row],[App]],Table2[],3,0),"open")</f>
        <v>ok</v>
      </c>
      <c r="C2555" s="117" t="s">
        <v>369</v>
      </c>
      <c r="D2555" t="s">
        <v>4476</v>
      </c>
      <c r="E2555" t="s">
        <v>4738</v>
      </c>
      <c r="F2555" s="94" t="s">
        <v>4738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4784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4894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116</v>
      </c>
      <c r="R2555" s="110" t="s">
        <v>485</v>
      </c>
      <c r="S2555" s="94"/>
    </row>
    <row r="2556" spans="1:19" hidden="1">
      <c r="A2556" s="103" t="s">
        <v>4422</v>
      </c>
      <c r="B2556" s="149" t="str">
        <f>IFERROR(VLOOKUP(Proc[[#This Row],[App]],Table2[],3,0),"open")</f>
        <v>ok</v>
      </c>
      <c r="C2556" s="117" t="s">
        <v>369</v>
      </c>
      <c r="D2556" t="s">
        <v>4477</v>
      </c>
      <c r="E2556" t="s">
        <v>4738</v>
      </c>
      <c r="F2556" s="94" t="s">
        <v>4738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4784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4894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116</v>
      </c>
      <c r="R2556" s="110" t="s">
        <v>485</v>
      </c>
      <c r="S2556" s="94"/>
    </row>
    <row r="2557" spans="1:19" hidden="1">
      <c r="A2557" s="103" t="s">
        <v>4422</v>
      </c>
      <c r="B2557" s="149" t="str">
        <f>IFERROR(VLOOKUP(Proc[[#This Row],[App]],Table2[],3,0),"open")</f>
        <v>ok</v>
      </c>
      <c r="C2557" s="117" t="s">
        <v>369</v>
      </c>
      <c r="D2557" t="s">
        <v>4478</v>
      </c>
      <c r="E2557" t="s">
        <v>4737</v>
      </c>
      <c r="F2557" s="94" t="s">
        <v>4737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4784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4894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116</v>
      </c>
      <c r="R2557" s="110" t="s">
        <v>485</v>
      </c>
      <c r="S2557" s="94"/>
    </row>
    <row r="2558" spans="1:19" hidden="1">
      <c r="A2558" s="103" t="s">
        <v>4422</v>
      </c>
      <c r="B2558" s="149" t="str">
        <f>IFERROR(VLOOKUP(Proc[[#This Row],[App]],Table2[],3,0),"open")</f>
        <v>ok</v>
      </c>
      <c r="C2558" s="117" t="s">
        <v>369</v>
      </c>
      <c r="D2558" t="s">
        <v>4479</v>
      </c>
      <c r="E2558" t="s">
        <v>4737</v>
      </c>
      <c r="F2558" s="94" t="s">
        <v>4737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4784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4894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116</v>
      </c>
      <c r="R2558" s="110" t="s">
        <v>485</v>
      </c>
      <c r="S2558" s="94"/>
    </row>
    <row r="2559" spans="1:19" hidden="1">
      <c r="A2559" s="103" t="s">
        <v>4422</v>
      </c>
      <c r="B2559" s="149" t="str">
        <f>IFERROR(VLOOKUP(Proc[[#This Row],[App]],Table2[],3,0),"open")</f>
        <v>ok</v>
      </c>
      <c r="C2559" s="117" t="s">
        <v>369</v>
      </c>
      <c r="D2559" t="s">
        <v>4480</v>
      </c>
      <c r="E2559" t="s">
        <v>4737</v>
      </c>
      <c r="F2559" s="94" t="s">
        <v>4737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4784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4894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116</v>
      </c>
      <c r="R2559" s="110" t="s">
        <v>485</v>
      </c>
      <c r="S2559" s="94"/>
    </row>
    <row r="2560" spans="1:19" hidden="1">
      <c r="A2560" s="103" t="s">
        <v>4422</v>
      </c>
      <c r="B2560" s="149" t="str">
        <f>IFERROR(VLOOKUP(Proc[[#This Row],[App]],Table2[],3,0),"open")</f>
        <v>ok</v>
      </c>
      <c r="C2560" s="117" t="s">
        <v>369</v>
      </c>
      <c r="D2560" t="s">
        <v>4481</v>
      </c>
      <c r="E2560" t="s">
        <v>4738</v>
      </c>
      <c r="F2560" s="94" t="s">
        <v>4738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4784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4894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116</v>
      </c>
      <c r="R2560" s="110" t="s">
        <v>485</v>
      </c>
      <c r="S2560" s="94"/>
    </row>
    <row r="2561" spans="1:19" hidden="1">
      <c r="A2561" s="103" t="s">
        <v>4422</v>
      </c>
      <c r="B2561" s="149" t="str">
        <f>IFERROR(VLOOKUP(Proc[[#This Row],[App]],Table2[],3,0),"open")</f>
        <v>ok</v>
      </c>
      <c r="C2561" s="117" t="s">
        <v>369</v>
      </c>
      <c r="D2561" t="s">
        <v>4482</v>
      </c>
      <c r="E2561" t="s">
        <v>4738</v>
      </c>
      <c r="F2561" s="94" t="s">
        <v>4738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4784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4894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116</v>
      </c>
      <c r="R2561" s="110" t="s">
        <v>485</v>
      </c>
      <c r="S2561" s="94"/>
    </row>
    <row r="2562" spans="1:19" hidden="1">
      <c r="A2562" s="103" t="s">
        <v>4422</v>
      </c>
      <c r="B2562" s="149" t="str">
        <f>IFERROR(VLOOKUP(Proc[[#This Row],[App]],Table2[],3,0),"open")</f>
        <v>ok</v>
      </c>
      <c r="C2562" s="117" t="s">
        <v>369</v>
      </c>
      <c r="D2562" t="s">
        <v>4483</v>
      </c>
      <c r="E2562" t="s">
        <v>4738</v>
      </c>
      <c r="F2562" s="94" t="s">
        <v>4738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4784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4894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116</v>
      </c>
      <c r="R2562" s="110" t="s">
        <v>485</v>
      </c>
      <c r="S2562" s="94"/>
    </row>
    <row r="2563" spans="1:19" hidden="1">
      <c r="A2563" s="103" t="s">
        <v>4422</v>
      </c>
      <c r="B2563" s="149" t="str">
        <f>IFERROR(VLOOKUP(Proc[[#This Row],[App]],Table2[],3,0),"open")</f>
        <v>ok</v>
      </c>
      <c r="C2563" s="117" t="s">
        <v>369</v>
      </c>
      <c r="D2563" t="s">
        <v>4484</v>
      </c>
      <c r="E2563" t="s">
        <v>4738</v>
      </c>
      <c r="F2563" s="94" t="s">
        <v>4738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4784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4894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116</v>
      </c>
      <c r="R2563" s="110" t="s">
        <v>485</v>
      </c>
      <c r="S2563" s="94"/>
    </row>
    <row r="2564" spans="1:19" hidden="1">
      <c r="A2564" s="103" t="s">
        <v>4422</v>
      </c>
      <c r="B2564" s="149" t="str">
        <f>IFERROR(VLOOKUP(Proc[[#This Row],[App]],Table2[],3,0),"open")</f>
        <v>ok</v>
      </c>
      <c r="C2564" s="117" t="s">
        <v>369</v>
      </c>
      <c r="D2564" t="s">
        <v>4485</v>
      </c>
      <c r="E2564" t="s">
        <v>4738</v>
      </c>
      <c r="F2564" s="94" t="s">
        <v>4738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4784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4894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116</v>
      </c>
      <c r="R2564" s="110" t="s">
        <v>485</v>
      </c>
      <c r="S2564" s="94"/>
    </row>
    <row r="2565" spans="1:19" hidden="1">
      <c r="A2565" s="103" t="s">
        <v>4422</v>
      </c>
      <c r="B2565" s="149" t="str">
        <f>IFERROR(VLOOKUP(Proc[[#This Row],[App]],Table2[],3,0),"open")</f>
        <v>ok</v>
      </c>
      <c r="C2565" s="117" t="s">
        <v>369</v>
      </c>
      <c r="D2565" t="s">
        <v>4486</v>
      </c>
      <c r="E2565" t="s">
        <v>4738</v>
      </c>
      <c r="F2565" s="94" t="s">
        <v>4738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4784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4894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116</v>
      </c>
      <c r="R2565" s="110" t="s">
        <v>485</v>
      </c>
      <c r="S2565" s="94"/>
    </row>
    <row r="2566" spans="1:19" hidden="1">
      <c r="A2566" s="103" t="s">
        <v>4422</v>
      </c>
      <c r="B2566" s="149" t="str">
        <f>IFERROR(VLOOKUP(Proc[[#This Row],[App]],Table2[],3,0),"open")</f>
        <v>ok</v>
      </c>
      <c r="C2566" s="117" t="s">
        <v>369</v>
      </c>
      <c r="D2566" t="s">
        <v>4487</v>
      </c>
      <c r="E2566" t="s">
        <v>4738</v>
      </c>
      <c r="F2566" s="94" t="s">
        <v>4738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4784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4894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116</v>
      </c>
      <c r="R2566" s="110" t="s">
        <v>485</v>
      </c>
      <c r="S2566" s="94"/>
    </row>
    <row r="2567" spans="1:19" hidden="1">
      <c r="A2567" s="103" t="s">
        <v>4422</v>
      </c>
      <c r="B2567" s="149" t="str">
        <f>IFERROR(VLOOKUP(Proc[[#This Row],[App]],Table2[],3,0),"open")</f>
        <v>ok</v>
      </c>
      <c r="C2567" s="117" t="s">
        <v>369</v>
      </c>
      <c r="D2567" t="s">
        <v>4488</v>
      </c>
      <c r="E2567" t="s">
        <v>4738</v>
      </c>
      <c r="F2567" s="94" t="s">
        <v>4738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4784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4894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116</v>
      </c>
      <c r="R2567" s="110" t="s">
        <v>485</v>
      </c>
      <c r="S2567" s="94"/>
    </row>
    <row r="2568" spans="1:19" hidden="1">
      <c r="A2568" s="103" t="s">
        <v>4422</v>
      </c>
      <c r="B2568" s="149" t="str">
        <f>IFERROR(VLOOKUP(Proc[[#This Row],[App]],Table2[],3,0),"open")</f>
        <v>ok</v>
      </c>
      <c r="C2568" s="117" t="s">
        <v>369</v>
      </c>
      <c r="D2568" t="s">
        <v>4489</v>
      </c>
      <c r="E2568" t="s">
        <v>4738</v>
      </c>
      <c r="F2568" s="94" t="s">
        <v>4738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4784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4894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116</v>
      </c>
      <c r="R2568" s="110" t="s">
        <v>485</v>
      </c>
      <c r="S2568" s="94"/>
    </row>
    <row r="2569" spans="1:19" hidden="1">
      <c r="A2569" s="103" t="s">
        <v>4422</v>
      </c>
      <c r="B2569" s="149" t="str">
        <f>IFERROR(VLOOKUP(Proc[[#This Row],[App]],Table2[],3,0),"open")</f>
        <v>ok</v>
      </c>
      <c r="C2569" s="117" t="s">
        <v>369</v>
      </c>
      <c r="D2569" t="s">
        <v>4490</v>
      </c>
      <c r="E2569" t="s">
        <v>4738</v>
      </c>
      <c r="F2569" s="94" t="s">
        <v>4738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4784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4894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116</v>
      </c>
      <c r="R2569" s="110" t="s">
        <v>485</v>
      </c>
      <c r="S2569" s="94"/>
    </row>
    <row r="2570" spans="1:19" hidden="1">
      <c r="A2570" s="103" t="s">
        <v>4422</v>
      </c>
      <c r="B2570" s="149" t="str">
        <f>IFERROR(VLOOKUP(Proc[[#This Row],[App]],Table2[],3,0),"open")</f>
        <v>ok</v>
      </c>
      <c r="C2570" s="117" t="s">
        <v>369</v>
      </c>
      <c r="D2570" t="s">
        <v>4491</v>
      </c>
      <c r="E2570" t="s">
        <v>4738</v>
      </c>
      <c r="F2570" s="94" t="s">
        <v>4738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4784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4894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116</v>
      </c>
      <c r="R2570" s="110" t="s">
        <v>485</v>
      </c>
      <c r="S2570" s="94"/>
    </row>
    <row r="2571" spans="1:19" hidden="1">
      <c r="A2571" s="103" t="s">
        <v>4422</v>
      </c>
      <c r="B2571" s="149" t="str">
        <f>IFERROR(VLOOKUP(Proc[[#This Row],[App]],Table2[],3,0),"open")</f>
        <v>ok</v>
      </c>
      <c r="C2571" s="117" t="s">
        <v>369</v>
      </c>
      <c r="D2571" t="s">
        <v>4492</v>
      </c>
      <c r="E2571" t="s">
        <v>4738</v>
      </c>
      <c r="F2571" s="94" t="s">
        <v>4738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4784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4894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116</v>
      </c>
      <c r="R2571" s="110" t="s">
        <v>485</v>
      </c>
      <c r="S2571" s="94"/>
    </row>
    <row r="2572" spans="1:19" hidden="1">
      <c r="A2572" s="103" t="s">
        <v>4422</v>
      </c>
      <c r="B2572" s="149" t="str">
        <f>IFERROR(VLOOKUP(Proc[[#This Row],[App]],Table2[],3,0),"open")</f>
        <v>ok</v>
      </c>
      <c r="C2572" s="117" t="s">
        <v>369</v>
      </c>
      <c r="D2572" t="s">
        <v>4493</v>
      </c>
      <c r="E2572" t="s">
        <v>4738</v>
      </c>
      <c r="F2572" s="94" t="s">
        <v>4738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4784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4894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116</v>
      </c>
      <c r="R2572" s="110" t="s">
        <v>485</v>
      </c>
      <c r="S2572" s="94"/>
    </row>
    <row r="2573" spans="1:19" hidden="1">
      <c r="A2573" s="103" t="s">
        <v>4422</v>
      </c>
      <c r="B2573" s="149" t="str">
        <f>IFERROR(VLOOKUP(Proc[[#This Row],[App]],Table2[],3,0),"open")</f>
        <v>ok</v>
      </c>
      <c r="C2573" s="117" t="s">
        <v>369</v>
      </c>
      <c r="D2573" t="s">
        <v>4494</v>
      </c>
      <c r="E2573" t="s">
        <v>4738</v>
      </c>
      <c r="F2573" s="94" t="s">
        <v>4738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4784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4894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116</v>
      </c>
      <c r="R2573" s="110" t="s">
        <v>485</v>
      </c>
      <c r="S2573" s="94"/>
    </row>
    <row r="2574" spans="1:19" hidden="1">
      <c r="A2574" s="103" t="s">
        <v>4422</v>
      </c>
      <c r="B2574" s="149" t="str">
        <f>IFERROR(VLOOKUP(Proc[[#This Row],[App]],Table2[],3,0),"open")</f>
        <v>ok</v>
      </c>
      <c r="C2574" s="117" t="s">
        <v>369</v>
      </c>
      <c r="D2574" t="s">
        <v>4495</v>
      </c>
      <c r="E2574" t="s">
        <v>4738</v>
      </c>
      <c r="F2574" s="94" t="s">
        <v>4738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4784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4894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116</v>
      </c>
      <c r="R2574" s="110" t="s">
        <v>485</v>
      </c>
      <c r="S2574" s="94"/>
    </row>
    <row r="2575" spans="1:19" hidden="1">
      <c r="A2575" s="103" t="s">
        <v>4422</v>
      </c>
      <c r="B2575" s="149" t="str">
        <f>IFERROR(VLOOKUP(Proc[[#This Row],[App]],Table2[],3,0),"open")</f>
        <v>ok</v>
      </c>
      <c r="C2575" s="117" t="s">
        <v>369</v>
      </c>
      <c r="D2575" t="s">
        <v>4496</v>
      </c>
      <c r="E2575" t="s">
        <v>4738</v>
      </c>
      <c r="F2575" s="94" t="s">
        <v>4738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4784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4894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116</v>
      </c>
      <c r="R2575" s="110" t="s">
        <v>485</v>
      </c>
      <c r="S2575" s="94"/>
    </row>
    <row r="2576" spans="1:19" hidden="1">
      <c r="A2576" s="103" t="s">
        <v>4422</v>
      </c>
      <c r="B2576" s="149" t="str">
        <f>IFERROR(VLOOKUP(Proc[[#This Row],[App]],Table2[],3,0),"open")</f>
        <v>ok</v>
      </c>
      <c r="C2576" s="117" t="s">
        <v>369</v>
      </c>
      <c r="D2576" t="s">
        <v>4497</v>
      </c>
      <c r="E2576" t="s">
        <v>4738</v>
      </c>
      <c r="F2576" s="94" t="s">
        <v>4738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4784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4894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116</v>
      </c>
      <c r="R2576" s="110" t="s">
        <v>485</v>
      </c>
      <c r="S2576" s="94"/>
    </row>
    <row r="2577" spans="1:19" hidden="1">
      <c r="A2577" s="103" t="s">
        <v>4422</v>
      </c>
      <c r="B2577" s="149" t="str">
        <f>IFERROR(VLOOKUP(Proc[[#This Row],[App]],Table2[],3,0),"open")</f>
        <v>ok</v>
      </c>
      <c r="C2577" s="117" t="s">
        <v>369</v>
      </c>
      <c r="D2577" t="s">
        <v>4498</v>
      </c>
      <c r="E2577" t="s">
        <v>4738</v>
      </c>
      <c r="F2577" s="94" t="s">
        <v>4738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4784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4894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116</v>
      </c>
      <c r="R2577" s="110" t="s">
        <v>485</v>
      </c>
      <c r="S2577" s="94"/>
    </row>
    <row r="2578" spans="1:19" hidden="1">
      <c r="A2578" s="103" t="s">
        <v>4422</v>
      </c>
      <c r="B2578" s="149" t="str">
        <f>IFERROR(VLOOKUP(Proc[[#This Row],[App]],Table2[],3,0),"open")</f>
        <v>ok</v>
      </c>
      <c r="C2578" s="117" t="s">
        <v>369</v>
      </c>
      <c r="D2578" t="s">
        <v>4499</v>
      </c>
      <c r="E2578" t="s">
        <v>4740</v>
      </c>
      <c r="F2578" s="94" t="s">
        <v>4740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4784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4894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116</v>
      </c>
      <c r="R2578" s="110" t="s">
        <v>485</v>
      </c>
      <c r="S2578" s="94"/>
    </row>
    <row r="2579" spans="1:19" hidden="1">
      <c r="A2579" s="103" t="s">
        <v>4422</v>
      </c>
      <c r="B2579" s="149" t="str">
        <f>IFERROR(VLOOKUP(Proc[[#This Row],[App]],Table2[],3,0),"open")</f>
        <v>ok</v>
      </c>
      <c r="C2579" s="117" t="s">
        <v>369</v>
      </c>
      <c r="D2579" t="s">
        <v>4500</v>
      </c>
      <c r="E2579" t="s">
        <v>4741</v>
      </c>
      <c r="F2579" s="94" t="s">
        <v>4741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4784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4894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116</v>
      </c>
      <c r="R2579" s="110" t="s">
        <v>485</v>
      </c>
      <c r="S2579" s="94"/>
    </row>
    <row r="2580" spans="1:19" hidden="1">
      <c r="A2580" s="103" t="s">
        <v>4422</v>
      </c>
      <c r="B2580" s="149" t="str">
        <f>IFERROR(VLOOKUP(Proc[[#This Row],[App]],Table2[],3,0),"open")</f>
        <v>ok</v>
      </c>
      <c r="C2580" s="117" t="s">
        <v>369</v>
      </c>
      <c r="D2580" t="s">
        <v>4501</v>
      </c>
      <c r="E2580" t="s">
        <v>4740</v>
      </c>
      <c r="F2580" s="94" t="s">
        <v>4740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4784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4894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116</v>
      </c>
      <c r="R2580" s="110" t="s">
        <v>485</v>
      </c>
      <c r="S2580" s="94"/>
    </row>
    <row r="2581" spans="1:19" hidden="1">
      <c r="A2581" s="103" t="s">
        <v>4422</v>
      </c>
      <c r="B2581" s="149" t="str">
        <f>IFERROR(VLOOKUP(Proc[[#This Row],[App]],Table2[],3,0),"open")</f>
        <v>ok</v>
      </c>
      <c r="C2581" s="117" t="s">
        <v>369</v>
      </c>
      <c r="D2581" t="s">
        <v>4502</v>
      </c>
      <c r="E2581" t="s">
        <v>4742</v>
      </c>
      <c r="F2581" s="94" t="s">
        <v>4742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4784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4894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116</v>
      </c>
      <c r="R2581" s="110" t="s">
        <v>485</v>
      </c>
      <c r="S2581" s="94"/>
    </row>
    <row r="2582" spans="1:19" hidden="1">
      <c r="A2582" s="103" t="s">
        <v>4422</v>
      </c>
      <c r="B2582" s="149" t="str">
        <f>IFERROR(VLOOKUP(Proc[[#This Row],[App]],Table2[],3,0),"open")</f>
        <v>ok</v>
      </c>
      <c r="C2582" s="117" t="s">
        <v>369</v>
      </c>
      <c r="D2582" t="s">
        <v>4503</v>
      </c>
      <c r="E2582" t="s">
        <v>4740</v>
      </c>
      <c r="F2582" s="94" t="s">
        <v>4740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4784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4894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116</v>
      </c>
      <c r="R2582" s="110" t="s">
        <v>485</v>
      </c>
      <c r="S2582" s="94"/>
    </row>
    <row r="2583" spans="1:19" hidden="1">
      <c r="A2583" s="103" t="s">
        <v>4422</v>
      </c>
      <c r="B2583" s="149" t="str">
        <f>IFERROR(VLOOKUP(Proc[[#This Row],[App]],Table2[],3,0),"open")</f>
        <v>ok</v>
      </c>
      <c r="C2583" s="117" t="s">
        <v>369</v>
      </c>
      <c r="D2583" t="s">
        <v>4504</v>
      </c>
      <c r="E2583" t="s">
        <v>4740</v>
      </c>
      <c r="F2583" s="94" t="s">
        <v>4740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4784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4894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116</v>
      </c>
      <c r="R2583" s="110" t="s">
        <v>485</v>
      </c>
      <c r="S2583" s="94"/>
    </row>
    <row r="2584" spans="1:19" hidden="1">
      <c r="A2584" s="103" t="s">
        <v>4422</v>
      </c>
      <c r="B2584" s="149" t="str">
        <f>IFERROR(VLOOKUP(Proc[[#This Row],[App]],Table2[],3,0),"open")</f>
        <v>ok</v>
      </c>
      <c r="C2584" s="117" t="s">
        <v>369</v>
      </c>
      <c r="D2584" t="s">
        <v>4505</v>
      </c>
      <c r="E2584" t="s">
        <v>4740</v>
      </c>
      <c r="F2584" s="94" t="s">
        <v>4740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4784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4894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116</v>
      </c>
      <c r="R2584" s="110" t="s">
        <v>485</v>
      </c>
      <c r="S2584" s="94"/>
    </row>
    <row r="2585" spans="1:19" hidden="1">
      <c r="A2585" s="103" t="s">
        <v>4422</v>
      </c>
      <c r="B2585" s="149" t="str">
        <f>IFERROR(VLOOKUP(Proc[[#This Row],[App]],Table2[],3,0),"open")</f>
        <v>ok</v>
      </c>
      <c r="C2585" s="117" t="s">
        <v>369</v>
      </c>
      <c r="D2585" t="s">
        <v>4506</v>
      </c>
      <c r="E2585" t="s">
        <v>4742</v>
      </c>
      <c r="F2585" s="94" t="s">
        <v>4742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4784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4894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116</v>
      </c>
      <c r="R2585" s="110" t="s">
        <v>485</v>
      </c>
      <c r="S2585" s="94"/>
    </row>
    <row r="2586" spans="1:19" hidden="1">
      <c r="A2586" s="103" t="s">
        <v>4422</v>
      </c>
      <c r="B2586" s="149" t="str">
        <f>IFERROR(VLOOKUP(Proc[[#This Row],[App]],Table2[],3,0),"open")</f>
        <v>ok</v>
      </c>
      <c r="C2586" s="117" t="s">
        <v>369</v>
      </c>
      <c r="D2586" t="s">
        <v>4507</v>
      </c>
      <c r="E2586" t="s">
        <v>4741</v>
      </c>
      <c r="F2586" s="94" t="s">
        <v>4741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4784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4894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116</v>
      </c>
      <c r="R2586" s="110" t="s">
        <v>485</v>
      </c>
      <c r="S2586" s="94"/>
    </row>
    <row r="2587" spans="1:19" hidden="1">
      <c r="A2587" s="103" t="s">
        <v>4422</v>
      </c>
      <c r="B2587" s="149" t="str">
        <f>IFERROR(VLOOKUP(Proc[[#This Row],[App]],Table2[],3,0),"open")</f>
        <v>ok</v>
      </c>
      <c r="C2587" s="117" t="s">
        <v>369</v>
      </c>
      <c r="D2587" t="s">
        <v>4508</v>
      </c>
      <c r="E2587" t="s">
        <v>4740</v>
      </c>
      <c r="F2587" s="94" t="s">
        <v>4740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4784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4894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116</v>
      </c>
      <c r="R2587" s="110" t="s">
        <v>485</v>
      </c>
      <c r="S2587" s="94"/>
    </row>
    <row r="2588" spans="1:19" hidden="1">
      <c r="A2588" s="103" t="s">
        <v>4422</v>
      </c>
      <c r="B2588" s="149" t="str">
        <f>IFERROR(VLOOKUP(Proc[[#This Row],[App]],Table2[],3,0),"open")</f>
        <v>ok</v>
      </c>
      <c r="C2588" s="117" t="s">
        <v>369</v>
      </c>
      <c r="D2588" t="s">
        <v>4509</v>
      </c>
      <c r="E2588" t="s">
        <v>4740</v>
      </c>
      <c r="F2588" s="94" t="s">
        <v>4740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4784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4894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116</v>
      </c>
      <c r="R2588" s="110" t="s">
        <v>485</v>
      </c>
      <c r="S2588" s="94"/>
    </row>
    <row r="2589" spans="1:19" hidden="1">
      <c r="A2589" s="103" t="s">
        <v>4422</v>
      </c>
      <c r="B2589" s="149" t="str">
        <f>IFERROR(VLOOKUP(Proc[[#This Row],[App]],Table2[],3,0),"open")</f>
        <v>ok</v>
      </c>
      <c r="C2589" s="117" t="s">
        <v>369</v>
      </c>
      <c r="D2589" t="s">
        <v>4510</v>
      </c>
      <c r="E2589" t="s">
        <v>4740</v>
      </c>
      <c r="F2589" s="94" t="s">
        <v>4740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4784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4894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116</v>
      </c>
      <c r="R2589" s="110" t="s">
        <v>485</v>
      </c>
      <c r="S2589" s="94"/>
    </row>
    <row r="2590" spans="1:19" hidden="1">
      <c r="A2590" s="103" t="s">
        <v>4422</v>
      </c>
      <c r="B2590" s="149" t="str">
        <f>IFERROR(VLOOKUP(Proc[[#This Row],[App]],Table2[],3,0),"open")</f>
        <v>ok</v>
      </c>
      <c r="C2590" s="117" t="s">
        <v>369</v>
      </c>
      <c r="D2590" t="s">
        <v>4511</v>
      </c>
      <c r="E2590" t="s">
        <v>4740</v>
      </c>
      <c r="F2590" s="94" t="s">
        <v>4740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4784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4894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116</v>
      </c>
      <c r="R2590" s="110" t="s">
        <v>485</v>
      </c>
      <c r="S2590" s="94"/>
    </row>
    <row r="2591" spans="1:19" hidden="1">
      <c r="A2591" s="103" t="s">
        <v>4422</v>
      </c>
      <c r="B2591" s="149" t="str">
        <f>IFERROR(VLOOKUP(Proc[[#This Row],[App]],Table2[],3,0),"open")</f>
        <v>ok</v>
      </c>
      <c r="C2591" s="117" t="s">
        <v>369</v>
      </c>
      <c r="D2591" t="s">
        <v>4512</v>
      </c>
      <c r="E2591" t="s">
        <v>4740</v>
      </c>
      <c r="F2591" s="94" t="s">
        <v>4740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4784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4894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116</v>
      </c>
      <c r="R2591" s="110" t="s">
        <v>485</v>
      </c>
      <c r="S2591" s="94"/>
    </row>
    <row r="2592" spans="1:19" hidden="1">
      <c r="A2592" s="103" t="s">
        <v>4422</v>
      </c>
      <c r="B2592" s="149" t="str">
        <f>IFERROR(VLOOKUP(Proc[[#This Row],[App]],Table2[],3,0),"open")</f>
        <v>ok</v>
      </c>
      <c r="C2592" s="117" t="s">
        <v>369</v>
      </c>
      <c r="D2592" t="s">
        <v>4513</v>
      </c>
      <c r="E2592" t="s">
        <v>4740</v>
      </c>
      <c r="F2592" s="94" t="s">
        <v>4740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4784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4894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116</v>
      </c>
      <c r="R2592" s="110" t="s">
        <v>485</v>
      </c>
      <c r="S2592" s="94"/>
    </row>
    <row r="2593" spans="1:19" hidden="1">
      <c r="A2593" s="103" t="s">
        <v>4422</v>
      </c>
      <c r="B2593" s="149" t="str">
        <f>IFERROR(VLOOKUP(Proc[[#This Row],[App]],Table2[],3,0),"open")</f>
        <v>ok</v>
      </c>
      <c r="C2593" s="117" t="s">
        <v>369</v>
      </c>
      <c r="D2593" t="s">
        <v>4514</v>
      </c>
      <c r="E2593" t="s">
        <v>4740</v>
      </c>
      <c r="F2593" s="94" t="s">
        <v>4740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4784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4894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116</v>
      </c>
      <c r="R2593" s="110" t="s">
        <v>485</v>
      </c>
      <c r="S2593" s="94"/>
    </row>
    <row r="2594" spans="1:19" hidden="1">
      <c r="A2594" s="103" t="s">
        <v>4422</v>
      </c>
      <c r="B2594" s="149" t="str">
        <f>IFERROR(VLOOKUP(Proc[[#This Row],[App]],Table2[],3,0),"open")</f>
        <v>ok</v>
      </c>
      <c r="C2594" s="117" t="s">
        <v>369</v>
      </c>
      <c r="D2594" t="s">
        <v>4515</v>
      </c>
      <c r="E2594" t="s">
        <v>4740</v>
      </c>
      <c r="F2594" s="94" t="s">
        <v>4740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4784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4894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116</v>
      </c>
      <c r="R2594" s="110" t="s">
        <v>485</v>
      </c>
      <c r="S2594" s="94"/>
    </row>
    <row r="2595" spans="1:19" hidden="1">
      <c r="A2595" s="103" t="s">
        <v>4422</v>
      </c>
      <c r="B2595" s="149" t="str">
        <f>IFERROR(VLOOKUP(Proc[[#This Row],[App]],Table2[],3,0),"open")</f>
        <v>ok</v>
      </c>
      <c r="C2595" s="117" t="s">
        <v>369</v>
      </c>
      <c r="D2595" t="s">
        <v>4516</v>
      </c>
      <c r="E2595" t="s">
        <v>4740</v>
      </c>
      <c r="F2595" s="94" t="s">
        <v>4740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4784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4894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116</v>
      </c>
      <c r="R2595" s="110" t="s">
        <v>485</v>
      </c>
      <c r="S2595" s="94"/>
    </row>
    <row r="2596" spans="1:19" hidden="1">
      <c r="A2596" s="103" t="s">
        <v>4422</v>
      </c>
      <c r="B2596" s="149" t="str">
        <f>IFERROR(VLOOKUP(Proc[[#This Row],[App]],Table2[],3,0),"open")</f>
        <v>ok</v>
      </c>
      <c r="C2596" s="117" t="s">
        <v>369</v>
      </c>
      <c r="D2596" t="s">
        <v>4517</v>
      </c>
      <c r="E2596" t="s">
        <v>4740</v>
      </c>
      <c r="F2596" s="94" t="s">
        <v>4740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4784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4894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116</v>
      </c>
      <c r="R2596" s="110" t="s">
        <v>485</v>
      </c>
      <c r="S2596" s="94"/>
    </row>
    <row r="2597" spans="1:19" hidden="1">
      <c r="A2597" s="103" t="s">
        <v>4422</v>
      </c>
      <c r="B2597" s="149" t="str">
        <f>IFERROR(VLOOKUP(Proc[[#This Row],[App]],Table2[],3,0),"open")</f>
        <v>ok</v>
      </c>
      <c r="C2597" s="117" t="s">
        <v>369</v>
      </c>
      <c r="D2597" t="s">
        <v>4518</v>
      </c>
      <c r="E2597" t="s">
        <v>4740</v>
      </c>
      <c r="F2597" s="94" t="s">
        <v>4740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4784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4894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116</v>
      </c>
      <c r="R2597" s="110" t="s">
        <v>485</v>
      </c>
      <c r="S2597" s="94"/>
    </row>
    <row r="2598" spans="1:19" hidden="1">
      <c r="A2598" s="103" t="s">
        <v>4422</v>
      </c>
      <c r="B2598" s="149" t="str">
        <f>IFERROR(VLOOKUP(Proc[[#This Row],[App]],Table2[],3,0),"open")</f>
        <v>ok</v>
      </c>
      <c r="C2598" s="117" t="s">
        <v>369</v>
      </c>
      <c r="D2598" t="s">
        <v>4519</v>
      </c>
      <c r="E2598" t="s">
        <v>4740</v>
      </c>
      <c r="F2598" s="94" t="s">
        <v>4740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4784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4894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116</v>
      </c>
      <c r="R2598" s="110" t="s">
        <v>485</v>
      </c>
      <c r="S2598" s="94"/>
    </row>
    <row r="2599" spans="1:19" hidden="1">
      <c r="A2599" s="103" t="s">
        <v>4422</v>
      </c>
      <c r="B2599" s="149" t="str">
        <f>IFERROR(VLOOKUP(Proc[[#This Row],[App]],Table2[],3,0),"open")</f>
        <v>ok</v>
      </c>
      <c r="C2599" s="117" t="s">
        <v>369</v>
      </c>
      <c r="D2599" t="s">
        <v>4520</v>
      </c>
      <c r="E2599" t="s">
        <v>4740</v>
      </c>
      <c r="F2599" s="94" t="s">
        <v>4740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4784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4894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116</v>
      </c>
      <c r="R2599" s="110" t="s">
        <v>485</v>
      </c>
      <c r="S2599" s="94"/>
    </row>
    <row r="2600" spans="1:19" hidden="1">
      <c r="A2600" s="103" t="s">
        <v>4422</v>
      </c>
      <c r="B2600" s="149" t="str">
        <f>IFERROR(VLOOKUP(Proc[[#This Row],[App]],Table2[],3,0),"open")</f>
        <v>ok</v>
      </c>
      <c r="C2600" s="117" t="s">
        <v>369</v>
      </c>
      <c r="D2600" t="s">
        <v>4521</v>
      </c>
      <c r="E2600" t="s">
        <v>4740</v>
      </c>
      <c r="F2600" s="94" t="s">
        <v>4740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4784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4894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116</v>
      </c>
      <c r="R2600" s="110" t="s">
        <v>485</v>
      </c>
      <c r="S2600" s="94"/>
    </row>
    <row r="2601" spans="1:19" hidden="1">
      <c r="A2601" s="103" t="s">
        <v>4422</v>
      </c>
      <c r="B2601" s="149" t="str">
        <f>IFERROR(VLOOKUP(Proc[[#This Row],[App]],Table2[],3,0),"open")</f>
        <v>ok</v>
      </c>
      <c r="C2601" s="117" t="s">
        <v>369</v>
      </c>
      <c r="D2601" t="s">
        <v>4522</v>
      </c>
      <c r="E2601" t="s">
        <v>4740</v>
      </c>
      <c r="F2601" s="94" t="s">
        <v>4740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4784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4894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116</v>
      </c>
      <c r="R2601" s="110" t="s">
        <v>485</v>
      </c>
      <c r="S2601" s="94"/>
    </row>
    <row r="2602" spans="1:19" hidden="1">
      <c r="A2602" s="103" t="s">
        <v>4422</v>
      </c>
      <c r="B2602" s="149" t="str">
        <f>IFERROR(VLOOKUP(Proc[[#This Row],[App]],Table2[],3,0),"open")</f>
        <v>ok</v>
      </c>
      <c r="C2602" s="117" t="s">
        <v>369</v>
      </c>
      <c r="D2602" t="s">
        <v>4523</v>
      </c>
      <c r="E2602" t="s">
        <v>4740</v>
      </c>
      <c r="F2602" s="94" t="s">
        <v>4740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4785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4894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116</v>
      </c>
      <c r="R2602" s="110" t="s">
        <v>485</v>
      </c>
      <c r="S2602" s="94"/>
    </row>
    <row r="2603" spans="1:19" hidden="1">
      <c r="A2603" s="103" t="s">
        <v>4422</v>
      </c>
      <c r="B2603" s="149" t="str">
        <f>IFERROR(VLOOKUP(Proc[[#This Row],[App]],Table2[],3,0),"open")</f>
        <v>ok</v>
      </c>
      <c r="C2603" s="117" t="s">
        <v>369</v>
      </c>
      <c r="D2603" t="s">
        <v>4524</v>
      </c>
      <c r="E2603" t="s">
        <v>4741</v>
      </c>
      <c r="F2603" s="94" t="s">
        <v>4741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4785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4894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116</v>
      </c>
      <c r="R2603" s="110" t="s">
        <v>485</v>
      </c>
      <c r="S2603" s="94"/>
    </row>
    <row r="2604" spans="1:19" hidden="1">
      <c r="A2604" s="103" t="s">
        <v>4422</v>
      </c>
      <c r="B2604" s="149" t="str">
        <f>IFERROR(VLOOKUP(Proc[[#This Row],[App]],Table2[],3,0),"open")</f>
        <v>ok</v>
      </c>
      <c r="C2604" s="117" t="s">
        <v>369</v>
      </c>
      <c r="D2604" t="s">
        <v>4525</v>
      </c>
      <c r="E2604" t="s">
        <v>4741</v>
      </c>
      <c r="F2604" s="94" t="s">
        <v>4741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4785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4894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116</v>
      </c>
      <c r="R2604" s="110" t="s">
        <v>485</v>
      </c>
      <c r="S2604" s="94"/>
    </row>
    <row r="2605" spans="1:19" hidden="1">
      <c r="A2605" s="103" t="s">
        <v>4422</v>
      </c>
      <c r="B2605" s="149" t="str">
        <f>IFERROR(VLOOKUP(Proc[[#This Row],[App]],Table2[],3,0),"open")</f>
        <v>ok</v>
      </c>
      <c r="C2605" s="117" t="s">
        <v>369</v>
      </c>
      <c r="D2605" t="s">
        <v>4526</v>
      </c>
      <c r="E2605" t="s">
        <v>4740</v>
      </c>
      <c r="F2605" s="94" t="s">
        <v>4740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4785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4894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116</v>
      </c>
      <c r="R2605" s="110" t="s">
        <v>485</v>
      </c>
      <c r="S2605" s="94"/>
    </row>
    <row r="2606" spans="1:19" hidden="1">
      <c r="A2606" s="103" t="s">
        <v>4422</v>
      </c>
      <c r="B2606" s="149" t="str">
        <f>IFERROR(VLOOKUP(Proc[[#This Row],[App]],Table2[],3,0),"open")</f>
        <v>ok</v>
      </c>
      <c r="C2606" s="117" t="s">
        <v>369</v>
      </c>
      <c r="D2606" t="s">
        <v>4527</v>
      </c>
      <c r="E2606" t="s">
        <v>4741</v>
      </c>
      <c r="F2606" s="94" t="s">
        <v>4741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4785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4894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116</v>
      </c>
      <c r="R2606" s="110" t="s">
        <v>485</v>
      </c>
      <c r="S2606" s="94"/>
    </row>
    <row r="2607" spans="1:19" hidden="1">
      <c r="A2607" s="103" t="s">
        <v>4422</v>
      </c>
      <c r="B2607" s="149" t="str">
        <f>IFERROR(VLOOKUP(Proc[[#This Row],[App]],Table2[],3,0),"open")</f>
        <v>ok</v>
      </c>
      <c r="C2607" s="117" t="s">
        <v>369</v>
      </c>
      <c r="D2607" t="s">
        <v>4528</v>
      </c>
      <c r="E2607" t="s">
        <v>4740</v>
      </c>
      <c r="F2607" s="94" t="s">
        <v>4740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4785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4894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116</v>
      </c>
      <c r="R2607" s="110" t="s">
        <v>485</v>
      </c>
      <c r="S2607" s="94"/>
    </row>
    <row r="2608" spans="1:19" hidden="1">
      <c r="A2608" s="103" t="s">
        <v>4422</v>
      </c>
      <c r="B2608" s="149" t="str">
        <f>IFERROR(VLOOKUP(Proc[[#This Row],[App]],Table2[],3,0),"open")</f>
        <v>ok</v>
      </c>
      <c r="C2608" s="117" t="s">
        <v>369</v>
      </c>
      <c r="D2608" t="s">
        <v>4529</v>
      </c>
      <c r="E2608" t="s">
        <v>4741</v>
      </c>
      <c r="F2608" s="94" t="s">
        <v>4741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4785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4894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116</v>
      </c>
      <c r="R2608" s="110" t="s">
        <v>485</v>
      </c>
      <c r="S2608" s="94"/>
    </row>
    <row r="2609" spans="1:19" hidden="1">
      <c r="A2609" s="103" t="s">
        <v>4422</v>
      </c>
      <c r="B2609" s="149" t="str">
        <f>IFERROR(VLOOKUP(Proc[[#This Row],[App]],Table2[],3,0),"open")</f>
        <v>ok</v>
      </c>
      <c r="C2609" s="117" t="s">
        <v>369</v>
      </c>
      <c r="D2609" t="s">
        <v>4530</v>
      </c>
      <c r="E2609" t="s">
        <v>4740</v>
      </c>
      <c r="F2609" s="94" t="s">
        <v>4740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4785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4894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116</v>
      </c>
      <c r="R2609" s="110" t="s">
        <v>485</v>
      </c>
      <c r="S2609" s="94"/>
    </row>
    <row r="2610" spans="1:19" hidden="1">
      <c r="A2610" s="103" t="s">
        <v>4422</v>
      </c>
      <c r="B2610" s="149" t="str">
        <f>IFERROR(VLOOKUP(Proc[[#This Row],[App]],Table2[],3,0),"open")</f>
        <v>ok</v>
      </c>
      <c r="C2610" s="117" t="s">
        <v>369</v>
      </c>
      <c r="D2610" t="s">
        <v>4531</v>
      </c>
      <c r="E2610" t="s">
        <v>4741</v>
      </c>
      <c r="F2610" s="94" t="s">
        <v>4741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4785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4894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116</v>
      </c>
      <c r="R2610" s="110" t="s">
        <v>485</v>
      </c>
      <c r="S2610" s="94"/>
    </row>
    <row r="2611" spans="1:19" hidden="1">
      <c r="A2611" s="103" t="s">
        <v>4422</v>
      </c>
      <c r="B2611" s="149" t="str">
        <f>IFERROR(VLOOKUP(Proc[[#This Row],[App]],Table2[],3,0),"open")</f>
        <v>ok</v>
      </c>
      <c r="C2611" s="117" t="s">
        <v>369</v>
      </c>
      <c r="D2611" t="s">
        <v>4532</v>
      </c>
      <c r="E2611" t="s">
        <v>4743</v>
      </c>
      <c r="F2611" s="94" t="s">
        <v>4743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4785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4894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116</v>
      </c>
      <c r="R2611" s="110" t="s">
        <v>485</v>
      </c>
      <c r="S2611" s="94"/>
    </row>
    <row r="2612" spans="1:19" hidden="1">
      <c r="A2612" s="103" t="s">
        <v>4422</v>
      </c>
      <c r="B2612" s="149" t="str">
        <f>IFERROR(VLOOKUP(Proc[[#This Row],[App]],Table2[],3,0),"open")</f>
        <v>ok</v>
      </c>
      <c r="C2612" s="117" t="s">
        <v>369</v>
      </c>
      <c r="D2612" t="s">
        <v>4533</v>
      </c>
      <c r="E2612" t="s">
        <v>4741</v>
      </c>
      <c r="F2612" s="94" t="s">
        <v>4741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4785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4894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116</v>
      </c>
      <c r="R2612" s="110" t="s">
        <v>485</v>
      </c>
      <c r="S2612" s="94"/>
    </row>
    <row r="2613" spans="1:19" hidden="1">
      <c r="A2613" s="103" t="s">
        <v>4422</v>
      </c>
      <c r="B2613" s="149" t="str">
        <f>IFERROR(VLOOKUP(Proc[[#This Row],[App]],Table2[],3,0),"open")</f>
        <v>ok</v>
      </c>
      <c r="C2613" s="117" t="s">
        <v>369</v>
      </c>
      <c r="D2613" t="s">
        <v>4534</v>
      </c>
      <c r="E2613" t="s">
        <v>4741</v>
      </c>
      <c r="F2613" s="94" t="s">
        <v>4741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4785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4894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116</v>
      </c>
      <c r="R2613" s="110" t="s">
        <v>485</v>
      </c>
      <c r="S2613" s="94"/>
    </row>
    <row r="2614" spans="1:19" hidden="1">
      <c r="A2614" s="103" t="s">
        <v>4422</v>
      </c>
      <c r="B2614" s="149" t="str">
        <f>IFERROR(VLOOKUP(Proc[[#This Row],[App]],Table2[],3,0),"open")</f>
        <v>ok</v>
      </c>
      <c r="C2614" s="117" t="s">
        <v>369</v>
      </c>
      <c r="D2614" t="s">
        <v>4535</v>
      </c>
      <c r="E2614" t="s">
        <v>4741</v>
      </c>
      <c r="F2614" s="94" t="s">
        <v>4741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4785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4894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116</v>
      </c>
      <c r="R2614" s="110" t="s">
        <v>485</v>
      </c>
      <c r="S2614" s="94"/>
    </row>
    <row r="2615" spans="1:19" hidden="1">
      <c r="A2615" s="103" t="s">
        <v>4422</v>
      </c>
      <c r="B2615" s="149" t="str">
        <f>IFERROR(VLOOKUP(Proc[[#This Row],[App]],Table2[],3,0),"open")</f>
        <v>ok</v>
      </c>
      <c r="C2615" s="117" t="s">
        <v>369</v>
      </c>
      <c r="D2615" t="s">
        <v>4536</v>
      </c>
      <c r="E2615" t="s">
        <v>4741</v>
      </c>
      <c r="F2615" s="94" t="s">
        <v>4741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4785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4894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116</v>
      </c>
      <c r="R2615" s="110" t="s">
        <v>485</v>
      </c>
      <c r="S2615" s="94"/>
    </row>
    <row r="2616" spans="1:19" hidden="1">
      <c r="A2616" s="103" t="s">
        <v>4422</v>
      </c>
      <c r="B2616" s="149" t="str">
        <f>IFERROR(VLOOKUP(Proc[[#This Row],[App]],Table2[],3,0),"open")</f>
        <v>ok</v>
      </c>
      <c r="C2616" s="117" t="s">
        <v>369</v>
      </c>
      <c r="D2616" t="s">
        <v>4537</v>
      </c>
      <c r="E2616" t="s">
        <v>4741</v>
      </c>
      <c r="F2616" s="94" t="s">
        <v>4741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4785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4894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116</v>
      </c>
      <c r="R2616" s="110" t="s">
        <v>485</v>
      </c>
      <c r="S2616" s="94"/>
    </row>
    <row r="2617" spans="1:19" hidden="1">
      <c r="A2617" s="103" t="s">
        <v>4422</v>
      </c>
      <c r="B2617" s="149" t="str">
        <f>IFERROR(VLOOKUP(Proc[[#This Row],[App]],Table2[],3,0),"open")</f>
        <v>ok</v>
      </c>
      <c r="C2617" s="117" t="s">
        <v>369</v>
      </c>
      <c r="D2617" t="s">
        <v>4538</v>
      </c>
      <c r="E2617" t="s">
        <v>4744</v>
      </c>
      <c r="F2617" s="94" t="s">
        <v>4744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4785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4894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116</v>
      </c>
      <c r="R2617" s="110" t="s">
        <v>485</v>
      </c>
      <c r="S2617" s="94"/>
    </row>
    <row r="2618" spans="1:19" hidden="1">
      <c r="A2618" s="103" t="s">
        <v>4422</v>
      </c>
      <c r="B2618" s="149" t="str">
        <f>IFERROR(VLOOKUP(Proc[[#This Row],[App]],Table2[],3,0),"open")</f>
        <v>ok</v>
      </c>
      <c r="C2618" s="117" t="s">
        <v>369</v>
      </c>
      <c r="D2618" t="s">
        <v>4539</v>
      </c>
      <c r="E2618" t="s">
        <v>4741</v>
      </c>
      <c r="F2618" s="94" t="s">
        <v>4741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4785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4894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116</v>
      </c>
      <c r="R2618" s="110" t="s">
        <v>485</v>
      </c>
      <c r="S2618" s="94"/>
    </row>
    <row r="2619" spans="1:19" hidden="1">
      <c r="A2619" s="103" t="s">
        <v>4422</v>
      </c>
      <c r="B2619" s="149" t="str">
        <f>IFERROR(VLOOKUP(Proc[[#This Row],[App]],Table2[],3,0),"open")</f>
        <v>ok</v>
      </c>
      <c r="C2619" s="117" t="s">
        <v>369</v>
      </c>
      <c r="D2619" t="s">
        <v>4540</v>
      </c>
      <c r="E2619" t="s">
        <v>4741</v>
      </c>
      <c r="F2619" s="94" t="s">
        <v>4741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4785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4894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116</v>
      </c>
      <c r="R2619" s="110" t="s">
        <v>485</v>
      </c>
      <c r="S2619" s="94"/>
    </row>
    <row r="2620" spans="1:19" hidden="1">
      <c r="A2620" s="103" t="s">
        <v>4422</v>
      </c>
      <c r="B2620" s="149" t="str">
        <f>IFERROR(VLOOKUP(Proc[[#This Row],[App]],Table2[],3,0),"open")</f>
        <v>ok</v>
      </c>
      <c r="C2620" s="117" t="s">
        <v>369</v>
      </c>
      <c r="D2620" t="s">
        <v>4541</v>
      </c>
      <c r="E2620" t="s">
        <v>4741</v>
      </c>
      <c r="F2620" s="94" t="s">
        <v>4741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4785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4894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116</v>
      </c>
      <c r="R2620" s="110" t="s">
        <v>485</v>
      </c>
      <c r="S2620" s="94"/>
    </row>
    <row r="2621" spans="1:19" hidden="1">
      <c r="A2621" s="103" t="s">
        <v>4422</v>
      </c>
      <c r="B2621" s="149" t="str">
        <f>IFERROR(VLOOKUP(Proc[[#This Row],[App]],Table2[],3,0),"open")</f>
        <v>ok</v>
      </c>
      <c r="C2621" s="117" t="s">
        <v>369</v>
      </c>
      <c r="D2621" t="s">
        <v>4542</v>
      </c>
      <c r="E2621" t="s">
        <v>4741</v>
      </c>
      <c r="F2621" s="94" t="s">
        <v>4741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4785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4894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116</v>
      </c>
      <c r="R2621" s="110" t="s">
        <v>485</v>
      </c>
      <c r="S2621" s="94"/>
    </row>
    <row r="2622" spans="1:19" hidden="1">
      <c r="A2622" s="103" t="s">
        <v>4422</v>
      </c>
      <c r="B2622" s="149" t="str">
        <f>IFERROR(VLOOKUP(Proc[[#This Row],[App]],Table2[],3,0),"open")</f>
        <v>ok</v>
      </c>
      <c r="C2622" s="117" t="s">
        <v>369</v>
      </c>
      <c r="D2622" t="s">
        <v>4543</v>
      </c>
      <c r="E2622" t="s">
        <v>4744</v>
      </c>
      <c r="F2622" s="94" t="s">
        <v>4744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4785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4894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116</v>
      </c>
      <c r="R2622" s="110" t="s">
        <v>485</v>
      </c>
      <c r="S2622" s="94"/>
    </row>
    <row r="2623" spans="1:19" hidden="1">
      <c r="A2623" s="103" t="s">
        <v>4422</v>
      </c>
      <c r="B2623" s="149" t="str">
        <f>IFERROR(VLOOKUP(Proc[[#This Row],[App]],Table2[],3,0),"open")</f>
        <v>ok</v>
      </c>
      <c r="C2623" s="117" t="s">
        <v>369</v>
      </c>
      <c r="D2623" t="s">
        <v>4544</v>
      </c>
      <c r="E2623" t="s">
        <v>4741</v>
      </c>
      <c r="F2623" s="94" t="s">
        <v>4741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4785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4894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116</v>
      </c>
      <c r="R2623" s="110" t="s">
        <v>485</v>
      </c>
      <c r="S2623" s="94"/>
    </row>
    <row r="2624" spans="1:19" hidden="1">
      <c r="A2624" s="103" t="s">
        <v>4422</v>
      </c>
      <c r="B2624" s="149" t="str">
        <f>IFERROR(VLOOKUP(Proc[[#This Row],[App]],Table2[],3,0),"open")</f>
        <v>ok</v>
      </c>
      <c r="C2624" s="117" t="s">
        <v>369</v>
      </c>
      <c r="D2624" t="s">
        <v>4545</v>
      </c>
      <c r="E2624" t="s">
        <v>4741</v>
      </c>
      <c r="F2624" s="94" t="s">
        <v>4741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4785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4894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116</v>
      </c>
      <c r="R2624" s="110" t="s">
        <v>485</v>
      </c>
      <c r="S2624" s="94"/>
    </row>
    <row r="2625" spans="1:19" hidden="1">
      <c r="A2625" s="103" t="s">
        <v>4422</v>
      </c>
      <c r="B2625" s="149" t="str">
        <f>IFERROR(VLOOKUP(Proc[[#This Row],[App]],Table2[],3,0),"open")</f>
        <v>ok</v>
      </c>
      <c r="C2625" s="117" t="s">
        <v>369</v>
      </c>
      <c r="D2625" t="s">
        <v>4546</v>
      </c>
      <c r="E2625" t="s">
        <v>4740</v>
      </c>
      <c r="F2625" s="94" t="s">
        <v>4740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4785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4894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116</v>
      </c>
      <c r="R2625" s="110" t="s">
        <v>485</v>
      </c>
      <c r="S2625" s="94"/>
    </row>
    <row r="2626" spans="1:19" hidden="1">
      <c r="A2626" s="103" t="s">
        <v>4422</v>
      </c>
      <c r="B2626" s="149" t="str">
        <f>IFERROR(VLOOKUP(Proc[[#This Row],[App]],Table2[],3,0),"open")</f>
        <v>ok</v>
      </c>
      <c r="C2626" s="117" t="s">
        <v>369</v>
      </c>
      <c r="D2626" t="s">
        <v>4547</v>
      </c>
      <c r="E2626" t="s">
        <v>4741</v>
      </c>
      <c r="F2626" s="94" t="s">
        <v>4741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4785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4894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116</v>
      </c>
      <c r="R2626" s="110" t="s">
        <v>485</v>
      </c>
      <c r="S2626" s="94"/>
    </row>
    <row r="2627" spans="1:19" hidden="1">
      <c r="A2627" s="103" t="s">
        <v>4422</v>
      </c>
      <c r="B2627" s="149" t="str">
        <f>IFERROR(VLOOKUP(Proc[[#This Row],[App]],Table2[],3,0),"open")</f>
        <v>ok</v>
      </c>
      <c r="C2627" s="117" t="s">
        <v>369</v>
      </c>
      <c r="D2627" t="s">
        <v>4548</v>
      </c>
      <c r="E2627" t="s">
        <v>4741</v>
      </c>
      <c r="F2627" s="94" t="s">
        <v>4741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4785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4894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116</v>
      </c>
      <c r="R2627" s="110" t="s">
        <v>485</v>
      </c>
      <c r="S2627" s="94"/>
    </row>
    <row r="2628" spans="1:19" hidden="1">
      <c r="A2628" s="103" t="s">
        <v>4422</v>
      </c>
      <c r="B2628" s="149" t="str">
        <f>IFERROR(VLOOKUP(Proc[[#This Row],[App]],Table2[],3,0),"open")</f>
        <v>ok</v>
      </c>
      <c r="C2628" s="117" t="s">
        <v>369</v>
      </c>
      <c r="D2628" t="s">
        <v>4549</v>
      </c>
      <c r="E2628" t="s">
        <v>4743</v>
      </c>
      <c r="F2628" s="94" t="s">
        <v>4743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4785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4894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116</v>
      </c>
      <c r="R2628" s="110" t="s">
        <v>485</v>
      </c>
      <c r="S2628" s="94"/>
    </row>
    <row r="2629" spans="1:19" hidden="1">
      <c r="A2629" s="103" t="s">
        <v>4422</v>
      </c>
      <c r="B2629" s="149" t="str">
        <f>IFERROR(VLOOKUP(Proc[[#This Row],[App]],Table2[],3,0),"open")</f>
        <v>ok</v>
      </c>
      <c r="C2629" s="117" t="s">
        <v>369</v>
      </c>
      <c r="D2629" t="s">
        <v>4550</v>
      </c>
      <c r="E2629" t="s">
        <v>4741</v>
      </c>
      <c r="F2629" s="94" t="s">
        <v>4741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4785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4894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116</v>
      </c>
      <c r="R2629" s="110" t="s">
        <v>485</v>
      </c>
      <c r="S2629" s="94"/>
    </row>
    <row r="2630" spans="1:19" hidden="1">
      <c r="A2630" s="103" t="s">
        <v>4422</v>
      </c>
      <c r="B2630" s="149" t="str">
        <f>IFERROR(VLOOKUP(Proc[[#This Row],[App]],Table2[],3,0),"open")</f>
        <v>ok</v>
      </c>
      <c r="C2630" s="117" t="s">
        <v>369</v>
      </c>
      <c r="D2630" t="s">
        <v>4551</v>
      </c>
      <c r="E2630" t="s">
        <v>4741</v>
      </c>
      <c r="F2630" s="94" t="s">
        <v>4741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4785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4894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116</v>
      </c>
      <c r="R2630" s="110" t="s">
        <v>485</v>
      </c>
      <c r="S2630" s="94"/>
    </row>
    <row r="2631" spans="1:19" hidden="1">
      <c r="A2631" s="103" t="s">
        <v>4422</v>
      </c>
      <c r="B2631" s="149" t="str">
        <f>IFERROR(VLOOKUP(Proc[[#This Row],[App]],Table2[],3,0),"open")</f>
        <v>ok</v>
      </c>
      <c r="C2631" s="117" t="s">
        <v>369</v>
      </c>
      <c r="D2631" t="s">
        <v>4552</v>
      </c>
      <c r="E2631" t="s">
        <v>4741</v>
      </c>
      <c r="F2631" s="94" t="s">
        <v>4741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4785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4894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116</v>
      </c>
      <c r="R2631" s="110" t="s">
        <v>485</v>
      </c>
      <c r="S2631" s="94"/>
    </row>
    <row r="2632" spans="1:19" hidden="1">
      <c r="A2632" s="103" t="s">
        <v>4422</v>
      </c>
      <c r="B2632" s="149" t="str">
        <f>IFERROR(VLOOKUP(Proc[[#This Row],[App]],Table2[],3,0),"open")</f>
        <v>ok</v>
      </c>
      <c r="C2632" s="117" t="s">
        <v>369</v>
      </c>
      <c r="D2632" t="s">
        <v>4553</v>
      </c>
      <c r="E2632" t="s">
        <v>4743</v>
      </c>
      <c r="F2632" s="94" t="s">
        <v>4743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4785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4894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116</v>
      </c>
      <c r="R2632" s="110" t="s">
        <v>485</v>
      </c>
      <c r="S2632" s="94"/>
    </row>
    <row r="2633" spans="1:19" hidden="1">
      <c r="A2633" s="103" t="s">
        <v>4422</v>
      </c>
      <c r="B2633" s="149" t="str">
        <f>IFERROR(VLOOKUP(Proc[[#This Row],[App]],Table2[],3,0),"open")</f>
        <v>ok</v>
      </c>
      <c r="C2633" s="117" t="s">
        <v>369</v>
      </c>
      <c r="D2633" t="s">
        <v>4554</v>
      </c>
      <c r="E2633" t="s">
        <v>4743</v>
      </c>
      <c r="F2633" s="94" t="s">
        <v>4743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4785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4894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116</v>
      </c>
      <c r="R2633" s="110" t="s">
        <v>485</v>
      </c>
      <c r="S2633" s="94"/>
    </row>
    <row r="2634" spans="1:19" hidden="1">
      <c r="A2634" s="103" t="s">
        <v>4422</v>
      </c>
      <c r="B2634" s="149" t="str">
        <f>IFERROR(VLOOKUP(Proc[[#This Row],[App]],Table2[],3,0),"open")</f>
        <v>ok</v>
      </c>
      <c r="C2634" s="117" t="s">
        <v>369</v>
      </c>
      <c r="D2634" t="s">
        <v>4555</v>
      </c>
      <c r="E2634" t="s">
        <v>4744</v>
      </c>
      <c r="F2634" s="94" t="s">
        <v>4744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4785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4894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116</v>
      </c>
      <c r="R2634" s="110" t="s">
        <v>485</v>
      </c>
      <c r="S2634" s="94"/>
    </row>
    <row r="2635" spans="1:19" hidden="1">
      <c r="A2635" s="103" t="s">
        <v>4422</v>
      </c>
      <c r="B2635" s="149" t="str">
        <f>IFERROR(VLOOKUP(Proc[[#This Row],[App]],Table2[],3,0),"open")</f>
        <v>ok</v>
      </c>
      <c r="C2635" s="117" t="s">
        <v>369</v>
      </c>
      <c r="D2635" t="s">
        <v>4556</v>
      </c>
      <c r="E2635" t="s">
        <v>4744</v>
      </c>
      <c r="F2635" s="94" t="s">
        <v>4744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4785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4894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116</v>
      </c>
      <c r="R2635" s="110" t="s">
        <v>485</v>
      </c>
      <c r="S2635" s="94"/>
    </row>
    <row r="2636" spans="1:19" hidden="1">
      <c r="A2636" s="103" t="s">
        <v>4422</v>
      </c>
      <c r="B2636" s="149" t="str">
        <f>IFERROR(VLOOKUP(Proc[[#This Row],[App]],Table2[],3,0),"open")</f>
        <v>ok</v>
      </c>
      <c r="C2636" s="117" t="s">
        <v>369</v>
      </c>
      <c r="D2636" t="s">
        <v>4557</v>
      </c>
      <c r="E2636" t="s">
        <v>4744</v>
      </c>
      <c r="F2636" s="94" t="s">
        <v>4744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4785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4894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116</v>
      </c>
      <c r="R2636" s="110" t="s">
        <v>485</v>
      </c>
      <c r="S2636" s="94"/>
    </row>
    <row r="2637" spans="1:19" hidden="1">
      <c r="A2637" s="103" t="s">
        <v>4422</v>
      </c>
      <c r="B2637" s="149" t="str">
        <f>IFERROR(VLOOKUP(Proc[[#This Row],[App]],Table2[],3,0),"open")</f>
        <v>ok</v>
      </c>
      <c r="C2637" s="117" t="s">
        <v>369</v>
      </c>
      <c r="D2637" t="s">
        <v>4558</v>
      </c>
      <c r="E2637" t="s">
        <v>4741</v>
      </c>
      <c r="F2637" s="94" t="s">
        <v>4741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4785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4894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116</v>
      </c>
      <c r="R2637" s="110" t="s">
        <v>485</v>
      </c>
      <c r="S2637" s="94"/>
    </row>
    <row r="2638" spans="1:19" hidden="1">
      <c r="A2638" s="103" t="s">
        <v>4422</v>
      </c>
      <c r="B2638" s="149" t="str">
        <f>IFERROR(VLOOKUP(Proc[[#This Row],[App]],Table2[],3,0),"open")</f>
        <v>ok</v>
      </c>
      <c r="C2638" s="117" t="s">
        <v>369</v>
      </c>
      <c r="D2638" t="s">
        <v>4559</v>
      </c>
      <c r="E2638" t="s">
        <v>4741</v>
      </c>
      <c r="F2638" s="94" t="s">
        <v>4741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4785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4894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116</v>
      </c>
      <c r="R2638" s="110" t="s">
        <v>485</v>
      </c>
      <c r="S2638" s="94"/>
    </row>
    <row r="2639" spans="1:19" hidden="1">
      <c r="A2639" s="103" t="s">
        <v>4422</v>
      </c>
      <c r="B2639" s="149" t="str">
        <f>IFERROR(VLOOKUP(Proc[[#This Row],[App]],Table2[],3,0),"open")</f>
        <v>ok</v>
      </c>
      <c r="C2639" s="117" t="s">
        <v>369</v>
      </c>
      <c r="D2639" t="s">
        <v>4560</v>
      </c>
      <c r="E2639" t="s">
        <v>4743</v>
      </c>
      <c r="F2639" s="94" t="s">
        <v>4743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4785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4894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116</v>
      </c>
      <c r="R2639" s="110" t="s">
        <v>485</v>
      </c>
      <c r="S2639" s="94"/>
    </row>
    <row r="2640" spans="1:19" hidden="1">
      <c r="A2640" s="103" t="s">
        <v>4422</v>
      </c>
      <c r="B2640" s="149" t="str">
        <f>IFERROR(VLOOKUP(Proc[[#This Row],[App]],Table2[],3,0),"open")</f>
        <v>ok</v>
      </c>
      <c r="C2640" s="117" t="s">
        <v>369</v>
      </c>
      <c r="D2640" t="s">
        <v>4561</v>
      </c>
      <c r="E2640" t="s">
        <v>4743</v>
      </c>
      <c r="F2640" s="94" t="s">
        <v>4743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4785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4894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116</v>
      </c>
      <c r="R2640" s="110" t="s">
        <v>485</v>
      </c>
      <c r="S2640" s="94"/>
    </row>
    <row r="2641" spans="1:19" hidden="1">
      <c r="A2641" s="103" t="s">
        <v>4422</v>
      </c>
      <c r="B2641" s="149" t="str">
        <f>IFERROR(VLOOKUP(Proc[[#This Row],[App]],Table2[],3,0),"open")</f>
        <v>ok</v>
      </c>
      <c r="C2641" s="117" t="s">
        <v>369</v>
      </c>
      <c r="D2641" t="s">
        <v>4562</v>
      </c>
      <c r="E2641" t="s">
        <v>4743</v>
      </c>
      <c r="F2641" s="94" t="s">
        <v>4743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4785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4894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116</v>
      </c>
      <c r="R2641" s="110" t="s">
        <v>485</v>
      </c>
      <c r="S2641" s="94"/>
    </row>
    <row r="2642" spans="1:19" hidden="1">
      <c r="A2642" s="103" t="s">
        <v>4422</v>
      </c>
      <c r="B2642" s="149" t="str">
        <f>IFERROR(VLOOKUP(Proc[[#This Row],[App]],Table2[],3,0),"open")</f>
        <v>ok</v>
      </c>
      <c r="C2642" s="117" t="s">
        <v>369</v>
      </c>
      <c r="D2642" t="s">
        <v>4563</v>
      </c>
      <c r="E2642" t="s">
        <v>4743</v>
      </c>
      <c r="F2642" s="94" t="s">
        <v>4743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4785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4894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116</v>
      </c>
      <c r="R2642" s="110" t="s">
        <v>485</v>
      </c>
      <c r="S2642" s="94"/>
    </row>
    <row r="2643" spans="1:19" hidden="1">
      <c r="A2643" s="103" t="s">
        <v>4422</v>
      </c>
      <c r="B2643" s="149" t="str">
        <f>IFERROR(VLOOKUP(Proc[[#This Row],[App]],Table2[],3,0),"open")</f>
        <v>ok</v>
      </c>
      <c r="C2643" s="117" t="s">
        <v>369</v>
      </c>
      <c r="D2643" t="s">
        <v>4564</v>
      </c>
      <c r="E2643" t="s">
        <v>4741</v>
      </c>
      <c r="F2643" s="94" t="s">
        <v>4741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4785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4894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116</v>
      </c>
      <c r="R2643" s="110" t="s">
        <v>485</v>
      </c>
      <c r="S2643" s="94"/>
    </row>
    <row r="2644" spans="1:19" hidden="1">
      <c r="A2644" s="103" t="s">
        <v>4422</v>
      </c>
      <c r="B2644" s="149" t="str">
        <f>IFERROR(VLOOKUP(Proc[[#This Row],[App]],Table2[],3,0),"open")</f>
        <v>ok</v>
      </c>
      <c r="C2644" s="117" t="s">
        <v>369</v>
      </c>
      <c r="D2644" t="s">
        <v>4565</v>
      </c>
      <c r="E2644" t="s">
        <v>4741</v>
      </c>
      <c r="F2644" s="94" t="s">
        <v>4741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4785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4894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116</v>
      </c>
      <c r="R2644" s="110" t="s">
        <v>485</v>
      </c>
      <c r="S2644" s="94"/>
    </row>
    <row r="2645" spans="1:19" hidden="1">
      <c r="A2645" s="103" t="s">
        <v>4422</v>
      </c>
      <c r="B2645" s="149" t="str">
        <f>IFERROR(VLOOKUP(Proc[[#This Row],[App]],Table2[],3,0),"open")</f>
        <v>ok</v>
      </c>
      <c r="C2645" s="117" t="s">
        <v>369</v>
      </c>
      <c r="D2645" t="s">
        <v>4566</v>
      </c>
      <c r="E2645" t="s">
        <v>4741</v>
      </c>
      <c r="F2645" s="94" t="s">
        <v>4741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4785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4894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116</v>
      </c>
      <c r="R2645" s="110" t="s">
        <v>485</v>
      </c>
      <c r="S2645" s="94"/>
    </row>
    <row r="2646" spans="1:19" hidden="1">
      <c r="A2646" s="103" t="s">
        <v>4422</v>
      </c>
      <c r="B2646" s="149" t="str">
        <f>IFERROR(VLOOKUP(Proc[[#This Row],[App]],Table2[],3,0),"open")</f>
        <v>ok</v>
      </c>
      <c r="C2646" s="117" t="s">
        <v>369</v>
      </c>
      <c r="D2646" t="s">
        <v>4567</v>
      </c>
      <c r="E2646" t="s">
        <v>4741</v>
      </c>
      <c r="F2646" s="94" t="s">
        <v>4741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4785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4894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116</v>
      </c>
      <c r="R2646" s="110" t="s">
        <v>485</v>
      </c>
      <c r="S2646" s="94"/>
    </row>
    <row r="2647" spans="1:19" hidden="1">
      <c r="A2647" s="103" t="s">
        <v>4422</v>
      </c>
      <c r="B2647" s="149" t="str">
        <f>IFERROR(VLOOKUP(Proc[[#This Row],[App]],Table2[],3,0),"open")</f>
        <v>ok</v>
      </c>
      <c r="C2647" s="117" t="s">
        <v>369</v>
      </c>
      <c r="D2647" t="s">
        <v>4568</v>
      </c>
      <c r="E2647" t="s">
        <v>4743</v>
      </c>
      <c r="F2647" s="94" t="s">
        <v>4743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4785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4894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116</v>
      </c>
      <c r="R2647" s="110" t="s">
        <v>485</v>
      </c>
      <c r="S2647" s="94"/>
    </row>
    <row r="2648" spans="1:19" hidden="1">
      <c r="A2648" s="103" t="s">
        <v>4422</v>
      </c>
      <c r="B2648" s="149" t="str">
        <f>IFERROR(VLOOKUP(Proc[[#This Row],[App]],Table2[],3,0),"open")</f>
        <v>ok</v>
      </c>
      <c r="C2648" s="117" t="s">
        <v>369</v>
      </c>
      <c r="D2648" t="s">
        <v>4569</v>
      </c>
      <c r="E2648" t="s">
        <v>4744</v>
      </c>
      <c r="F2648" s="94" t="s">
        <v>4744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4785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4894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116</v>
      </c>
      <c r="R2648" s="110" t="s">
        <v>485</v>
      </c>
      <c r="S2648" s="94"/>
    </row>
    <row r="2649" spans="1:19" hidden="1">
      <c r="A2649" s="103" t="s">
        <v>4422</v>
      </c>
      <c r="B2649" s="149" t="str">
        <f>IFERROR(VLOOKUP(Proc[[#This Row],[App]],Table2[],3,0),"open")</f>
        <v>ok</v>
      </c>
      <c r="C2649" s="117" t="s">
        <v>369</v>
      </c>
      <c r="D2649" t="s">
        <v>4570</v>
      </c>
      <c r="E2649" t="s">
        <v>4744</v>
      </c>
      <c r="F2649" s="94" t="s">
        <v>4744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4785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4894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116</v>
      </c>
      <c r="R2649" s="110" t="s">
        <v>485</v>
      </c>
      <c r="S2649" s="94"/>
    </row>
    <row r="2650" spans="1:19" hidden="1">
      <c r="A2650" s="103" t="s">
        <v>4422</v>
      </c>
      <c r="B2650" s="149" t="str">
        <f>IFERROR(VLOOKUP(Proc[[#This Row],[App]],Table2[],3,0),"open")</f>
        <v>ok</v>
      </c>
      <c r="C2650" s="117" t="s">
        <v>369</v>
      </c>
      <c r="D2650" t="s">
        <v>4571</v>
      </c>
      <c r="E2650" t="s">
        <v>4744</v>
      </c>
      <c r="F2650" s="94" t="s">
        <v>4744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4785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4894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116</v>
      </c>
      <c r="R2650" s="110" t="s">
        <v>485</v>
      </c>
      <c r="S2650" s="94"/>
    </row>
    <row r="2651" spans="1:19" hidden="1">
      <c r="A2651" s="103" t="s">
        <v>4422</v>
      </c>
      <c r="B2651" s="149" t="str">
        <f>IFERROR(VLOOKUP(Proc[[#This Row],[App]],Table2[],3,0),"open")</f>
        <v>ok</v>
      </c>
      <c r="C2651" s="117" t="s">
        <v>369</v>
      </c>
      <c r="D2651" t="s">
        <v>4572</v>
      </c>
      <c r="E2651" t="s">
        <v>4744</v>
      </c>
      <c r="F2651" s="94" t="s">
        <v>4744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4785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4894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116</v>
      </c>
      <c r="R2651" s="110" t="s">
        <v>485</v>
      </c>
      <c r="S2651" s="94"/>
    </row>
    <row r="2652" spans="1:19" hidden="1">
      <c r="A2652" s="103" t="s">
        <v>4422</v>
      </c>
      <c r="B2652" s="149" t="str">
        <f>IFERROR(VLOOKUP(Proc[[#This Row],[App]],Table2[],3,0),"open")</f>
        <v>ok</v>
      </c>
      <c r="C2652" s="117" t="s">
        <v>369</v>
      </c>
      <c r="D2652" t="s">
        <v>4573</v>
      </c>
      <c r="E2652" t="s">
        <v>4741</v>
      </c>
      <c r="F2652" s="94" t="s">
        <v>4741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4785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4894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116</v>
      </c>
      <c r="R2652" s="110" t="s">
        <v>485</v>
      </c>
      <c r="S2652" s="94"/>
    </row>
    <row r="2653" spans="1:19" hidden="1">
      <c r="A2653" s="103" t="s">
        <v>4422</v>
      </c>
      <c r="B2653" s="149" t="str">
        <f>IFERROR(VLOOKUP(Proc[[#This Row],[App]],Table2[],3,0),"open")</f>
        <v>ok</v>
      </c>
      <c r="C2653" s="117" t="s">
        <v>369</v>
      </c>
      <c r="D2653" t="s">
        <v>4574</v>
      </c>
      <c r="E2653" t="s">
        <v>4740</v>
      </c>
      <c r="F2653" s="94" t="s">
        <v>4740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4785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4894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116</v>
      </c>
      <c r="R2653" s="110" t="s">
        <v>485</v>
      </c>
      <c r="S2653" s="94"/>
    </row>
    <row r="2654" spans="1:19" hidden="1">
      <c r="A2654" s="103" t="s">
        <v>4422</v>
      </c>
      <c r="B2654" s="149" t="str">
        <f>IFERROR(VLOOKUP(Proc[[#This Row],[App]],Table2[],3,0),"open")</f>
        <v>ok</v>
      </c>
      <c r="C2654" s="117" t="s">
        <v>369</v>
      </c>
      <c r="D2654" t="s">
        <v>4575</v>
      </c>
      <c r="E2654" t="s">
        <v>4740</v>
      </c>
      <c r="F2654" s="94" t="s">
        <v>4740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4785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4894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116</v>
      </c>
      <c r="R2654" s="110" t="s">
        <v>485</v>
      </c>
      <c r="S2654" s="94"/>
    </row>
    <row r="2655" spans="1:19" hidden="1">
      <c r="A2655" s="103" t="s">
        <v>4422</v>
      </c>
      <c r="B2655" s="149" t="str">
        <f>IFERROR(VLOOKUP(Proc[[#This Row],[App]],Table2[],3,0),"open")</f>
        <v>ok</v>
      </c>
      <c r="C2655" s="117" t="s">
        <v>369</v>
      </c>
      <c r="D2655" t="s">
        <v>4576</v>
      </c>
      <c r="E2655" t="s">
        <v>4744</v>
      </c>
      <c r="F2655" s="94" t="s">
        <v>4744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4785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4894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116</v>
      </c>
      <c r="R2655" s="110" t="s">
        <v>485</v>
      </c>
      <c r="S2655" s="94"/>
    </row>
    <row r="2656" spans="1:19" hidden="1">
      <c r="A2656" s="103" t="s">
        <v>4422</v>
      </c>
      <c r="B2656" s="149" t="str">
        <f>IFERROR(VLOOKUP(Proc[[#This Row],[App]],Table2[],3,0),"open")</f>
        <v>ok</v>
      </c>
      <c r="C2656" s="117" t="s">
        <v>369</v>
      </c>
      <c r="D2656" t="s">
        <v>4577</v>
      </c>
      <c r="E2656" t="s">
        <v>4740</v>
      </c>
      <c r="F2656" s="94" t="s">
        <v>4740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4785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4894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116</v>
      </c>
      <c r="R2656" s="110" t="s">
        <v>485</v>
      </c>
      <c r="S2656" s="94"/>
    </row>
    <row r="2657" spans="1:19" hidden="1">
      <c r="A2657" s="103" t="s">
        <v>4422</v>
      </c>
      <c r="B2657" s="149" t="str">
        <f>IFERROR(VLOOKUP(Proc[[#This Row],[App]],Table2[],3,0),"open")</f>
        <v>ok</v>
      </c>
      <c r="C2657" s="117" t="s">
        <v>369</v>
      </c>
      <c r="D2657" t="s">
        <v>4578</v>
      </c>
      <c r="E2657" t="s">
        <v>4745</v>
      </c>
      <c r="F2657" s="94" t="s">
        <v>4745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4785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4894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116</v>
      </c>
      <c r="R2657" s="110" t="s">
        <v>485</v>
      </c>
      <c r="S2657" s="94"/>
    </row>
    <row r="2658" spans="1:19" hidden="1">
      <c r="A2658" s="103" t="s">
        <v>4422</v>
      </c>
      <c r="B2658" s="149" t="str">
        <f>IFERROR(VLOOKUP(Proc[[#This Row],[App]],Table2[],3,0),"open")</f>
        <v>ok</v>
      </c>
      <c r="C2658" s="117" t="s">
        <v>369</v>
      </c>
      <c r="D2658" t="s">
        <v>4579</v>
      </c>
      <c r="E2658" t="s">
        <v>4745</v>
      </c>
      <c r="F2658" s="94" t="s">
        <v>4745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4785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4894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116</v>
      </c>
      <c r="R2658" s="110" t="s">
        <v>485</v>
      </c>
      <c r="S2658" s="94"/>
    </row>
    <row r="2659" spans="1:19" hidden="1">
      <c r="A2659" s="103" t="s">
        <v>4422</v>
      </c>
      <c r="B2659" s="149" t="str">
        <f>IFERROR(VLOOKUP(Proc[[#This Row],[App]],Table2[],3,0),"open")</f>
        <v>ok</v>
      </c>
      <c r="C2659" s="117" t="s">
        <v>369</v>
      </c>
      <c r="D2659" t="s">
        <v>4580</v>
      </c>
      <c r="E2659" t="s">
        <v>4745</v>
      </c>
      <c r="F2659" s="94" t="s">
        <v>4745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4785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4894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116</v>
      </c>
      <c r="R2659" s="110" t="s">
        <v>485</v>
      </c>
      <c r="S2659" s="94"/>
    </row>
    <row r="2660" spans="1:19" hidden="1">
      <c r="A2660" s="103" t="s">
        <v>4422</v>
      </c>
      <c r="B2660" s="149" t="str">
        <f>IFERROR(VLOOKUP(Proc[[#This Row],[App]],Table2[],3,0),"open")</f>
        <v>ok</v>
      </c>
      <c r="C2660" s="117" t="s">
        <v>369</v>
      </c>
      <c r="D2660" t="s">
        <v>4581</v>
      </c>
      <c r="E2660" t="s">
        <v>4745</v>
      </c>
      <c r="F2660" s="94" t="s">
        <v>4745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4785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4894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116</v>
      </c>
      <c r="R2660" s="110" t="s">
        <v>485</v>
      </c>
      <c r="S2660" s="94"/>
    </row>
    <row r="2661" spans="1:19" hidden="1">
      <c r="A2661" s="103" t="s">
        <v>4422</v>
      </c>
      <c r="B2661" s="149" t="str">
        <f>IFERROR(VLOOKUP(Proc[[#This Row],[App]],Table2[],3,0),"open")</f>
        <v>ok</v>
      </c>
      <c r="C2661" s="117" t="s">
        <v>369</v>
      </c>
      <c r="D2661" t="s">
        <v>4582</v>
      </c>
      <c r="E2661" t="s">
        <v>4745</v>
      </c>
      <c r="F2661" s="94" t="s">
        <v>4745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4785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4894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116</v>
      </c>
      <c r="R2661" s="110" t="s">
        <v>485</v>
      </c>
      <c r="S2661" s="94"/>
    </row>
    <row r="2662" spans="1:19" hidden="1">
      <c r="A2662" s="103" t="s">
        <v>4422</v>
      </c>
      <c r="B2662" s="149" t="str">
        <f>IFERROR(VLOOKUP(Proc[[#This Row],[App]],Table2[],3,0),"open")</f>
        <v>ok</v>
      </c>
      <c r="C2662" s="117" t="s">
        <v>369</v>
      </c>
      <c r="D2662" t="s">
        <v>4583</v>
      </c>
      <c r="E2662" t="s">
        <v>4745</v>
      </c>
      <c r="F2662" s="94" t="s">
        <v>4745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4785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4894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116</v>
      </c>
      <c r="R2662" s="110" t="s">
        <v>485</v>
      </c>
      <c r="S2662" s="94"/>
    </row>
    <row r="2663" spans="1:19" hidden="1">
      <c r="A2663" s="103" t="s">
        <v>4422</v>
      </c>
      <c r="B2663" s="149" t="str">
        <f>IFERROR(VLOOKUP(Proc[[#This Row],[App]],Table2[],3,0),"open")</f>
        <v>ok</v>
      </c>
      <c r="C2663" s="117" t="s">
        <v>369</v>
      </c>
      <c r="D2663" t="s">
        <v>4584</v>
      </c>
      <c r="E2663" t="s">
        <v>4746</v>
      </c>
      <c r="F2663" s="94" t="s">
        <v>4746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4785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4894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116</v>
      </c>
      <c r="R2663" s="110" t="s">
        <v>485</v>
      </c>
      <c r="S2663" s="94"/>
    </row>
    <row r="2664" spans="1:19" hidden="1">
      <c r="A2664" s="103" t="s">
        <v>4422</v>
      </c>
      <c r="B2664" s="149" t="str">
        <f>IFERROR(VLOOKUP(Proc[[#This Row],[App]],Table2[],3,0),"open")</f>
        <v>ok</v>
      </c>
      <c r="C2664" s="117" t="s">
        <v>369</v>
      </c>
      <c r="D2664" t="s">
        <v>4585</v>
      </c>
      <c r="E2664" t="s">
        <v>4746</v>
      </c>
      <c r="F2664" s="94" t="s">
        <v>4746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4785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4894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116</v>
      </c>
      <c r="R2664" s="110" t="s">
        <v>485</v>
      </c>
      <c r="S2664" s="94"/>
    </row>
    <row r="2665" spans="1:19" hidden="1">
      <c r="A2665" s="103" t="s">
        <v>4422</v>
      </c>
      <c r="B2665" s="149" t="str">
        <f>IFERROR(VLOOKUP(Proc[[#This Row],[App]],Table2[],3,0),"open")</f>
        <v>ok</v>
      </c>
      <c r="C2665" s="117" t="s">
        <v>369</v>
      </c>
      <c r="D2665" t="s">
        <v>4586</v>
      </c>
      <c r="E2665" t="s">
        <v>4746</v>
      </c>
      <c r="F2665" s="94" t="s">
        <v>4746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4785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4894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116</v>
      </c>
      <c r="R2665" s="110" t="s">
        <v>485</v>
      </c>
      <c r="S2665" s="94"/>
    </row>
    <row r="2666" spans="1:19" hidden="1">
      <c r="A2666" s="103" t="s">
        <v>4422</v>
      </c>
      <c r="B2666" s="149" t="str">
        <f>IFERROR(VLOOKUP(Proc[[#This Row],[App]],Table2[],3,0),"open")</f>
        <v>ok</v>
      </c>
      <c r="C2666" s="117" t="s">
        <v>369</v>
      </c>
      <c r="D2666" t="s">
        <v>4587</v>
      </c>
      <c r="E2666" t="s">
        <v>4746</v>
      </c>
      <c r="F2666" s="94" t="s">
        <v>4746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4785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4894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116</v>
      </c>
      <c r="R2666" s="110" t="s">
        <v>485</v>
      </c>
      <c r="S2666" s="94"/>
    </row>
    <row r="2667" spans="1:19" hidden="1">
      <c r="A2667" s="103" t="s">
        <v>4422</v>
      </c>
      <c r="B2667" s="149" t="str">
        <f>IFERROR(VLOOKUP(Proc[[#This Row],[App]],Table2[],3,0),"open")</f>
        <v>ok</v>
      </c>
      <c r="C2667" s="117" t="s">
        <v>369</v>
      </c>
      <c r="D2667" t="s">
        <v>4588</v>
      </c>
      <c r="E2667" t="s">
        <v>4746</v>
      </c>
      <c r="F2667" s="94" t="s">
        <v>4746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4785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4894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116</v>
      </c>
      <c r="R2667" s="110" t="s">
        <v>485</v>
      </c>
      <c r="S2667" s="94"/>
    </row>
    <row r="2668" spans="1:19" hidden="1">
      <c r="A2668" s="103" t="s">
        <v>4422</v>
      </c>
      <c r="B2668" s="149" t="str">
        <f>IFERROR(VLOOKUP(Proc[[#This Row],[App]],Table2[],3,0),"open")</f>
        <v>ok</v>
      </c>
      <c r="C2668" s="117" t="s">
        <v>369</v>
      </c>
      <c r="D2668" t="s">
        <v>4589</v>
      </c>
      <c r="E2668" t="s">
        <v>4746</v>
      </c>
      <c r="F2668" s="94" t="s">
        <v>4746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4785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4894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116</v>
      </c>
      <c r="R2668" s="110" t="s">
        <v>485</v>
      </c>
      <c r="S2668" s="94"/>
    </row>
    <row r="2669" spans="1:19" hidden="1">
      <c r="A2669" s="103" t="s">
        <v>4422</v>
      </c>
      <c r="B2669" s="149" t="str">
        <f>IFERROR(VLOOKUP(Proc[[#This Row],[App]],Table2[],3,0),"open")</f>
        <v>ok</v>
      </c>
      <c r="C2669" s="117" t="s">
        <v>369</v>
      </c>
      <c r="D2669" t="s">
        <v>4590</v>
      </c>
      <c r="E2669" t="s">
        <v>4746</v>
      </c>
      <c r="F2669" s="94" t="s">
        <v>4746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4785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4894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116</v>
      </c>
      <c r="R2669" s="110" t="s">
        <v>485</v>
      </c>
      <c r="S2669" s="94"/>
    </row>
    <row r="2670" spans="1:19" hidden="1">
      <c r="A2670" s="103" t="s">
        <v>4422</v>
      </c>
      <c r="B2670" s="149" t="str">
        <f>IFERROR(VLOOKUP(Proc[[#This Row],[App]],Table2[],3,0),"open")</f>
        <v>ok</v>
      </c>
      <c r="C2670" s="117" t="s">
        <v>369</v>
      </c>
      <c r="D2670" t="s">
        <v>4591</v>
      </c>
      <c r="E2670" t="s">
        <v>4747</v>
      </c>
      <c r="F2670" s="94" t="s">
        <v>4747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4785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4894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116</v>
      </c>
      <c r="R2670" s="110" t="s">
        <v>485</v>
      </c>
      <c r="S2670" s="94"/>
    </row>
    <row r="2671" spans="1:19" hidden="1">
      <c r="A2671" s="103" t="s">
        <v>4422</v>
      </c>
      <c r="B2671" s="149" t="str">
        <f>IFERROR(VLOOKUP(Proc[[#This Row],[App]],Table2[],3,0),"open")</f>
        <v>ok</v>
      </c>
      <c r="C2671" s="117" t="s">
        <v>369</v>
      </c>
      <c r="D2671" t="s">
        <v>4592</v>
      </c>
      <c r="E2671" t="s">
        <v>4747</v>
      </c>
      <c r="F2671" s="94" t="s">
        <v>4747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4785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4894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116</v>
      </c>
      <c r="R2671" s="110" t="s">
        <v>485</v>
      </c>
      <c r="S2671" s="94"/>
    </row>
    <row r="2672" spans="1:19" hidden="1">
      <c r="A2672" s="103" t="s">
        <v>4422</v>
      </c>
      <c r="B2672" s="149" t="str">
        <f>IFERROR(VLOOKUP(Proc[[#This Row],[App]],Table2[],3,0),"open")</f>
        <v>ok</v>
      </c>
      <c r="C2672" s="117" t="s">
        <v>369</v>
      </c>
      <c r="D2672" t="s">
        <v>4593</v>
      </c>
      <c r="E2672" t="s">
        <v>4747</v>
      </c>
      <c r="F2672" s="94" t="s">
        <v>4747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4785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4894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116</v>
      </c>
      <c r="R2672" s="110" t="s">
        <v>485</v>
      </c>
      <c r="S2672" s="94"/>
    </row>
    <row r="2673" spans="1:19" hidden="1">
      <c r="A2673" s="103" t="s">
        <v>4422</v>
      </c>
      <c r="B2673" s="149" t="str">
        <f>IFERROR(VLOOKUP(Proc[[#This Row],[App]],Table2[],3,0),"open")</f>
        <v>ok</v>
      </c>
      <c r="C2673" s="117" t="s">
        <v>369</v>
      </c>
      <c r="D2673" t="s">
        <v>4594</v>
      </c>
      <c r="E2673" t="s">
        <v>4748</v>
      </c>
      <c r="F2673" s="94" t="s">
        <v>4748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4785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4894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116</v>
      </c>
      <c r="R2673" s="110" t="s">
        <v>485</v>
      </c>
      <c r="S2673" s="94"/>
    </row>
    <row r="2674" spans="1:19" hidden="1">
      <c r="A2674" s="103" t="s">
        <v>4422</v>
      </c>
      <c r="B2674" s="149" t="str">
        <f>IFERROR(VLOOKUP(Proc[[#This Row],[App]],Table2[],3,0),"open")</f>
        <v>ok</v>
      </c>
      <c r="C2674" s="117" t="s">
        <v>369</v>
      </c>
      <c r="D2674" t="s">
        <v>4595</v>
      </c>
      <c r="E2674" t="s">
        <v>4747</v>
      </c>
      <c r="F2674" s="94" t="s">
        <v>4747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4785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4894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116</v>
      </c>
      <c r="R2674" s="110" t="s">
        <v>485</v>
      </c>
      <c r="S2674" s="94"/>
    </row>
    <row r="2675" spans="1:19" hidden="1">
      <c r="A2675" s="103" t="s">
        <v>4422</v>
      </c>
      <c r="B2675" s="149" t="str">
        <f>IFERROR(VLOOKUP(Proc[[#This Row],[App]],Table2[],3,0),"open")</f>
        <v>ok</v>
      </c>
      <c r="C2675" s="117" t="s">
        <v>369</v>
      </c>
      <c r="D2675" t="s">
        <v>4596</v>
      </c>
      <c r="E2675" t="s">
        <v>4748</v>
      </c>
      <c r="F2675" s="94" t="s">
        <v>4748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4785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4894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116</v>
      </c>
      <c r="R2675" s="110" t="s">
        <v>485</v>
      </c>
      <c r="S2675" s="94"/>
    </row>
    <row r="2676" spans="1:19" hidden="1">
      <c r="A2676" s="103" t="s">
        <v>4422</v>
      </c>
      <c r="B2676" s="149" t="str">
        <f>IFERROR(VLOOKUP(Proc[[#This Row],[App]],Table2[],3,0),"open")</f>
        <v>ok</v>
      </c>
      <c r="C2676" s="117" t="s">
        <v>369</v>
      </c>
      <c r="D2676" t="s">
        <v>4597</v>
      </c>
      <c r="E2676" t="s">
        <v>4749</v>
      </c>
      <c r="F2676" s="94" t="s">
        <v>4749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4785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4894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116</v>
      </c>
      <c r="R2676" s="110" t="s">
        <v>485</v>
      </c>
      <c r="S2676" s="94"/>
    </row>
    <row r="2677" spans="1:19" hidden="1">
      <c r="A2677" s="103" t="s">
        <v>4422</v>
      </c>
      <c r="B2677" s="149" t="str">
        <f>IFERROR(VLOOKUP(Proc[[#This Row],[App]],Table2[],3,0),"open")</f>
        <v>ok</v>
      </c>
      <c r="C2677" s="117" t="s">
        <v>369</v>
      </c>
      <c r="D2677" t="s">
        <v>4598</v>
      </c>
      <c r="E2677" t="s">
        <v>4748</v>
      </c>
      <c r="F2677" s="94" t="s">
        <v>4748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4785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4894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116</v>
      </c>
      <c r="R2677" s="110" t="s">
        <v>485</v>
      </c>
      <c r="S2677" s="94"/>
    </row>
    <row r="2678" spans="1:19" hidden="1">
      <c r="A2678" s="103" t="s">
        <v>4422</v>
      </c>
      <c r="B2678" s="149" t="str">
        <f>IFERROR(VLOOKUP(Proc[[#This Row],[App]],Table2[],3,0),"open")</f>
        <v>ok</v>
      </c>
      <c r="C2678" s="117" t="s">
        <v>369</v>
      </c>
      <c r="D2678" t="s">
        <v>4599</v>
      </c>
      <c r="E2678" t="s">
        <v>4748</v>
      </c>
      <c r="F2678" s="94" t="s">
        <v>4748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4785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4894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116</v>
      </c>
      <c r="R2678" s="110" t="s">
        <v>485</v>
      </c>
      <c r="S2678" s="94"/>
    </row>
    <row r="2679" spans="1:19" hidden="1">
      <c r="A2679" s="103" t="s">
        <v>4422</v>
      </c>
      <c r="B2679" s="149" t="str">
        <f>IFERROR(VLOOKUP(Proc[[#This Row],[App]],Table2[],3,0),"open")</f>
        <v>ok</v>
      </c>
      <c r="C2679" s="117" t="s">
        <v>369</v>
      </c>
      <c r="D2679" t="s">
        <v>4600</v>
      </c>
      <c r="E2679" t="s">
        <v>4747</v>
      </c>
      <c r="F2679" s="94" t="s">
        <v>4747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4785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4894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116</v>
      </c>
      <c r="R2679" s="110" t="s">
        <v>485</v>
      </c>
      <c r="S2679" s="94"/>
    </row>
    <row r="2680" spans="1:19" hidden="1">
      <c r="A2680" s="103" t="s">
        <v>4422</v>
      </c>
      <c r="B2680" s="149" t="str">
        <f>IFERROR(VLOOKUP(Proc[[#This Row],[App]],Table2[],3,0),"open")</f>
        <v>ok</v>
      </c>
      <c r="C2680" s="117" t="s">
        <v>369</v>
      </c>
      <c r="D2680" t="s">
        <v>4601</v>
      </c>
      <c r="E2680" t="s">
        <v>4747</v>
      </c>
      <c r="F2680" s="94" t="s">
        <v>4747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4785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4894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116</v>
      </c>
      <c r="R2680" s="110" t="s">
        <v>485</v>
      </c>
      <c r="S2680" s="94"/>
    </row>
    <row r="2681" spans="1:19" hidden="1">
      <c r="A2681" s="103" t="s">
        <v>4422</v>
      </c>
      <c r="B2681" s="149" t="str">
        <f>IFERROR(VLOOKUP(Proc[[#This Row],[App]],Table2[],3,0),"open")</f>
        <v>ok</v>
      </c>
      <c r="C2681" s="117" t="s">
        <v>369</v>
      </c>
      <c r="D2681" t="s">
        <v>4602</v>
      </c>
      <c r="E2681" t="s">
        <v>4747</v>
      </c>
      <c r="F2681" s="94" t="s">
        <v>4747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4785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4894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116</v>
      </c>
      <c r="R2681" s="110" t="s">
        <v>485</v>
      </c>
      <c r="S2681" s="94"/>
    </row>
    <row r="2682" spans="1:19" hidden="1">
      <c r="A2682" s="103" t="s">
        <v>4422</v>
      </c>
      <c r="B2682" s="149" t="str">
        <f>IFERROR(VLOOKUP(Proc[[#This Row],[App]],Table2[],3,0),"open")</f>
        <v>ok</v>
      </c>
      <c r="C2682" s="117" t="s">
        <v>369</v>
      </c>
      <c r="D2682" t="s">
        <v>4603</v>
      </c>
      <c r="E2682" t="s">
        <v>4747</v>
      </c>
      <c r="F2682" s="94" t="s">
        <v>4747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4785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4894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116</v>
      </c>
      <c r="R2682" s="110" t="s">
        <v>485</v>
      </c>
      <c r="S2682" s="94"/>
    </row>
    <row r="2683" spans="1:19" hidden="1">
      <c r="A2683" s="103" t="s">
        <v>4422</v>
      </c>
      <c r="B2683" s="149" t="str">
        <f>IFERROR(VLOOKUP(Proc[[#This Row],[App]],Table2[],3,0),"open")</f>
        <v>ok</v>
      </c>
      <c r="C2683" s="117" t="s">
        <v>369</v>
      </c>
      <c r="D2683" t="s">
        <v>4604</v>
      </c>
      <c r="E2683" t="s">
        <v>4747</v>
      </c>
      <c r="F2683" s="94" t="s">
        <v>4747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4785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4894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116</v>
      </c>
      <c r="R2683" s="110" t="s">
        <v>485</v>
      </c>
      <c r="S2683" s="94"/>
    </row>
    <row r="2684" spans="1:19" hidden="1">
      <c r="A2684" s="103" t="s">
        <v>4422</v>
      </c>
      <c r="B2684" s="149" t="str">
        <f>IFERROR(VLOOKUP(Proc[[#This Row],[App]],Table2[],3,0),"open")</f>
        <v>ok</v>
      </c>
      <c r="C2684" s="117" t="s">
        <v>369</v>
      </c>
      <c r="D2684" t="s">
        <v>4605</v>
      </c>
      <c r="E2684" t="s">
        <v>4749</v>
      </c>
      <c r="F2684" s="94" t="s">
        <v>4749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4785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4894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116</v>
      </c>
      <c r="R2684" s="110" t="s">
        <v>485</v>
      </c>
      <c r="S2684" s="94"/>
    </row>
    <row r="2685" spans="1:19" hidden="1">
      <c r="A2685" s="103" t="s">
        <v>4422</v>
      </c>
      <c r="B2685" s="149" t="str">
        <f>IFERROR(VLOOKUP(Proc[[#This Row],[App]],Table2[],3,0),"open")</f>
        <v>ok</v>
      </c>
      <c r="C2685" s="117" t="s">
        <v>369</v>
      </c>
      <c r="D2685" t="s">
        <v>4606</v>
      </c>
      <c r="E2685" t="s">
        <v>4747</v>
      </c>
      <c r="F2685" s="94" t="s">
        <v>4747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4785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4894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116</v>
      </c>
      <c r="R2685" s="110" t="s">
        <v>485</v>
      </c>
      <c r="S2685" s="94"/>
    </row>
    <row r="2686" spans="1:19" hidden="1">
      <c r="A2686" s="103" t="s">
        <v>4422</v>
      </c>
      <c r="B2686" s="149" t="str">
        <f>IFERROR(VLOOKUP(Proc[[#This Row],[App]],Table2[],3,0),"open")</f>
        <v>ok</v>
      </c>
      <c r="C2686" s="117" t="s">
        <v>369</v>
      </c>
      <c r="D2686" t="s">
        <v>4607</v>
      </c>
      <c r="E2686" t="s">
        <v>4747</v>
      </c>
      <c r="F2686" s="94" t="s">
        <v>4747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4785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4894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116</v>
      </c>
      <c r="R2686" s="110" t="s">
        <v>485</v>
      </c>
      <c r="S2686" s="94"/>
    </row>
    <row r="2687" spans="1:19" hidden="1">
      <c r="A2687" s="103" t="s">
        <v>4422</v>
      </c>
      <c r="B2687" s="149" t="str">
        <f>IFERROR(VLOOKUP(Proc[[#This Row],[App]],Table2[],3,0),"open")</f>
        <v>ok</v>
      </c>
      <c r="C2687" s="117" t="s">
        <v>369</v>
      </c>
      <c r="D2687" t="s">
        <v>4608</v>
      </c>
      <c r="E2687" t="s">
        <v>4747</v>
      </c>
      <c r="F2687" s="94" t="s">
        <v>4747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4785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4894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116</v>
      </c>
      <c r="R2687" s="110" t="s">
        <v>485</v>
      </c>
      <c r="S2687" s="94"/>
    </row>
    <row r="2688" spans="1:19" hidden="1">
      <c r="A2688" s="103" t="s">
        <v>4422</v>
      </c>
      <c r="B2688" s="149" t="str">
        <f>IFERROR(VLOOKUP(Proc[[#This Row],[App]],Table2[],3,0),"open")</f>
        <v>ok</v>
      </c>
      <c r="C2688" s="117" t="s">
        <v>369</v>
      </c>
      <c r="D2688" t="s">
        <v>4609</v>
      </c>
      <c r="E2688" t="s">
        <v>4749</v>
      </c>
      <c r="F2688" s="94" t="s">
        <v>4749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4785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4894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116</v>
      </c>
      <c r="R2688" s="110" t="s">
        <v>485</v>
      </c>
      <c r="S2688" s="94"/>
    </row>
    <row r="2689" spans="1:19" hidden="1">
      <c r="A2689" s="103" t="s">
        <v>4422</v>
      </c>
      <c r="B2689" s="149" t="str">
        <f>IFERROR(VLOOKUP(Proc[[#This Row],[App]],Table2[],3,0),"open")</f>
        <v>ok</v>
      </c>
      <c r="C2689" s="117" t="s">
        <v>369</v>
      </c>
      <c r="D2689" t="s">
        <v>4610</v>
      </c>
      <c r="E2689" t="s">
        <v>4747</v>
      </c>
      <c r="F2689" s="94" t="s">
        <v>4747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4785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4894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116</v>
      </c>
      <c r="R2689" s="110" t="s">
        <v>485</v>
      </c>
      <c r="S2689" s="94"/>
    </row>
    <row r="2690" spans="1:19" hidden="1">
      <c r="A2690" s="103" t="s">
        <v>4422</v>
      </c>
      <c r="B2690" s="149" t="str">
        <f>IFERROR(VLOOKUP(Proc[[#This Row],[App]],Table2[],3,0),"open")</f>
        <v>ok</v>
      </c>
      <c r="C2690" s="117" t="s">
        <v>369</v>
      </c>
      <c r="D2690" t="s">
        <v>4611</v>
      </c>
      <c r="E2690" t="s">
        <v>4747</v>
      </c>
      <c r="F2690" s="94" t="s">
        <v>4747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4785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4894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116</v>
      </c>
      <c r="R2690" s="110" t="s">
        <v>485</v>
      </c>
      <c r="S2690" s="94"/>
    </row>
    <row r="2691" spans="1:19" hidden="1">
      <c r="A2691" s="103" t="s">
        <v>4422</v>
      </c>
      <c r="B2691" s="149" t="str">
        <f>IFERROR(VLOOKUP(Proc[[#This Row],[App]],Table2[],3,0),"open")</f>
        <v>ok</v>
      </c>
      <c r="C2691" s="117" t="s">
        <v>369</v>
      </c>
      <c r="D2691" t="s">
        <v>4612</v>
      </c>
      <c r="E2691" t="s">
        <v>4747</v>
      </c>
      <c r="F2691" s="94" t="s">
        <v>4747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4785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4894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116</v>
      </c>
      <c r="R2691" s="110" t="s">
        <v>485</v>
      </c>
      <c r="S2691" s="94"/>
    </row>
    <row r="2692" spans="1:19" hidden="1">
      <c r="A2692" s="103" t="s">
        <v>4422</v>
      </c>
      <c r="B2692" s="149" t="str">
        <f>IFERROR(VLOOKUP(Proc[[#This Row],[App]],Table2[],3,0),"open")</f>
        <v>ok</v>
      </c>
      <c r="C2692" s="117" t="s">
        <v>369</v>
      </c>
      <c r="D2692" t="s">
        <v>4613</v>
      </c>
      <c r="E2692" t="s">
        <v>4748</v>
      </c>
      <c r="F2692" s="94" t="s">
        <v>4748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4785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4894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116</v>
      </c>
      <c r="R2692" s="110" t="s">
        <v>485</v>
      </c>
      <c r="S2692" s="94"/>
    </row>
    <row r="2693" spans="1:19" hidden="1">
      <c r="A2693" s="103" t="s">
        <v>4422</v>
      </c>
      <c r="B2693" s="149" t="str">
        <f>IFERROR(VLOOKUP(Proc[[#This Row],[App]],Table2[],3,0),"open")</f>
        <v>ok</v>
      </c>
      <c r="C2693" s="117" t="s">
        <v>369</v>
      </c>
      <c r="D2693" t="s">
        <v>4614</v>
      </c>
      <c r="E2693" t="s">
        <v>4747</v>
      </c>
      <c r="F2693" s="94" t="s">
        <v>4747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4785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4894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116</v>
      </c>
      <c r="R2693" s="110" t="s">
        <v>485</v>
      </c>
      <c r="S2693" s="94"/>
    </row>
    <row r="2694" spans="1:19" hidden="1">
      <c r="A2694" s="103" t="s">
        <v>4422</v>
      </c>
      <c r="B2694" s="149" t="str">
        <f>IFERROR(VLOOKUP(Proc[[#This Row],[App]],Table2[],3,0),"open")</f>
        <v>ok</v>
      </c>
      <c r="C2694" s="117" t="s">
        <v>369</v>
      </c>
      <c r="D2694" t="s">
        <v>4615</v>
      </c>
      <c r="E2694" t="s">
        <v>4749</v>
      </c>
      <c r="F2694" s="94" t="s">
        <v>4749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4785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4894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116</v>
      </c>
      <c r="R2694" s="110" t="s">
        <v>485</v>
      </c>
      <c r="S2694" s="94"/>
    </row>
    <row r="2695" spans="1:19" hidden="1">
      <c r="A2695" s="103" t="s">
        <v>4422</v>
      </c>
      <c r="B2695" s="149" t="str">
        <f>IFERROR(VLOOKUP(Proc[[#This Row],[App]],Table2[],3,0),"open")</f>
        <v>ok</v>
      </c>
      <c r="C2695" s="117" t="s">
        <v>369</v>
      </c>
      <c r="D2695" t="s">
        <v>4616</v>
      </c>
      <c r="E2695" t="s">
        <v>4749</v>
      </c>
      <c r="F2695" s="94" t="s">
        <v>4749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4785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4894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116</v>
      </c>
      <c r="R2695" s="110" t="s">
        <v>485</v>
      </c>
      <c r="S2695" s="94"/>
    </row>
    <row r="2696" spans="1:19" hidden="1">
      <c r="A2696" s="103" t="s">
        <v>4422</v>
      </c>
      <c r="B2696" s="149" t="str">
        <f>IFERROR(VLOOKUP(Proc[[#This Row],[App]],Table2[],3,0),"open")</f>
        <v>ok</v>
      </c>
      <c r="C2696" s="117" t="s">
        <v>369</v>
      </c>
      <c r="D2696" t="s">
        <v>4617</v>
      </c>
      <c r="E2696" t="s">
        <v>4747</v>
      </c>
      <c r="F2696" s="94" t="s">
        <v>4747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4785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4894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116</v>
      </c>
      <c r="R2696" s="110" t="s">
        <v>485</v>
      </c>
      <c r="S2696" s="94"/>
    </row>
    <row r="2697" spans="1:19" hidden="1">
      <c r="A2697" s="103" t="s">
        <v>4422</v>
      </c>
      <c r="B2697" s="149" t="str">
        <f>IFERROR(VLOOKUP(Proc[[#This Row],[App]],Table2[],3,0),"open")</f>
        <v>ok</v>
      </c>
      <c r="C2697" s="117" t="s">
        <v>369</v>
      </c>
      <c r="D2697" t="s">
        <v>4618</v>
      </c>
      <c r="E2697" t="s">
        <v>4747</v>
      </c>
      <c r="F2697" s="94" t="s">
        <v>4747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4785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4894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116</v>
      </c>
      <c r="R2697" s="110" t="s">
        <v>485</v>
      </c>
      <c r="S2697" s="94"/>
    </row>
    <row r="2698" spans="1:19" hidden="1">
      <c r="A2698" s="103" t="s">
        <v>4422</v>
      </c>
      <c r="B2698" s="149" t="str">
        <f>IFERROR(VLOOKUP(Proc[[#This Row],[App]],Table2[],3,0),"open")</f>
        <v>ok</v>
      </c>
      <c r="C2698" s="117" t="s">
        <v>369</v>
      </c>
      <c r="D2698" t="s">
        <v>4619</v>
      </c>
      <c r="E2698" t="s">
        <v>4747</v>
      </c>
      <c r="F2698" s="94" t="s">
        <v>4747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4785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4894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116</v>
      </c>
      <c r="R2698" s="110" t="s">
        <v>485</v>
      </c>
      <c r="S2698" s="94"/>
    </row>
    <row r="2699" spans="1:19" hidden="1">
      <c r="A2699" s="103" t="s">
        <v>4422</v>
      </c>
      <c r="B2699" s="149" t="str">
        <f>IFERROR(VLOOKUP(Proc[[#This Row],[App]],Table2[],3,0),"open")</f>
        <v>ok</v>
      </c>
      <c r="C2699" s="117" t="s">
        <v>369</v>
      </c>
      <c r="D2699" t="s">
        <v>4620</v>
      </c>
      <c r="E2699" t="s">
        <v>4748</v>
      </c>
      <c r="F2699" s="94" t="s">
        <v>4748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4785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4894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116</v>
      </c>
      <c r="R2699" s="110" t="s">
        <v>485</v>
      </c>
      <c r="S2699" s="94"/>
    </row>
    <row r="2700" spans="1:19" hidden="1">
      <c r="A2700" s="103" t="s">
        <v>4422</v>
      </c>
      <c r="B2700" s="149" t="str">
        <f>IFERROR(VLOOKUP(Proc[[#This Row],[App]],Table2[],3,0),"open")</f>
        <v>ok</v>
      </c>
      <c r="C2700" s="117" t="s">
        <v>369</v>
      </c>
      <c r="D2700" t="s">
        <v>4621</v>
      </c>
      <c r="E2700" t="s">
        <v>4748</v>
      </c>
      <c r="F2700" s="94" t="s">
        <v>4748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4785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4894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116</v>
      </c>
      <c r="R2700" s="110" t="s">
        <v>485</v>
      </c>
      <c r="S2700" s="94"/>
    </row>
    <row r="2701" spans="1:19" hidden="1">
      <c r="A2701" s="103" t="s">
        <v>4422</v>
      </c>
      <c r="B2701" s="149" t="str">
        <f>IFERROR(VLOOKUP(Proc[[#This Row],[App]],Table2[],3,0),"open")</f>
        <v>ok</v>
      </c>
      <c r="C2701" s="117" t="s">
        <v>369</v>
      </c>
      <c r="D2701" t="s">
        <v>4622</v>
      </c>
      <c r="E2701" t="s">
        <v>4748</v>
      </c>
      <c r="F2701" s="94" t="s">
        <v>4748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4785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4894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116</v>
      </c>
      <c r="R2701" s="110" t="s">
        <v>485</v>
      </c>
      <c r="S2701" s="94"/>
    </row>
    <row r="2702" spans="1:19" hidden="1">
      <c r="A2702" s="103" t="s">
        <v>4422</v>
      </c>
      <c r="B2702" s="149" t="str">
        <f>IFERROR(VLOOKUP(Proc[[#This Row],[App]],Table2[],3,0),"open")</f>
        <v>ok</v>
      </c>
      <c r="C2702" s="117" t="s">
        <v>369</v>
      </c>
      <c r="D2702" t="s">
        <v>4623</v>
      </c>
      <c r="E2702" t="s">
        <v>4748</v>
      </c>
      <c r="F2702" s="94" t="s">
        <v>4748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4785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4894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116</v>
      </c>
      <c r="R2702" s="110" t="s">
        <v>485</v>
      </c>
      <c r="S2702" s="94"/>
    </row>
    <row r="2703" spans="1:19" hidden="1">
      <c r="A2703" s="103" t="s">
        <v>4422</v>
      </c>
      <c r="B2703" s="149" t="str">
        <f>IFERROR(VLOOKUP(Proc[[#This Row],[App]],Table2[],3,0),"open")</f>
        <v>ok</v>
      </c>
      <c r="C2703" s="117" t="s">
        <v>369</v>
      </c>
      <c r="D2703" t="s">
        <v>4624</v>
      </c>
      <c r="E2703" t="s">
        <v>4748</v>
      </c>
      <c r="F2703" s="94" t="s">
        <v>4748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4785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4894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116</v>
      </c>
      <c r="R2703" s="110" t="s">
        <v>485</v>
      </c>
      <c r="S2703" s="94"/>
    </row>
    <row r="2704" spans="1:19" hidden="1">
      <c r="A2704" s="103" t="s">
        <v>4422</v>
      </c>
      <c r="B2704" s="149" t="str">
        <f>IFERROR(VLOOKUP(Proc[[#This Row],[App]],Table2[],3,0),"open")</f>
        <v>ok</v>
      </c>
      <c r="C2704" s="117" t="s">
        <v>369</v>
      </c>
      <c r="D2704" t="s">
        <v>4625</v>
      </c>
      <c r="E2704" t="s">
        <v>4748</v>
      </c>
      <c r="F2704" s="94" t="s">
        <v>4748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4785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4894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116</v>
      </c>
      <c r="R2704" s="110" t="s">
        <v>485</v>
      </c>
      <c r="S2704" s="94"/>
    </row>
    <row r="2705" spans="1:19" hidden="1">
      <c r="A2705" s="103" t="s">
        <v>4422</v>
      </c>
      <c r="B2705" s="149" t="str">
        <f>IFERROR(VLOOKUP(Proc[[#This Row],[App]],Table2[],3,0),"open")</f>
        <v>ok</v>
      </c>
      <c r="C2705" s="117" t="s">
        <v>369</v>
      </c>
      <c r="D2705" t="s">
        <v>4626</v>
      </c>
      <c r="E2705" t="s">
        <v>4748</v>
      </c>
      <c r="F2705" s="94" t="s">
        <v>4748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4785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4894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116</v>
      </c>
      <c r="R2705" s="110" t="s">
        <v>485</v>
      </c>
      <c r="S2705" s="94"/>
    </row>
    <row r="2706" spans="1:19" hidden="1">
      <c r="A2706" s="103" t="s">
        <v>4422</v>
      </c>
      <c r="B2706" s="149" t="str">
        <f>IFERROR(VLOOKUP(Proc[[#This Row],[App]],Table2[],3,0),"open")</f>
        <v>ok</v>
      </c>
      <c r="C2706" s="117" t="s">
        <v>369</v>
      </c>
      <c r="D2706" t="s">
        <v>4627</v>
      </c>
      <c r="E2706" t="s">
        <v>4748</v>
      </c>
      <c r="F2706" s="94" t="s">
        <v>4748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4785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4894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116</v>
      </c>
      <c r="R2706" s="110" t="s">
        <v>485</v>
      </c>
      <c r="S2706" s="94"/>
    </row>
    <row r="2707" spans="1:19" hidden="1">
      <c r="A2707" s="103" t="s">
        <v>4422</v>
      </c>
      <c r="B2707" s="149" t="str">
        <f>IFERROR(VLOOKUP(Proc[[#This Row],[App]],Table2[],3,0),"open")</f>
        <v>ok</v>
      </c>
      <c r="C2707" s="117" t="s">
        <v>369</v>
      </c>
      <c r="D2707" t="s">
        <v>4628</v>
      </c>
      <c r="E2707" t="s">
        <v>4748</v>
      </c>
      <c r="F2707" s="94" t="s">
        <v>4748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4785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4894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116</v>
      </c>
      <c r="R2707" s="110" t="s">
        <v>485</v>
      </c>
      <c r="S2707" s="94"/>
    </row>
    <row r="2708" spans="1:19" hidden="1">
      <c r="A2708" s="103" t="s">
        <v>4422</v>
      </c>
      <c r="B2708" s="149" t="str">
        <f>IFERROR(VLOOKUP(Proc[[#This Row],[App]],Table2[],3,0),"open")</f>
        <v>ok</v>
      </c>
      <c r="C2708" s="117" t="s">
        <v>369</v>
      </c>
      <c r="D2708" t="s">
        <v>4629</v>
      </c>
      <c r="E2708" t="s">
        <v>4748</v>
      </c>
      <c r="F2708" s="94" t="s">
        <v>4748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4785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4894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116</v>
      </c>
      <c r="R2708" s="110" t="s">
        <v>485</v>
      </c>
      <c r="S2708" s="94"/>
    </row>
    <row r="2709" spans="1:19" hidden="1">
      <c r="A2709" s="103" t="s">
        <v>4422</v>
      </c>
      <c r="B2709" s="149" t="str">
        <f>IFERROR(VLOOKUP(Proc[[#This Row],[App]],Table2[],3,0),"open")</f>
        <v>ok</v>
      </c>
      <c r="C2709" s="117" t="s">
        <v>369</v>
      </c>
      <c r="D2709" t="s">
        <v>4630</v>
      </c>
      <c r="E2709" t="s">
        <v>4748</v>
      </c>
      <c r="F2709" s="94" t="s">
        <v>4748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4785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4894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116</v>
      </c>
      <c r="R2709" s="110" t="s">
        <v>485</v>
      </c>
      <c r="S2709" s="94"/>
    </row>
    <row r="2710" spans="1:19" hidden="1">
      <c r="A2710" s="103" t="s">
        <v>4422</v>
      </c>
      <c r="B2710" s="149" t="str">
        <f>IFERROR(VLOOKUP(Proc[[#This Row],[App]],Table2[],3,0),"open")</f>
        <v>ok</v>
      </c>
      <c r="C2710" s="117" t="s">
        <v>369</v>
      </c>
      <c r="D2710" t="s">
        <v>4631</v>
      </c>
      <c r="E2710" t="s">
        <v>4748</v>
      </c>
      <c r="F2710" s="94" t="s">
        <v>4748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4785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4894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116</v>
      </c>
      <c r="R2710" s="110" t="s">
        <v>485</v>
      </c>
      <c r="S2710" s="94"/>
    </row>
    <row r="2711" spans="1:19" hidden="1">
      <c r="A2711" s="103" t="s">
        <v>4422</v>
      </c>
      <c r="B2711" s="149" t="str">
        <f>IFERROR(VLOOKUP(Proc[[#This Row],[App]],Table2[],3,0),"open")</f>
        <v>ok</v>
      </c>
      <c r="C2711" s="117" t="s">
        <v>369</v>
      </c>
      <c r="D2711" t="s">
        <v>4632</v>
      </c>
      <c r="E2711" t="s">
        <v>4748</v>
      </c>
      <c r="F2711" s="94" t="s">
        <v>4748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4785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4894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116</v>
      </c>
      <c r="R2711" s="110" t="s">
        <v>485</v>
      </c>
      <c r="S2711" s="94"/>
    </row>
    <row r="2712" spans="1:19" hidden="1">
      <c r="A2712" s="103" t="s">
        <v>4422</v>
      </c>
      <c r="B2712" s="149" t="str">
        <f>IFERROR(VLOOKUP(Proc[[#This Row],[App]],Table2[],3,0),"open")</f>
        <v>ok</v>
      </c>
      <c r="C2712" s="117" t="s">
        <v>369</v>
      </c>
      <c r="D2712" t="s">
        <v>4633</v>
      </c>
      <c r="E2712" t="s">
        <v>4748</v>
      </c>
      <c r="F2712" s="94" t="s">
        <v>4748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4785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4894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116</v>
      </c>
      <c r="R2712" s="110" t="s">
        <v>485</v>
      </c>
      <c r="S2712" s="94"/>
    </row>
    <row r="2713" spans="1:19" hidden="1">
      <c r="A2713" s="103" t="s">
        <v>4422</v>
      </c>
      <c r="B2713" s="149" t="str">
        <f>IFERROR(VLOOKUP(Proc[[#This Row],[App]],Table2[],3,0),"open")</f>
        <v>ok</v>
      </c>
      <c r="C2713" s="117" t="s">
        <v>369</v>
      </c>
      <c r="D2713" t="s">
        <v>4634</v>
      </c>
      <c r="E2713" t="s">
        <v>4747</v>
      </c>
      <c r="F2713" s="94" t="s">
        <v>4747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4785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4894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116</v>
      </c>
      <c r="R2713" s="110" t="s">
        <v>485</v>
      </c>
      <c r="S2713" s="94"/>
    </row>
    <row r="2714" spans="1:19" hidden="1">
      <c r="A2714" s="103" t="s">
        <v>4422</v>
      </c>
      <c r="B2714" s="149" t="str">
        <f>IFERROR(VLOOKUP(Proc[[#This Row],[App]],Table2[],3,0),"open")</f>
        <v>ok</v>
      </c>
      <c r="C2714" s="117" t="s">
        <v>369</v>
      </c>
      <c r="D2714" t="s">
        <v>4635</v>
      </c>
      <c r="E2714" t="s">
        <v>4747</v>
      </c>
      <c r="F2714" s="94" t="s">
        <v>4747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4785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4894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116</v>
      </c>
      <c r="R2714" s="110" t="s">
        <v>485</v>
      </c>
      <c r="S2714" s="94"/>
    </row>
    <row r="2715" spans="1:19" hidden="1">
      <c r="A2715" s="103" t="s">
        <v>4422</v>
      </c>
      <c r="B2715" s="149" t="str">
        <f>IFERROR(VLOOKUP(Proc[[#This Row],[App]],Table2[],3,0),"open")</f>
        <v>ok</v>
      </c>
      <c r="C2715" s="117" t="s">
        <v>369</v>
      </c>
      <c r="D2715" t="s">
        <v>4636</v>
      </c>
      <c r="E2715" t="s">
        <v>4747</v>
      </c>
      <c r="F2715" s="94" t="s">
        <v>4747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4785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4894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116</v>
      </c>
      <c r="R2715" s="110" t="s">
        <v>485</v>
      </c>
      <c r="S2715" s="94"/>
    </row>
    <row r="2716" spans="1:19" hidden="1">
      <c r="A2716" s="103" t="s">
        <v>4422</v>
      </c>
      <c r="B2716" s="149" t="str">
        <f>IFERROR(VLOOKUP(Proc[[#This Row],[App]],Table2[],3,0),"open")</f>
        <v>ok</v>
      </c>
      <c r="C2716" s="117" t="s">
        <v>369</v>
      </c>
      <c r="D2716" t="s">
        <v>4637</v>
      </c>
      <c r="E2716" t="s">
        <v>4748</v>
      </c>
      <c r="F2716" s="94" t="s">
        <v>4748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4785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4894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116</v>
      </c>
      <c r="R2716" s="110" t="s">
        <v>485</v>
      </c>
      <c r="S2716" s="94"/>
    </row>
    <row r="2717" spans="1:19" hidden="1">
      <c r="A2717" s="103" t="s">
        <v>4422</v>
      </c>
      <c r="B2717" s="149" t="str">
        <f>IFERROR(VLOOKUP(Proc[[#This Row],[App]],Table2[],3,0),"open")</f>
        <v>ok</v>
      </c>
      <c r="C2717" s="117" t="s">
        <v>369</v>
      </c>
      <c r="D2717" t="s">
        <v>4638</v>
      </c>
      <c r="E2717" t="s">
        <v>4748</v>
      </c>
      <c r="F2717" s="94" t="s">
        <v>4748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4785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4894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116</v>
      </c>
      <c r="R2717" s="110" t="s">
        <v>485</v>
      </c>
      <c r="S2717" s="94"/>
    </row>
    <row r="2718" spans="1:19" hidden="1">
      <c r="A2718" s="103" t="s">
        <v>4422</v>
      </c>
      <c r="B2718" s="149" t="str">
        <f>IFERROR(VLOOKUP(Proc[[#This Row],[App]],Table2[],3,0),"open")</f>
        <v>ok</v>
      </c>
      <c r="C2718" s="117" t="s">
        <v>369</v>
      </c>
      <c r="D2718" t="s">
        <v>4639</v>
      </c>
      <c r="E2718" t="s">
        <v>4748</v>
      </c>
      <c r="F2718" s="94" t="s">
        <v>4748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4785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4894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116</v>
      </c>
      <c r="R2718" s="110" t="s">
        <v>485</v>
      </c>
      <c r="S2718" s="94"/>
    </row>
    <row r="2719" spans="1:19" hidden="1">
      <c r="A2719" s="103" t="s">
        <v>4422</v>
      </c>
      <c r="B2719" s="149" t="str">
        <f>IFERROR(VLOOKUP(Proc[[#This Row],[App]],Table2[],3,0),"open")</f>
        <v>ok</v>
      </c>
      <c r="C2719" s="117" t="s">
        <v>369</v>
      </c>
      <c r="D2719" t="s">
        <v>4640</v>
      </c>
      <c r="E2719" t="s">
        <v>4748</v>
      </c>
      <c r="F2719" s="94" t="s">
        <v>4748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4785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4894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116</v>
      </c>
      <c r="R2719" s="110" t="s">
        <v>485</v>
      </c>
      <c r="S2719" s="94"/>
    </row>
    <row r="2720" spans="1:19" hidden="1">
      <c r="A2720" s="103" t="s">
        <v>4422</v>
      </c>
      <c r="B2720" s="149" t="str">
        <f>IFERROR(VLOOKUP(Proc[[#This Row],[App]],Table2[],3,0),"open")</f>
        <v>ok</v>
      </c>
      <c r="C2720" s="117" t="s">
        <v>369</v>
      </c>
      <c r="D2720" t="s">
        <v>4641</v>
      </c>
      <c r="E2720" t="s">
        <v>4748</v>
      </c>
      <c r="F2720" s="94" t="s">
        <v>4748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4785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4894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116</v>
      </c>
      <c r="R2720" s="110" t="s">
        <v>485</v>
      </c>
      <c r="S2720" s="94"/>
    </row>
    <row r="2721" spans="1:19" hidden="1">
      <c r="A2721" s="103" t="s">
        <v>4422</v>
      </c>
      <c r="B2721" s="149" t="str">
        <f>IFERROR(VLOOKUP(Proc[[#This Row],[App]],Table2[],3,0),"open")</f>
        <v>ok</v>
      </c>
      <c r="C2721" s="117" t="s">
        <v>369</v>
      </c>
      <c r="D2721" t="s">
        <v>4642</v>
      </c>
      <c r="E2721" t="s">
        <v>4748</v>
      </c>
      <c r="F2721" s="94" t="s">
        <v>4748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4785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4894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116</v>
      </c>
      <c r="R2721" s="110" t="s">
        <v>485</v>
      </c>
      <c r="S2721" s="94"/>
    </row>
    <row r="2722" spans="1:19" hidden="1">
      <c r="A2722" s="103" t="s">
        <v>4422</v>
      </c>
      <c r="B2722" s="149" t="str">
        <f>IFERROR(VLOOKUP(Proc[[#This Row],[App]],Table2[],3,0),"open")</f>
        <v>ok</v>
      </c>
      <c r="C2722" s="117" t="s">
        <v>369</v>
      </c>
      <c r="D2722" t="s">
        <v>4643</v>
      </c>
      <c r="E2722" t="s">
        <v>4748</v>
      </c>
      <c r="F2722" s="94" t="s">
        <v>4748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4785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4894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116</v>
      </c>
      <c r="R2722" s="110" t="s">
        <v>485</v>
      </c>
      <c r="S2722" s="94"/>
    </row>
    <row r="2723" spans="1:19" hidden="1">
      <c r="A2723" s="103" t="s">
        <v>4422</v>
      </c>
      <c r="B2723" s="149" t="str">
        <f>IFERROR(VLOOKUP(Proc[[#This Row],[App]],Table2[],3,0),"open")</f>
        <v>ok</v>
      </c>
      <c r="C2723" s="117" t="s">
        <v>369</v>
      </c>
      <c r="D2723" t="s">
        <v>4644</v>
      </c>
      <c r="E2723" t="s">
        <v>4748</v>
      </c>
      <c r="F2723" s="94" t="s">
        <v>4748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4785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4894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116</v>
      </c>
      <c r="R2723" s="110" t="s">
        <v>485</v>
      </c>
      <c r="S2723" s="94"/>
    </row>
    <row r="2724" spans="1:19" hidden="1">
      <c r="A2724" s="103" t="s">
        <v>4422</v>
      </c>
      <c r="B2724" s="149" t="str">
        <f>IFERROR(VLOOKUP(Proc[[#This Row],[App]],Table2[],3,0),"open")</f>
        <v>ok</v>
      </c>
      <c r="C2724" s="117" t="s">
        <v>369</v>
      </c>
      <c r="D2724" t="s">
        <v>4645</v>
      </c>
      <c r="E2724" t="s">
        <v>4748</v>
      </c>
      <c r="F2724" s="94" t="s">
        <v>4748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4785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4894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116</v>
      </c>
      <c r="R2724" s="110" t="s">
        <v>485</v>
      </c>
      <c r="S2724" s="94"/>
    </row>
    <row r="2725" spans="1:19" hidden="1">
      <c r="A2725" s="103" t="s">
        <v>4422</v>
      </c>
      <c r="B2725" s="149" t="str">
        <f>IFERROR(VLOOKUP(Proc[[#This Row],[App]],Table2[],3,0),"open")</f>
        <v>ok</v>
      </c>
      <c r="C2725" s="117" t="s">
        <v>369</v>
      </c>
      <c r="D2725" t="s">
        <v>4646</v>
      </c>
      <c r="E2725" t="s">
        <v>4748</v>
      </c>
      <c r="F2725" s="94" t="s">
        <v>4748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4785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4894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116</v>
      </c>
      <c r="R2725" s="110" t="s">
        <v>485</v>
      </c>
      <c r="S2725" s="94"/>
    </row>
    <row r="2726" spans="1:19" hidden="1">
      <c r="A2726" s="103" t="s">
        <v>4422</v>
      </c>
      <c r="B2726" s="149" t="str">
        <f>IFERROR(VLOOKUP(Proc[[#This Row],[App]],Table2[],3,0),"open")</f>
        <v>ok</v>
      </c>
      <c r="C2726" s="117" t="s">
        <v>369</v>
      </c>
      <c r="D2726" t="s">
        <v>4647</v>
      </c>
      <c r="E2726" t="s">
        <v>4748</v>
      </c>
      <c r="F2726" s="94" t="s">
        <v>4748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4785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4894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116</v>
      </c>
      <c r="R2726" s="110" t="s">
        <v>485</v>
      </c>
      <c r="S2726" s="94"/>
    </row>
    <row r="2727" spans="1:19" hidden="1">
      <c r="A2727" s="103" t="s">
        <v>4422</v>
      </c>
      <c r="B2727" s="149" t="str">
        <f>IFERROR(VLOOKUP(Proc[[#This Row],[App]],Table2[],3,0),"open")</f>
        <v>ok</v>
      </c>
      <c r="C2727" s="117" t="s">
        <v>369</v>
      </c>
      <c r="D2727" t="s">
        <v>4648</v>
      </c>
      <c r="E2727" t="s">
        <v>4748</v>
      </c>
      <c r="F2727" s="94" t="s">
        <v>4748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4785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4894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116</v>
      </c>
      <c r="R2727" s="110" t="s">
        <v>485</v>
      </c>
      <c r="S2727" s="94"/>
    </row>
    <row r="2728" spans="1:19" hidden="1">
      <c r="A2728" s="103" t="s">
        <v>4422</v>
      </c>
      <c r="B2728" s="149" t="str">
        <f>IFERROR(VLOOKUP(Proc[[#This Row],[App]],Table2[],3,0),"open")</f>
        <v>ok</v>
      </c>
      <c r="C2728" s="117" t="s">
        <v>369</v>
      </c>
      <c r="D2728" t="s">
        <v>4649</v>
      </c>
      <c r="E2728" t="s">
        <v>4748</v>
      </c>
      <c r="F2728" s="94" t="s">
        <v>4748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4785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4894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116</v>
      </c>
      <c r="R2728" s="110" t="s">
        <v>485</v>
      </c>
      <c r="S2728" s="94"/>
    </row>
    <row r="2729" spans="1:19" hidden="1">
      <c r="A2729" s="103" t="s">
        <v>4422</v>
      </c>
      <c r="B2729" s="149" t="str">
        <f>IFERROR(VLOOKUP(Proc[[#This Row],[App]],Table2[],3,0),"open")</f>
        <v>ok</v>
      </c>
      <c r="C2729" s="117" t="s">
        <v>369</v>
      </c>
      <c r="D2729" t="s">
        <v>4650</v>
      </c>
      <c r="E2729" t="s">
        <v>4748</v>
      </c>
      <c r="F2729" s="94" t="s">
        <v>4748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4785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4894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116</v>
      </c>
      <c r="R2729" s="110" t="s">
        <v>485</v>
      </c>
      <c r="S2729" s="94"/>
    </row>
    <row r="2730" spans="1:19" hidden="1">
      <c r="A2730" s="103" t="s">
        <v>4422</v>
      </c>
      <c r="B2730" s="149" t="str">
        <f>IFERROR(VLOOKUP(Proc[[#This Row],[App]],Table2[],3,0),"open")</f>
        <v>ok</v>
      </c>
      <c r="C2730" s="117" t="s">
        <v>369</v>
      </c>
      <c r="D2730" t="s">
        <v>4651</v>
      </c>
      <c r="E2730" t="s">
        <v>4748</v>
      </c>
      <c r="F2730" s="94" t="s">
        <v>4748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4785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4894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116</v>
      </c>
      <c r="R2730" s="110" t="s">
        <v>485</v>
      </c>
      <c r="S2730" s="94"/>
    </row>
    <row r="2731" spans="1:19" hidden="1">
      <c r="A2731" s="103" t="s">
        <v>4422</v>
      </c>
      <c r="B2731" s="149" t="str">
        <f>IFERROR(VLOOKUP(Proc[[#This Row],[App]],Table2[],3,0),"open")</f>
        <v>ok</v>
      </c>
      <c r="C2731" s="117" t="s">
        <v>369</v>
      </c>
      <c r="D2731" t="s">
        <v>4652</v>
      </c>
      <c r="E2731" t="s">
        <v>4748</v>
      </c>
      <c r="F2731" s="94" t="s">
        <v>4748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4785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4894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116</v>
      </c>
      <c r="R2731" s="110" t="s">
        <v>485</v>
      </c>
      <c r="S2731" s="94"/>
    </row>
    <row r="2732" spans="1:19" hidden="1">
      <c r="A2732" s="103" t="s">
        <v>4422</v>
      </c>
      <c r="B2732" s="149" t="str">
        <f>IFERROR(VLOOKUP(Proc[[#This Row],[App]],Table2[],3,0),"open")</f>
        <v>ok</v>
      </c>
      <c r="C2732" s="117" t="s">
        <v>369</v>
      </c>
      <c r="D2732" t="s">
        <v>4653</v>
      </c>
      <c r="E2732" t="s">
        <v>4748</v>
      </c>
      <c r="F2732" s="94" t="s">
        <v>4748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4785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4894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116</v>
      </c>
      <c r="R2732" s="110" t="s">
        <v>485</v>
      </c>
      <c r="S2732" s="94"/>
    </row>
    <row r="2733" spans="1:19" hidden="1">
      <c r="A2733" s="103" t="s">
        <v>4422</v>
      </c>
      <c r="B2733" s="149" t="str">
        <f>IFERROR(VLOOKUP(Proc[[#This Row],[App]],Table2[],3,0),"open")</f>
        <v>ok</v>
      </c>
      <c r="C2733" s="117" t="s">
        <v>369</v>
      </c>
      <c r="D2733" t="s">
        <v>4654</v>
      </c>
      <c r="E2733" t="s">
        <v>4748</v>
      </c>
      <c r="F2733" s="94" t="s">
        <v>4748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4785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4894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116</v>
      </c>
      <c r="R2733" s="110" t="s">
        <v>485</v>
      </c>
      <c r="S2733" s="94"/>
    </row>
    <row r="2734" spans="1:19" hidden="1">
      <c r="A2734" s="103" t="s">
        <v>4422</v>
      </c>
      <c r="B2734" s="149" t="str">
        <f>IFERROR(VLOOKUP(Proc[[#This Row],[App]],Table2[],3,0),"open")</f>
        <v>ok</v>
      </c>
      <c r="C2734" s="117" t="s">
        <v>369</v>
      </c>
      <c r="D2734" t="s">
        <v>4655</v>
      </c>
      <c r="E2734" t="s">
        <v>4750</v>
      </c>
      <c r="F2734" s="94" t="s">
        <v>4750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4785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4894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116</v>
      </c>
      <c r="R2734" s="110" t="s">
        <v>485</v>
      </c>
      <c r="S2734" s="94"/>
    </row>
    <row r="2735" spans="1:19" hidden="1">
      <c r="A2735" s="103" t="s">
        <v>4422</v>
      </c>
      <c r="B2735" s="149" t="str">
        <f>IFERROR(VLOOKUP(Proc[[#This Row],[App]],Table2[],3,0),"open")</f>
        <v>ok</v>
      </c>
      <c r="C2735" s="117" t="s">
        <v>369</v>
      </c>
      <c r="D2735" t="s">
        <v>4656</v>
      </c>
      <c r="E2735" t="s">
        <v>4751</v>
      </c>
      <c r="F2735" s="94" t="s">
        <v>4751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4785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4894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116</v>
      </c>
      <c r="R2735" s="110" t="s">
        <v>485</v>
      </c>
      <c r="S2735" s="94"/>
    </row>
    <row r="2736" spans="1:19" hidden="1">
      <c r="A2736" s="103" t="s">
        <v>4422</v>
      </c>
      <c r="B2736" s="149" t="str">
        <f>IFERROR(VLOOKUP(Proc[[#This Row],[App]],Table2[],3,0),"open")</f>
        <v>ok</v>
      </c>
      <c r="C2736" s="117" t="s">
        <v>369</v>
      </c>
      <c r="D2736" t="s">
        <v>4657</v>
      </c>
      <c r="E2736" t="s">
        <v>4750</v>
      </c>
      <c r="F2736" s="94" t="s">
        <v>4750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4785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4894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116</v>
      </c>
      <c r="R2736" s="110" t="s">
        <v>485</v>
      </c>
      <c r="S2736" s="94"/>
    </row>
    <row r="2737" spans="1:19" hidden="1">
      <c r="A2737" s="103" t="s">
        <v>4422</v>
      </c>
      <c r="B2737" s="149" t="str">
        <f>IFERROR(VLOOKUP(Proc[[#This Row],[App]],Table2[],3,0),"open")</f>
        <v>ok</v>
      </c>
      <c r="C2737" s="117" t="s">
        <v>369</v>
      </c>
      <c r="D2737" t="s">
        <v>4658</v>
      </c>
      <c r="E2737" t="s">
        <v>4752</v>
      </c>
      <c r="F2737" s="94" t="s">
        <v>4752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4785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4894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116</v>
      </c>
      <c r="R2737" s="110" t="s">
        <v>485</v>
      </c>
      <c r="S2737" s="94"/>
    </row>
    <row r="2738" spans="1:19" hidden="1">
      <c r="A2738" s="103" t="s">
        <v>4422</v>
      </c>
      <c r="B2738" s="149" t="str">
        <f>IFERROR(VLOOKUP(Proc[[#This Row],[App]],Table2[],3,0),"open")</f>
        <v>ok</v>
      </c>
      <c r="C2738" s="117" t="s">
        <v>369</v>
      </c>
      <c r="D2738" t="s">
        <v>4659</v>
      </c>
      <c r="E2738" t="s">
        <v>4750</v>
      </c>
      <c r="F2738" s="94" t="s">
        <v>4750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4785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4894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116</v>
      </c>
      <c r="R2738" s="110" t="s">
        <v>485</v>
      </c>
      <c r="S2738" s="94"/>
    </row>
    <row r="2739" spans="1:19" hidden="1">
      <c r="A2739" s="103" t="s">
        <v>4422</v>
      </c>
      <c r="B2739" s="149" t="str">
        <f>IFERROR(VLOOKUP(Proc[[#This Row],[App]],Table2[],3,0),"open")</f>
        <v>ok</v>
      </c>
      <c r="C2739" s="117" t="s">
        <v>369</v>
      </c>
      <c r="D2739" t="s">
        <v>4660</v>
      </c>
      <c r="E2739" t="s">
        <v>4750</v>
      </c>
      <c r="F2739" s="94" t="s">
        <v>4750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4785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4894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116</v>
      </c>
      <c r="R2739" s="110" t="s">
        <v>485</v>
      </c>
      <c r="S2739" s="94"/>
    </row>
    <row r="2740" spans="1:19" hidden="1">
      <c r="A2740" s="103" t="s">
        <v>4422</v>
      </c>
      <c r="B2740" s="149" t="str">
        <f>IFERROR(VLOOKUP(Proc[[#This Row],[App]],Table2[],3,0),"open")</f>
        <v>ok</v>
      </c>
      <c r="C2740" s="117" t="s">
        <v>369</v>
      </c>
      <c r="D2740" t="s">
        <v>4661</v>
      </c>
      <c r="E2740" t="s">
        <v>4750</v>
      </c>
      <c r="F2740" s="94" t="s">
        <v>4750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4785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4894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116</v>
      </c>
      <c r="R2740" s="110" t="s">
        <v>485</v>
      </c>
      <c r="S2740" s="94"/>
    </row>
    <row r="2741" spans="1:19" hidden="1">
      <c r="A2741" s="103" t="s">
        <v>4422</v>
      </c>
      <c r="B2741" s="149" t="str">
        <f>IFERROR(VLOOKUP(Proc[[#This Row],[App]],Table2[],3,0),"open")</f>
        <v>ok</v>
      </c>
      <c r="C2741" s="117" t="s">
        <v>369</v>
      </c>
      <c r="D2741" t="s">
        <v>4662</v>
      </c>
      <c r="E2741" t="s">
        <v>4752</v>
      </c>
      <c r="F2741" s="94" t="s">
        <v>4752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4785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4894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116</v>
      </c>
      <c r="R2741" s="110" t="s">
        <v>485</v>
      </c>
      <c r="S2741" s="94"/>
    </row>
    <row r="2742" spans="1:19" hidden="1">
      <c r="A2742" s="103" t="s">
        <v>4422</v>
      </c>
      <c r="B2742" s="149" t="str">
        <f>IFERROR(VLOOKUP(Proc[[#This Row],[App]],Table2[],3,0),"open")</f>
        <v>ok</v>
      </c>
      <c r="C2742" s="117" t="s">
        <v>369</v>
      </c>
      <c r="D2742" t="s">
        <v>4663</v>
      </c>
      <c r="E2742" t="s">
        <v>4751</v>
      </c>
      <c r="F2742" s="94" t="s">
        <v>4751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4785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4894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116</v>
      </c>
      <c r="R2742" s="110" t="s">
        <v>485</v>
      </c>
      <c r="S2742" s="94"/>
    </row>
    <row r="2743" spans="1:19" hidden="1">
      <c r="A2743" s="103" t="s">
        <v>4422</v>
      </c>
      <c r="B2743" s="149" t="str">
        <f>IFERROR(VLOOKUP(Proc[[#This Row],[App]],Table2[],3,0),"open")</f>
        <v>ok</v>
      </c>
      <c r="C2743" s="117" t="s">
        <v>369</v>
      </c>
      <c r="D2743" t="s">
        <v>4664</v>
      </c>
      <c r="E2743" t="s">
        <v>4750</v>
      </c>
      <c r="F2743" s="94" t="s">
        <v>4750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4785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4894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116</v>
      </c>
      <c r="R2743" s="110" t="s">
        <v>485</v>
      </c>
      <c r="S2743" s="94"/>
    </row>
    <row r="2744" spans="1:19" hidden="1">
      <c r="A2744" s="103" t="s">
        <v>4422</v>
      </c>
      <c r="B2744" s="149" t="str">
        <f>IFERROR(VLOOKUP(Proc[[#This Row],[App]],Table2[],3,0),"open")</f>
        <v>ok</v>
      </c>
      <c r="C2744" s="117" t="s">
        <v>369</v>
      </c>
      <c r="D2744" t="s">
        <v>4665</v>
      </c>
      <c r="E2744" t="s">
        <v>4750</v>
      </c>
      <c r="F2744" s="94" t="s">
        <v>4750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4785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4894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116</v>
      </c>
      <c r="R2744" s="110" t="s">
        <v>485</v>
      </c>
      <c r="S2744" s="94"/>
    </row>
    <row r="2745" spans="1:19" hidden="1">
      <c r="A2745" s="103" t="s">
        <v>4422</v>
      </c>
      <c r="B2745" s="149" t="str">
        <f>IFERROR(VLOOKUP(Proc[[#This Row],[App]],Table2[],3,0),"open")</f>
        <v>ok</v>
      </c>
      <c r="C2745" s="117" t="s">
        <v>369</v>
      </c>
      <c r="D2745" t="s">
        <v>4666</v>
      </c>
      <c r="E2745" t="s">
        <v>4750</v>
      </c>
      <c r="F2745" s="94" t="s">
        <v>4750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4785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4894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116</v>
      </c>
      <c r="R2745" s="110" t="s">
        <v>485</v>
      </c>
      <c r="S2745" s="94"/>
    </row>
    <row r="2746" spans="1:19" hidden="1">
      <c r="A2746" s="103" t="s">
        <v>4422</v>
      </c>
      <c r="B2746" s="149" t="str">
        <f>IFERROR(VLOOKUP(Proc[[#This Row],[App]],Table2[],3,0),"open")</f>
        <v>ok</v>
      </c>
      <c r="C2746" s="117" t="s">
        <v>369</v>
      </c>
      <c r="D2746" t="s">
        <v>4667</v>
      </c>
      <c r="E2746" t="s">
        <v>4750</v>
      </c>
      <c r="F2746" s="94" t="s">
        <v>4750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4785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4894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116</v>
      </c>
      <c r="R2746" s="110" t="s">
        <v>485</v>
      </c>
      <c r="S2746" s="94"/>
    </row>
    <row r="2747" spans="1:19" hidden="1">
      <c r="A2747" s="103" t="s">
        <v>4422</v>
      </c>
      <c r="B2747" s="149" t="str">
        <f>IFERROR(VLOOKUP(Proc[[#This Row],[App]],Table2[],3,0),"open")</f>
        <v>ok</v>
      </c>
      <c r="C2747" s="117" t="s">
        <v>369</v>
      </c>
      <c r="D2747" t="s">
        <v>4668</v>
      </c>
      <c r="E2747" t="s">
        <v>4750</v>
      </c>
      <c r="F2747" s="94" t="s">
        <v>4750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4785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4894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116</v>
      </c>
      <c r="R2747" s="110" t="s">
        <v>485</v>
      </c>
      <c r="S2747" s="94"/>
    </row>
    <row r="2748" spans="1:19" hidden="1">
      <c r="A2748" s="103" t="s">
        <v>4422</v>
      </c>
      <c r="B2748" s="149" t="str">
        <f>IFERROR(VLOOKUP(Proc[[#This Row],[App]],Table2[],3,0),"open")</f>
        <v>ok</v>
      </c>
      <c r="C2748" s="117" t="s">
        <v>369</v>
      </c>
      <c r="D2748" t="s">
        <v>4669</v>
      </c>
      <c r="E2748" t="s">
        <v>4750</v>
      </c>
      <c r="F2748" s="94" t="s">
        <v>4750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4785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4894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116</v>
      </c>
      <c r="R2748" s="110" t="s">
        <v>485</v>
      </c>
      <c r="S2748" s="94"/>
    </row>
    <row r="2749" spans="1:19" hidden="1">
      <c r="A2749" s="103" t="s">
        <v>4422</v>
      </c>
      <c r="B2749" s="149" t="str">
        <f>IFERROR(VLOOKUP(Proc[[#This Row],[App]],Table2[],3,0),"open")</f>
        <v>ok</v>
      </c>
      <c r="C2749" s="117" t="s">
        <v>369</v>
      </c>
      <c r="D2749" t="s">
        <v>4670</v>
      </c>
      <c r="E2749" t="s">
        <v>4750</v>
      </c>
      <c r="F2749" s="94" t="s">
        <v>4750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4785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4894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116</v>
      </c>
      <c r="R2749" s="110" t="s">
        <v>485</v>
      </c>
      <c r="S2749" s="94"/>
    </row>
    <row r="2750" spans="1:19" hidden="1">
      <c r="A2750" s="103" t="s">
        <v>4422</v>
      </c>
      <c r="B2750" s="149" t="str">
        <f>IFERROR(VLOOKUP(Proc[[#This Row],[App]],Table2[],3,0),"open")</f>
        <v>ok</v>
      </c>
      <c r="C2750" s="117" t="s">
        <v>369</v>
      </c>
      <c r="D2750" t="s">
        <v>4671</v>
      </c>
      <c r="E2750" t="s">
        <v>4750</v>
      </c>
      <c r="F2750" s="94" t="s">
        <v>4750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4785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4894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116</v>
      </c>
      <c r="R2750" s="110" t="s">
        <v>485</v>
      </c>
      <c r="S2750" s="94"/>
    </row>
    <row r="2751" spans="1:19" hidden="1">
      <c r="A2751" s="103" t="s">
        <v>4422</v>
      </c>
      <c r="B2751" s="149" t="str">
        <f>IFERROR(VLOOKUP(Proc[[#This Row],[App]],Table2[],3,0),"open")</f>
        <v>ok</v>
      </c>
      <c r="C2751" s="117" t="s">
        <v>369</v>
      </c>
      <c r="D2751" t="s">
        <v>4672</v>
      </c>
      <c r="E2751" t="s">
        <v>4750</v>
      </c>
      <c r="F2751" s="94" t="s">
        <v>4750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4785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4894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116</v>
      </c>
      <c r="R2751" s="110" t="s">
        <v>485</v>
      </c>
      <c r="S2751" s="94"/>
    </row>
    <row r="2752" spans="1:19" hidden="1">
      <c r="A2752" s="103" t="s">
        <v>4422</v>
      </c>
      <c r="B2752" s="149" t="str">
        <f>IFERROR(VLOOKUP(Proc[[#This Row],[App]],Table2[],3,0),"open")</f>
        <v>ok</v>
      </c>
      <c r="C2752" s="117" t="s">
        <v>369</v>
      </c>
      <c r="D2752" t="s">
        <v>4673</v>
      </c>
      <c r="E2752" t="s">
        <v>4750</v>
      </c>
      <c r="F2752" s="94" t="s">
        <v>4750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4785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4894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116</v>
      </c>
      <c r="R2752" s="110" t="s">
        <v>485</v>
      </c>
      <c r="S2752" s="94"/>
    </row>
    <row r="2753" spans="1:19" hidden="1">
      <c r="A2753" s="103" t="s">
        <v>4422</v>
      </c>
      <c r="B2753" s="149" t="str">
        <f>IFERROR(VLOOKUP(Proc[[#This Row],[App]],Table2[],3,0),"open")</f>
        <v>ok</v>
      </c>
      <c r="C2753" s="117" t="s">
        <v>369</v>
      </c>
      <c r="D2753" t="s">
        <v>4674</v>
      </c>
      <c r="E2753" t="s">
        <v>4750</v>
      </c>
      <c r="F2753" s="94" t="s">
        <v>4750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4785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4894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116</v>
      </c>
      <c r="R2753" s="110" t="s">
        <v>485</v>
      </c>
      <c r="S2753" s="94"/>
    </row>
    <row r="2754" spans="1:19" hidden="1">
      <c r="A2754" s="103" t="s">
        <v>4422</v>
      </c>
      <c r="B2754" s="149" t="str">
        <f>IFERROR(VLOOKUP(Proc[[#This Row],[App]],Table2[],3,0),"open")</f>
        <v>ok</v>
      </c>
      <c r="C2754" s="117" t="s">
        <v>369</v>
      </c>
      <c r="D2754" t="s">
        <v>4675</v>
      </c>
      <c r="E2754" t="s">
        <v>4750</v>
      </c>
      <c r="F2754" s="94" t="s">
        <v>4750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4785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4894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116</v>
      </c>
      <c r="R2754" s="110" t="s">
        <v>485</v>
      </c>
      <c r="S2754" s="94"/>
    </row>
    <row r="2755" spans="1:19" hidden="1">
      <c r="A2755" s="103" t="s">
        <v>4422</v>
      </c>
      <c r="B2755" s="149" t="str">
        <f>IFERROR(VLOOKUP(Proc[[#This Row],[App]],Table2[],3,0),"open")</f>
        <v>ok</v>
      </c>
      <c r="C2755" s="117" t="s">
        <v>369</v>
      </c>
      <c r="D2755" t="s">
        <v>4676</v>
      </c>
      <c r="E2755" t="s">
        <v>4750</v>
      </c>
      <c r="F2755" s="94" t="s">
        <v>4750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4785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4894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116</v>
      </c>
      <c r="R2755" s="110" t="s">
        <v>485</v>
      </c>
      <c r="S2755" s="94"/>
    </row>
    <row r="2756" spans="1:19" hidden="1">
      <c r="A2756" s="103" t="s">
        <v>4422</v>
      </c>
      <c r="B2756" s="149" t="str">
        <f>IFERROR(VLOOKUP(Proc[[#This Row],[App]],Table2[],3,0),"open")</f>
        <v>ok</v>
      </c>
      <c r="C2756" s="117" t="s">
        <v>369</v>
      </c>
      <c r="D2756" t="s">
        <v>4677</v>
      </c>
      <c r="E2756" t="s">
        <v>4750</v>
      </c>
      <c r="F2756" s="94" t="s">
        <v>4750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4785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4894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116</v>
      </c>
      <c r="R2756" s="110" t="s">
        <v>485</v>
      </c>
      <c r="S2756" s="94"/>
    </row>
    <row r="2757" spans="1:19" hidden="1">
      <c r="A2757" s="103" t="s">
        <v>4422</v>
      </c>
      <c r="B2757" s="149" t="str">
        <f>IFERROR(VLOOKUP(Proc[[#This Row],[App]],Table2[],3,0),"open")</f>
        <v>ok</v>
      </c>
      <c r="C2757" s="117" t="s">
        <v>369</v>
      </c>
      <c r="D2757" t="s">
        <v>4678</v>
      </c>
      <c r="E2757" t="s">
        <v>4750</v>
      </c>
      <c r="F2757" s="94" t="s">
        <v>4750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4785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4894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116</v>
      </c>
      <c r="R2757" s="110" t="s">
        <v>485</v>
      </c>
      <c r="S2757" s="94"/>
    </row>
    <row r="2758" spans="1:19" hidden="1">
      <c r="A2758" s="103" t="s">
        <v>4422</v>
      </c>
      <c r="B2758" s="149" t="str">
        <f>IFERROR(VLOOKUP(Proc[[#This Row],[App]],Table2[],3,0),"open")</f>
        <v>ok</v>
      </c>
      <c r="C2758" s="117" t="s">
        <v>369</v>
      </c>
      <c r="D2758" t="s">
        <v>4679</v>
      </c>
      <c r="E2758" t="s">
        <v>4750</v>
      </c>
      <c r="F2758" s="94" t="s">
        <v>4750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4785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4894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116</v>
      </c>
      <c r="R2758" s="110" t="s">
        <v>485</v>
      </c>
      <c r="S2758" s="94"/>
    </row>
    <row r="2759" spans="1:19" hidden="1">
      <c r="A2759" s="103" t="s">
        <v>4422</v>
      </c>
      <c r="B2759" s="149" t="str">
        <f>IFERROR(VLOOKUP(Proc[[#This Row],[App]],Table2[],3,0),"open")</f>
        <v>ok</v>
      </c>
      <c r="C2759" s="117" t="s">
        <v>369</v>
      </c>
      <c r="D2759" t="s">
        <v>4680</v>
      </c>
      <c r="E2759" t="s">
        <v>4751</v>
      </c>
      <c r="F2759" s="94" t="s">
        <v>4751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4785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4894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116</v>
      </c>
      <c r="R2759" s="110" t="s">
        <v>485</v>
      </c>
      <c r="S2759" s="94"/>
    </row>
    <row r="2760" spans="1:19" hidden="1">
      <c r="A2760" s="103" t="s">
        <v>4422</v>
      </c>
      <c r="B2760" s="149" t="str">
        <f>IFERROR(VLOOKUP(Proc[[#This Row],[App]],Table2[],3,0),"open")</f>
        <v>ok</v>
      </c>
      <c r="C2760" s="117" t="s">
        <v>369</v>
      </c>
      <c r="D2760" t="s">
        <v>4681</v>
      </c>
      <c r="E2760" t="s">
        <v>4751</v>
      </c>
      <c r="F2760" s="94" t="s">
        <v>4751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4785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4894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116</v>
      </c>
      <c r="R2760" s="110" t="s">
        <v>485</v>
      </c>
      <c r="S2760" s="94"/>
    </row>
    <row r="2761" spans="1:19" hidden="1">
      <c r="A2761" s="103" t="s">
        <v>4422</v>
      </c>
      <c r="B2761" s="149" t="str">
        <f>IFERROR(VLOOKUP(Proc[[#This Row],[App]],Table2[],3,0),"open")</f>
        <v>ok</v>
      </c>
      <c r="C2761" s="117" t="s">
        <v>369</v>
      </c>
      <c r="D2761" t="s">
        <v>4682</v>
      </c>
      <c r="E2761" t="s">
        <v>4750</v>
      </c>
      <c r="F2761" s="94" t="s">
        <v>4750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4785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4894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116</v>
      </c>
      <c r="R2761" s="110" t="s">
        <v>485</v>
      </c>
      <c r="S2761" s="94"/>
    </row>
    <row r="2762" spans="1:19" hidden="1">
      <c r="A2762" s="103" t="s">
        <v>4422</v>
      </c>
      <c r="B2762" s="149" t="str">
        <f>IFERROR(VLOOKUP(Proc[[#This Row],[App]],Table2[],3,0),"open")</f>
        <v>ok</v>
      </c>
      <c r="C2762" s="117" t="s">
        <v>369</v>
      </c>
      <c r="D2762" t="s">
        <v>4683</v>
      </c>
      <c r="E2762" t="s">
        <v>4751</v>
      </c>
      <c r="F2762" s="94" t="s">
        <v>4751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4785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4894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116</v>
      </c>
      <c r="R2762" s="110" t="s">
        <v>485</v>
      </c>
      <c r="S2762" s="94"/>
    </row>
    <row r="2763" spans="1:19" hidden="1">
      <c r="A2763" s="103" t="s">
        <v>4422</v>
      </c>
      <c r="B2763" s="149" t="str">
        <f>IFERROR(VLOOKUP(Proc[[#This Row],[App]],Table2[],3,0),"open")</f>
        <v>ok</v>
      </c>
      <c r="C2763" s="117" t="s">
        <v>369</v>
      </c>
      <c r="D2763" t="s">
        <v>4684</v>
      </c>
      <c r="E2763" t="s">
        <v>4750</v>
      </c>
      <c r="F2763" s="94" t="s">
        <v>4750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4785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4894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116</v>
      </c>
      <c r="R2763" s="110" t="s">
        <v>485</v>
      </c>
      <c r="S2763" s="94"/>
    </row>
    <row r="2764" spans="1:19" hidden="1">
      <c r="A2764" s="103" t="s">
        <v>4422</v>
      </c>
      <c r="B2764" s="149" t="str">
        <f>IFERROR(VLOOKUP(Proc[[#This Row],[App]],Table2[],3,0),"open")</f>
        <v>ok</v>
      </c>
      <c r="C2764" s="117" t="s">
        <v>369</v>
      </c>
      <c r="D2764" t="s">
        <v>4685</v>
      </c>
      <c r="E2764" t="s">
        <v>4751</v>
      </c>
      <c r="F2764" s="94" t="s">
        <v>4751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4785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4894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116</v>
      </c>
      <c r="R2764" s="110" t="s">
        <v>485</v>
      </c>
      <c r="S2764" s="94"/>
    </row>
    <row r="2765" spans="1:19" hidden="1">
      <c r="A2765" s="103" t="s">
        <v>4422</v>
      </c>
      <c r="B2765" s="149" t="str">
        <f>IFERROR(VLOOKUP(Proc[[#This Row],[App]],Table2[],3,0),"open")</f>
        <v>ok</v>
      </c>
      <c r="C2765" s="117" t="s">
        <v>369</v>
      </c>
      <c r="D2765" t="s">
        <v>4686</v>
      </c>
      <c r="E2765" t="s">
        <v>4750</v>
      </c>
      <c r="F2765" s="94" t="s">
        <v>4750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4785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4894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116</v>
      </c>
      <c r="R2765" s="110" t="s">
        <v>485</v>
      </c>
      <c r="S2765" s="94"/>
    </row>
    <row r="2766" spans="1:19" hidden="1">
      <c r="A2766" s="103" t="s">
        <v>4422</v>
      </c>
      <c r="B2766" s="149" t="str">
        <f>IFERROR(VLOOKUP(Proc[[#This Row],[App]],Table2[],3,0),"open")</f>
        <v>ok</v>
      </c>
      <c r="C2766" s="117" t="s">
        <v>369</v>
      </c>
      <c r="D2766" t="s">
        <v>4687</v>
      </c>
      <c r="E2766" t="s">
        <v>4751</v>
      </c>
      <c r="F2766" s="94" t="s">
        <v>4751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4785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4894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116</v>
      </c>
      <c r="R2766" s="110" t="s">
        <v>485</v>
      </c>
      <c r="S2766" s="94"/>
    </row>
    <row r="2767" spans="1:19" hidden="1">
      <c r="A2767" s="103" t="s">
        <v>4422</v>
      </c>
      <c r="B2767" s="149" t="str">
        <f>IFERROR(VLOOKUP(Proc[[#This Row],[App]],Table2[],3,0),"open")</f>
        <v>ok</v>
      </c>
      <c r="C2767" s="117" t="s">
        <v>369</v>
      </c>
      <c r="D2767" t="s">
        <v>4688</v>
      </c>
      <c r="E2767" t="s">
        <v>4753</v>
      </c>
      <c r="F2767" s="94" t="s">
        <v>4753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4785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4894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116</v>
      </c>
      <c r="R2767" s="110" t="s">
        <v>485</v>
      </c>
      <c r="S2767" s="94"/>
    </row>
    <row r="2768" spans="1:19" hidden="1">
      <c r="A2768" s="103" t="s">
        <v>4422</v>
      </c>
      <c r="B2768" s="149" t="str">
        <f>IFERROR(VLOOKUP(Proc[[#This Row],[App]],Table2[],3,0),"open")</f>
        <v>ok</v>
      </c>
      <c r="C2768" s="117" t="s">
        <v>369</v>
      </c>
      <c r="D2768" t="s">
        <v>4689</v>
      </c>
      <c r="E2768" t="s">
        <v>4751</v>
      </c>
      <c r="F2768" s="94" t="s">
        <v>4751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4785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4894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116</v>
      </c>
      <c r="R2768" s="110" t="s">
        <v>485</v>
      </c>
      <c r="S2768" s="94"/>
    </row>
    <row r="2769" spans="1:19" hidden="1">
      <c r="A2769" s="103" t="s">
        <v>4422</v>
      </c>
      <c r="B2769" s="149" t="str">
        <f>IFERROR(VLOOKUP(Proc[[#This Row],[App]],Table2[],3,0),"open")</f>
        <v>ok</v>
      </c>
      <c r="C2769" s="117" t="s">
        <v>369</v>
      </c>
      <c r="D2769" t="s">
        <v>4690</v>
      </c>
      <c r="E2769" t="s">
        <v>4751</v>
      </c>
      <c r="F2769" s="94" t="s">
        <v>4751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4785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4894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116</v>
      </c>
      <c r="R2769" s="110" t="s">
        <v>485</v>
      </c>
      <c r="S2769" s="94"/>
    </row>
    <row r="2770" spans="1:19" hidden="1">
      <c r="A2770" s="103" t="s">
        <v>4422</v>
      </c>
      <c r="B2770" s="149" t="str">
        <f>IFERROR(VLOOKUP(Proc[[#This Row],[App]],Table2[],3,0),"open")</f>
        <v>ok</v>
      </c>
      <c r="C2770" s="117" t="s">
        <v>369</v>
      </c>
      <c r="D2770" t="s">
        <v>4691</v>
      </c>
      <c r="E2770" t="s">
        <v>4751</v>
      </c>
      <c r="F2770" s="94" t="s">
        <v>4751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4785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4894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116</v>
      </c>
      <c r="R2770" s="110" t="s">
        <v>485</v>
      </c>
      <c r="S2770" s="94"/>
    </row>
    <row r="2771" spans="1:19" hidden="1">
      <c r="A2771" s="103" t="s">
        <v>4422</v>
      </c>
      <c r="B2771" s="149" t="str">
        <f>IFERROR(VLOOKUP(Proc[[#This Row],[App]],Table2[],3,0),"open")</f>
        <v>ok</v>
      </c>
      <c r="C2771" s="117" t="s">
        <v>369</v>
      </c>
      <c r="D2771" t="s">
        <v>4692</v>
      </c>
      <c r="E2771" t="s">
        <v>4751</v>
      </c>
      <c r="F2771" s="94" t="s">
        <v>4751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4785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4894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116</v>
      </c>
      <c r="R2771" s="110" t="s">
        <v>485</v>
      </c>
      <c r="S2771" s="94"/>
    </row>
    <row r="2772" spans="1:19" hidden="1">
      <c r="A2772" s="103" t="s">
        <v>4422</v>
      </c>
      <c r="B2772" s="149" t="str">
        <f>IFERROR(VLOOKUP(Proc[[#This Row],[App]],Table2[],3,0),"open")</f>
        <v>ok</v>
      </c>
      <c r="C2772" s="117" t="s">
        <v>369</v>
      </c>
      <c r="D2772" t="s">
        <v>4693</v>
      </c>
      <c r="E2772" t="s">
        <v>4751</v>
      </c>
      <c r="F2772" s="94" t="s">
        <v>4751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4785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4894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116</v>
      </c>
      <c r="R2772" s="110" t="s">
        <v>485</v>
      </c>
      <c r="S2772" s="94"/>
    </row>
    <row r="2773" spans="1:19" hidden="1">
      <c r="A2773" s="103" t="s">
        <v>4422</v>
      </c>
      <c r="B2773" s="149" t="str">
        <f>IFERROR(VLOOKUP(Proc[[#This Row],[App]],Table2[],3,0),"open")</f>
        <v>ok</v>
      </c>
      <c r="C2773" s="117" t="s">
        <v>369</v>
      </c>
      <c r="D2773" t="s">
        <v>4694</v>
      </c>
      <c r="E2773" t="s">
        <v>4754</v>
      </c>
      <c r="F2773" s="94" t="s">
        <v>4754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4785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4894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116</v>
      </c>
      <c r="R2773" s="110" t="s">
        <v>485</v>
      </c>
      <c r="S2773" s="94"/>
    </row>
    <row r="2774" spans="1:19" hidden="1">
      <c r="A2774" s="103" t="s">
        <v>4422</v>
      </c>
      <c r="B2774" s="149" t="str">
        <f>IFERROR(VLOOKUP(Proc[[#This Row],[App]],Table2[],3,0),"open")</f>
        <v>ok</v>
      </c>
      <c r="C2774" s="117" t="s">
        <v>369</v>
      </c>
      <c r="D2774" t="s">
        <v>4695</v>
      </c>
      <c r="E2774" t="s">
        <v>4751</v>
      </c>
      <c r="F2774" s="94" t="s">
        <v>4751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4785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4894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116</v>
      </c>
      <c r="R2774" s="110" t="s">
        <v>485</v>
      </c>
      <c r="S2774" s="94"/>
    </row>
    <row r="2775" spans="1:19" hidden="1">
      <c r="A2775" s="103" t="s">
        <v>4422</v>
      </c>
      <c r="B2775" s="149" t="str">
        <f>IFERROR(VLOOKUP(Proc[[#This Row],[App]],Table2[],3,0),"open")</f>
        <v>ok</v>
      </c>
      <c r="C2775" s="117" t="s">
        <v>369</v>
      </c>
      <c r="D2775" t="s">
        <v>4696</v>
      </c>
      <c r="E2775" t="s">
        <v>4751</v>
      </c>
      <c r="F2775" s="94" t="s">
        <v>4751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4785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4894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116</v>
      </c>
      <c r="R2775" s="110" t="s">
        <v>485</v>
      </c>
      <c r="S2775" s="94"/>
    </row>
    <row r="2776" spans="1:19" hidden="1">
      <c r="A2776" s="103" t="s">
        <v>4422</v>
      </c>
      <c r="B2776" s="149" t="str">
        <f>IFERROR(VLOOKUP(Proc[[#This Row],[App]],Table2[],3,0),"open")</f>
        <v>ok</v>
      </c>
      <c r="C2776" s="117" t="s">
        <v>369</v>
      </c>
      <c r="D2776" t="s">
        <v>4697</v>
      </c>
      <c r="E2776" t="s">
        <v>4751</v>
      </c>
      <c r="F2776" s="94" t="s">
        <v>4751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4785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4894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116</v>
      </c>
      <c r="R2776" s="110" t="s">
        <v>485</v>
      </c>
      <c r="S2776" s="94"/>
    </row>
    <row r="2777" spans="1:19" hidden="1">
      <c r="A2777" s="103" t="s">
        <v>4422</v>
      </c>
      <c r="B2777" s="149" t="str">
        <f>IFERROR(VLOOKUP(Proc[[#This Row],[App]],Table2[],3,0),"open")</f>
        <v>ok</v>
      </c>
      <c r="C2777" s="117" t="s">
        <v>369</v>
      </c>
      <c r="D2777" t="s">
        <v>4698</v>
      </c>
      <c r="E2777" t="s">
        <v>4751</v>
      </c>
      <c r="F2777" s="94" t="s">
        <v>4751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4785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4894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116</v>
      </c>
      <c r="R2777" s="110" t="s">
        <v>485</v>
      </c>
      <c r="S2777" s="94"/>
    </row>
    <row r="2778" spans="1:19" hidden="1">
      <c r="A2778" s="103" t="s">
        <v>4422</v>
      </c>
      <c r="B2778" s="149" t="str">
        <f>IFERROR(VLOOKUP(Proc[[#This Row],[App]],Table2[],3,0),"open")</f>
        <v>ok</v>
      </c>
      <c r="C2778" s="117" t="s">
        <v>369</v>
      </c>
      <c r="D2778" t="s">
        <v>4699</v>
      </c>
      <c r="E2778" t="s">
        <v>4754</v>
      </c>
      <c r="F2778" s="94" t="s">
        <v>4754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4785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4894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116</v>
      </c>
      <c r="R2778" s="110" t="s">
        <v>485</v>
      </c>
      <c r="S2778" s="94"/>
    </row>
    <row r="2779" spans="1:19" hidden="1">
      <c r="A2779" s="103" t="s">
        <v>4422</v>
      </c>
      <c r="B2779" s="149" t="str">
        <f>IFERROR(VLOOKUP(Proc[[#This Row],[App]],Table2[],3,0),"open")</f>
        <v>ok</v>
      </c>
      <c r="C2779" s="117" t="s">
        <v>369</v>
      </c>
      <c r="D2779" t="s">
        <v>4700</v>
      </c>
      <c r="E2779" t="s">
        <v>4751</v>
      </c>
      <c r="F2779" s="94" t="s">
        <v>4751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4785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4894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116</v>
      </c>
      <c r="R2779" s="110" t="s">
        <v>485</v>
      </c>
      <c r="S2779" s="94"/>
    </row>
    <row r="2780" spans="1:19" hidden="1">
      <c r="A2780" s="103" t="s">
        <v>4422</v>
      </c>
      <c r="B2780" s="149" t="str">
        <f>IFERROR(VLOOKUP(Proc[[#This Row],[App]],Table2[],3,0),"open")</f>
        <v>ok</v>
      </c>
      <c r="C2780" s="117" t="s">
        <v>369</v>
      </c>
      <c r="D2780" t="s">
        <v>4701</v>
      </c>
      <c r="E2780" t="s">
        <v>4751</v>
      </c>
      <c r="F2780" s="94" t="s">
        <v>4751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4785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4894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116</v>
      </c>
      <c r="R2780" s="110" t="s">
        <v>485</v>
      </c>
      <c r="S2780" s="94"/>
    </row>
    <row r="2781" spans="1:19" hidden="1">
      <c r="A2781" s="103" t="s">
        <v>4422</v>
      </c>
      <c r="B2781" s="149" t="str">
        <f>IFERROR(VLOOKUP(Proc[[#This Row],[App]],Table2[],3,0),"open")</f>
        <v>ok</v>
      </c>
      <c r="C2781" s="117" t="s">
        <v>369</v>
      </c>
      <c r="D2781" t="s">
        <v>4702</v>
      </c>
      <c r="E2781" t="s">
        <v>4750</v>
      </c>
      <c r="F2781" s="94" t="s">
        <v>4750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4785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4894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116</v>
      </c>
      <c r="R2781" s="110" t="s">
        <v>485</v>
      </c>
      <c r="S2781" s="94"/>
    </row>
    <row r="2782" spans="1:19" hidden="1">
      <c r="A2782" s="103" t="s">
        <v>4422</v>
      </c>
      <c r="B2782" s="149" t="str">
        <f>IFERROR(VLOOKUP(Proc[[#This Row],[App]],Table2[],3,0),"open")</f>
        <v>ok</v>
      </c>
      <c r="C2782" s="117" t="s">
        <v>369</v>
      </c>
      <c r="D2782" t="s">
        <v>4703</v>
      </c>
      <c r="E2782" t="s">
        <v>4751</v>
      </c>
      <c r="F2782" s="94" t="s">
        <v>4751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4785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4894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116</v>
      </c>
      <c r="R2782" s="110" t="s">
        <v>485</v>
      </c>
      <c r="S2782" s="94"/>
    </row>
    <row r="2783" spans="1:19" hidden="1">
      <c r="A2783" s="103" t="s">
        <v>4422</v>
      </c>
      <c r="B2783" s="149" t="str">
        <f>IFERROR(VLOOKUP(Proc[[#This Row],[App]],Table2[],3,0),"open")</f>
        <v>ok</v>
      </c>
      <c r="C2783" s="117" t="s">
        <v>369</v>
      </c>
      <c r="D2783" t="s">
        <v>4704</v>
      </c>
      <c r="E2783" t="s">
        <v>4751</v>
      </c>
      <c r="F2783" s="94" t="s">
        <v>4751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4785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4894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116</v>
      </c>
      <c r="R2783" s="110" t="s">
        <v>485</v>
      </c>
      <c r="S2783" s="94"/>
    </row>
    <row r="2784" spans="1:19" hidden="1">
      <c r="A2784" s="103" t="s">
        <v>4422</v>
      </c>
      <c r="B2784" s="149" t="str">
        <f>IFERROR(VLOOKUP(Proc[[#This Row],[App]],Table2[],3,0),"open")</f>
        <v>ok</v>
      </c>
      <c r="C2784" s="117" t="s">
        <v>369</v>
      </c>
      <c r="D2784" t="s">
        <v>4705</v>
      </c>
      <c r="E2784" t="s">
        <v>4749</v>
      </c>
      <c r="F2784" s="94" t="s">
        <v>4749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4785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4894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116</v>
      </c>
      <c r="R2784" s="110" t="s">
        <v>485</v>
      </c>
      <c r="S2784" s="94"/>
    </row>
    <row r="2785" spans="1:19" hidden="1">
      <c r="A2785" s="103" t="s">
        <v>4422</v>
      </c>
      <c r="B2785" s="149" t="str">
        <f>IFERROR(VLOOKUP(Proc[[#This Row],[App]],Table2[],3,0),"open")</f>
        <v>ok</v>
      </c>
      <c r="C2785" s="117" t="s">
        <v>369</v>
      </c>
      <c r="D2785" t="s">
        <v>4706</v>
      </c>
      <c r="E2785" t="s">
        <v>4751</v>
      </c>
      <c r="F2785" s="94" t="s">
        <v>4751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4785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4894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116</v>
      </c>
      <c r="R2785" s="110" t="s">
        <v>485</v>
      </c>
      <c r="S2785" s="94"/>
    </row>
    <row r="2786" spans="1:19" hidden="1">
      <c r="A2786" s="103" t="s">
        <v>4422</v>
      </c>
      <c r="B2786" s="149" t="str">
        <f>IFERROR(VLOOKUP(Proc[[#This Row],[App]],Table2[],3,0),"open")</f>
        <v>ok</v>
      </c>
      <c r="C2786" s="117" t="s">
        <v>369</v>
      </c>
      <c r="D2786" t="s">
        <v>4707</v>
      </c>
      <c r="E2786" t="s">
        <v>4751</v>
      </c>
      <c r="F2786" s="94" t="s">
        <v>4751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4785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4894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116</v>
      </c>
      <c r="R2786" s="110" t="s">
        <v>485</v>
      </c>
      <c r="S2786" s="94"/>
    </row>
    <row r="2787" spans="1:19" hidden="1">
      <c r="A2787" s="103" t="s">
        <v>4422</v>
      </c>
      <c r="B2787" s="149" t="str">
        <f>IFERROR(VLOOKUP(Proc[[#This Row],[App]],Table2[],3,0),"open")</f>
        <v>ok</v>
      </c>
      <c r="C2787" s="117" t="s">
        <v>369</v>
      </c>
      <c r="D2787" t="s">
        <v>4708</v>
      </c>
      <c r="E2787" t="s">
        <v>4751</v>
      </c>
      <c r="F2787" s="94" t="s">
        <v>4751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4785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4894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116</v>
      </c>
      <c r="R2787" s="110" t="s">
        <v>485</v>
      </c>
      <c r="S2787" s="94"/>
    </row>
    <row r="2788" spans="1:19" hidden="1">
      <c r="A2788" s="103" t="s">
        <v>4422</v>
      </c>
      <c r="B2788" s="149" t="str">
        <f>IFERROR(VLOOKUP(Proc[[#This Row],[App]],Table2[],3,0),"open")</f>
        <v>ok</v>
      </c>
      <c r="C2788" s="117" t="s">
        <v>369</v>
      </c>
      <c r="D2788" t="s">
        <v>4709</v>
      </c>
      <c r="E2788" t="s">
        <v>4753</v>
      </c>
      <c r="F2788" s="94" t="s">
        <v>4753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4785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4894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116</v>
      </c>
      <c r="R2788" s="110" t="s">
        <v>485</v>
      </c>
      <c r="S2788" s="94"/>
    </row>
    <row r="2789" spans="1:19" hidden="1">
      <c r="A2789" s="103" t="s">
        <v>4422</v>
      </c>
      <c r="B2789" s="149" t="str">
        <f>IFERROR(VLOOKUP(Proc[[#This Row],[App]],Table2[],3,0),"open")</f>
        <v>ok</v>
      </c>
      <c r="C2789" s="117" t="s">
        <v>369</v>
      </c>
      <c r="D2789" t="s">
        <v>4710</v>
      </c>
      <c r="E2789" t="s">
        <v>4753</v>
      </c>
      <c r="F2789" s="94" t="s">
        <v>4753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4785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4894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116</v>
      </c>
      <c r="R2789" s="110" t="s">
        <v>485</v>
      </c>
      <c r="S2789" s="94"/>
    </row>
    <row r="2790" spans="1:19" hidden="1">
      <c r="A2790" s="103" t="s">
        <v>4422</v>
      </c>
      <c r="B2790" s="149" t="str">
        <f>IFERROR(VLOOKUP(Proc[[#This Row],[App]],Table2[],3,0),"open")</f>
        <v>ok</v>
      </c>
      <c r="C2790" s="117" t="s">
        <v>369</v>
      </c>
      <c r="D2790" t="s">
        <v>4711</v>
      </c>
      <c r="E2790" t="s">
        <v>4754</v>
      </c>
      <c r="F2790" s="94" t="s">
        <v>4754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4785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4894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116</v>
      </c>
      <c r="R2790" s="110" t="s">
        <v>485</v>
      </c>
      <c r="S2790" s="94"/>
    </row>
    <row r="2791" spans="1:19" hidden="1">
      <c r="A2791" s="103" t="s">
        <v>4422</v>
      </c>
      <c r="B2791" s="149" t="str">
        <f>IFERROR(VLOOKUP(Proc[[#This Row],[App]],Table2[],3,0),"open")</f>
        <v>ok</v>
      </c>
      <c r="C2791" s="117" t="s">
        <v>369</v>
      </c>
      <c r="D2791" t="s">
        <v>4712</v>
      </c>
      <c r="E2791" t="s">
        <v>4754</v>
      </c>
      <c r="F2791" s="94" t="s">
        <v>4754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4785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4894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116</v>
      </c>
      <c r="R2791" s="110" t="s">
        <v>485</v>
      </c>
      <c r="S2791" s="94"/>
    </row>
    <row r="2792" spans="1:19" hidden="1">
      <c r="A2792" s="103" t="s">
        <v>4422</v>
      </c>
      <c r="B2792" s="149" t="str">
        <f>IFERROR(VLOOKUP(Proc[[#This Row],[App]],Table2[],3,0),"open")</f>
        <v>ok</v>
      </c>
      <c r="C2792" s="117" t="s">
        <v>369</v>
      </c>
      <c r="D2792" t="s">
        <v>4713</v>
      </c>
      <c r="E2792" t="s">
        <v>4744</v>
      </c>
      <c r="F2792" s="94" t="s">
        <v>4744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4785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4894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116</v>
      </c>
      <c r="R2792" s="110" t="s">
        <v>485</v>
      </c>
      <c r="S2792" s="94"/>
    </row>
    <row r="2793" spans="1:19" hidden="1">
      <c r="A2793" s="103" t="s">
        <v>4422</v>
      </c>
      <c r="B2793" s="149" t="str">
        <f>IFERROR(VLOOKUP(Proc[[#This Row],[App]],Table2[],3,0),"open")</f>
        <v>ok</v>
      </c>
      <c r="C2793" s="117" t="s">
        <v>369</v>
      </c>
      <c r="D2793" t="s">
        <v>4714</v>
      </c>
      <c r="E2793" t="s">
        <v>4751</v>
      </c>
      <c r="F2793" s="94" t="s">
        <v>4751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4785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4894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116</v>
      </c>
      <c r="R2793" s="110" t="s">
        <v>485</v>
      </c>
      <c r="S2793" s="94"/>
    </row>
    <row r="2794" spans="1:19" hidden="1">
      <c r="A2794" s="103" t="s">
        <v>4422</v>
      </c>
      <c r="B2794" s="149" t="str">
        <f>IFERROR(VLOOKUP(Proc[[#This Row],[App]],Table2[],3,0),"open")</f>
        <v>ok</v>
      </c>
      <c r="C2794" s="117" t="s">
        <v>369</v>
      </c>
      <c r="D2794" t="s">
        <v>4715</v>
      </c>
      <c r="E2794" t="s">
        <v>4751</v>
      </c>
      <c r="F2794" s="94" t="s">
        <v>4751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4785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4894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116</v>
      </c>
      <c r="R2794" s="110" t="s">
        <v>485</v>
      </c>
      <c r="S2794" s="94"/>
    </row>
    <row r="2795" spans="1:19" hidden="1">
      <c r="A2795" s="103" t="s">
        <v>4422</v>
      </c>
      <c r="B2795" s="149" t="str">
        <f>IFERROR(VLOOKUP(Proc[[#This Row],[App]],Table2[],3,0),"open")</f>
        <v>ok</v>
      </c>
      <c r="C2795" s="117" t="s">
        <v>369</v>
      </c>
      <c r="D2795" t="s">
        <v>4716</v>
      </c>
      <c r="E2795" t="s">
        <v>4749</v>
      </c>
      <c r="F2795" s="94" t="s">
        <v>4749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4785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4894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116</v>
      </c>
      <c r="R2795" s="110" t="s">
        <v>485</v>
      </c>
      <c r="S2795" s="94"/>
    </row>
    <row r="2796" spans="1:19" hidden="1">
      <c r="A2796" s="103" t="s">
        <v>4422</v>
      </c>
      <c r="B2796" s="149" t="str">
        <f>IFERROR(VLOOKUP(Proc[[#This Row],[App]],Table2[],3,0),"open")</f>
        <v>ok</v>
      </c>
      <c r="C2796" s="117" t="s">
        <v>369</v>
      </c>
      <c r="D2796" t="s">
        <v>4717</v>
      </c>
      <c r="E2796" t="s">
        <v>4749</v>
      </c>
      <c r="F2796" s="94" t="s">
        <v>4749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4785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4894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116</v>
      </c>
      <c r="R2796" s="110" t="s">
        <v>485</v>
      </c>
      <c r="S2796" s="94"/>
    </row>
    <row r="2797" spans="1:19" hidden="1">
      <c r="A2797" s="103" t="s">
        <v>4422</v>
      </c>
      <c r="B2797" s="149" t="str">
        <f>IFERROR(VLOOKUP(Proc[[#This Row],[App]],Table2[],3,0),"open")</f>
        <v>ok</v>
      </c>
      <c r="C2797" s="117" t="s">
        <v>369</v>
      </c>
      <c r="D2797" t="s">
        <v>4718</v>
      </c>
      <c r="E2797" t="s">
        <v>4749</v>
      </c>
      <c r="F2797" s="94" t="s">
        <v>4749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4785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4894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116</v>
      </c>
      <c r="R2797" s="110" t="s">
        <v>485</v>
      </c>
      <c r="S2797" s="94"/>
    </row>
    <row r="2798" spans="1:19" hidden="1">
      <c r="A2798" s="103" t="s">
        <v>4422</v>
      </c>
      <c r="B2798" s="149" t="str">
        <f>IFERROR(VLOOKUP(Proc[[#This Row],[App]],Table2[],3,0),"open")</f>
        <v>ok</v>
      </c>
      <c r="C2798" s="117" t="s">
        <v>369</v>
      </c>
      <c r="D2798" t="s">
        <v>4719</v>
      </c>
      <c r="E2798" t="s">
        <v>4749</v>
      </c>
      <c r="F2798" s="94" t="s">
        <v>4749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4785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4894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116</v>
      </c>
      <c r="R2798" s="110" t="s">
        <v>485</v>
      </c>
      <c r="S2798" s="94"/>
    </row>
    <row r="2799" spans="1:19" hidden="1">
      <c r="A2799" s="103" t="s">
        <v>4422</v>
      </c>
      <c r="B2799" s="149" t="str">
        <f>IFERROR(VLOOKUP(Proc[[#This Row],[App]],Table2[],3,0),"open")</f>
        <v>ok</v>
      </c>
      <c r="C2799" s="117" t="s">
        <v>369</v>
      </c>
      <c r="D2799" t="s">
        <v>4720</v>
      </c>
      <c r="E2799" t="s">
        <v>4751</v>
      </c>
      <c r="F2799" s="94" t="s">
        <v>4751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4785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4894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116</v>
      </c>
      <c r="R2799" s="110" t="s">
        <v>485</v>
      </c>
      <c r="S2799" s="94"/>
    </row>
    <row r="2800" spans="1:19" hidden="1">
      <c r="A2800" s="103" t="s">
        <v>4422</v>
      </c>
      <c r="B2800" s="149" t="str">
        <f>IFERROR(VLOOKUP(Proc[[#This Row],[App]],Table2[],3,0),"open")</f>
        <v>ok</v>
      </c>
      <c r="C2800" s="117" t="s">
        <v>369</v>
      </c>
      <c r="D2800" t="s">
        <v>4721</v>
      </c>
      <c r="E2800" t="s">
        <v>4751</v>
      </c>
      <c r="F2800" s="94" t="s">
        <v>4751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4785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4894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116</v>
      </c>
      <c r="R2800" s="110" t="s">
        <v>485</v>
      </c>
      <c r="S2800" s="94"/>
    </row>
    <row r="2801" spans="1:19" hidden="1">
      <c r="A2801" s="103" t="s">
        <v>4422</v>
      </c>
      <c r="B2801" s="149" t="str">
        <f>IFERROR(VLOOKUP(Proc[[#This Row],[App]],Table2[],3,0),"open")</f>
        <v>ok</v>
      </c>
      <c r="C2801" s="117" t="s">
        <v>369</v>
      </c>
      <c r="D2801" t="s">
        <v>4722</v>
      </c>
      <c r="E2801" t="s">
        <v>4751</v>
      </c>
      <c r="F2801" s="94" t="s">
        <v>4751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4785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4894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116</v>
      </c>
      <c r="R2801" s="110" t="s">
        <v>485</v>
      </c>
      <c r="S2801" s="94"/>
    </row>
    <row r="2802" spans="1:19" hidden="1">
      <c r="A2802" s="103" t="s">
        <v>4422</v>
      </c>
      <c r="B2802" s="149" t="str">
        <f>IFERROR(VLOOKUP(Proc[[#This Row],[App]],Table2[],3,0),"open")</f>
        <v>ok</v>
      </c>
      <c r="C2802" s="117" t="s">
        <v>369</v>
      </c>
      <c r="D2802" t="s">
        <v>4723</v>
      </c>
      <c r="E2802" t="s">
        <v>4751</v>
      </c>
      <c r="F2802" s="94" t="s">
        <v>4751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4785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4894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116</v>
      </c>
      <c r="R2802" s="110" t="s">
        <v>485</v>
      </c>
      <c r="S2802" s="94"/>
    </row>
    <row r="2803" spans="1:19" hidden="1">
      <c r="A2803" s="103" t="s">
        <v>4422</v>
      </c>
      <c r="B2803" s="149" t="str">
        <f>IFERROR(VLOOKUP(Proc[[#This Row],[App]],Table2[],3,0),"open")</f>
        <v>ok</v>
      </c>
      <c r="C2803" s="117" t="s">
        <v>369</v>
      </c>
      <c r="D2803" t="s">
        <v>4724</v>
      </c>
      <c r="E2803" t="s">
        <v>4753</v>
      </c>
      <c r="F2803" s="94" t="s">
        <v>4753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4785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4894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116</v>
      </c>
      <c r="R2803" s="110" t="s">
        <v>485</v>
      </c>
      <c r="S2803" s="94"/>
    </row>
    <row r="2804" spans="1:19" hidden="1">
      <c r="A2804" s="103" t="s">
        <v>4422</v>
      </c>
      <c r="B2804" s="149" t="str">
        <f>IFERROR(VLOOKUP(Proc[[#This Row],[App]],Table2[],3,0),"open")</f>
        <v>ok</v>
      </c>
      <c r="C2804" s="117" t="s">
        <v>369</v>
      </c>
      <c r="D2804" t="s">
        <v>4725</v>
      </c>
      <c r="E2804" t="s">
        <v>4754</v>
      </c>
      <c r="F2804" s="94" t="s">
        <v>4754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4785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4894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116</v>
      </c>
      <c r="R2804" s="110" t="s">
        <v>485</v>
      </c>
      <c r="S2804" s="94"/>
    </row>
    <row r="2805" spans="1:19" hidden="1">
      <c r="A2805" s="103" t="s">
        <v>4422</v>
      </c>
      <c r="B2805" s="149" t="str">
        <f>IFERROR(VLOOKUP(Proc[[#This Row],[App]],Table2[],3,0),"open")</f>
        <v>ok</v>
      </c>
      <c r="C2805" s="117" t="s">
        <v>369</v>
      </c>
      <c r="D2805" t="s">
        <v>4726</v>
      </c>
      <c r="E2805" t="s">
        <v>4754</v>
      </c>
      <c r="F2805" s="94" t="s">
        <v>4754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4785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4894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116</v>
      </c>
      <c r="R2805" s="110" t="s">
        <v>485</v>
      </c>
      <c r="S2805" s="94"/>
    </row>
    <row r="2806" spans="1:19" hidden="1">
      <c r="A2806" s="103" t="s">
        <v>4422</v>
      </c>
      <c r="B2806" s="149" t="str">
        <f>IFERROR(VLOOKUP(Proc[[#This Row],[App]],Table2[],3,0),"open")</f>
        <v>ok</v>
      </c>
      <c r="C2806" s="117" t="s">
        <v>369</v>
      </c>
      <c r="D2806" t="s">
        <v>4727</v>
      </c>
      <c r="E2806" t="s">
        <v>4754</v>
      </c>
      <c r="F2806" s="94" t="s">
        <v>4754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4785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4894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116</v>
      </c>
      <c r="R2806" s="110" t="s">
        <v>485</v>
      </c>
      <c r="S2806" s="94"/>
    </row>
    <row r="2807" spans="1:19" hidden="1">
      <c r="A2807" s="103" t="s">
        <v>4422</v>
      </c>
      <c r="B2807" s="149" t="str">
        <f>IFERROR(VLOOKUP(Proc[[#This Row],[App]],Table2[],3,0),"open")</f>
        <v>ok</v>
      </c>
      <c r="C2807" s="117" t="s">
        <v>369</v>
      </c>
      <c r="D2807" t="s">
        <v>4728</v>
      </c>
      <c r="E2807" t="s">
        <v>4754</v>
      </c>
      <c r="F2807" s="94" t="s">
        <v>4754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4785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4894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116</v>
      </c>
      <c r="R2807" s="110" t="s">
        <v>485</v>
      </c>
      <c r="S2807" s="94"/>
    </row>
    <row r="2808" spans="1:19" hidden="1">
      <c r="A2808" s="103" t="s">
        <v>4422</v>
      </c>
      <c r="B2808" s="149" t="str">
        <f>IFERROR(VLOOKUP(Proc[[#This Row],[App]],Table2[],3,0),"open")</f>
        <v>ok</v>
      </c>
      <c r="C2808" s="117" t="s">
        <v>369</v>
      </c>
      <c r="D2808" t="s">
        <v>4729</v>
      </c>
      <c r="E2808" t="s">
        <v>4751</v>
      </c>
      <c r="F2808" s="94" t="s">
        <v>4751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4785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4894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116</v>
      </c>
      <c r="R2808" s="110" t="s">
        <v>485</v>
      </c>
      <c r="S2808" s="94"/>
    </row>
    <row r="2809" spans="1:19" hidden="1">
      <c r="A2809" s="103" t="s">
        <v>4422</v>
      </c>
      <c r="B2809" s="149" t="str">
        <f>IFERROR(VLOOKUP(Proc[[#This Row],[App]],Table2[],3,0),"open")</f>
        <v>ok</v>
      </c>
      <c r="C2809" s="117" t="s">
        <v>369</v>
      </c>
      <c r="D2809" t="s">
        <v>4730</v>
      </c>
      <c r="E2809" t="s">
        <v>4750</v>
      </c>
      <c r="F2809" s="94" t="s">
        <v>4750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4785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4894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116</v>
      </c>
      <c r="R2809" s="110" t="s">
        <v>485</v>
      </c>
      <c r="S2809" s="94"/>
    </row>
    <row r="2810" spans="1:19" hidden="1">
      <c r="A2810" s="103" t="s">
        <v>4422</v>
      </c>
      <c r="B2810" s="149" t="str">
        <f>IFERROR(VLOOKUP(Proc[[#This Row],[App]],Table2[],3,0),"open")</f>
        <v>ok</v>
      </c>
      <c r="C2810" s="117" t="s">
        <v>369</v>
      </c>
      <c r="D2810" t="s">
        <v>4731</v>
      </c>
      <c r="E2810" t="s">
        <v>4750</v>
      </c>
      <c r="F2810" s="94" t="s">
        <v>4750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4785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4894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116</v>
      </c>
      <c r="R2810" s="110" t="s">
        <v>485</v>
      </c>
      <c r="S2810" s="94"/>
    </row>
    <row r="2811" spans="1:19" hidden="1">
      <c r="A2811" s="103" t="s">
        <v>4422</v>
      </c>
      <c r="B2811" s="149" t="str">
        <f>IFERROR(VLOOKUP(Proc[[#This Row],[App]],Table2[],3,0),"open")</f>
        <v>ok</v>
      </c>
      <c r="C2811" s="117" t="s">
        <v>369</v>
      </c>
      <c r="D2811" t="s">
        <v>4732</v>
      </c>
      <c r="E2811" t="s">
        <v>4754</v>
      </c>
      <c r="F2811" s="94" t="s">
        <v>4754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4785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4894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116</v>
      </c>
      <c r="R2811" s="110" t="s">
        <v>485</v>
      </c>
      <c r="S2811" s="94"/>
    </row>
    <row r="2812" spans="1:19" hidden="1">
      <c r="A2812" s="103" t="s">
        <v>4422</v>
      </c>
      <c r="B2812" s="149" t="str">
        <f>IFERROR(VLOOKUP(Proc[[#This Row],[App]],Table2[],3,0),"open")</f>
        <v>ok</v>
      </c>
      <c r="C2812" s="117" t="s">
        <v>369</v>
      </c>
      <c r="D2812" t="s">
        <v>4733</v>
      </c>
      <c r="E2812" t="s">
        <v>4740</v>
      </c>
      <c r="F2812" s="94" t="s">
        <v>4740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4785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4894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116</v>
      </c>
      <c r="R2812" s="110" t="s">
        <v>485</v>
      </c>
      <c r="S2812" s="94"/>
    </row>
    <row r="2813" spans="1:19" hidden="1">
      <c r="A2813" t="s">
        <v>4755</v>
      </c>
      <c r="B2813" s="149" t="str">
        <f>IFERROR(VLOOKUP(Proc[[#This Row],[App]],Table2[],3,0),"open")</f>
        <v>ok</v>
      </c>
      <c r="C2813" s="103" t="s">
        <v>369</v>
      </c>
      <c r="D2813" t="s">
        <v>4756</v>
      </c>
      <c r="E2813" t="s">
        <v>4764</v>
      </c>
      <c r="F2813" s="117" t="s">
        <v>4764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4785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4894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116</v>
      </c>
      <c r="R2813" s="110" t="s">
        <v>410</v>
      </c>
      <c r="S2813" s="94"/>
    </row>
    <row r="2814" spans="1:19" hidden="1">
      <c r="A2814" s="103" t="s">
        <v>4755</v>
      </c>
      <c r="B2814" s="149" t="str">
        <f>IFERROR(VLOOKUP(Proc[[#This Row],[App]],Table2[],3,0),"open")</f>
        <v>ok</v>
      </c>
      <c r="C2814" s="117" t="s">
        <v>369</v>
      </c>
      <c r="D2814" t="s">
        <v>4757</v>
      </c>
      <c r="E2814" t="s">
        <v>4764</v>
      </c>
      <c r="F2814" s="117" t="s">
        <v>4764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4785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4894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116</v>
      </c>
      <c r="R2814" s="110" t="s">
        <v>410</v>
      </c>
      <c r="S2814" s="94"/>
    </row>
    <row r="2815" spans="1:19" hidden="1">
      <c r="A2815" s="103" t="s">
        <v>4755</v>
      </c>
      <c r="B2815" s="149" t="str">
        <f>IFERROR(VLOOKUP(Proc[[#This Row],[App]],Table2[],3,0),"open")</f>
        <v>ok</v>
      </c>
      <c r="C2815" s="117" t="s">
        <v>369</v>
      </c>
      <c r="D2815" t="s">
        <v>4758</v>
      </c>
      <c r="E2815" t="s">
        <v>4764</v>
      </c>
      <c r="F2815" s="117" t="s">
        <v>4764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4785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4894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116</v>
      </c>
      <c r="R2815" s="110" t="s">
        <v>410</v>
      </c>
      <c r="S2815" s="94"/>
    </row>
    <row r="2816" spans="1:19" hidden="1">
      <c r="A2816" s="103" t="s">
        <v>4755</v>
      </c>
      <c r="B2816" s="149" t="str">
        <f>IFERROR(VLOOKUP(Proc[[#This Row],[App]],Table2[],3,0),"open")</f>
        <v>ok</v>
      </c>
      <c r="C2816" s="117" t="s">
        <v>369</v>
      </c>
      <c r="D2816" t="s">
        <v>4759</v>
      </c>
      <c r="E2816" t="s">
        <v>4764</v>
      </c>
      <c r="F2816" s="117" t="s">
        <v>4764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4785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4894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116</v>
      </c>
      <c r="R2816" s="110" t="s">
        <v>410</v>
      </c>
      <c r="S2816" s="94"/>
    </row>
    <row r="2817" spans="1:19" hidden="1">
      <c r="A2817" s="103" t="s">
        <v>4755</v>
      </c>
      <c r="B2817" s="149" t="str">
        <f>IFERROR(VLOOKUP(Proc[[#This Row],[App]],Table2[],3,0),"open")</f>
        <v>ok</v>
      </c>
      <c r="C2817" s="117" t="s">
        <v>369</v>
      </c>
      <c r="D2817" t="s">
        <v>4760</v>
      </c>
      <c r="E2817" t="s">
        <v>4764</v>
      </c>
      <c r="F2817" s="117" t="s">
        <v>4764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4785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4894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116</v>
      </c>
      <c r="R2817" s="110" t="s">
        <v>410</v>
      </c>
      <c r="S2817" s="94"/>
    </row>
    <row r="2818" spans="1:19" hidden="1">
      <c r="A2818" s="103" t="s">
        <v>4755</v>
      </c>
      <c r="B2818" s="149" t="str">
        <f>IFERROR(VLOOKUP(Proc[[#This Row],[App]],Table2[],3,0),"open")</f>
        <v>ok</v>
      </c>
      <c r="C2818" s="117" t="s">
        <v>369</v>
      </c>
      <c r="D2818" t="s">
        <v>4761</v>
      </c>
      <c r="E2818" t="s">
        <v>4764</v>
      </c>
      <c r="F2818" s="117" t="s">
        <v>4764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4785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4894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116</v>
      </c>
      <c r="R2818" s="110" t="s">
        <v>410</v>
      </c>
      <c r="S2818" s="94"/>
    </row>
    <row r="2819" spans="1:19" hidden="1">
      <c r="A2819" s="103" t="s">
        <v>4755</v>
      </c>
      <c r="B2819" s="149" t="str">
        <f>IFERROR(VLOOKUP(Proc[[#This Row],[App]],Table2[],3,0),"open")</f>
        <v>ok</v>
      </c>
      <c r="C2819" s="117" t="s">
        <v>369</v>
      </c>
      <c r="D2819" t="s">
        <v>4762</v>
      </c>
      <c r="E2819" t="s">
        <v>4764</v>
      </c>
      <c r="F2819" s="117" t="s">
        <v>4764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4894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116</v>
      </c>
      <c r="R2819" s="110" t="s">
        <v>410</v>
      </c>
      <c r="S2819" s="94"/>
    </row>
    <row r="2820" spans="1:19" hidden="1">
      <c r="A2820" s="103" t="s">
        <v>4755</v>
      </c>
      <c r="B2820" s="149" t="str">
        <f>IFERROR(VLOOKUP(Proc[[#This Row],[App]],Table2[],3,0),"open")</f>
        <v>ok</v>
      </c>
      <c r="C2820" s="117" t="s">
        <v>369</v>
      </c>
      <c r="D2820" t="s">
        <v>4763</v>
      </c>
      <c r="E2820" t="s">
        <v>4764</v>
      </c>
      <c r="F2820" s="117" t="s">
        <v>4764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4894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116</v>
      </c>
      <c r="R2820" s="110" t="s">
        <v>410</v>
      </c>
      <c r="S2820" s="94"/>
    </row>
    <row r="2821" spans="1:19" hidden="1">
      <c r="A2821" t="s">
        <v>4765</v>
      </c>
      <c r="B2821" s="149" t="str">
        <f>IFERROR(VLOOKUP(Proc[[#This Row],[App]],Table2[],3,0),"open")</f>
        <v>ok</v>
      </c>
      <c r="C2821" s="103" t="s">
        <v>369</v>
      </c>
      <c r="D2821" t="s">
        <v>4766</v>
      </c>
      <c r="E2821" t="s">
        <v>4777</v>
      </c>
      <c r="F2821" s="117" t="s">
        <v>4777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4785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4894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116</v>
      </c>
      <c r="R2821" s="94" t="s">
        <v>515</v>
      </c>
      <c r="S2821" s="94"/>
    </row>
    <row r="2822" spans="1:19" hidden="1">
      <c r="A2822" s="103" t="s">
        <v>4765</v>
      </c>
      <c r="B2822" s="149" t="str">
        <f>IFERROR(VLOOKUP(Proc[[#This Row],[App]],Table2[],3,0),"open")</f>
        <v>ok</v>
      </c>
      <c r="C2822" s="117" t="s">
        <v>369</v>
      </c>
      <c r="D2822" t="s">
        <v>4767</v>
      </c>
      <c r="E2822" t="s">
        <v>4777</v>
      </c>
      <c r="F2822" s="117" t="s">
        <v>4777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4785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4894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116</v>
      </c>
      <c r="R2822" s="94" t="s">
        <v>515</v>
      </c>
      <c r="S2822" s="94"/>
    </row>
    <row r="2823" spans="1:19" hidden="1">
      <c r="A2823" s="103" t="s">
        <v>4765</v>
      </c>
      <c r="B2823" s="149" t="str">
        <f>IFERROR(VLOOKUP(Proc[[#This Row],[App]],Table2[],3,0),"open")</f>
        <v>ok</v>
      </c>
      <c r="C2823" s="117" t="s">
        <v>369</v>
      </c>
      <c r="D2823" t="s">
        <v>4768</v>
      </c>
      <c r="E2823" t="s">
        <v>4777</v>
      </c>
      <c r="F2823" s="117" t="s">
        <v>4777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4785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4894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116</v>
      </c>
      <c r="R2823" s="94" t="s">
        <v>515</v>
      </c>
      <c r="S2823" s="94"/>
    </row>
    <row r="2824" spans="1:19" hidden="1">
      <c r="A2824" s="103" t="s">
        <v>4765</v>
      </c>
      <c r="B2824" s="149" t="str">
        <f>IFERROR(VLOOKUP(Proc[[#This Row],[App]],Table2[],3,0),"open")</f>
        <v>ok</v>
      </c>
      <c r="C2824" s="117" t="s">
        <v>369</v>
      </c>
      <c r="D2824" t="s">
        <v>4769</v>
      </c>
      <c r="E2824" t="s">
        <v>4778</v>
      </c>
      <c r="F2824" s="117" t="s">
        <v>4778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4785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4894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116</v>
      </c>
      <c r="R2824" s="94" t="s">
        <v>515</v>
      </c>
      <c r="S2824" s="94"/>
    </row>
    <row r="2825" spans="1:19" hidden="1">
      <c r="A2825" s="103" t="s">
        <v>4765</v>
      </c>
      <c r="B2825" s="149" t="str">
        <f>IFERROR(VLOOKUP(Proc[[#This Row],[App]],Table2[],3,0),"open")</f>
        <v>ok</v>
      </c>
      <c r="C2825" s="117" t="s">
        <v>369</v>
      </c>
      <c r="D2825" t="s">
        <v>4770</v>
      </c>
      <c r="E2825" t="s">
        <v>4777</v>
      </c>
      <c r="F2825" s="117" t="s">
        <v>4777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4785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4894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116</v>
      </c>
      <c r="R2825" s="94" t="s">
        <v>515</v>
      </c>
      <c r="S2825" s="94"/>
    </row>
    <row r="2826" spans="1:19" hidden="1">
      <c r="A2826" s="103" t="s">
        <v>4765</v>
      </c>
      <c r="B2826" s="149" t="str">
        <f>IFERROR(VLOOKUP(Proc[[#This Row],[App]],Table2[],3,0),"open")</f>
        <v>ok</v>
      </c>
      <c r="C2826" s="117" t="s">
        <v>369</v>
      </c>
      <c r="D2826" t="s">
        <v>4771</v>
      </c>
      <c r="E2826" t="s">
        <v>4777</v>
      </c>
      <c r="F2826" s="117" t="s">
        <v>4777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4785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4894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116</v>
      </c>
      <c r="R2826" s="94" t="s">
        <v>515</v>
      </c>
      <c r="S2826" s="94"/>
    </row>
    <row r="2827" spans="1:19" hidden="1">
      <c r="A2827" s="103" t="s">
        <v>4765</v>
      </c>
      <c r="B2827" s="149" t="str">
        <f>IFERROR(VLOOKUP(Proc[[#This Row],[App]],Table2[],3,0),"open")</f>
        <v>ok</v>
      </c>
      <c r="C2827" s="117" t="s">
        <v>369</v>
      </c>
      <c r="D2827" t="s">
        <v>4772</v>
      </c>
      <c r="E2827" t="s">
        <v>4777</v>
      </c>
      <c r="F2827" s="117" t="s">
        <v>4777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4785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4894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116</v>
      </c>
      <c r="R2827" s="94" t="s">
        <v>515</v>
      </c>
      <c r="S2827" s="94"/>
    </row>
    <row r="2828" spans="1:19" hidden="1">
      <c r="A2828" s="103" t="s">
        <v>4765</v>
      </c>
      <c r="B2828" s="149" t="str">
        <f>IFERROR(VLOOKUP(Proc[[#This Row],[App]],Table2[],3,0),"open")</f>
        <v>ok</v>
      </c>
      <c r="C2828" s="117" t="s">
        <v>369</v>
      </c>
      <c r="D2828" t="s">
        <v>4773</v>
      </c>
      <c r="E2828" t="s">
        <v>4777</v>
      </c>
      <c r="F2828" s="117" t="s">
        <v>4777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4785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4894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116</v>
      </c>
      <c r="R2828" s="94" t="s">
        <v>515</v>
      </c>
      <c r="S2828" s="94"/>
    </row>
    <row r="2829" spans="1:19" hidden="1">
      <c r="A2829" s="103" t="s">
        <v>4765</v>
      </c>
      <c r="B2829" s="149" t="str">
        <f>IFERROR(VLOOKUP(Proc[[#This Row],[App]],Table2[],3,0),"open")</f>
        <v>ok</v>
      </c>
      <c r="C2829" s="117" t="s">
        <v>369</v>
      </c>
      <c r="D2829" t="s">
        <v>4774</v>
      </c>
      <c r="E2829" t="s">
        <v>4777</v>
      </c>
      <c r="F2829" s="117" t="s">
        <v>4777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4785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4894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116</v>
      </c>
      <c r="R2829" s="94" t="s">
        <v>515</v>
      </c>
      <c r="S2829" s="94"/>
    </row>
    <row r="2830" spans="1:19" hidden="1">
      <c r="A2830" s="103" t="s">
        <v>4765</v>
      </c>
      <c r="B2830" s="149" t="str">
        <f>IFERROR(VLOOKUP(Proc[[#This Row],[App]],Table2[],3,0),"open")</f>
        <v>ok</v>
      </c>
      <c r="C2830" s="117" t="s">
        <v>369</v>
      </c>
      <c r="D2830" t="s">
        <v>4775</v>
      </c>
      <c r="E2830" t="s">
        <v>4777</v>
      </c>
      <c r="F2830" s="117" t="s">
        <v>4777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4785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4894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116</v>
      </c>
      <c r="R2830" s="94" t="s">
        <v>515</v>
      </c>
      <c r="S2830" s="94"/>
    </row>
    <row r="2831" spans="1:19" hidden="1">
      <c r="A2831" s="103" t="s">
        <v>4765</v>
      </c>
      <c r="B2831" s="149" t="str">
        <f>IFERROR(VLOOKUP(Proc[[#This Row],[App]],Table2[],3,0),"open")</f>
        <v>ok</v>
      </c>
      <c r="C2831" s="117" t="s">
        <v>369</v>
      </c>
      <c r="D2831" t="s">
        <v>4800</v>
      </c>
      <c r="E2831" t="s">
        <v>4778</v>
      </c>
      <c r="F2831" s="117" t="s">
        <v>4778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4783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4894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116</v>
      </c>
      <c r="R2831" s="94" t="s">
        <v>515</v>
      </c>
      <c r="S2831" s="94"/>
    </row>
    <row r="2832" spans="1:19" hidden="1">
      <c r="A2832" s="103" t="s">
        <v>4765</v>
      </c>
      <c r="B2832" s="149" t="str">
        <f>IFERROR(VLOOKUP(Proc[[#This Row],[App]],Table2[],3,0),"open")</f>
        <v>ok</v>
      </c>
      <c r="C2832" s="117" t="s">
        <v>369</v>
      </c>
      <c r="D2832" t="s">
        <v>4776</v>
      </c>
      <c r="E2832" t="s">
        <v>4777</v>
      </c>
      <c r="F2832" s="117" t="s">
        <v>4777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4894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116</v>
      </c>
      <c r="R2832" s="94" t="s">
        <v>515</v>
      </c>
      <c r="S2832" s="94"/>
    </row>
    <row r="2833" spans="1:19" hidden="1">
      <c r="A2833" t="s">
        <v>4782</v>
      </c>
      <c r="B2833" s="149" t="str">
        <f>IFERROR(VLOOKUP(Proc[[#This Row],[App]],Table2[],3,0),"open")</f>
        <v>ok</v>
      </c>
      <c r="C2833" s="117" t="s">
        <v>369</v>
      </c>
      <c r="D2833" t="s">
        <v>4779</v>
      </c>
      <c r="E2833" t="s">
        <v>4322</v>
      </c>
      <c r="F2833" s="120" t="s">
        <v>4322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4781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4894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116</v>
      </c>
      <c r="R2833" s="110" t="s">
        <v>780</v>
      </c>
      <c r="S2833" s="94"/>
    </row>
    <row r="2834" spans="1:19" hidden="1">
      <c r="A2834" s="103" t="s">
        <v>4782</v>
      </c>
      <c r="B2834" s="149" t="str">
        <f>IFERROR(VLOOKUP(Proc[[#This Row],[App]],Table2[],3,0),"open")</f>
        <v>ok</v>
      </c>
      <c r="C2834" t="s">
        <v>369</v>
      </c>
      <c r="D2834" t="s">
        <v>4780</v>
      </c>
      <c r="E2834" t="s">
        <v>4322</v>
      </c>
      <c r="F2834" s="94" t="s">
        <v>4322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4781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4894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116</v>
      </c>
      <c r="R2834" s="110" t="s">
        <v>780</v>
      </c>
      <c r="S2834" s="94"/>
    </row>
    <row r="2835" spans="1:19" hidden="1">
      <c r="A2835" t="s">
        <v>4786</v>
      </c>
      <c r="B2835" s="149" t="str">
        <f>IFERROR(VLOOKUP(Proc[[#This Row],[App]],Table2[],3,0),"open")</f>
        <v>ok</v>
      </c>
      <c r="C2835" s="117" t="s">
        <v>369</v>
      </c>
      <c r="D2835" t="s">
        <v>4807</v>
      </c>
      <c r="E2835" t="s">
        <v>4787</v>
      </c>
      <c r="F2835" s="94" t="s">
        <v>4787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4894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114</v>
      </c>
      <c r="R2835" s="110" t="s">
        <v>1459</v>
      </c>
      <c r="S2835" s="94"/>
    </row>
    <row r="2836" spans="1:19" hidden="1">
      <c r="A2836" s="114" t="s">
        <v>4788</v>
      </c>
      <c r="B2836" s="149" t="str">
        <f>IFERROR(VLOOKUP(Proc[[#This Row],[App]],Table2[],3,0),"open")</f>
        <v>ok</v>
      </c>
      <c r="C2836" s="117" t="s">
        <v>369</v>
      </c>
      <c r="D2836" s="114" t="s">
        <v>4789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4894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114</v>
      </c>
      <c r="R2836" s="115" t="s">
        <v>489</v>
      </c>
      <c r="S2836" s="94"/>
    </row>
    <row r="2837" spans="1:19" hidden="1">
      <c r="A2837" s="114" t="s">
        <v>4788</v>
      </c>
      <c r="B2837" s="149" t="str">
        <f>IFERROR(VLOOKUP(Proc[[#This Row],[App]],Table2[],3,0),"open")</f>
        <v>ok</v>
      </c>
      <c r="C2837" s="117" t="s">
        <v>369</v>
      </c>
      <c r="D2837" s="114" t="s">
        <v>4790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4894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114</v>
      </c>
      <c r="R2837" s="115" t="s">
        <v>489</v>
      </c>
      <c r="S2837" s="94"/>
    </row>
    <row r="2838" spans="1:19" hidden="1">
      <c r="A2838" s="114" t="s">
        <v>4788</v>
      </c>
      <c r="B2838" s="149" t="str">
        <f>IFERROR(VLOOKUP(Proc[[#This Row],[App]],Table2[],3,0),"open")</f>
        <v>ok</v>
      </c>
      <c r="C2838" s="114" t="s">
        <v>377</v>
      </c>
      <c r="D2838" s="114" t="s">
        <v>4791</v>
      </c>
      <c r="E2838" s="114" t="s">
        <v>417</v>
      </c>
      <c r="F2838" s="94" t="s">
        <v>4804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4894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114</v>
      </c>
      <c r="R2838" s="115" t="s">
        <v>489</v>
      </c>
      <c r="S2838" s="94"/>
    </row>
    <row r="2839" spans="1:19" hidden="1">
      <c r="A2839" s="114" t="s">
        <v>4788</v>
      </c>
      <c r="B2839" s="149" t="str">
        <f>IFERROR(VLOOKUP(Proc[[#This Row],[App]],Table2[],3,0),"open")</f>
        <v>ok</v>
      </c>
      <c r="C2839" s="117" t="s">
        <v>377</v>
      </c>
      <c r="D2839" s="114" t="s">
        <v>4792</v>
      </c>
      <c r="E2839" s="114" t="s">
        <v>417</v>
      </c>
      <c r="F2839" s="94" t="s">
        <v>4804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4894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114</v>
      </c>
      <c r="R2839" s="115" t="s">
        <v>489</v>
      </c>
      <c r="S2839" s="94"/>
    </row>
    <row r="2840" spans="1:19" hidden="1">
      <c r="A2840" s="114" t="s">
        <v>4788</v>
      </c>
      <c r="B2840" s="149" t="str">
        <f>IFERROR(VLOOKUP(Proc[[#This Row],[App]],Table2[],3,0),"open")</f>
        <v>ok</v>
      </c>
      <c r="C2840" s="117" t="s">
        <v>377</v>
      </c>
      <c r="D2840" s="114" t="s">
        <v>4793</v>
      </c>
      <c r="E2840" s="114" t="s">
        <v>417</v>
      </c>
      <c r="F2840" s="94" t="s">
        <v>4805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4894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114</v>
      </c>
      <c r="R2840" s="115" t="s">
        <v>489</v>
      </c>
      <c r="S2840" s="94"/>
    </row>
    <row r="2841" spans="1:19" hidden="1">
      <c r="A2841" s="114" t="s">
        <v>4788</v>
      </c>
      <c r="B2841" s="149" t="str">
        <f>IFERROR(VLOOKUP(Proc[[#This Row],[App]],Table2[],3,0),"open")</f>
        <v>ok</v>
      </c>
      <c r="C2841" s="117" t="s">
        <v>377</v>
      </c>
      <c r="D2841" s="114" t="s">
        <v>4794</v>
      </c>
      <c r="E2841" s="114" t="s">
        <v>417</v>
      </c>
      <c r="F2841" s="94" t="s">
        <v>4806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4894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114</v>
      </c>
      <c r="R2841" s="115" t="s">
        <v>489</v>
      </c>
      <c r="S2841" s="94"/>
    </row>
    <row r="2842" spans="1:19" hidden="1">
      <c r="A2842" s="114" t="s">
        <v>4788</v>
      </c>
      <c r="B2842" s="149" t="str">
        <f>IFERROR(VLOOKUP(Proc[[#This Row],[App]],Table2[],3,0),"open")</f>
        <v>ok</v>
      </c>
      <c r="C2842" s="117" t="s">
        <v>369</v>
      </c>
      <c r="D2842" s="114" t="s">
        <v>4795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4894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114</v>
      </c>
      <c r="R2842" s="115" t="s">
        <v>489</v>
      </c>
      <c r="S2842" s="94"/>
    </row>
    <row r="2843" spans="1:19" hidden="1">
      <c r="A2843" t="s">
        <v>4796</v>
      </c>
      <c r="B2843" s="149" t="str">
        <f>IFERROR(VLOOKUP(Proc[[#This Row],[App]],Table2[],3,0),"open")</f>
        <v>ok</v>
      </c>
      <c r="C2843" s="114" t="s">
        <v>369</v>
      </c>
      <c r="D2843" t="s">
        <v>4801</v>
      </c>
      <c r="E2843" t="s">
        <v>4797</v>
      </c>
      <c r="F2843" s="94" t="s">
        <v>4797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4802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4894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114</v>
      </c>
      <c r="R2843" s="115" t="s">
        <v>489</v>
      </c>
      <c r="S2843" s="94"/>
    </row>
    <row r="2844" spans="1:19" hidden="1">
      <c r="A2844" t="s">
        <v>4799</v>
      </c>
      <c r="B2844" s="149" t="str">
        <f>IFERROR(VLOOKUP(Proc[[#This Row],[App]],Table2[],3,0),"open")</f>
        <v>ok</v>
      </c>
      <c r="C2844" s="117" t="s">
        <v>369</v>
      </c>
      <c r="D2844" s="116" t="s">
        <v>4798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4894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114</v>
      </c>
      <c r="R2844" s="115" t="s">
        <v>515</v>
      </c>
      <c r="S2844" s="94"/>
    </row>
    <row r="2845" spans="1:19" hidden="1">
      <c r="A2845" t="s">
        <v>4808</v>
      </c>
      <c r="B2845" s="149" t="str">
        <f>IFERROR(VLOOKUP(Proc[[#This Row],[App]],Table2[],3,0),"open")</f>
        <v>ok</v>
      </c>
      <c r="C2845" s="117" t="s">
        <v>369</v>
      </c>
      <c r="D2845" t="s">
        <v>4809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4894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113</v>
      </c>
      <c r="R2845" s="115" t="s">
        <v>489</v>
      </c>
      <c r="S2845" s="94"/>
    </row>
    <row r="2846" spans="1:19" hidden="1">
      <c r="A2846" s="117" t="s">
        <v>4808</v>
      </c>
      <c r="B2846" s="149" t="str">
        <f>IFERROR(VLOOKUP(Proc[[#This Row],[App]],Table2[],3,0),"open")</f>
        <v>ok</v>
      </c>
      <c r="C2846" s="117" t="s">
        <v>369</v>
      </c>
      <c r="D2846" t="s">
        <v>4810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4894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113</v>
      </c>
      <c r="R2846" s="115" t="s">
        <v>489</v>
      </c>
      <c r="S2846" s="94"/>
    </row>
    <row r="2847" spans="1:19" hidden="1">
      <c r="A2847" s="117" t="s">
        <v>4808</v>
      </c>
      <c r="B2847" s="149" t="str">
        <f>IFERROR(VLOOKUP(Proc[[#This Row],[App]],Table2[],3,0),"open")</f>
        <v>ok</v>
      </c>
      <c r="C2847" s="117" t="s">
        <v>369</v>
      </c>
      <c r="D2847" t="s">
        <v>4811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4894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113</v>
      </c>
      <c r="R2847" s="115" t="s">
        <v>489</v>
      </c>
      <c r="S2847" s="94"/>
    </row>
    <row r="2848" spans="1:19" hidden="1">
      <c r="A2848" t="s">
        <v>4812</v>
      </c>
      <c r="B2848" s="149" t="str">
        <f>IFERROR(VLOOKUP(Proc[[#This Row],[App]],Table2[],3,0),"open")</f>
        <v>ok</v>
      </c>
      <c r="C2848" s="117" t="s">
        <v>369</v>
      </c>
      <c r="D2848" t="s">
        <v>4821</v>
      </c>
      <c r="E2848" s="94" t="s">
        <v>4813</v>
      </c>
      <c r="F2848" s="94" t="s">
        <v>4813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4894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112</v>
      </c>
      <c r="R2848" s="115" t="s">
        <v>4820</v>
      </c>
      <c r="S2848" s="94"/>
    </row>
    <row r="2849" spans="1:19" hidden="1">
      <c r="A2849" t="s">
        <v>4814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4894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112</v>
      </c>
      <c r="R2849" s="115" t="s">
        <v>4819</v>
      </c>
      <c r="S2849" s="94"/>
    </row>
    <row r="2850" spans="1:19" hidden="1">
      <c r="A2850" s="117" t="s">
        <v>4814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4894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112</v>
      </c>
      <c r="R2850" s="115" t="s">
        <v>4819</v>
      </c>
      <c r="S2850" s="94"/>
    </row>
    <row r="2851" spans="1:19" hidden="1">
      <c r="A2851" s="117" t="s">
        <v>4814</v>
      </c>
      <c r="B2851" s="149" t="str">
        <f>IFERROR(VLOOKUP(Proc[[#This Row],[App]],Table2[],3,0),"open")</f>
        <v>ok</v>
      </c>
      <c r="C2851" s="117" t="s">
        <v>369</v>
      </c>
      <c r="D2851" t="s">
        <v>4822</v>
      </c>
      <c r="E2851" t="s">
        <v>4815</v>
      </c>
      <c r="F2851" s="94" t="s">
        <v>4815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4894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112</v>
      </c>
      <c r="R2851" s="115" t="s">
        <v>4819</v>
      </c>
      <c r="S2851" s="94"/>
    </row>
    <row r="2852" spans="1:19" hidden="1">
      <c r="A2852" t="s">
        <v>4816</v>
      </c>
      <c r="B2852" s="149" t="str">
        <f>IFERROR(VLOOKUP(Proc[[#This Row],[App]],Table2[],3,0),"open")</f>
        <v>ok</v>
      </c>
      <c r="C2852" s="117" t="s">
        <v>369</v>
      </c>
      <c r="D2852" t="s">
        <v>4817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4894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112</v>
      </c>
      <c r="R2852" s="115" t="s">
        <v>481</v>
      </c>
      <c r="S2852" s="94"/>
    </row>
    <row r="2853" spans="1:19" hidden="1">
      <c r="A2853" s="117" t="s">
        <v>4816</v>
      </c>
      <c r="B2853" s="149" t="str">
        <f>IFERROR(VLOOKUP(Proc[[#This Row],[App]],Table2[],3,0),"open")</f>
        <v>ok</v>
      </c>
      <c r="C2853" s="117" t="s">
        <v>369</v>
      </c>
      <c r="D2853" t="s">
        <v>4818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4894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112</v>
      </c>
      <c r="R2853" s="115" t="s">
        <v>481</v>
      </c>
      <c r="S2853" s="94"/>
    </row>
    <row r="2854" spans="1:19" hidden="1">
      <c r="A2854" t="s">
        <v>4823</v>
      </c>
      <c r="B2854" s="149" t="str">
        <f>IFERROR(VLOOKUP(Proc[[#This Row],[App]],Table2[],3,0),"open")</f>
        <v>ok</v>
      </c>
      <c r="C2854" s="117" t="s">
        <v>369</v>
      </c>
      <c r="D2854" s="99" t="s">
        <v>4824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4894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111</v>
      </c>
      <c r="R2854" s="115" t="s">
        <v>410</v>
      </c>
      <c r="S2854" s="94"/>
    </row>
    <row r="2855" spans="1:19" hidden="1">
      <c r="A2855" t="s">
        <v>4825</v>
      </c>
      <c r="B2855" s="149" t="str">
        <f>IFERROR(VLOOKUP(Proc[[#This Row],[App]],Table2[],3,0),"open")</f>
        <v>ok</v>
      </c>
      <c r="C2855" s="117" t="s">
        <v>369</v>
      </c>
      <c r="D2855" t="s">
        <v>4826</v>
      </c>
      <c r="E2855" t="s">
        <v>4827</v>
      </c>
      <c r="F2855" s="117" t="s">
        <v>4827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4894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111</v>
      </c>
      <c r="R2855" s="115" t="s">
        <v>4819</v>
      </c>
      <c r="S2855" s="94"/>
    </row>
    <row r="2856" spans="1:19" hidden="1">
      <c r="A2856" t="s">
        <v>4830</v>
      </c>
      <c r="B2856" s="149" t="str">
        <f>IFERROR(VLOOKUP(Proc[[#This Row],[App]],Table2[],3,0),"open")</f>
        <v>ok</v>
      </c>
      <c r="C2856" t="s">
        <v>369</v>
      </c>
      <c r="D2856" t="s">
        <v>4831</v>
      </c>
      <c r="E2856" t="s">
        <v>4829</v>
      </c>
      <c r="F2856" s="120" t="s">
        <v>4829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4894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109</v>
      </c>
      <c r="R2856" s="115" t="s">
        <v>410</v>
      </c>
      <c r="S2856" s="94"/>
    </row>
    <row r="2857" spans="1:19" hidden="1">
      <c r="A2857" t="s">
        <v>4834</v>
      </c>
      <c r="B2857" s="149" t="str">
        <f>IFERROR(VLOOKUP(Proc[[#This Row],[App]],Table2[],3,0),"open")</f>
        <v>ok</v>
      </c>
      <c r="C2857" s="121" t="s">
        <v>369</v>
      </c>
      <c r="D2857" s="119" t="s">
        <v>4839</v>
      </c>
      <c r="E2857" t="s">
        <v>4833</v>
      </c>
      <c r="F2857" s="125" t="s">
        <v>4833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4894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108</v>
      </c>
      <c r="R2857" s="115" t="s">
        <v>410</v>
      </c>
      <c r="S2857" s="120"/>
    </row>
    <row r="2858" spans="1:19" hidden="1">
      <c r="A2858" t="s">
        <v>4838</v>
      </c>
      <c r="B2858" s="149" t="str">
        <f>IFERROR(VLOOKUP(Proc[[#This Row],[App]],Table2[],3,0),"open")</f>
        <v>ok</v>
      </c>
      <c r="C2858" s="121" t="s">
        <v>369</v>
      </c>
      <c r="D2858" t="s">
        <v>4835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4894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108</v>
      </c>
      <c r="R2858" s="115" t="s">
        <v>780</v>
      </c>
      <c r="S2858" s="120"/>
    </row>
    <row r="2859" spans="1:19" hidden="1">
      <c r="A2859" s="119" t="s">
        <v>4838</v>
      </c>
      <c r="B2859" s="149" t="str">
        <f>IFERROR(VLOOKUP(Proc[[#This Row],[App]],Table2[],3,0),"open")</f>
        <v>ok</v>
      </c>
      <c r="C2859" s="121" t="s">
        <v>369</v>
      </c>
      <c r="D2859" t="s">
        <v>4836</v>
      </c>
      <c r="E2859" t="s">
        <v>4837</v>
      </c>
      <c r="F2859" s="125" t="s">
        <v>4837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4894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108</v>
      </c>
      <c r="R2859" s="115" t="s">
        <v>780</v>
      </c>
      <c r="S2859" s="120"/>
    </row>
    <row r="2860" spans="1:19" hidden="1">
      <c r="A2860" t="s">
        <v>4842</v>
      </c>
      <c r="B2860" s="149" t="str">
        <f>IFERROR(VLOOKUP(Proc[[#This Row],[App]],Table2[],3,0),"open")</f>
        <v>ok</v>
      </c>
      <c r="C2860" s="121" t="s">
        <v>369</v>
      </c>
      <c r="D2860" t="s">
        <v>4840</v>
      </c>
      <c r="E2860" t="s">
        <v>4841</v>
      </c>
      <c r="F2860" s="124" t="s">
        <v>4841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4843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4894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107</v>
      </c>
      <c r="R2860" s="115" t="s">
        <v>856</v>
      </c>
      <c r="S2860" s="120"/>
    </row>
    <row r="2861" spans="1:19" hidden="1">
      <c r="A2861" t="s">
        <v>4844</v>
      </c>
      <c r="B2861" s="149" t="str">
        <f>IFERROR(VLOOKUP(Proc[[#This Row],[App]],Table2[],3,0),"open")</f>
        <v>ok</v>
      </c>
      <c r="C2861" s="121" t="s">
        <v>369</v>
      </c>
      <c r="D2861" t="s">
        <v>4845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4894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107</v>
      </c>
      <c r="R2861" s="115" t="s">
        <v>856</v>
      </c>
      <c r="S2861" s="120"/>
    </row>
    <row r="2862" spans="1:19" hidden="1">
      <c r="A2862" t="s">
        <v>4846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4894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107</v>
      </c>
      <c r="R2862" s="115" t="s">
        <v>489</v>
      </c>
      <c r="S2862" s="120"/>
    </row>
    <row r="2863" spans="1:19" hidden="1">
      <c r="A2863" t="s">
        <v>4848</v>
      </c>
      <c r="B2863" s="149" t="str">
        <f>IFERROR(VLOOKUP(Proc[[#This Row],[App]],Table2[],3,0),"open")</f>
        <v>ok</v>
      </c>
      <c r="C2863" s="121" t="s">
        <v>369</v>
      </c>
      <c r="D2863" t="s">
        <v>4840</v>
      </c>
      <c r="E2863" t="s">
        <v>4847</v>
      </c>
      <c r="F2863" s="124" t="s">
        <v>4847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4853</v>
      </c>
      <c r="B2864" s="149" t="str">
        <f>IFERROR(VLOOKUP(Proc[[#This Row],[App]],Table2[],3,0),"open")</f>
        <v>ok</v>
      </c>
      <c r="C2864" t="s">
        <v>369</v>
      </c>
      <c r="D2864" t="s">
        <v>4849</v>
      </c>
      <c r="E2864" t="s">
        <v>4865</v>
      </c>
      <c r="F2864" s="125" t="s">
        <v>4865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4894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105</v>
      </c>
      <c r="R2864" s="115" t="s">
        <v>515</v>
      </c>
      <c r="S2864" s="120"/>
    </row>
    <row r="2865" spans="1:19" hidden="1">
      <c r="A2865" s="121" t="s">
        <v>4853</v>
      </c>
      <c r="B2865" s="149" t="str">
        <f>IFERROR(VLOOKUP(Proc[[#This Row],[App]],Table2[],3,0),"open")</f>
        <v>ok</v>
      </c>
      <c r="C2865" s="124" t="s">
        <v>369</v>
      </c>
      <c r="D2865" t="s">
        <v>4850</v>
      </c>
      <c r="E2865" t="s">
        <v>4865</v>
      </c>
      <c r="F2865" s="125" t="s">
        <v>4865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4894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105</v>
      </c>
      <c r="R2865" s="115" t="s">
        <v>515</v>
      </c>
      <c r="S2865" s="120"/>
    </row>
    <row r="2866" spans="1:19" hidden="1">
      <c r="A2866" s="121" t="s">
        <v>4853</v>
      </c>
      <c r="B2866" s="149" t="str">
        <f>IFERROR(VLOOKUP(Proc[[#This Row],[App]],Table2[],3,0),"open")</f>
        <v>ok</v>
      </c>
      <c r="C2866" s="121" t="s">
        <v>369</v>
      </c>
      <c r="D2866" t="s">
        <v>4851</v>
      </c>
      <c r="E2866" t="s">
        <v>4864</v>
      </c>
      <c r="F2866" s="124" t="s">
        <v>4864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4894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105</v>
      </c>
      <c r="R2866" s="115" t="s">
        <v>515</v>
      </c>
      <c r="S2866" s="120"/>
    </row>
    <row r="2867" spans="1:19" hidden="1">
      <c r="A2867" s="121" t="s">
        <v>4853</v>
      </c>
      <c r="B2867" s="149" t="str">
        <f>IFERROR(VLOOKUP(Proc[[#This Row],[App]],Table2[],3,0),"open")</f>
        <v>ok</v>
      </c>
      <c r="C2867" s="124" t="s">
        <v>369</v>
      </c>
      <c r="D2867" t="s">
        <v>4852</v>
      </c>
      <c r="E2867" t="s">
        <v>4864</v>
      </c>
      <c r="F2867" s="124" t="s">
        <v>4864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4894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105</v>
      </c>
      <c r="R2867" s="115" t="s">
        <v>515</v>
      </c>
      <c r="S2867" s="120"/>
    </row>
    <row r="2868" spans="1:19" hidden="1">
      <c r="A2868" t="s">
        <v>4854</v>
      </c>
      <c r="B2868" s="149" t="str">
        <f>IFERROR(VLOOKUP(Proc[[#This Row],[App]],Table2[],3,0),"open")</f>
        <v>ok</v>
      </c>
      <c r="C2868" s="124" t="s">
        <v>369</v>
      </c>
      <c r="D2868" t="s">
        <v>4861</v>
      </c>
      <c r="E2868" t="s">
        <v>4855</v>
      </c>
      <c r="F2868" s="124" t="s">
        <v>4855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4894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105</v>
      </c>
      <c r="R2868" s="115" t="s">
        <v>415</v>
      </c>
      <c r="S2868" s="120"/>
    </row>
    <row r="2869" spans="1:19" hidden="1">
      <c r="A2869" t="s">
        <v>4857</v>
      </c>
      <c r="B2869" s="149" t="str">
        <f>IFERROR(VLOOKUP(Proc[[#This Row],[App]],Table2[],3,0),"open")</f>
        <v>ok</v>
      </c>
      <c r="C2869" s="124" t="s">
        <v>369</v>
      </c>
      <c r="D2869" s="122" t="s">
        <v>4332</v>
      </c>
      <c r="E2869" s="125" t="s">
        <v>4856</v>
      </c>
      <c r="F2869" s="124" t="s">
        <v>4856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4894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105</v>
      </c>
      <c r="R2869" s="115" t="s">
        <v>410</v>
      </c>
      <c r="S2869" s="123"/>
    </row>
    <row r="2870" spans="1:19" hidden="1">
      <c r="A2870" t="s">
        <v>4858</v>
      </c>
      <c r="B2870" s="149" t="str">
        <f>IFERROR(VLOOKUP(Proc[[#This Row],[App]],Table2[],3,0),"open")</f>
        <v>ok</v>
      </c>
      <c r="C2870" s="124" t="s">
        <v>369</v>
      </c>
      <c r="D2870" t="s">
        <v>4859</v>
      </c>
      <c r="E2870" t="s">
        <v>4860</v>
      </c>
      <c r="F2870" s="124" t="s">
        <v>4860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4894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105</v>
      </c>
      <c r="R2870" s="115" t="s">
        <v>856</v>
      </c>
      <c r="S2870" s="125"/>
    </row>
    <row r="2871" spans="1:19" hidden="1">
      <c r="A2871" t="s">
        <v>4862</v>
      </c>
      <c r="B2871" s="149" t="str">
        <f>IFERROR(VLOOKUP(Proc[[#This Row],[App]],Table2[],3,0),"open")</f>
        <v>ok</v>
      </c>
      <c r="C2871" s="124" t="s">
        <v>369</v>
      </c>
      <c r="D2871" t="s">
        <v>4863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4894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102</v>
      </c>
      <c r="R2871" s="115" t="s">
        <v>415</v>
      </c>
      <c r="S2871" s="125"/>
    </row>
    <row r="2872" spans="1:19" hidden="1">
      <c r="A2872" t="s">
        <v>4866</v>
      </c>
      <c r="B2872" s="149" t="str">
        <f>IFERROR(VLOOKUP(Proc[[#This Row],[App]],Table2[],3,0),"open")</f>
        <v>ok</v>
      </c>
      <c r="C2872" s="124" t="s">
        <v>369</v>
      </c>
      <c r="D2872" t="s">
        <v>4867</v>
      </c>
      <c r="E2872" s="124" t="s">
        <v>4899</v>
      </c>
      <c r="F2872" s="125" t="s">
        <v>4899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4894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102</v>
      </c>
      <c r="R2872" s="115" t="s">
        <v>515</v>
      </c>
      <c r="S2872" s="125"/>
    </row>
    <row r="2873" spans="1:19" hidden="1">
      <c r="A2873" s="124" t="s">
        <v>4866</v>
      </c>
      <c r="B2873" s="149" t="str">
        <f>IFERROR(VLOOKUP(Proc[[#This Row],[App]],Table2[],3,0),"open")</f>
        <v>ok</v>
      </c>
      <c r="C2873" s="124" t="s">
        <v>369</v>
      </c>
      <c r="D2873" t="s">
        <v>4868</v>
      </c>
      <c r="E2873" s="124" t="s">
        <v>4899</v>
      </c>
      <c r="F2873" s="125" t="s">
        <v>4899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4894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102</v>
      </c>
      <c r="R2873" s="115" t="s">
        <v>515</v>
      </c>
      <c r="S2873" s="125"/>
    </row>
    <row r="2874" spans="1:19" hidden="1">
      <c r="A2874" s="124" t="s">
        <v>4866</v>
      </c>
      <c r="B2874" s="149" t="str">
        <f>IFERROR(VLOOKUP(Proc[[#This Row],[App]],Table2[],3,0),"open")</f>
        <v>ok</v>
      </c>
      <c r="C2874" s="124" t="s">
        <v>369</v>
      </c>
      <c r="D2874" t="s">
        <v>4869</v>
      </c>
      <c r="E2874" s="124" t="s">
        <v>4899</v>
      </c>
      <c r="F2874" s="125" t="s">
        <v>4899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4894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102</v>
      </c>
      <c r="R2874" s="115" t="s">
        <v>515</v>
      </c>
      <c r="S2874" s="125"/>
    </row>
    <row r="2875" spans="1:19" hidden="1">
      <c r="A2875" s="124" t="s">
        <v>4866</v>
      </c>
      <c r="B2875" s="149" t="str">
        <f>IFERROR(VLOOKUP(Proc[[#This Row],[App]],Table2[],3,0),"open")</f>
        <v>ok</v>
      </c>
      <c r="C2875" s="124" t="s">
        <v>369</v>
      </c>
      <c r="D2875" t="s">
        <v>4870</v>
      </c>
      <c r="E2875" s="124" t="s">
        <v>4899</v>
      </c>
      <c r="F2875" s="125" t="s">
        <v>4899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4894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102</v>
      </c>
      <c r="R2875" s="115" t="s">
        <v>515</v>
      </c>
      <c r="S2875" s="125"/>
    </row>
    <row r="2876" spans="1:19" hidden="1">
      <c r="A2876" s="124" t="s">
        <v>4866</v>
      </c>
      <c r="B2876" s="149" t="str">
        <f>IFERROR(VLOOKUP(Proc[[#This Row],[App]],Table2[],3,0),"open")</f>
        <v>ok</v>
      </c>
      <c r="C2876" s="124" t="s">
        <v>369</v>
      </c>
      <c r="D2876" t="s">
        <v>4871</v>
      </c>
      <c r="E2876" s="124" t="s">
        <v>4899</v>
      </c>
      <c r="F2876" s="125" t="s">
        <v>4899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4894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102</v>
      </c>
      <c r="R2876" s="115" t="s">
        <v>515</v>
      </c>
      <c r="S2876" s="125"/>
    </row>
    <row r="2877" spans="1:19" hidden="1">
      <c r="A2877" s="124" t="s">
        <v>4866</v>
      </c>
      <c r="B2877" s="149" t="str">
        <f>IFERROR(VLOOKUP(Proc[[#This Row],[App]],Table2[],3,0),"open")</f>
        <v>ok</v>
      </c>
      <c r="C2877" s="124" t="s">
        <v>369</v>
      </c>
      <c r="D2877" t="s">
        <v>4872</v>
      </c>
      <c r="E2877" s="124" t="s">
        <v>4899</v>
      </c>
      <c r="F2877" s="125" t="s">
        <v>4899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4894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102</v>
      </c>
      <c r="R2877" s="115" t="s">
        <v>515</v>
      </c>
      <c r="S2877" s="125"/>
    </row>
    <row r="2878" spans="1:19" hidden="1">
      <c r="A2878" s="124" t="s">
        <v>4866</v>
      </c>
      <c r="B2878" s="149" t="str">
        <f>IFERROR(VLOOKUP(Proc[[#This Row],[App]],Table2[],3,0),"open")</f>
        <v>ok</v>
      </c>
      <c r="C2878" s="124" t="s">
        <v>369</v>
      </c>
      <c r="D2878" t="s">
        <v>4873</v>
      </c>
      <c r="E2878" s="124" t="s">
        <v>4899</v>
      </c>
      <c r="F2878" s="125" t="s">
        <v>4899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4894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102</v>
      </c>
      <c r="R2878" s="115" t="s">
        <v>515</v>
      </c>
      <c r="S2878" s="125"/>
    </row>
    <row r="2879" spans="1:19" hidden="1">
      <c r="A2879" s="124" t="s">
        <v>4866</v>
      </c>
      <c r="B2879" s="149" t="str">
        <f>IFERROR(VLOOKUP(Proc[[#This Row],[App]],Table2[],3,0),"open")</f>
        <v>ok</v>
      </c>
      <c r="C2879" s="124" t="s">
        <v>369</v>
      </c>
      <c r="D2879" t="s">
        <v>4874</v>
      </c>
      <c r="E2879" s="124" t="s">
        <v>4899</v>
      </c>
      <c r="F2879" s="125" t="s">
        <v>4899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4894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102</v>
      </c>
      <c r="R2879" s="115" t="s">
        <v>515</v>
      </c>
      <c r="S2879" s="125"/>
    </row>
    <row r="2880" spans="1:19" hidden="1">
      <c r="A2880" s="124" t="s">
        <v>4866</v>
      </c>
      <c r="B2880" s="149" t="str">
        <f>IFERROR(VLOOKUP(Proc[[#This Row],[App]],Table2[],3,0),"open")</f>
        <v>ok</v>
      </c>
      <c r="C2880" s="124" t="s">
        <v>369</v>
      </c>
      <c r="D2880" t="s">
        <v>4875</v>
      </c>
      <c r="E2880" s="124" t="s">
        <v>4899</v>
      </c>
      <c r="F2880" s="125" t="s">
        <v>4899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4894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102</v>
      </c>
      <c r="R2880" s="115" t="s">
        <v>515</v>
      </c>
      <c r="S2880" s="125"/>
    </row>
    <row r="2881" spans="1:19" hidden="1">
      <c r="A2881" s="124" t="s">
        <v>4866</v>
      </c>
      <c r="B2881" s="149" t="str">
        <f>IFERROR(VLOOKUP(Proc[[#This Row],[App]],Table2[],3,0),"open")</f>
        <v>ok</v>
      </c>
      <c r="C2881" s="124" t="s">
        <v>369</v>
      </c>
      <c r="D2881" t="s">
        <v>4876</v>
      </c>
      <c r="E2881" s="124" t="s">
        <v>4899</v>
      </c>
      <c r="F2881" s="125" t="s">
        <v>4899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4894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102</v>
      </c>
      <c r="R2881" s="115" t="s">
        <v>515</v>
      </c>
      <c r="S2881" s="125"/>
    </row>
    <row r="2882" spans="1:19" hidden="1">
      <c r="A2882" s="124" t="s">
        <v>4866</v>
      </c>
      <c r="B2882" s="149" t="str">
        <f>IFERROR(VLOOKUP(Proc[[#This Row],[App]],Table2[],3,0),"open")</f>
        <v>ok</v>
      </c>
      <c r="C2882" s="124" t="s">
        <v>369</v>
      </c>
      <c r="D2882" t="s">
        <v>4877</v>
      </c>
      <c r="E2882" s="124" t="s">
        <v>4899</v>
      </c>
      <c r="F2882" s="125" t="s">
        <v>4899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4894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102</v>
      </c>
      <c r="R2882" s="115" t="s">
        <v>515</v>
      </c>
      <c r="S2882" s="125"/>
    </row>
    <row r="2883" spans="1:19" hidden="1">
      <c r="A2883" s="124" t="s">
        <v>4866</v>
      </c>
      <c r="B2883" s="149" t="str">
        <f>IFERROR(VLOOKUP(Proc[[#This Row],[App]],Table2[],3,0),"open")</f>
        <v>ok</v>
      </c>
      <c r="C2883" s="124" t="s">
        <v>369</v>
      </c>
      <c r="D2883" t="s">
        <v>4878</v>
      </c>
      <c r="E2883" s="124" t="s">
        <v>4899</v>
      </c>
      <c r="F2883" s="125" t="s">
        <v>4899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4894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102</v>
      </c>
      <c r="R2883" s="115" t="s">
        <v>515</v>
      </c>
      <c r="S2883" s="125"/>
    </row>
    <row r="2884" spans="1:19" hidden="1">
      <c r="A2884" s="124" t="s">
        <v>4866</v>
      </c>
      <c r="B2884" s="149" t="str">
        <f>IFERROR(VLOOKUP(Proc[[#This Row],[App]],Table2[],3,0),"open")</f>
        <v>ok</v>
      </c>
      <c r="C2884" s="124" t="s">
        <v>369</v>
      </c>
      <c r="D2884" t="s">
        <v>4879</v>
      </c>
      <c r="E2884" s="124" t="s">
        <v>4899</v>
      </c>
      <c r="F2884" s="125" t="s">
        <v>4899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4894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102</v>
      </c>
      <c r="R2884" s="115" t="s">
        <v>515</v>
      </c>
      <c r="S2884" s="125"/>
    </row>
    <row r="2885" spans="1:19" hidden="1">
      <c r="A2885" s="124" t="s">
        <v>4866</v>
      </c>
      <c r="B2885" s="149" t="str">
        <f>IFERROR(VLOOKUP(Proc[[#This Row],[App]],Table2[],3,0),"open")</f>
        <v>ok</v>
      </c>
      <c r="C2885" s="124" t="s">
        <v>369</v>
      </c>
      <c r="D2885" t="s">
        <v>4880</v>
      </c>
      <c r="E2885" s="124" t="s">
        <v>4899</v>
      </c>
      <c r="F2885" s="125" t="s">
        <v>4899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4894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102</v>
      </c>
      <c r="R2885" s="115" t="s">
        <v>515</v>
      </c>
      <c r="S2885" s="125"/>
    </row>
    <row r="2886" spans="1:19" hidden="1">
      <c r="A2886" s="124" t="s">
        <v>4866</v>
      </c>
      <c r="B2886" s="149" t="str">
        <f>IFERROR(VLOOKUP(Proc[[#This Row],[App]],Table2[],3,0),"open")</f>
        <v>ok</v>
      </c>
      <c r="C2886" s="124" t="s">
        <v>369</v>
      </c>
      <c r="D2886" t="s">
        <v>4881</v>
      </c>
      <c r="E2886" s="124" t="s">
        <v>4899</v>
      </c>
      <c r="F2886" s="125" t="s">
        <v>4899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4894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102</v>
      </c>
      <c r="R2886" s="115" t="s">
        <v>515</v>
      </c>
      <c r="S2886" s="125"/>
    </row>
    <row r="2887" spans="1:19" hidden="1">
      <c r="A2887" s="124" t="s">
        <v>4866</v>
      </c>
      <c r="B2887" s="149" t="str">
        <f>IFERROR(VLOOKUP(Proc[[#This Row],[App]],Table2[],3,0),"open")</f>
        <v>ok</v>
      </c>
      <c r="C2887" s="124" t="s">
        <v>369</v>
      </c>
      <c r="D2887" t="s">
        <v>4882</v>
      </c>
      <c r="E2887" s="124" t="s">
        <v>4899</v>
      </c>
      <c r="F2887" s="125" t="s">
        <v>4899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4894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102</v>
      </c>
      <c r="R2887" s="115" t="s">
        <v>515</v>
      </c>
      <c r="S2887" s="125"/>
    </row>
    <row r="2888" spans="1:19" hidden="1">
      <c r="A2888" s="124" t="s">
        <v>4866</v>
      </c>
      <c r="B2888" s="149" t="str">
        <f>IFERROR(VLOOKUP(Proc[[#This Row],[App]],Table2[],3,0),"open")</f>
        <v>ok</v>
      </c>
      <c r="C2888" s="124" t="s">
        <v>369</v>
      </c>
      <c r="D2888" t="s">
        <v>4883</v>
      </c>
      <c r="E2888" t="s">
        <v>4899</v>
      </c>
      <c r="F2888" s="125" t="s">
        <v>4899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4894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102</v>
      </c>
      <c r="R2888" s="115" t="s">
        <v>515</v>
      </c>
      <c r="S2888" s="125"/>
    </row>
    <row r="2889" spans="1:19" hidden="1">
      <c r="A2889" s="124" t="s">
        <v>4866</v>
      </c>
      <c r="B2889" s="149" t="str">
        <f>IFERROR(VLOOKUP(Proc[[#This Row],[App]],Table2[],3,0),"open")</f>
        <v>ok</v>
      </c>
      <c r="C2889" s="124" t="s">
        <v>369</v>
      </c>
      <c r="D2889" t="s">
        <v>4884</v>
      </c>
      <c r="E2889" s="124" t="s">
        <v>4899</v>
      </c>
      <c r="F2889" s="125" t="s">
        <v>4899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4894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102</v>
      </c>
      <c r="R2889" s="115" t="s">
        <v>515</v>
      </c>
      <c r="S2889" s="125"/>
    </row>
    <row r="2890" spans="1:19" hidden="1">
      <c r="A2890" t="s">
        <v>4892</v>
      </c>
      <c r="B2890" s="149" t="str">
        <f>IFERROR(VLOOKUP(Proc[[#This Row],[App]],Table2[],3,0),"open")</f>
        <v>ok</v>
      </c>
      <c r="C2890" s="124" t="s">
        <v>369</v>
      </c>
      <c r="D2890" t="s">
        <v>4885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4894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102</v>
      </c>
      <c r="R2890" s="115" t="s">
        <v>489</v>
      </c>
      <c r="S2890" s="125"/>
    </row>
    <row r="2891" spans="1:19" hidden="1">
      <c r="A2891" s="124" t="s">
        <v>4892</v>
      </c>
      <c r="B2891" s="149" t="str">
        <f>IFERROR(VLOOKUP(Proc[[#This Row],[App]],Table2[],3,0),"open")</f>
        <v>ok</v>
      </c>
      <c r="C2891" s="124" t="s">
        <v>369</v>
      </c>
      <c r="D2891" t="s">
        <v>4893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4894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102</v>
      </c>
      <c r="R2891" s="115" t="s">
        <v>489</v>
      </c>
      <c r="S2891" s="125"/>
    </row>
    <row r="2892" spans="1:19" hidden="1">
      <c r="A2892" s="124" t="s">
        <v>4892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4890</v>
      </c>
      <c r="F2892" s="125" t="s">
        <v>4890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4894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102</v>
      </c>
      <c r="R2892" s="115" t="s">
        <v>489</v>
      </c>
      <c r="S2892" s="125"/>
    </row>
    <row r="2893" spans="1:19" hidden="1">
      <c r="A2893" s="124" t="s">
        <v>4892</v>
      </c>
      <c r="B2893" s="149" t="str">
        <f>IFERROR(VLOOKUP(Proc[[#This Row],[App]],Table2[],3,0),"open")</f>
        <v>ok</v>
      </c>
      <c r="C2893" s="124" t="s">
        <v>369</v>
      </c>
      <c r="D2893" t="s">
        <v>4886</v>
      </c>
      <c r="E2893" s="124" t="s">
        <v>4389</v>
      </c>
      <c r="F2893" s="125" t="s">
        <v>4389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4894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102</v>
      </c>
      <c r="R2893" s="115" t="s">
        <v>489</v>
      </c>
      <c r="S2893" s="125"/>
    </row>
    <row r="2894" spans="1:19" hidden="1">
      <c r="A2894" s="124" t="s">
        <v>4892</v>
      </c>
      <c r="B2894" s="149" t="str">
        <f>IFERROR(VLOOKUP(Proc[[#This Row],[App]],Table2[],3,0),"open")</f>
        <v>ok</v>
      </c>
      <c r="C2894" s="124" t="s">
        <v>369</v>
      </c>
      <c r="D2894" t="s">
        <v>4887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4894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102</v>
      </c>
      <c r="R2894" s="115" t="s">
        <v>489</v>
      </c>
      <c r="S2894" s="125"/>
    </row>
    <row r="2895" spans="1:19" hidden="1">
      <c r="A2895" s="124" t="s">
        <v>4892</v>
      </c>
      <c r="B2895" s="149" t="str">
        <f>IFERROR(VLOOKUP(Proc[[#This Row],[App]],Table2[],3,0),"open")</f>
        <v>ok</v>
      </c>
      <c r="C2895" s="124" t="s">
        <v>369</v>
      </c>
      <c r="D2895" t="s">
        <v>4888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4894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102</v>
      </c>
      <c r="R2895" s="115" t="s">
        <v>489</v>
      </c>
      <c r="S2895" s="125"/>
    </row>
    <row r="2896" spans="1:19" hidden="1">
      <c r="A2896" s="124" t="s">
        <v>4892</v>
      </c>
      <c r="B2896" s="149" t="str">
        <f>IFERROR(VLOOKUP(Proc[[#This Row],[App]],Table2[],3,0),"open")</f>
        <v>ok</v>
      </c>
      <c r="C2896" s="124" t="s">
        <v>369</v>
      </c>
      <c r="D2896" t="s">
        <v>4889</v>
      </c>
      <c r="E2896" s="124" t="s">
        <v>4891</v>
      </c>
      <c r="F2896" s="125" t="s">
        <v>4891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4894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102</v>
      </c>
      <c r="R2896" s="115" t="s">
        <v>489</v>
      </c>
      <c r="S2896" s="125"/>
    </row>
    <row r="2897" spans="1:19" hidden="1">
      <c r="A2897" t="s">
        <v>4895</v>
      </c>
      <c r="B2897" s="149" t="str">
        <f>IFERROR(VLOOKUP(Proc[[#This Row],[App]],Table2[],3,0),"open")</f>
        <v>ok</v>
      </c>
      <c r="C2897" s="124" t="s">
        <v>369</v>
      </c>
      <c r="D2897" t="s">
        <v>4897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4894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102</v>
      </c>
      <c r="R2897" s="115" t="s">
        <v>972</v>
      </c>
      <c r="S2897" s="125"/>
    </row>
    <row r="2898" spans="1:19" hidden="1">
      <c r="A2898" s="124" t="s">
        <v>4895</v>
      </c>
      <c r="B2898" s="149" t="str">
        <f>IFERROR(VLOOKUP(Proc[[#This Row],[App]],Table2[],3,0),"open")</f>
        <v>ok</v>
      </c>
      <c r="C2898" s="124" t="s">
        <v>369</v>
      </c>
      <c r="D2898" t="s">
        <v>4898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4894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102</v>
      </c>
      <c r="R2898" s="115" t="s">
        <v>972</v>
      </c>
      <c r="S2898" s="125"/>
    </row>
    <row r="2899" spans="1:19" hidden="1">
      <c r="A2899" s="124" t="s">
        <v>4895</v>
      </c>
      <c r="B2899" s="149" t="str">
        <f>IFERROR(VLOOKUP(Proc[[#This Row],[App]],Table2[],3,0),"open")</f>
        <v>ok</v>
      </c>
      <c r="C2899" s="124" t="s">
        <v>369</v>
      </c>
      <c r="D2899" t="s">
        <v>4896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4894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102</v>
      </c>
      <c r="R2899" s="115" t="s">
        <v>972</v>
      </c>
      <c r="S2899" s="125"/>
    </row>
    <row r="2900" spans="1:19" hidden="1">
      <c r="A2900" t="s">
        <v>4902</v>
      </c>
      <c r="B2900" s="149" t="str">
        <f>IFERROR(VLOOKUP(Proc[[#This Row],[App]],Table2[],3,0),"open")</f>
        <v>ok</v>
      </c>
      <c r="C2900" t="s">
        <v>369</v>
      </c>
      <c r="D2900" t="s">
        <v>4900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4910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4894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101</v>
      </c>
      <c r="R2900" s="115" t="s">
        <v>515</v>
      </c>
      <c r="S2900" s="125"/>
    </row>
    <row r="2901" spans="1:19" hidden="1">
      <c r="A2901" t="s">
        <v>4902</v>
      </c>
      <c r="B2901" s="149" t="str">
        <f>IFERROR(VLOOKUP(Proc[[#This Row],[App]],Table2[],3,0),"open")</f>
        <v>ok</v>
      </c>
      <c r="C2901" s="124" t="s">
        <v>369</v>
      </c>
      <c r="D2901" t="s">
        <v>4901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4910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4894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101</v>
      </c>
      <c r="R2901" s="115" t="s">
        <v>515</v>
      </c>
      <c r="S2901" s="125"/>
    </row>
    <row r="2902" spans="1:19" hidden="1">
      <c r="A2902" t="s">
        <v>4903</v>
      </c>
      <c r="B2902" s="149" t="str">
        <f>IFERROR(VLOOKUP(Proc[[#This Row],[App]],Table2[],3,0),"open")</f>
        <v>ok</v>
      </c>
      <c r="C2902" s="124" t="s">
        <v>369</v>
      </c>
      <c r="D2902" t="s">
        <v>4900</v>
      </c>
      <c r="E2902" t="s">
        <v>4905</v>
      </c>
      <c r="F2902" s="125" t="s">
        <v>4905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4894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99</v>
      </c>
      <c r="R2902" s="115" t="s">
        <v>515</v>
      </c>
      <c r="S2902" s="125"/>
    </row>
    <row r="2903" spans="1:19" hidden="1">
      <c r="A2903" s="124" t="s">
        <v>4903</v>
      </c>
      <c r="B2903" s="149" t="str">
        <f>IFERROR(VLOOKUP(Proc[[#This Row],[App]],Table2[],3,0),"open")</f>
        <v>ok</v>
      </c>
      <c r="C2903" s="124" t="s">
        <v>369</v>
      </c>
      <c r="D2903" t="s">
        <v>4901</v>
      </c>
      <c r="E2903" t="s">
        <v>4905</v>
      </c>
      <c r="F2903" s="125" t="s">
        <v>4905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4894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99</v>
      </c>
      <c r="R2903" s="115" t="s">
        <v>515</v>
      </c>
      <c r="S2903" s="125"/>
    </row>
    <row r="2904" spans="1:19" hidden="1">
      <c r="A2904" s="124" t="s">
        <v>4903</v>
      </c>
      <c r="B2904" s="149" t="str">
        <f>IFERROR(VLOOKUP(Proc[[#This Row],[App]],Table2[],3,0),"open")</f>
        <v>ok</v>
      </c>
      <c r="C2904" s="124" t="s">
        <v>369</v>
      </c>
      <c r="D2904" t="s">
        <v>4904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4894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99</v>
      </c>
      <c r="R2904" s="115" t="s">
        <v>515</v>
      </c>
      <c r="S2904" s="125"/>
    </row>
    <row r="2905" spans="1:19" hidden="1">
      <c r="A2905" t="s">
        <v>4906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4920</v>
      </c>
      <c r="F2905" s="125" t="s">
        <v>4920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4894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99</v>
      </c>
      <c r="R2905" s="115" t="s">
        <v>489</v>
      </c>
      <c r="S2905" s="125"/>
    </row>
    <row r="2906" spans="1:19" hidden="1">
      <c r="A2906" s="124" t="s">
        <v>4906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4920</v>
      </c>
      <c r="F2906" s="125" t="s">
        <v>4920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4894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99</v>
      </c>
      <c r="R2906" s="115" t="s">
        <v>489</v>
      </c>
      <c r="S2906" s="125"/>
    </row>
    <row r="2907" spans="1:19" hidden="1">
      <c r="A2907" t="s">
        <v>4907</v>
      </c>
      <c r="B2907" s="149" t="str">
        <f>IFERROR(VLOOKUP(Proc[[#This Row],[App]],Table2[],3,0),"open")</f>
        <v>ok</v>
      </c>
      <c r="C2907" s="124" t="s">
        <v>369</v>
      </c>
      <c r="D2907" t="s">
        <v>4908</v>
      </c>
      <c r="E2907" t="s">
        <v>4909</v>
      </c>
      <c r="F2907" s="125" t="s">
        <v>4909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4894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99</v>
      </c>
      <c r="R2907" s="115" t="s">
        <v>972</v>
      </c>
      <c r="S2907" s="125"/>
    </row>
    <row r="2908" spans="1:19" hidden="1">
      <c r="A2908" t="s">
        <v>4917</v>
      </c>
      <c r="B2908" s="149" t="str">
        <f>IFERROR(VLOOKUP(Proc[[#This Row],[App]],Table2[],3,0),"open")</f>
        <v>ok</v>
      </c>
      <c r="C2908" s="124" t="s">
        <v>369</v>
      </c>
      <c r="D2908" t="s">
        <v>4911</v>
      </c>
      <c r="E2908" t="s">
        <v>4914</v>
      </c>
      <c r="F2908" s="124" t="s">
        <v>4914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4894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99</v>
      </c>
      <c r="R2908" s="115" t="s">
        <v>764</v>
      </c>
      <c r="S2908" s="125"/>
    </row>
    <row r="2909" spans="1:19" hidden="1">
      <c r="A2909" s="124" t="s">
        <v>4917</v>
      </c>
      <c r="B2909" s="149" t="str">
        <f>IFERROR(VLOOKUP(Proc[[#This Row],[App]],Table2[],3,0),"open")</f>
        <v>ok</v>
      </c>
      <c r="C2909" s="124" t="s">
        <v>369</v>
      </c>
      <c r="D2909" t="s">
        <v>4912</v>
      </c>
      <c r="E2909" t="s">
        <v>4915</v>
      </c>
      <c r="F2909" s="124" t="s">
        <v>4915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4894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99</v>
      </c>
      <c r="R2909" s="115" t="s">
        <v>764</v>
      </c>
      <c r="S2909" s="125"/>
    </row>
    <row r="2910" spans="1:19" hidden="1">
      <c r="A2910" s="124" t="s">
        <v>4917</v>
      </c>
      <c r="B2910" s="149" t="str">
        <f>IFERROR(VLOOKUP(Proc[[#This Row],[App]],Table2[],3,0),"open")</f>
        <v>ok</v>
      </c>
      <c r="C2910" s="124" t="s">
        <v>369</v>
      </c>
      <c r="D2910" t="s">
        <v>4913</v>
      </c>
      <c r="E2910" t="s">
        <v>4916</v>
      </c>
      <c r="F2910" s="124" t="s">
        <v>4916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4894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99</v>
      </c>
      <c r="R2910" s="115" t="s">
        <v>764</v>
      </c>
      <c r="S2910" s="125"/>
    </row>
    <row r="2911" spans="1:19" hidden="1">
      <c r="A2911" t="s">
        <v>4919</v>
      </c>
      <c r="B2911" s="149" t="str">
        <f>IFERROR(VLOOKUP(Proc[[#This Row],[App]],Table2[],3,0),"open")</f>
        <v>ok</v>
      </c>
      <c r="C2911" s="124" t="s">
        <v>369</v>
      </c>
      <c r="D2911" t="s">
        <v>4918</v>
      </c>
      <c r="E2911" t="s">
        <v>4333</v>
      </c>
      <c r="F2911" s="124" t="s">
        <v>4333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4894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99</v>
      </c>
      <c r="R2911" s="115" t="s">
        <v>410</v>
      </c>
      <c r="S2911" s="125"/>
    </row>
    <row r="2912" spans="1:19" hidden="1">
      <c r="A2912" t="s">
        <v>4933</v>
      </c>
      <c r="B2912" s="149" t="str">
        <f>IFERROR(VLOOKUP(Proc[[#This Row],[App]],Table2[],3,0),"open")</f>
        <v>ok</v>
      </c>
      <c r="C2912" s="124" t="s">
        <v>369</v>
      </c>
      <c r="D2912" t="s">
        <v>4921</v>
      </c>
      <c r="E2912" t="s">
        <v>4927</v>
      </c>
      <c r="F2912" s="125" t="s">
        <v>4927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4894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97</v>
      </c>
      <c r="R2912" s="115" t="s">
        <v>972</v>
      </c>
      <c r="S2912" s="125"/>
    </row>
    <row r="2913" spans="1:19" hidden="1">
      <c r="A2913" s="124" t="s">
        <v>4933</v>
      </c>
      <c r="B2913" s="149" t="str">
        <f>IFERROR(VLOOKUP(Proc[[#This Row],[App]],Table2[],3,0),"open")</f>
        <v>ok</v>
      </c>
      <c r="C2913" s="124" t="s">
        <v>369</v>
      </c>
      <c r="D2913" t="s">
        <v>4922</v>
      </c>
      <c r="E2913" t="s">
        <v>4928</v>
      </c>
      <c r="F2913" s="125" t="s">
        <v>4928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4894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97</v>
      </c>
      <c r="R2913" s="115" t="s">
        <v>972</v>
      </c>
      <c r="S2913" s="125"/>
    </row>
    <row r="2914" spans="1:19" hidden="1">
      <c r="A2914" s="124" t="s">
        <v>4933</v>
      </c>
      <c r="B2914" s="149" t="str">
        <f>IFERROR(VLOOKUP(Proc[[#This Row],[App]],Table2[],3,0),"open")</f>
        <v>ok</v>
      </c>
      <c r="C2914" s="124" t="s">
        <v>369</v>
      </c>
      <c r="D2914" t="s">
        <v>4923</v>
      </c>
      <c r="E2914" t="s">
        <v>4929</v>
      </c>
      <c r="F2914" s="125" t="s">
        <v>4929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4894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97</v>
      </c>
      <c r="R2914" s="115" t="s">
        <v>972</v>
      </c>
      <c r="S2914" s="125"/>
    </row>
    <row r="2915" spans="1:19" hidden="1">
      <c r="A2915" s="124" t="s">
        <v>4933</v>
      </c>
      <c r="B2915" s="149" t="str">
        <f>IFERROR(VLOOKUP(Proc[[#This Row],[App]],Table2[],3,0),"open")</f>
        <v>ok</v>
      </c>
      <c r="C2915" s="124" t="s">
        <v>369</v>
      </c>
      <c r="D2915" t="s">
        <v>4924</v>
      </c>
      <c r="E2915" t="s">
        <v>4930</v>
      </c>
      <c r="F2915" s="125" t="s">
        <v>4930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4894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97</v>
      </c>
      <c r="R2915" s="115" t="s">
        <v>972</v>
      </c>
      <c r="S2915" s="125"/>
    </row>
    <row r="2916" spans="1:19" hidden="1">
      <c r="A2916" s="124" t="s">
        <v>4933</v>
      </c>
      <c r="B2916" s="149" t="str">
        <f>IFERROR(VLOOKUP(Proc[[#This Row],[App]],Table2[],3,0),"open")</f>
        <v>ok</v>
      </c>
      <c r="C2916" s="124" t="s">
        <v>369</v>
      </c>
      <c r="D2916" t="s">
        <v>4925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4894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97</v>
      </c>
      <c r="R2916" s="115" t="s">
        <v>972</v>
      </c>
      <c r="S2916" s="125"/>
    </row>
    <row r="2917" spans="1:19" hidden="1">
      <c r="A2917" s="124" t="s">
        <v>4933</v>
      </c>
      <c r="B2917" s="149" t="str">
        <f>IFERROR(VLOOKUP(Proc[[#This Row],[App]],Table2[],3,0),"open")</f>
        <v>ok</v>
      </c>
      <c r="C2917" s="124" t="s">
        <v>369</v>
      </c>
      <c r="D2917" t="s">
        <v>4926</v>
      </c>
      <c r="E2917" t="s">
        <v>4931</v>
      </c>
      <c r="F2917" s="125" t="s">
        <v>4931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4894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97</v>
      </c>
      <c r="R2917" s="115" t="s">
        <v>972</v>
      </c>
      <c r="S2917" s="125"/>
    </row>
    <row r="2918" spans="1:19" hidden="1">
      <c r="A2918" s="124" t="s">
        <v>4933</v>
      </c>
      <c r="B2918" s="149" t="str">
        <f>IFERROR(VLOOKUP(Proc[[#This Row],[App]],Table2[],3,0),"open")</f>
        <v>ok</v>
      </c>
      <c r="C2918" s="124" t="s">
        <v>369</v>
      </c>
      <c r="D2918" t="s">
        <v>4932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4894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97</v>
      </c>
      <c r="R2918" s="115" t="s">
        <v>972</v>
      </c>
      <c r="S2918" s="125"/>
    </row>
    <row r="2919" spans="1:19" hidden="1">
      <c r="A2919" t="s">
        <v>4934</v>
      </c>
      <c r="B2919" s="149" t="str">
        <f>IFERROR(VLOOKUP(Proc[[#This Row],[App]],Table2[],3,0),"open")</f>
        <v>ok</v>
      </c>
      <c r="C2919" s="124" t="s">
        <v>369</v>
      </c>
      <c r="D2919" t="s">
        <v>4955</v>
      </c>
      <c r="E2919" t="s">
        <v>4935</v>
      </c>
      <c r="F2919" s="125" t="s">
        <v>4935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4894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97</v>
      </c>
      <c r="R2919" s="115" t="s">
        <v>515</v>
      </c>
      <c r="S2919" s="125"/>
    </row>
    <row r="2920" spans="1:19" hidden="1">
      <c r="A2920" s="124" t="s">
        <v>4934</v>
      </c>
      <c r="B2920" s="149" t="str">
        <f>IFERROR(VLOOKUP(Proc[[#This Row],[App]],Table2[],3,0),"open")</f>
        <v>ok</v>
      </c>
      <c r="C2920" s="124" t="s">
        <v>369</v>
      </c>
      <c r="D2920" t="s">
        <v>4941</v>
      </c>
      <c r="E2920" t="s">
        <v>4936</v>
      </c>
      <c r="F2920" s="125" t="s">
        <v>4936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4894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96</v>
      </c>
      <c r="R2920" s="115" t="s">
        <v>415</v>
      </c>
      <c r="S2920" s="125"/>
    </row>
    <row r="2921" spans="1:19" hidden="1">
      <c r="A2921" s="124" t="s">
        <v>4934</v>
      </c>
      <c r="B2921" s="149" t="str">
        <f>IFERROR(VLOOKUP(Proc[[#This Row],[App]],Table2[],3,0),"open")</f>
        <v>ok</v>
      </c>
      <c r="C2921" s="124" t="s">
        <v>369</v>
      </c>
      <c r="D2921" t="s">
        <v>4942</v>
      </c>
      <c r="E2921" t="s">
        <v>4936</v>
      </c>
      <c r="F2921" s="125" t="s">
        <v>4936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4894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96</v>
      </c>
      <c r="R2921" s="115" t="s">
        <v>415</v>
      </c>
      <c r="S2921" s="125"/>
    </row>
    <row r="2922" spans="1:19" hidden="1">
      <c r="A2922" s="124" t="s">
        <v>4934</v>
      </c>
      <c r="B2922" s="149" t="str">
        <f>IFERROR(VLOOKUP(Proc[[#This Row],[App]],Table2[],3,0),"open")</f>
        <v>ok</v>
      </c>
      <c r="C2922" s="124" t="s">
        <v>369</v>
      </c>
      <c r="D2922" t="s">
        <v>4943</v>
      </c>
      <c r="E2922" t="s">
        <v>4937</v>
      </c>
      <c r="F2922" s="125" t="s">
        <v>4937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4894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96</v>
      </c>
      <c r="R2922" s="115" t="s">
        <v>415</v>
      </c>
      <c r="S2922" s="125"/>
    </row>
    <row r="2923" spans="1:19" hidden="1">
      <c r="A2923" s="124" t="s">
        <v>4934</v>
      </c>
      <c r="B2923" s="149" t="str">
        <f>IFERROR(VLOOKUP(Proc[[#This Row],[App]],Table2[],3,0),"open")</f>
        <v>ok</v>
      </c>
      <c r="C2923" s="124" t="s">
        <v>369</v>
      </c>
      <c r="D2923" t="s">
        <v>4944</v>
      </c>
      <c r="E2923" t="s">
        <v>4937</v>
      </c>
      <c r="F2923" s="125" t="s">
        <v>4937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4894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96</v>
      </c>
      <c r="R2923" s="115" t="s">
        <v>415</v>
      </c>
      <c r="S2923" s="125"/>
    </row>
    <row r="2924" spans="1:19" hidden="1">
      <c r="A2924" s="124" t="s">
        <v>4934</v>
      </c>
      <c r="B2924" s="149" t="str">
        <f>IFERROR(VLOOKUP(Proc[[#This Row],[App]],Table2[],3,0),"open")</f>
        <v>ok</v>
      </c>
      <c r="C2924" s="124" t="s">
        <v>369</v>
      </c>
      <c r="D2924" t="s">
        <v>4945</v>
      </c>
      <c r="E2924" t="s">
        <v>4937</v>
      </c>
      <c r="F2924" s="125" t="s">
        <v>4937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4894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96</v>
      </c>
      <c r="R2924" s="115" t="s">
        <v>415</v>
      </c>
      <c r="S2924" s="125"/>
    </row>
    <row r="2925" spans="1:19" hidden="1">
      <c r="A2925" s="124" t="s">
        <v>4934</v>
      </c>
      <c r="B2925" s="149" t="str">
        <f>IFERROR(VLOOKUP(Proc[[#This Row],[App]],Table2[],3,0),"open")</f>
        <v>ok</v>
      </c>
      <c r="C2925" s="124" t="s">
        <v>369</v>
      </c>
      <c r="D2925" t="s">
        <v>4946</v>
      </c>
      <c r="E2925" t="s">
        <v>4937</v>
      </c>
      <c r="F2925" s="125" t="s">
        <v>4937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4894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96</v>
      </c>
      <c r="R2925" s="115" t="s">
        <v>415</v>
      </c>
      <c r="S2925" s="125"/>
    </row>
    <row r="2926" spans="1:19" hidden="1">
      <c r="A2926" s="124" t="s">
        <v>4934</v>
      </c>
      <c r="B2926" s="149" t="str">
        <f>IFERROR(VLOOKUP(Proc[[#This Row],[App]],Table2[],3,0),"open")</f>
        <v>ok</v>
      </c>
      <c r="C2926" s="124" t="s">
        <v>369</v>
      </c>
      <c r="D2926" t="s">
        <v>4947</v>
      </c>
      <c r="E2926" t="s">
        <v>4937</v>
      </c>
      <c r="F2926" s="125" t="s">
        <v>4937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4894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96</v>
      </c>
      <c r="R2926" s="115" t="s">
        <v>415</v>
      </c>
      <c r="S2926" s="125"/>
    </row>
    <row r="2927" spans="1:19" hidden="1">
      <c r="A2927" s="124" t="s">
        <v>4934</v>
      </c>
      <c r="B2927" s="149" t="str">
        <f>IFERROR(VLOOKUP(Proc[[#This Row],[App]],Table2[],3,0),"open")</f>
        <v>ok</v>
      </c>
      <c r="C2927" s="124" t="s">
        <v>369</v>
      </c>
      <c r="D2927" t="s">
        <v>4948</v>
      </c>
      <c r="E2927" t="s">
        <v>4937</v>
      </c>
      <c r="F2927" s="125" t="s">
        <v>4937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4894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96</v>
      </c>
      <c r="R2927" s="115" t="s">
        <v>415</v>
      </c>
      <c r="S2927" s="125"/>
    </row>
    <row r="2928" spans="1:19" hidden="1">
      <c r="A2928" s="124" t="s">
        <v>4934</v>
      </c>
      <c r="B2928" s="149" t="str">
        <f>IFERROR(VLOOKUP(Proc[[#This Row],[App]],Table2[],3,0),"open")</f>
        <v>ok</v>
      </c>
      <c r="C2928" s="124" t="s">
        <v>369</v>
      </c>
      <c r="D2928" t="s">
        <v>4949</v>
      </c>
      <c r="E2928" t="s">
        <v>4937</v>
      </c>
      <c r="F2928" s="125" t="s">
        <v>4937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4894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96</v>
      </c>
      <c r="R2928" s="115" t="s">
        <v>415</v>
      </c>
      <c r="S2928" s="125"/>
    </row>
    <row r="2929" spans="1:19" hidden="1">
      <c r="A2929" s="124" t="s">
        <v>4934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4938</v>
      </c>
      <c r="F2929" s="125" t="s">
        <v>4938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4894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96</v>
      </c>
      <c r="R2929" s="115" t="s">
        <v>415</v>
      </c>
      <c r="S2929" s="125"/>
    </row>
    <row r="2930" spans="1:19" hidden="1">
      <c r="A2930" s="124" t="s">
        <v>4934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4938</v>
      </c>
      <c r="F2930" s="125" t="s">
        <v>4938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4894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96</v>
      </c>
      <c r="R2930" s="115" t="s">
        <v>415</v>
      </c>
      <c r="S2930" s="125"/>
    </row>
    <row r="2931" spans="1:19" hidden="1">
      <c r="A2931" s="124" t="s">
        <v>4934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4938</v>
      </c>
      <c r="F2931" s="125" t="s">
        <v>4938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4894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96</v>
      </c>
      <c r="R2931" s="115" t="s">
        <v>415</v>
      </c>
      <c r="S2931" s="125"/>
    </row>
    <row r="2932" spans="1:19" hidden="1">
      <c r="A2932" s="124" t="s">
        <v>4934</v>
      </c>
      <c r="B2932" s="149" t="str">
        <f>IFERROR(VLOOKUP(Proc[[#This Row],[App]],Table2[],3,0),"open")</f>
        <v>ok</v>
      </c>
      <c r="C2932" s="124" t="s">
        <v>369</v>
      </c>
      <c r="D2932" t="s">
        <v>4950</v>
      </c>
      <c r="E2932" t="s">
        <v>4939</v>
      </c>
      <c r="F2932" s="125" t="s">
        <v>4939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4894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96</v>
      </c>
      <c r="R2932" s="115" t="s">
        <v>415</v>
      </c>
      <c r="S2932" s="125"/>
    </row>
    <row r="2933" spans="1:19" hidden="1">
      <c r="A2933" s="124" t="s">
        <v>4934</v>
      </c>
      <c r="B2933" s="149" t="str">
        <f>IFERROR(VLOOKUP(Proc[[#This Row],[App]],Table2[],3,0),"open")</f>
        <v>ok</v>
      </c>
      <c r="C2933" s="124" t="s">
        <v>369</v>
      </c>
      <c r="D2933" t="s">
        <v>4951</v>
      </c>
      <c r="E2933" t="s">
        <v>4939</v>
      </c>
      <c r="F2933" s="125" t="s">
        <v>4939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4894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96</v>
      </c>
      <c r="R2933" s="115" t="s">
        <v>415</v>
      </c>
      <c r="S2933" s="125"/>
    </row>
    <row r="2934" spans="1:19" hidden="1">
      <c r="A2934" s="124" t="s">
        <v>4934</v>
      </c>
      <c r="B2934" s="149" t="str">
        <f>IFERROR(VLOOKUP(Proc[[#This Row],[App]],Table2[],3,0),"open")</f>
        <v>ok</v>
      </c>
      <c r="C2934" s="124" t="s">
        <v>369</v>
      </c>
      <c r="D2934" t="s">
        <v>4952</v>
      </c>
      <c r="E2934" t="s">
        <v>4937</v>
      </c>
      <c r="F2934" s="125" t="s">
        <v>4937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4894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96</v>
      </c>
      <c r="R2934" s="115" t="s">
        <v>415</v>
      </c>
      <c r="S2934" s="125"/>
    </row>
    <row r="2935" spans="1:19" hidden="1">
      <c r="A2935" s="124" t="s">
        <v>4934</v>
      </c>
      <c r="B2935" s="149" t="str">
        <f>IFERROR(VLOOKUP(Proc[[#This Row],[App]],Table2[],3,0),"open")</f>
        <v>ok</v>
      </c>
      <c r="C2935" s="124" t="s">
        <v>369</v>
      </c>
      <c r="D2935" t="s">
        <v>4953</v>
      </c>
      <c r="E2935" t="s">
        <v>4940</v>
      </c>
      <c r="F2935" s="125" t="s">
        <v>4940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4894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96</v>
      </c>
      <c r="R2935" s="115" t="s">
        <v>415</v>
      </c>
      <c r="S2935" s="125"/>
    </row>
    <row r="2936" spans="1:19" hidden="1">
      <c r="A2936" s="124" t="s">
        <v>4934</v>
      </c>
      <c r="B2936" s="149" t="str">
        <f>IFERROR(VLOOKUP(Proc[[#This Row],[App]],Table2[],3,0),"open")</f>
        <v>ok</v>
      </c>
      <c r="C2936" s="124" t="s">
        <v>369</v>
      </c>
      <c r="D2936" t="s">
        <v>4954</v>
      </c>
      <c r="E2936" t="s">
        <v>4940</v>
      </c>
      <c r="F2936" s="125" t="s">
        <v>4940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4894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96</v>
      </c>
      <c r="R2936" s="115" t="s">
        <v>415</v>
      </c>
      <c r="S2936" s="125"/>
    </row>
    <row r="2937" spans="1:19" hidden="1">
      <c r="A2937" t="s">
        <v>5258</v>
      </c>
      <c r="B2937" s="149" t="str">
        <f>IFERROR(VLOOKUP(Proc[[#This Row],[App]],Table2[],3,0),"open")</f>
        <v>ok</v>
      </c>
      <c r="C2937" s="124" t="s">
        <v>369</v>
      </c>
      <c r="D2937" t="s">
        <v>4956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4894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94</v>
      </c>
      <c r="R2937" s="115" t="s">
        <v>1013</v>
      </c>
      <c r="S2937" s="125"/>
    </row>
    <row r="2938" spans="1:19" hidden="1">
      <c r="A2938" s="124" t="s">
        <v>5258</v>
      </c>
      <c r="B2938" s="149" t="str">
        <f>IFERROR(VLOOKUP(Proc[[#This Row],[App]],Table2[],3,0),"open")</f>
        <v>ok</v>
      </c>
      <c r="C2938" s="124" t="s">
        <v>369</v>
      </c>
      <c r="D2938" t="s">
        <v>4957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4894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94</v>
      </c>
      <c r="R2938" s="115" t="s">
        <v>1013</v>
      </c>
      <c r="S2938" s="125"/>
    </row>
    <row r="2939" spans="1:19" hidden="1">
      <c r="A2939" s="124" t="s">
        <v>5258</v>
      </c>
      <c r="B2939" s="149" t="str">
        <f>IFERROR(VLOOKUP(Proc[[#This Row],[App]],Table2[],3,0),"open")</f>
        <v>ok</v>
      </c>
      <c r="C2939" s="124" t="s">
        <v>369</v>
      </c>
      <c r="D2939" t="s">
        <v>4958</v>
      </c>
      <c r="E2939" t="s">
        <v>5251</v>
      </c>
      <c r="F2939" s="125" t="s">
        <v>5251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4894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94</v>
      </c>
      <c r="R2939" s="115" t="s">
        <v>1013</v>
      </c>
      <c r="S2939" s="125"/>
    </row>
    <row r="2940" spans="1:19" hidden="1">
      <c r="A2940" s="124" t="s">
        <v>5258</v>
      </c>
      <c r="B2940" s="149" t="str">
        <f>IFERROR(VLOOKUP(Proc[[#This Row],[App]],Table2[],3,0),"open")</f>
        <v>ok</v>
      </c>
      <c r="C2940" s="124" t="s">
        <v>369</v>
      </c>
      <c r="D2940" t="s">
        <v>4959</v>
      </c>
      <c r="E2940" t="s">
        <v>5251</v>
      </c>
      <c r="F2940" s="125" t="s">
        <v>5251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4894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94</v>
      </c>
      <c r="R2940" s="115" t="s">
        <v>1013</v>
      </c>
      <c r="S2940" s="125"/>
    </row>
    <row r="2941" spans="1:19" hidden="1">
      <c r="A2941" s="124" t="s">
        <v>5258</v>
      </c>
      <c r="B2941" s="149" t="str">
        <f>IFERROR(VLOOKUP(Proc[[#This Row],[App]],Table2[],3,0),"open")</f>
        <v>ok</v>
      </c>
      <c r="C2941" s="124" t="s">
        <v>369</v>
      </c>
      <c r="D2941" t="s">
        <v>4960</v>
      </c>
      <c r="E2941" t="s">
        <v>5251</v>
      </c>
      <c r="F2941" s="125" t="s">
        <v>5251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4894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94</v>
      </c>
      <c r="R2941" s="115" t="s">
        <v>1013</v>
      </c>
      <c r="S2941" s="125"/>
    </row>
    <row r="2942" spans="1:19" hidden="1">
      <c r="A2942" s="124" t="s">
        <v>5258</v>
      </c>
      <c r="B2942" s="149" t="str">
        <f>IFERROR(VLOOKUP(Proc[[#This Row],[App]],Table2[],3,0),"open")</f>
        <v>ok</v>
      </c>
      <c r="C2942" s="124" t="s">
        <v>369</v>
      </c>
      <c r="D2942" t="s">
        <v>4961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4894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94</v>
      </c>
      <c r="R2942" s="115" t="s">
        <v>1013</v>
      </c>
      <c r="S2942" s="125"/>
    </row>
    <row r="2943" spans="1:19" hidden="1">
      <c r="A2943" s="124" t="s">
        <v>5258</v>
      </c>
      <c r="B2943" s="149" t="str">
        <f>IFERROR(VLOOKUP(Proc[[#This Row],[App]],Table2[],3,0),"open")</f>
        <v>ok</v>
      </c>
      <c r="C2943" s="124" t="s">
        <v>369</v>
      </c>
      <c r="D2943" t="s">
        <v>4962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4894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94</v>
      </c>
      <c r="R2943" s="115" t="s">
        <v>1013</v>
      </c>
      <c r="S2943" s="125"/>
    </row>
    <row r="2944" spans="1:19" hidden="1">
      <c r="A2944" s="124" t="s">
        <v>5258</v>
      </c>
      <c r="B2944" s="149" t="str">
        <f>IFERROR(VLOOKUP(Proc[[#This Row],[App]],Table2[],3,0),"open")</f>
        <v>ok</v>
      </c>
      <c r="C2944" s="124" t="s">
        <v>369</v>
      </c>
      <c r="D2944" t="s">
        <v>4963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4894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94</v>
      </c>
      <c r="R2944" s="115" t="s">
        <v>1013</v>
      </c>
      <c r="S2944" s="125"/>
    </row>
    <row r="2945" spans="1:19" hidden="1">
      <c r="A2945" s="124" t="s">
        <v>5258</v>
      </c>
      <c r="B2945" s="149" t="str">
        <f>IFERROR(VLOOKUP(Proc[[#This Row],[App]],Table2[],3,0),"open")</f>
        <v>ok</v>
      </c>
      <c r="C2945" s="124" t="s">
        <v>369</v>
      </c>
      <c r="D2945" t="s">
        <v>4964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4894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94</v>
      </c>
      <c r="R2945" s="115" t="s">
        <v>1013</v>
      </c>
      <c r="S2945" s="125"/>
    </row>
    <row r="2946" spans="1:19" hidden="1">
      <c r="A2946" s="124" t="s">
        <v>5258</v>
      </c>
      <c r="B2946" s="149" t="str">
        <f>IFERROR(VLOOKUP(Proc[[#This Row],[App]],Table2[],3,0),"open")</f>
        <v>ok</v>
      </c>
      <c r="C2946" s="124" t="s">
        <v>369</v>
      </c>
      <c r="D2946" t="s">
        <v>4965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4894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94</v>
      </c>
      <c r="R2946" s="115" t="s">
        <v>1013</v>
      </c>
      <c r="S2946" s="125"/>
    </row>
    <row r="2947" spans="1:19" hidden="1">
      <c r="A2947" s="124" t="s">
        <v>5258</v>
      </c>
      <c r="B2947" s="149" t="str">
        <f>IFERROR(VLOOKUP(Proc[[#This Row],[App]],Table2[],3,0),"open")</f>
        <v>ok</v>
      </c>
      <c r="C2947" s="124" t="s">
        <v>369</v>
      </c>
      <c r="D2947" t="s">
        <v>4966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4894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94</v>
      </c>
      <c r="R2947" s="115" t="s">
        <v>1013</v>
      </c>
      <c r="S2947" s="125"/>
    </row>
    <row r="2948" spans="1:19" hidden="1">
      <c r="A2948" s="124" t="s">
        <v>5258</v>
      </c>
      <c r="B2948" s="149" t="str">
        <f>IFERROR(VLOOKUP(Proc[[#This Row],[App]],Table2[],3,0),"open")</f>
        <v>ok</v>
      </c>
      <c r="C2948" s="124" t="s">
        <v>369</v>
      </c>
      <c r="D2948" t="s">
        <v>4967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4894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94</v>
      </c>
      <c r="R2948" s="115" t="s">
        <v>1013</v>
      </c>
      <c r="S2948" s="125"/>
    </row>
    <row r="2949" spans="1:19" hidden="1">
      <c r="A2949" s="124" t="s">
        <v>5258</v>
      </c>
      <c r="B2949" s="149" t="str">
        <f>IFERROR(VLOOKUP(Proc[[#This Row],[App]],Table2[],3,0),"open")</f>
        <v>ok</v>
      </c>
      <c r="C2949" s="124" t="s">
        <v>369</v>
      </c>
      <c r="D2949" t="s">
        <v>4968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4894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94</v>
      </c>
      <c r="R2949" s="115" t="s">
        <v>1013</v>
      </c>
      <c r="S2949" s="125"/>
    </row>
    <row r="2950" spans="1:19" hidden="1">
      <c r="A2950" s="124" t="s">
        <v>5258</v>
      </c>
      <c r="B2950" s="149" t="str">
        <f>IFERROR(VLOOKUP(Proc[[#This Row],[App]],Table2[],3,0),"open")</f>
        <v>ok</v>
      </c>
      <c r="C2950" s="124" t="s">
        <v>369</v>
      </c>
      <c r="D2950" t="s">
        <v>4969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4894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94</v>
      </c>
      <c r="R2950" s="115" t="s">
        <v>1013</v>
      </c>
      <c r="S2950" s="125"/>
    </row>
    <row r="2951" spans="1:19" hidden="1">
      <c r="A2951" s="124" t="s">
        <v>5258</v>
      </c>
      <c r="B2951" s="149" t="str">
        <f>IFERROR(VLOOKUP(Proc[[#This Row],[App]],Table2[],3,0),"open")</f>
        <v>ok</v>
      </c>
      <c r="C2951" s="124" t="s">
        <v>369</v>
      </c>
      <c r="D2951" t="s">
        <v>4970</v>
      </c>
      <c r="E2951" t="s">
        <v>5251</v>
      </c>
      <c r="F2951" s="125" t="s">
        <v>5251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4894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94</v>
      </c>
      <c r="R2951" s="115" t="s">
        <v>1013</v>
      </c>
      <c r="S2951" s="125"/>
    </row>
    <row r="2952" spans="1:19" hidden="1">
      <c r="A2952" s="124" t="s">
        <v>5258</v>
      </c>
      <c r="B2952" s="149" t="str">
        <f>IFERROR(VLOOKUP(Proc[[#This Row],[App]],Table2[],3,0),"open")</f>
        <v>ok</v>
      </c>
      <c r="C2952" s="124" t="s">
        <v>369</v>
      </c>
      <c r="D2952" t="s">
        <v>4971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4894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94</v>
      </c>
      <c r="R2952" s="115" t="s">
        <v>1013</v>
      </c>
      <c r="S2952" s="125"/>
    </row>
    <row r="2953" spans="1:19" hidden="1">
      <c r="A2953" s="124" t="s">
        <v>5258</v>
      </c>
      <c r="B2953" s="149" t="str">
        <f>IFERROR(VLOOKUP(Proc[[#This Row],[App]],Table2[],3,0),"open")</f>
        <v>ok</v>
      </c>
      <c r="C2953" s="124" t="s">
        <v>369</v>
      </c>
      <c r="D2953" t="s">
        <v>4972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4894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94</v>
      </c>
      <c r="R2953" s="115" t="s">
        <v>1013</v>
      </c>
      <c r="S2953" s="125"/>
    </row>
    <row r="2954" spans="1:19" hidden="1">
      <c r="A2954" s="124" t="s">
        <v>5258</v>
      </c>
      <c r="B2954" s="149" t="str">
        <f>IFERROR(VLOOKUP(Proc[[#This Row],[App]],Table2[],3,0),"open")</f>
        <v>ok</v>
      </c>
      <c r="C2954" s="124" t="s">
        <v>369</v>
      </c>
      <c r="D2954" t="s">
        <v>4973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4894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94</v>
      </c>
      <c r="R2954" s="115" t="s">
        <v>1013</v>
      </c>
      <c r="S2954" s="125"/>
    </row>
    <row r="2955" spans="1:19" hidden="1">
      <c r="A2955" s="124" t="s">
        <v>5258</v>
      </c>
      <c r="B2955" s="149" t="str">
        <f>IFERROR(VLOOKUP(Proc[[#This Row],[App]],Table2[],3,0),"open")</f>
        <v>ok</v>
      </c>
      <c r="C2955" s="124" t="s">
        <v>369</v>
      </c>
      <c r="D2955" t="s">
        <v>4974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4894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94</v>
      </c>
      <c r="R2955" s="115" t="s">
        <v>1013</v>
      </c>
      <c r="S2955" s="125"/>
    </row>
    <row r="2956" spans="1:19" hidden="1">
      <c r="A2956" s="124" t="s">
        <v>5258</v>
      </c>
      <c r="B2956" s="149" t="str">
        <f>IFERROR(VLOOKUP(Proc[[#This Row],[App]],Table2[],3,0),"open")</f>
        <v>ok</v>
      </c>
      <c r="C2956" s="124" t="s">
        <v>369</v>
      </c>
      <c r="D2956" t="s">
        <v>4975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4894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94</v>
      </c>
      <c r="R2956" s="115" t="s">
        <v>1013</v>
      </c>
      <c r="S2956" s="125"/>
    </row>
    <row r="2957" spans="1:19" hidden="1">
      <c r="A2957" s="124" t="s">
        <v>5258</v>
      </c>
      <c r="B2957" s="149" t="str">
        <f>IFERROR(VLOOKUP(Proc[[#This Row],[App]],Table2[],3,0),"open")</f>
        <v>ok</v>
      </c>
      <c r="C2957" s="124" t="s">
        <v>369</v>
      </c>
      <c r="D2957" t="s">
        <v>4976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4894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94</v>
      </c>
      <c r="R2957" s="115" t="s">
        <v>1013</v>
      </c>
      <c r="S2957" s="125"/>
    </row>
    <row r="2958" spans="1:19" hidden="1">
      <c r="A2958" s="124" t="s">
        <v>5258</v>
      </c>
      <c r="B2958" s="149" t="str">
        <f>IFERROR(VLOOKUP(Proc[[#This Row],[App]],Table2[],3,0),"open")</f>
        <v>ok</v>
      </c>
      <c r="C2958" s="124" t="s">
        <v>369</v>
      </c>
      <c r="D2958" t="s">
        <v>4977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4894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94</v>
      </c>
      <c r="R2958" s="115" t="s">
        <v>1013</v>
      </c>
      <c r="S2958" s="125"/>
    </row>
    <row r="2959" spans="1:19" hidden="1">
      <c r="A2959" s="124" t="s">
        <v>5258</v>
      </c>
      <c r="B2959" s="149" t="str">
        <f>IFERROR(VLOOKUP(Proc[[#This Row],[App]],Table2[],3,0),"open")</f>
        <v>ok</v>
      </c>
      <c r="C2959" s="124" t="s">
        <v>369</v>
      </c>
      <c r="D2959" t="s">
        <v>4978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4894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94</v>
      </c>
      <c r="R2959" s="115" t="s">
        <v>1013</v>
      </c>
      <c r="S2959" s="125"/>
    </row>
    <row r="2960" spans="1:19" hidden="1">
      <c r="A2960" s="124" t="s">
        <v>5258</v>
      </c>
      <c r="B2960" s="149" t="str">
        <f>IFERROR(VLOOKUP(Proc[[#This Row],[App]],Table2[],3,0),"open")</f>
        <v>ok</v>
      </c>
      <c r="C2960" s="124" t="s">
        <v>369</v>
      </c>
      <c r="D2960" t="s">
        <v>4979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4894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94</v>
      </c>
      <c r="R2960" s="115" t="s">
        <v>1013</v>
      </c>
      <c r="S2960" s="125"/>
    </row>
    <row r="2961" spans="1:19" hidden="1">
      <c r="A2961" s="124" t="s">
        <v>5258</v>
      </c>
      <c r="B2961" s="149" t="str">
        <f>IFERROR(VLOOKUP(Proc[[#This Row],[App]],Table2[],3,0),"open")</f>
        <v>ok</v>
      </c>
      <c r="C2961" s="124" t="s">
        <v>369</v>
      </c>
      <c r="D2961" t="s">
        <v>4980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4894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94</v>
      </c>
      <c r="R2961" s="115" t="s">
        <v>1013</v>
      </c>
      <c r="S2961" s="125"/>
    </row>
    <row r="2962" spans="1:19" hidden="1">
      <c r="A2962" s="124" t="s">
        <v>5258</v>
      </c>
      <c r="B2962" s="149" t="str">
        <f>IFERROR(VLOOKUP(Proc[[#This Row],[App]],Table2[],3,0),"open")</f>
        <v>ok</v>
      </c>
      <c r="C2962" s="124" t="s">
        <v>369</v>
      </c>
      <c r="D2962" t="s">
        <v>4981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4894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94</v>
      </c>
      <c r="R2962" s="115" t="s">
        <v>1013</v>
      </c>
      <c r="S2962" s="125"/>
    </row>
    <row r="2963" spans="1:19" hidden="1">
      <c r="A2963" s="124" t="s">
        <v>5258</v>
      </c>
      <c r="B2963" s="149" t="str">
        <f>IFERROR(VLOOKUP(Proc[[#This Row],[App]],Table2[],3,0),"open")</f>
        <v>ok</v>
      </c>
      <c r="C2963" s="124" t="s">
        <v>369</v>
      </c>
      <c r="D2963" t="s">
        <v>4982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4894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94</v>
      </c>
      <c r="R2963" s="115" t="s">
        <v>1013</v>
      </c>
      <c r="S2963" s="125"/>
    </row>
    <row r="2964" spans="1:19" hidden="1">
      <c r="A2964" s="124" t="s">
        <v>5258</v>
      </c>
      <c r="B2964" s="149" t="str">
        <f>IFERROR(VLOOKUP(Proc[[#This Row],[App]],Table2[],3,0),"open")</f>
        <v>ok</v>
      </c>
      <c r="C2964" s="124" t="s">
        <v>369</v>
      </c>
      <c r="D2964" t="s">
        <v>4983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4894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94</v>
      </c>
      <c r="R2964" s="115" t="s">
        <v>1013</v>
      </c>
      <c r="S2964" s="125"/>
    </row>
    <row r="2965" spans="1:19" hidden="1">
      <c r="A2965" s="124" t="s">
        <v>5258</v>
      </c>
      <c r="B2965" s="149" t="str">
        <f>IFERROR(VLOOKUP(Proc[[#This Row],[App]],Table2[],3,0),"open")</f>
        <v>ok</v>
      </c>
      <c r="C2965" s="124" t="s">
        <v>369</v>
      </c>
      <c r="D2965" t="s">
        <v>4984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4894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94</v>
      </c>
      <c r="R2965" s="115" t="s">
        <v>1013</v>
      </c>
      <c r="S2965" s="125"/>
    </row>
    <row r="2966" spans="1:19" hidden="1">
      <c r="A2966" s="124" t="s">
        <v>5258</v>
      </c>
      <c r="B2966" s="149" t="str">
        <f>IFERROR(VLOOKUP(Proc[[#This Row],[App]],Table2[],3,0),"open")</f>
        <v>ok</v>
      </c>
      <c r="C2966" s="124" t="s">
        <v>369</v>
      </c>
      <c r="D2966" t="s">
        <v>4985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4894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94</v>
      </c>
      <c r="R2966" s="115" t="s">
        <v>1013</v>
      </c>
      <c r="S2966" s="125"/>
    </row>
    <row r="2967" spans="1:19" hidden="1">
      <c r="A2967" s="124" t="s">
        <v>5258</v>
      </c>
      <c r="B2967" s="149" t="str">
        <f>IFERROR(VLOOKUP(Proc[[#This Row],[App]],Table2[],3,0),"open")</f>
        <v>ok</v>
      </c>
      <c r="C2967" s="124" t="s">
        <v>369</v>
      </c>
      <c r="D2967" t="s">
        <v>4986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4894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94</v>
      </c>
      <c r="R2967" s="115" t="s">
        <v>1013</v>
      </c>
      <c r="S2967" s="125"/>
    </row>
    <row r="2968" spans="1:19" hidden="1">
      <c r="A2968" s="124" t="s">
        <v>5258</v>
      </c>
      <c r="B2968" s="149" t="str">
        <f>IFERROR(VLOOKUP(Proc[[#This Row],[App]],Table2[],3,0),"open")</f>
        <v>ok</v>
      </c>
      <c r="C2968" s="124" t="s">
        <v>369</v>
      </c>
      <c r="D2968" t="s">
        <v>4987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4894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94</v>
      </c>
      <c r="R2968" s="115" t="s">
        <v>1013</v>
      </c>
      <c r="S2968" s="125"/>
    </row>
    <row r="2969" spans="1:19" hidden="1">
      <c r="A2969" s="124" t="s">
        <v>5258</v>
      </c>
      <c r="B2969" s="149" t="str">
        <f>IFERROR(VLOOKUP(Proc[[#This Row],[App]],Table2[],3,0),"open")</f>
        <v>ok</v>
      </c>
      <c r="C2969" s="124" t="s">
        <v>369</v>
      </c>
      <c r="D2969" t="s">
        <v>4988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4894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94</v>
      </c>
      <c r="R2969" s="115" t="s">
        <v>1013</v>
      </c>
      <c r="S2969" s="125"/>
    </row>
    <row r="2970" spans="1:19" hidden="1">
      <c r="A2970" s="124" t="s">
        <v>5258</v>
      </c>
      <c r="B2970" s="149" t="str">
        <f>IFERROR(VLOOKUP(Proc[[#This Row],[App]],Table2[],3,0),"open")</f>
        <v>ok</v>
      </c>
      <c r="C2970" s="124" t="s">
        <v>369</v>
      </c>
      <c r="D2970" t="s">
        <v>4989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4894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94</v>
      </c>
      <c r="R2970" s="115" t="s">
        <v>1013</v>
      </c>
      <c r="S2970" s="125"/>
    </row>
    <row r="2971" spans="1:19" hidden="1">
      <c r="A2971" s="124" t="s">
        <v>5258</v>
      </c>
      <c r="B2971" s="149" t="str">
        <f>IFERROR(VLOOKUP(Proc[[#This Row],[App]],Table2[],3,0),"open")</f>
        <v>ok</v>
      </c>
      <c r="C2971" s="124" t="s">
        <v>369</v>
      </c>
      <c r="D2971" t="s">
        <v>4990</v>
      </c>
      <c r="E2971" t="s">
        <v>5251</v>
      </c>
      <c r="F2971" s="125" t="s">
        <v>5251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4894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94</v>
      </c>
      <c r="R2971" s="115" t="s">
        <v>1013</v>
      </c>
      <c r="S2971" s="125"/>
    </row>
    <row r="2972" spans="1:19" hidden="1">
      <c r="A2972" s="124" t="s">
        <v>5258</v>
      </c>
      <c r="B2972" s="149" t="str">
        <f>IFERROR(VLOOKUP(Proc[[#This Row],[App]],Table2[],3,0),"open")</f>
        <v>ok</v>
      </c>
      <c r="C2972" s="124" t="s">
        <v>369</v>
      </c>
      <c r="D2972" t="s">
        <v>4991</v>
      </c>
      <c r="E2972" t="s">
        <v>5252</v>
      </c>
      <c r="F2972" s="125" t="s">
        <v>5252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4894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94</v>
      </c>
      <c r="R2972" s="115" t="s">
        <v>1013</v>
      </c>
      <c r="S2972" s="125"/>
    </row>
    <row r="2973" spans="1:19" hidden="1">
      <c r="A2973" s="124" t="s">
        <v>5258</v>
      </c>
      <c r="B2973" s="149" t="str">
        <f>IFERROR(VLOOKUP(Proc[[#This Row],[App]],Table2[],3,0),"open")</f>
        <v>ok</v>
      </c>
      <c r="C2973" s="124" t="s">
        <v>369</v>
      </c>
      <c r="D2973" t="s">
        <v>4992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4894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94</v>
      </c>
      <c r="R2973" s="115" t="s">
        <v>1013</v>
      </c>
      <c r="S2973" s="125"/>
    </row>
    <row r="2974" spans="1:19" hidden="1">
      <c r="A2974" s="124" t="s">
        <v>5258</v>
      </c>
      <c r="B2974" s="149" t="str">
        <f>IFERROR(VLOOKUP(Proc[[#This Row],[App]],Table2[],3,0),"open")</f>
        <v>ok</v>
      </c>
      <c r="C2974" s="124" t="s">
        <v>369</v>
      </c>
      <c r="D2974" t="s">
        <v>4993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4894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94</v>
      </c>
      <c r="R2974" s="115" t="s">
        <v>1013</v>
      </c>
      <c r="S2974" s="125"/>
    </row>
    <row r="2975" spans="1:19" hidden="1">
      <c r="A2975" s="124" t="s">
        <v>5258</v>
      </c>
      <c r="B2975" s="149" t="str">
        <f>IFERROR(VLOOKUP(Proc[[#This Row],[App]],Table2[],3,0),"open")</f>
        <v>ok</v>
      </c>
      <c r="C2975" s="124" t="s">
        <v>369</v>
      </c>
      <c r="D2975" t="s">
        <v>4994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4894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94</v>
      </c>
      <c r="R2975" s="115" t="s">
        <v>1013</v>
      </c>
      <c r="S2975" s="125"/>
    </row>
    <row r="2976" spans="1:19" hidden="1">
      <c r="A2976" s="124" t="s">
        <v>5258</v>
      </c>
      <c r="B2976" s="149" t="str">
        <f>IFERROR(VLOOKUP(Proc[[#This Row],[App]],Table2[],3,0),"open")</f>
        <v>ok</v>
      </c>
      <c r="C2976" s="124" t="s">
        <v>369</v>
      </c>
      <c r="D2976" t="s">
        <v>4995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4894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94</v>
      </c>
      <c r="R2976" s="115" t="s">
        <v>1013</v>
      </c>
      <c r="S2976" s="125"/>
    </row>
    <row r="2977" spans="1:19" hidden="1">
      <c r="A2977" s="124" t="s">
        <v>5258</v>
      </c>
      <c r="B2977" s="149" t="str">
        <f>IFERROR(VLOOKUP(Proc[[#This Row],[App]],Table2[],3,0),"open")</f>
        <v>ok</v>
      </c>
      <c r="C2977" s="124" t="s">
        <v>369</v>
      </c>
      <c r="D2977" t="s">
        <v>4996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4894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94</v>
      </c>
      <c r="R2977" s="115" t="s">
        <v>1013</v>
      </c>
      <c r="S2977" s="125"/>
    </row>
    <row r="2978" spans="1:19" hidden="1">
      <c r="A2978" s="124" t="s">
        <v>5258</v>
      </c>
      <c r="B2978" s="149" t="str">
        <f>IFERROR(VLOOKUP(Proc[[#This Row],[App]],Table2[],3,0),"open")</f>
        <v>ok</v>
      </c>
      <c r="C2978" s="124" t="s">
        <v>369</v>
      </c>
      <c r="D2978" t="s">
        <v>4997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4894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94</v>
      </c>
      <c r="R2978" s="115" t="s">
        <v>1013</v>
      </c>
      <c r="S2978" s="125"/>
    </row>
    <row r="2979" spans="1:19" hidden="1">
      <c r="A2979" s="124" t="s">
        <v>5258</v>
      </c>
      <c r="B2979" s="149" t="str">
        <f>IFERROR(VLOOKUP(Proc[[#This Row],[App]],Table2[],3,0),"open")</f>
        <v>ok</v>
      </c>
      <c r="C2979" s="124" t="s">
        <v>369</v>
      </c>
      <c r="D2979" t="s">
        <v>4998</v>
      </c>
      <c r="E2979" t="s">
        <v>5251</v>
      </c>
      <c r="F2979" s="125" t="s">
        <v>5251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4894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94</v>
      </c>
      <c r="R2979" s="115" t="s">
        <v>1013</v>
      </c>
      <c r="S2979" s="125"/>
    </row>
    <row r="2980" spans="1:19" hidden="1">
      <c r="A2980" s="124" t="s">
        <v>5258</v>
      </c>
      <c r="B2980" s="149" t="str">
        <f>IFERROR(VLOOKUP(Proc[[#This Row],[App]],Table2[],3,0),"open")</f>
        <v>ok</v>
      </c>
      <c r="C2980" s="124" t="s">
        <v>369</v>
      </c>
      <c r="D2980" t="s">
        <v>4999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4894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94</v>
      </c>
      <c r="R2980" s="115" t="s">
        <v>1013</v>
      </c>
      <c r="S2980" s="125"/>
    </row>
    <row r="2981" spans="1:19" hidden="1">
      <c r="A2981" s="124" t="s">
        <v>5258</v>
      </c>
      <c r="B2981" s="149" t="str">
        <f>IFERROR(VLOOKUP(Proc[[#This Row],[App]],Table2[],3,0),"open")</f>
        <v>ok</v>
      </c>
      <c r="C2981" s="124" t="s">
        <v>369</v>
      </c>
      <c r="D2981" t="s">
        <v>5000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4894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94</v>
      </c>
      <c r="R2981" s="115" t="s">
        <v>1013</v>
      </c>
      <c r="S2981" s="125"/>
    </row>
    <row r="2982" spans="1:19" hidden="1">
      <c r="A2982" s="124" t="s">
        <v>5258</v>
      </c>
      <c r="B2982" s="149" t="str">
        <f>IFERROR(VLOOKUP(Proc[[#This Row],[App]],Table2[],3,0),"open")</f>
        <v>ok</v>
      </c>
      <c r="C2982" s="124" t="s">
        <v>369</v>
      </c>
      <c r="D2982" t="s">
        <v>5001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4894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94</v>
      </c>
      <c r="R2982" s="115" t="s">
        <v>1013</v>
      </c>
      <c r="S2982" s="125"/>
    </row>
    <row r="2983" spans="1:19" hidden="1">
      <c r="A2983" s="124" t="s">
        <v>5258</v>
      </c>
      <c r="B2983" s="149" t="str">
        <f>IFERROR(VLOOKUP(Proc[[#This Row],[App]],Table2[],3,0),"open")</f>
        <v>ok</v>
      </c>
      <c r="C2983" s="124" t="s">
        <v>369</v>
      </c>
      <c r="D2983" t="s">
        <v>5002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4894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94</v>
      </c>
      <c r="R2983" s="115" t="s">
        <v>1013</v>
      </c>
      <c r="S2983" s="125"/>
    </row>
    <row r="2984" spans="1:19" hidden="1">
      <c r="A2984" s="124" t="s">
        <v>5258</v>
      </c>
      <c r="B2984" s="149" t="str">
        <f>IFERROR(VLOOKUP(Proc[[#This Row],[App]],Table2[],3,0),"open")</f>
        <v>ok</v>
      </c>
      <c r="C2984" s="124" t="s">
        <v>369</v>
      </c>
      <c r="D2984" t="s">
        <v>5003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4894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94</v>
      </c>
      <c r="R2984" s="115" t="s">
        <v>1013</v>
      </c>
      <c r="S2984" s="125"/>
    </row>
    <row r="2985" spans="1:19" hidden="1">
      <c r="A2985" s="124" t="s">
        <v>5258</v>
      </c>
      <c r="B2985" s="149" t="str">
        <f>IFERROR(VLOOKUP(Proc[[#This Row],[App]],Table2[],3,0),"open")</f>
        <v>ok</v>
      </c>
      <c r="C2985" s="124" t="s">
        <v>369</v>
      </c>
      <c r="D2985" t="s">
        <v>5004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4894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94</v>
      </c>
      <c r="R2985" s="115" t="s">
        <v>1013</v>
      </c>
      <c r="S2985" s="125"/>
    </row>
    <row r="2986" spans="1:19" hidden="1">
      <c r="A2986" s="124" t="s">
        <v>5258</v>
      </c>
      <c r="B2986" s="149" t="str">
        <f>IFERROR(VLOOKUP(Proc[[#This Row],[App]],Table2[],3,0),"open")</f>
        <v>ok</v>
      </c>
      <c r="C2986" s="124" t="s">
        <v>369</v>
      </c>
      <c r="D2986" t="s">
        <v>5005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4894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94</v>
      </c>
      <c r="R2986" s="115" t="s">
        <v>1013</v>
      </c>
      <c r="S2986" s="125"/>
    </row>
    <row r="2987" spans="1:19" hidden="1">
      <c r="A2987" s="124" t="s">
        <v>5258</v>
      </c>
      <c r="B2987" s="149" t="str">
        <f>IFERROR(VLOOKUP(Proc[[#This Row],[App]],Table2[],3,0),"open")</f>
        <v>ok</v>
      </c>
      <c r="C2987" s="124" t="s">
        <v>369</v>
      </c>
      <c r="D2987" t="s">
        <v>5006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4894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94</v>
      </c>
      <c r="R2987" s="115" t="s">
        <v>1013</v>
      </c>
      <c r="S2987" s="125"/>
    </row>
    <row r="2988" spans="1:19" hidden="1">
      <c r="A2988" s="124" t="s">
        <v>5258</v>
      </c>
      <c r="B2988" s="149" t="str">
        <f>IFERROR(VLOOKUP(Proc[[#This Row],[App]],Table2[],3,0),"open")</f>
        <v>ok</v>
      </c>
      <c r="C2988" s="124" t="s">
        <v>369</v>
      </c>
      <c r="D2988" t="s">
        <v>5007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4894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94</v>
      </c>
      <c r="R2988" s="115" t="s">
        <v>1013</v>
      </c>
      <c r="S2988" s="125"/>
    </row>
    <row r="2989" spans="1:19" hidden="1">
      <c r="A2989" s="124" t="s">
        <v>5258</v>
      </c>
      <c r="B2989" s="149" t="str">
        <f>IFERROR(VLOOKUP(Proc[[#This Row],[App]],Table2[],3,0),"open")</f>
        <v>ok</v>
      </c>
      <c r="C2989" s="124" t="s">
        <v>369</v>
      </c>
      <c r="D2989" t="s">
        <v>5008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4894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94</v>
      </c>
      <c r="R2989" s="115" t="s">
        <v>1013</v>
      </c>
      <c r="S2989" s="125"/>
    </row>
    <row r="2990" spans="1:19" hidden="1">
      <c r="A2990" s="124" t="s">
        <v>5258</v>
      </c>
      <c r="B2990" s="149" t="str">
        <f>IFERROR(VLOOKUP(Proc[[#This Row],[App]],Table2[],3,0),"open")</f>
        <v>ok</v>
      </c>
      <c r="C2990" s="124" t="s">
        <v>369</v>
      </c>
      <c r="D2990" t="s">
        <v>5009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4894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94</v>
      </c>
      <c r="R2990" s="115" t="s">
        <v>1013</v>
      </c>
      <c r="S2990" s="125"/>
    </row>
    <row r="2991" spans="1:19" hidden="1">
      <c r="A2991" s="124" t="s">
        <v>5258</v>
      </c>
      <c r="B2991" s="149" t="str">
        <f>IFERROR(VLOOKUP(Proc[[#This Row],[App]],Table2[],3,0),"open")</f>
        <v>ok</v>
      </c>
      <c r="C2991" s="124" t="s">
        <v>369</v>
      </c>
      <c r="D2991" t="s">
        <v>5010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4894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94</v>
      </c>
      <c r="R2991" s="115" t="s">
        <v>1013</v>
      </c>
      <c r="S2991" s="125"/>
    </row>
    <row r="2992" spans="1:19" hidden="1">
      <c r="A2992" s="124" t="s">
        <v>5258</v>
      </c>
      <c r="B2992" s="149" t="str">
        <f>IFERROR(VLOOKUP(Proc[[#This Row],[App]],Table2[],3,0),"open")</f>
        <v>ok</v>
      </c>
      <c r="C2992" s="124" t="s">
        <v>369</v>
      </c>
      <c r="D2992" t="s">
        <v>5011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4894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94</v>
      </c>
      <c r="R2992" s="115" t="s">
        <v>1013</v>
      </c>
      <c r="S2992" s="125"/>
    </row>
    <row r="2993" spans="1:19" hidden="1">
      <c r="A2993" s="124" t="s">
        <v>5258</v>
      </c>
      <c r="B2993" s="149" t="str">
        <f>IFERROR(VLOOKUP(Proc[[#This Row],[App]],Table2[],3,0),"open")</f>
        <v>ok</v>
      </c>
      <c r="C2993" s="124" t="s">
        <v>369</v>
      </c>
      <c r="D2993" t="s">
        <v>5012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4894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94</v>
      </c>
      <c r="R2993" s="115" t="s">
        <v>1013</v>
      </c>
      <c r="S2993" s="125"/>
    </row>
    <row r="2994" spans="1:19" hidden="1">
      <c r="A2994" s="124" t="s">
        <v>5258</v>
      </c>
      <c r="B2994" s="149" t="str">
        <f>IFERROR(VLOOKUP(Proc[[#This Row],[App]],Table2[],3,0),"open")</f>
        <v>ok</v>
      </c>
      <c r="C2994" s="124" t="s">
        <v>369</v>
      </c>
      <c r="D2994" t="s">
        <v>5013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4894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94</v>
      </c>
      <c r="R2994" s="115" t="s">
        <v>1013</v>
      </c>
      <c r="S2994" s="125"/>
    </row>
    <row r="2995" spans="1:19" hidden="1">
      <c r="A2995" s="124" t="s">
        <v>5258</v>
      </c>
      <c r="B2995" s="149" t="str">
        <f>IFERROR(VLOOKUP(Proc[[#This Row],[App]],Table2[],3,0),"open")</f>
        <v>ok</v>
      </c>
      <c r="C2995" s="124" t="s">
        <v>369</v>
      </c>
      <c r="D2995" t="s">
        <v>5014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4894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94</v>
      </c>
      <c r="R2995" s="115" t="s">
        <v>1013</v>
      </c>
      <c r="S2995" s="125"/>
    </row>
    <row r="2996" spans="1:19" hidden="1">
      <c r="A2996" s="124" t="s">
        <v>5258</v>
      </c>
      <c r="B2996" s="149" t="str">
        <f>IFERROR(VLOOKUP(Proc[[#This Row],[App]],Table2[],3,0),"open")</f>
        <v>ok</v>
      </c>
      <c r="C2996" s="124" t="s">
        <v>369</v>
      </c>
      <c r="D2996" t="s">
        <v>5015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4894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94</v>
      </c>
      <c r="R2996" s="115" t="s">
        <v>1013</v>
      </c>
      <c r="S2996" s="125"/>
    </row>
    <row r="2997" spans="1:19" hidden="1">
      <c r="A2997" s="124" t="s">
        <v>5258</v>
      </c>
      <c r="B2997" s="149" t="str">
        <f>IFERROR(VLOOKUP(Proc[[#This Row],[App]],Table2[],3,0),"open")</f>
        <v>ok</v>
      </c>
      <c r="C2997" s="124" t="s">
        <v>369</v>
      </c>
      <c r="D2997" t="s">
        <v>5016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4894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94</v>
      </c>
      <c r="R2997" s="115" t="s">
        <v>1013</v>
      </c>
      <c r="S2997" s="125"/>
    </row>
    <row r="2998" spans="1:19" hidden="1">
      <c r="A2998" s="124" t="s">
        <v>5258</v>
      </c>
      <c r="B2998" s="149" t="str">
        <f>IFERROR(VLOOKUP(Proc[[#This Row],[App]],Table2[],3,0),"open")</f>
        <v>ok</v>
      </c>
      <c r="C2998" s="124" t="s">
        <v>369</v>
      </c>
      <c r="D2998" t="s">
        <v>5017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4894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94</v>
      </c>
      <c r="R2998" s="115" t="s">
        <v>1013</v>
      </c>
      <c r="S2998" s="125"/>
    </row>
    <row r="2999" spans="1:19" hidden="1">
      <c r="A2999" s="124" t="s">
        <v>5258</v>
      </c>
      <c r="B2999" s="149" t="str">
        <f>IFERROR(VLOOKUP(Proc[[#This Row],[App]],Table2[],3,0),"open")</f>
        <v>ok</v>
      </c>
      <c r="C2999" s="124" t="s">
        <v>369</v>
      </c>
      <c r="D2999" t="s">
        <v>5018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4894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94</v>
      </c>
      <c r="R2999" s="115" t="s">
        <v>1013</v>
      </c>
      <c r="S2999" s="125"/>
    </row>
    <row r="3000" spans="1:19" hidden="1">
      <c r="A3000" s="124" t="s">
        <v>5258</v>
      </c>
      <c r="B3000" s="149" t="str">
        <f>IFERROR(VLOOKUP(Proc[[#This Row],[App]],Table2[],3,0),"open")</f>
        <v>ok</v>
      </c>
      <c r="C3000" s="124" t="s">
        <v>369</v>
      </c>
      <c r="D3000" t="s">
        <v>5019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4894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94</v>
      </c>
      <c r="R3000" s="115" t="s">
        <v>1013</v>
      </c>
      <c r="S3000" s="125"/>
    </row>
    <row r="3001" spans="1:19" hidden="1">
      <c r="A3001" s="124" t="s">
        <v>5258</v>
      </c>
      <c r="B3001" s="149" t="str">
        <f>IFERROR(VLOOKUP(Proc[[#This Row],[App]],Table2[],3,0),"open")</f>
        <v>ok</v>
      </c>
      <c r="C3001" s="124" t="s">
        <v>369</v>
      </c>
      <c r="D3001" t="s">
        <v>5020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4894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94</v>
      </c>
      <c r="R3001" s="115" t="s">
        <v>1013</v>
      </c>
      <c r="S3001" s="125"/>
    </row>
    <row r="3002" spans="1:19" hidden="1">
      <c r="A3002" s="124" t="s">
        <v>5258</v>
      </c>
      <c r="B3002" s="149" t="str">
        <f>IFERROR(VLOOKUP(Proc[[#This Row],[App]],Table2[],3,0),"open")</f>
        <v>ok</v>
      </c>
      <c r="C3002" s="124" t="s">
        <v>369</v>
      </c>
      <c r="D3002" t="s">
        <v>5021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4894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94</v>
      </c>
      <c r="R3002" s="115" t="s">
        <v>1013</v>
      </c>
      <c r="S3002" s="125"/>
    </row>
    <row r="3003" spans="1:19" hidden="1">
      <c r="A3003" s="124" t="s">
        <v>5258</v>
      </c>
      <c r="B3003" s="149" t="str">
        <f>IFERROR(VLOOKUP(Proc[[#This Row],[App]],Table2[],3,0),"open")</f>
        <v>ok</v>
      </c>
      <c r="C3003" s="124" t="s">
        <v>369</v>
      </c>
      <c r="D3003" t="s">
        <v>5022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4894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94</v>
      </c>
      <c r="R3003" s="115" t="s">
        <v>1013</v>
      </c>
      <c r="S3003" s="125"/>
    </row>
    <row r="3004" spans="1:19" hidden="1">
      <c r="A3004" s="124" t="s">
        <v>5258</v>
      </c>
      <c r="B3004" s="149" t="str">
        <f>IFERROR(VLOOKUP(Proc[[#This Row],[App]],Table2[],3,0),"open")</f>
        <v>ok</v>
      </c>
      <c r="C3004" s="124" t="s">
        <v>369</v>
      </c>
      <c r="D3004" t="s">
        <v>5023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4894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94</v>
      </c>
      <c r="R3004" s="115" t="s">
        <v>1013</v>
      </c>
      <c r="S3004" s="125"/>
    </row>
    <row r="3005" spans="1:19" hidden="1">
      <c r="A3005" s="124" t="s">
        <v>5258</v>
      </c>
      <c r="B3005" s="149" t="str">
        <f>IFERROR(VLOOKUP(Proc[[#This Row],[App]],Table2[],3,0),"open")</f>
        <v>ok</v>
      </c>
      <c r="C3005" s="124" t="s">
        <v>369</v>
      </c>
      <c r="D3005" t="s">
        <v>5024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4894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94</v>
      </c>
      <c r="R3005" s="115" t="s">
        <v>1013</v>
      </c>
      <c r="S3005" s="125"/>
    </row>
    <row r="3006" spans="1:19" hidden="1">
      <c r="A3006" s="124" t="s">
        <v>5258</v>
      </c>
      <c r="B3006" s="149" t="str">
        <f>IFERROR(VLOOKUP(Proc[[#This Row],[App]],Table2[],3,0),"open")</f>
        <v>ok</v>
      </c>
      <c r="C3006" s="124" t="s">
        <v>369</v>
      </c>
      <c r="D3006" t="s">
        <v>5025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4894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94</v>
      </c>
      <c r="R3006" s="115" t="s">
        <v>1013</v>
      </c>
      <c r="S3006" s="125"/>
    </row>
    <row r="3007" spans="1:19" hidden="1">
      <c r="A3007" s="124" t="s">
        <v>5258</v>
      </c>
      <c r="B3007" s="149" t="str">
        <f>IFERROR(VLOOKUP(Proc[[#This Row],[App]],Table2[],3,0),"open")</f>
        <v>ok</v>
      </c>
      <c r="C3007" s="124" t="s">
        <v>369</v>
      </c>
      <c r="D3007" t="s">
        <v>5026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4894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94</v>
      </c>
      <c r="R3007" s="115" t="s">
        <v>1013</v>
      </c>
      <c r="S3007" s="125"/>
    </row>
    <row r="3008" spans="1:19" hidden="1">
      <c r="A3008" s="124" t="s">
        <v>5258</v>
      </c>
      <c r="B3008" s="149" t="str">
        <f>IFERROR(VLOOKUP(Proc[[#This Row],[App]],Table2[],3,0),"open")</f>
        <v>ok</v>
      </c>
      <c r="C3008" s="124" t="s">
        <v>369</v>
      </c>
      <c r="D3008" t="s">
        <v>5027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4894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94</v>
      </c>
      <c r="R3008" s="115" t="s">
        <v>1013</v>
      </c>
      <c r="S3008" s="125"/>
    </row>
    <row r="3009" spans="1:19" hidden="1">
      <c r="A3009" s="124" t="s">
        <v>5258</v>
      </c>
      <c r="B3009" s="149" t="str">
        <f>IFERROR(VLOOKUP(Proc[[#This Row],[App]],Table2[],3,0),"open")</f>
        <v>ok</v>
      </c>
      <c r="C3009" s="124" t="s">
        <v>369</v>
      </c>
      <c r="D3009" t="s">
        <v>5028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4894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94</v>
      </c>
      <c r="R3009" s="115" t="s">
        <v>1013</v>
      </c>
      <c r="S3009" s="125"/>
    </row>
    <row r="3010" spans="1:19" hidden="1">
      <c r="A3010" s="124" t="s">
        <v>5258</v>
      </c>
      <c r="B3010" s="149" t="str">
        <f>IFERROR(VLOOKUP(Proc[[#This Row],[App]],Table2[],3,0),"open")</f>
        <v>ok</v>
      </c>
      <c r="C3010" s="124" t="s">
        <v>369</v>
      </c>
      <c r="D3010" t="s">
        <v>5029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4894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94</v>
      </c>
      <c r="R3010" s="115" t="s">
        <v>1013</v>
      </c>
      <c r="S3010" s="125"/>
    </row>
    <row r="3011" spans="1:19" hidden="1">
      <c r="A3011" s="124" t="s">
        <v>5258</v>
      </c>
      <c r="B3011" s="149" t="str">
        <f>IFERROR(VLOOKUP(Proc[[#This Row],[App]],Table2[],3,0),"open")</f>
        <v>ok</v>
      </c>
      <c r="C3011" s="124" t="s">
        <v>369</v>
      </c>
      <c r="D3011" t="s">
        <v>5030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4894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94</v>
      </c>
      <c r="R3011" s="115" t="s">
        <v>1013</v>
      </c>
      <c r="S3011" s="125"/>
    </row>
    <row r="3012" spans="1:19" hidden="1">
      <c r="A3012" s="124" t="s">
        <v>5258</v>
      </c>
      <c r="B3012" s="149" t="str">
        <f>IFERROR(VLOOKUP(Proc[[#This Row],[App]],Table2[],3,0),"open")</f>
        <v>ok</v>
      </c>
      <c r="C3012" s="124" t="s">
        <v>369</v>
      </c>
      <c r="D3012" t="s">
        <v>5031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4894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94</v>
      </c>
      <c r="R3012" s="115" t="s">
        <v>1013</v>
      </c>
      <c r="S3012" s="125"/>
    </row>
    <row r="3013" spans="1:19" hidden="1">
      <c r="A3013" s="124" t="s">
        <v>5258</v>
      </c>
      <c r="B3013" s="149" t="str">
        <f>IFERROR(VLOOKUP(Proc[[#This Row],[App]],Table2[],3,0),"open")</f>
        <v>ok</v>
      </c>
      <c r="C3013" s="124" t="s">
        <v>369</v>
      </c>
      <c r="D3013" t="s">
        <v>5032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4894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94</v>
      </c>
      <c r="R3013" s="115" t="s">
        <v>1013</v>
      </c>
      <c r="S3013" s="125"/>
    </row>
    <row r="3014" spans="1:19" hidden="1">
      <c r="A3014" s="124" t="s">
        <v>5258</v>
      </c>
      <c r="B3014" s="149" t="str">
        <f>IFERROR(VLOOKUP(Proc[[#This Row],[App]],Table2[],3,0),"open")</f>
        <v>ok</v>
      </c>
      <c r="C3014" s="124" t="s">
        <v>369</v>
      </c>
      <c r="D3014" t="s">
        <v>5033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4894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94</v>
      </c>
      <c r="R3014" s="115" t="s">
        <v>1013</v>
      </c>
      <c r="S3014" s="125"/>
    </row>
    <row r="3015" spans="1:19" hidden="1">
      <c r="A3015" s="124" t="s">
        <v>5258</v>
      </c>
      <c r="B3015" s="149" t="str">
        <f>IFERROR(VLOOKUP(Proc[[#This Row],[App]],Table2[],3,0),"open")</f>
        <v>ok</v>
      </c>
      <c r="C3015" s="124" t="s">
        <v>369</v>
      </c>
      <c r="D3015" t="s">
        <v>5034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4894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94</v>
      </c>
      <c r="R3015" s="115" t="s">
        <v>1013</v>
      </c>
      <c r="S3015" s="125"/>
    </row>
    <row r="3016" spans="1:19" hidden="1">
      <c r="A3016" s="124" t="s">
        <v>5258</v>
      </c>
      <c r="B3016" s="149" t="str">
        <f>IFERROR(VLOOKUP(Proc[[#This Row],[App]],Table2[],3,0),"open")</f>
        <v>ok</v>
      </c>
      <c r="C3016" s="124" t="s">
        <v>369</v>
      </c>
      <c r="D3016" t="s">
        <v>5035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4894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94</v>
      </c>
      <c r="R3016" s="115" t="s">
        <v>1013</v>
      </c>
      <c r="S3016" s="125"/>
    </row>
    <row r="3017" spans="1:19" hidden="1">
      <c r="A3017" s="124" t="s">
        <v>5258</v>
      </c>
      <c r="B3017" s="149" t="str">
        <f>IFERROR(VLOOKUP(Proc[[#This Row],[App]],Table2[],3,0),"open")</f>
        <v>ok</v>
      </c>
      <c r="C3017" s="124" t="s">
        <v>369</v>
      </c>
      <c r="D3017" t="s">
        <v>5036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4894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94</v>
      </c>
      <c r="R3017" s="115" t="s">
        <v>1013</v>
      </c>
      <c r="S3017" s="125"/>
    </row>
    <row r="3018" spans="1:19" hidden="1">
      <c r="A3018" s="124" t="s">
        <v>5258</v>
      </c>
      <c r="B3018" s="149" t="str">
        <f>IFERROR(VLOOKUP(Proc[[#This Row],[App]],Table2[],3,0),"open")</f>
        <v>ok</v>
      </c>
      <c r="C3018" s="124" t="s">
        <v>369</v>
      </c>
      <c r="D3018" t="s">
        <v>5037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4894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94</v>
      </c>
      <c r="R3018" s="115" t="s">
        <v>1013</v>
      </c>
      <c r="S3018" s="125"/>
    </row>
    <row r="3019" spans="1:19" hidden="1">
      <c r="A3019" s="124" t="s">
        <v>5258</v>
      </c>
      <c r="B3019" s="149" t="str">
        <f>IFERROR(VLOOKUP(Proc[[#This Row],[App]],Table2[],3,0),"open")</f>
        <v>ok</v>
      </c>
      <c r="C3019" s="124" t="s">
        <v>369</v>
      </c>
      <c r="D3019" t="s">
        <v>5038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4894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94</v>
      </c>
      <c r="R3019" s="115" t="s">
        <v>1013</v>
      </c>
      <c r="S3019" s="125"/>
    </row>
    <row r="3020" spans="1:19" hidden="1">
      <c r="A3020" s="124" t="s">
        <v>5258</v>
      </c>
      <c r="B3020" s="149" t="str">
        <f>IFERROR(VLOOKUP(Proc[[#This Row],[App]],Table2[],3,0),"open")</f>
        <v>ok</v>
      </c>
      <c r="C3020" s="124" t="s">
        <v>369</v>
      </c>
      <c r="D3020" t="s">
        <v>5039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4894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94</v>
      </c>
      <c r="R3020" s="115" t="s">
        <v>1013</v>
      </c>
      <c r="S3020" s="125"/>
    </row>
    <row r="3021" spans="1:19" hidden="1">
      <c r="A3021" s="124" t="s">
        <v>5258</v>
      </c>
      <c r="B3021" s="149" t="str">
        <f>IFERROR(VLOOKUP(Proc[[#This Row],[App]],Table2[],3,0),"open")</f>
        <v>ok</v>
      </c>
      <c r="C3021" s="124" t="s">
        <v>369</v>
      </c>
      <c r="D3021" t="s">
        <v>5040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4894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94</v>
      </c>
      <c r="R3021" s="115" t="s">
        <v>1013</v>
      </c>
      <c r="S3021" s="125"/>
    </row>
    <row r="3022" spans="1:19" hidden="1">
      <c r="A3022" s="124" t="s">
        <v>5258</v>
      </c>
      <c r="B3022" s="149" t="str">
        <f>IFERROR(VLOOKUP(Proc[[#This Row],[App]],Table2[],3,0),"open")</f>
        <v>ok</v>
      </c>
      <c r="C3022" s="124" t="s">
        <v>369</v>
      </c>
      <c r="D3022" t="s">
        <v>5041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4894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94</v>
      </c>
      <c r="R3022" s="115" t="s">
        <v>1013</v>
      </c>
      <c r="S3022" s="125"/>
    </row>
    <row r="3023" spans="1:19" hidden="1">
      <c r="A3023" s="124" t="s">
        <v>5258</v>
      </c>
      <c r="B3023" s="149" t="str">
        <f>IFERROR(VLOOKUP(Proc[[#This Row],[App]],Table2[],3,0),"open")</f>
        <v>ok</v>
      </c>
      <c r="C3023" s="124" t="s">
        <v>369</v>
      </c>
      <c r="D3023" t="s">
        <v>5042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4894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94</v>
      </c>
      <c r="R3023" s="115" t="s">
        <v>1013</v>
      </c>
      <c r="S3023" s="125"/>
    </row>
    <row r="3024" spans="1:19" hidden="1">
      <c r="A3024" s="124" t="s">
        <v>5258</v>
      </c>
      <c r="B3024" s="149" t="str">
        <f>IFERROR(VLOOKUP(Proc[[#This Row],[App]],Table2[],3,0),"open")</f>
        <v>ok</v>
      </c>
      <c r="C3024" s="124" t="s">
        <v>369</v>
      </c>
      <c r="D3024" t="s">
        <v>5043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4894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94</v>
      </c>
      <c r="R3024" s="115" t="s">
        <v>1013</v>
      </c>
      <c r="S3024" s="125"/>
    </row>
    <row r="3025" spans="1:19" hidden="1">
      <c r="A3025" s="124" t="s">
        <v>5258</v>
      </c>
      <c r="B3025" s="149" t="str">
        <f>IFERROR(VLOOKUP(Proc[[#This Row],[App]],Table2[],3,0),"open")</f>
        <v>ok</v>
      </c>
      <c r="C3025" s="124" t="s">
        <v>369</v>
      </c>
      <c r="D3025" t="s">
        <v>5044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4894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94</v>
      </c>
      <c r="R3025" s="115" t="s">
        <v>1013</v>
      </c>
      <c r="S3025" s="125"/>
    </row>
    <row r="3026" spans="1:19" hidden="1">
      <c r="A3026" s="124" t="s">
        <v>5258</v>
      </c>
      <c r="B3026" s="149" t="str">
        <f>IFERROR(VLOOKUP(Proc[[#This Row],[App]],Table2[],3,0),"open")</f>
        <v>ok</v>
      </c>
      <c r="C3026" s="124" t="s">
        <v>369</v>
      </c>
      <c r="D3026" t="s">
        <v>5045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4894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94</v>
      </c>
      <c r="R3026" s="115" t="s">
        <v>1013</v>
      </c>
      <c r="S3026" s="125"/>
    </row>
    <row r="3027" spans="1:19" hidden="1">
      <c r="A3027" s="124" t="s">
        <v>5258</v>
      </c>
      <c r="B3027" s="149" t="str">
        <f>IFERROR(VLOOKUP(Proc[[#This Row],[App]],Table2[],3,0),"open")</f>
        <v>ok</v>
      </c>
      <c r="C3027" s="124" t="s">
        <v>369</v>
      </c>
      <c r="D3027" t="s">
        <v>5046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4894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94</v>
      </c>
      <c r="R3027" s="115" t="s">
        <v>1013</v>
      </c>
      <c r="S3027" s="125"/>
    </row>
    <row r="3028" spans="1:19" hidden="1">
      <c r="A3028" s="124" t="s">
        <v>5258</v>
      </c>
      <c r="B3028" s="149" t="str">
        <f>IFERROR(VLOOKUP(Proc[[#This Row],[App]],Table2[],3,0),"open")</f>
        <v>ok</v>
      </c>
      <c r="C3028" s="124" t="s">
        <v>369</v>
      </c>
      <c r="D3028" t="s">
        <v>5047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4894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94</v>
      </c>
      <c r="R3028" s="115" t="s">
        <v>1013</v>
      </c>
      <c r="S3028" s="125"/>
    </row>
    <row r="3029" spans="1:19" hidden="1">
      <c r="A3029" s="124" t="s">
        <v>5258</v>
      </c>
      <c r="B3029" s="149" t="str">
        <f>IFERROR(VLOOKUP(Proc[[#This Row],[App]],Table2[],3,0),"open")</f>
        <v>ok</v>
      </c>
      <c r="C3029" s="124" t="s">
        <v>369</v>
      </c>
      <c r="D3029" t="s">
        <v>5048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4894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94</v>
      </c>
      <c r="R3029" s="115" t="s">
        <v>1013</v>
      </c>
      <c r="S3029" s="125"/>
    </row>
    <row r="3030" spans="1:19" hidden="1">
      <c r="A3030" s="124" t="s">
        <v>5258</v>
      </c>
      <c r="B3030" s="149" t="str">
        <f>IFERROR(VLOOKUP(Proc[[#This Row],[App]],Table2[],3,0),"open")</f>
        <v>ok</v>
      </c>
      <c r="C3030" s="124" t="s">
        <v>369</v>
      </c>
      <c r="D3030" t="s">
        <v>5049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4894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94</v>
      </c>
      <c r="R3030" s="115" t="s">
        <v>1013</v>
      </c>
      <c r="S3030" s="125"/>
    </row>
    <row r="3031" spans="1:19" hidden="1">
      <c r="A3031" s="124" t="s">
        <v>5258</v>
      </c>
      <c r="B3031" s="149" t="str">
        <f>IFERROR(VLOOKUP(Proc[[#This Row],[App]],Table2[],3,0),"open")</f>
        <v>ok</v>
      </c>
      <c r="C3031" s="124" t="s">
        <v>369</v>
      </c>
      <c r="D3031" t="s">
        <v>5050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4894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94</v>
      </c>
      <c r="R3031" s="115" t="s">
        <v>1013</v>
      </c>
      <c r="S3031" s="125"/>
    </row>
    <row r="3032" spans="1:19" hidden="1">
      <c r="A3032" s="124" t="s">
        <v>5258</v>
      </c>
      <c r="B3032" s="149" t="str">
        <f>IFERROR(VLOOKUP(Proc[[#This Row],[App]],Table2[],3,0),"open")</f>
        <v>ok</v>
      </c>
      <c r="C3032" s="124" t="s">
        <v>369</v>
      </c>
      <c r="D3032" t="s">
        <v>5051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4894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94</v>
      </c>
      <c r="R3032" s="115" t="s">
        <v>1013</v>
      </c>
      <c r="S3032" s="125"/>
    </row>
    <row r="3033" spans="1:19" hidden="1">
      <c r="A3033" s="124" t="s">
        <v>5258</v>
      </c>
      <c r="B3033" s="149" t="str">
        <f>IFERROR(VLOOKUP(Proc[[#This Row],[App]],Table2[],3,0),"open")</f>
        <v>ok</v>
      </c>
      <c r="C3033" s="124" t="s">
        <v>369</v>
      </c>
      <c r="D3033" t="s">
        <v>5052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4894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94</v>
      </c>
      <c r="R3033" s="115" t="s">
        <v>1013</v>
      </c>
      <c r="S3033" s="125"/>
    </row>
    <row r="3034" spans="1:19" hidden="1">
      <c r="A3034" s="124" t="s">
        <v>5258</v>
      </c>
      <c r="B3034" s="149" t="str">
        <f>IFERROR(VLOOKUP(Proc[[#This Row],[App]],Table2[],3,0),"open")</f>
        <v>ok</v>
      </c>
      <c r="C3034" s="124" t="s">
        <v>369</v>
      </c>
      <c r="D3034" t="s">
        <v>5053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4894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94</v>
      </c>
      <c r="R3034" s="115" t="s">
        <v>1013</v>
      </c>
      <c r="S3034" s="125"/>
    </row>
    <row r="3035" spans="1:19" hidden="1">
      <c r="A3035" s="124" t="s">
        <v>5258</v>
      </c>
      <c r="B3035" s="149" t="str">
        <f>IFERROR(VLOOKUP(Proc[[#This Row],[App]],Table2[],3,0),"open")</f>
        <v>ok</v>
      </c>
      <c r="C3035" s="124" t="s">
        <v>369</v>
      </c>
      <c r="D3035" t="s">
        <v>5054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4894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94</v>
      </c>
      <c r="R3035" s="115" t="s">
        <v>1013</v>
      </c>
      <c r="S3035" s="125"/>
    </row>
    <row r="3036" spans="1:19" hidden="1">
      <c r="A3036" s="124" t="s">
        <v>5258</v>
      </c>
      <c r="B3036" s="149" t="str">
        <f>IFERROR(VLOOKUP(Proc[[#This Row],[App]],Table2[],3,0),"open")</f>
        <v>ok</v>
      </c>
      <c r="C3036" s="124" t="s">
        <v>369</v>
      </c>
      <c r="D3036" t="s">
        <v>5055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4894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94</v>
      </c>
      <c r="R3036" s="115" t="s">
        <v>1013</v>
      </c>
      <c r="S3036" s="125"/>
    </row>
    <row r="3037" spans="1:19" hidden="1">
      <c r="A3037" s="124" t="s">
        <v>5258</v>
      </c>
      <c r="B3037" s="149" t="str">
        <f>IFERROR(VLOOKUP(Proc[[#This Row],[App]],Table2[],3,0),"open")</f>
        <v>ok</v>
      </c>
      <c r="C3037" s="124" t="s">
        <v>369</v>
      </c>
      <c r="D3037" t="s">
        <v>5056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4894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94</v>
      </c>
      <c r="R3037" s="115" t="s">
        <v>1013</v>
      </c>
      <c r="S3037" s="125"/>
    </row>
    <row r="3038" spans="1:19" hidden="1">
      <c r="A3038" s="124" t="s">
        <v>5258</v>
      </c>
      <c r="B3038" s="149" t="str">
        <f>IFERROR(VLOOKUP(Proc[[#This Row],[App]],Table2[],3,0),"open")</f>
        <v>ok</v>
      </c>
      <c r="C3038" s="124" t="s">
        <v>369</v>
      </c>
      <c r="D3038" t="s">
        <v>5057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4894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94</v>
      </c>
      <c r="R3038" s="115" t="s">
        <v>1013</v>
      </c>
      <c r="S3038" s="125"/>
    </row>
    <row r="3039" spans="1:19" hidden="1">
      <c r="A3039" s="124" t="s">
        <v>5258</v>
      </c>
      <c r="B3039" s="149" t="str">
        <f>IFERROR(VLOOKUP(Proc[[#This Row],[App]],Table2[],3,0),"open")</f>
        <v>ok</v>
      </c>
      <c r="C3039" s="124" t="s">
        <v>369</v>
      </c>
      <c r="D3039" t="s">
        <v>5058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4894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94</v>
      </c>
      <c r="R3039" s="115" t="s">
        <v>1013</v>
      </c>
      <c r="S3039" s="125"/>
    </row>
    <row r="3040" spans="1:19" hidden="1">
      <c r="A3040" s="124" t="s">
        <v>5258</v>
      </c>
      <c r="B3040" s="149" t="str">
        <f>IFERROR(VLOOKUP(Proc[[#This Row],[App]],Table2[],3,0),"open")</f>
        <v>ok</v>
      </c>
      <c r="C3040" s="124" t="s">
        <v>369</v>
      </c>
      <c r="D3040" t="s">
        <v>5059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4894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94</v>
      </c>
      <c r="R3040" s="115" t="s">
        <v>1013</v>
      </c>
      <c r="S3040" s="125"/>
    </row>
    <row r="3041" spans="1:19" hidden="1">
      <c r="A3041" s="124" t="s">
        <v>5258</v>
      </c>
      <c r="B3041" s="149" t="str">
        <f>IFERROR(VLOOKUP(Proc[[#This Row],[App]],Table2[],3,0),"open")</f>
        <v>ok</v>
      </c>
      <c r="C3041" s="124" t="s">
        <v>369</v>
      </c>
      <c r="D3041" t="s">
        <v>5060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4894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94</v>
      </c>
      <c r="R3041" s="115" t="s">
        <v>1013</v>
      </c>
      <c r="S3041" s="125"/>
    </row>
    <row r="3042" spans="1:19" hidden="1">
      <c r="A3042" s="124" t="s">
        <v>5258</v>
      </c>
      <c r="B3042" s="149" t="str">
        <f>IFERROR(VLOOKUP(Proc[[#This Row],[App]],Table2[],3,0),"open")</f>
        <v>ok</v>
      </c>
      <c r="C3042" s="124" t="s">
        <v>369</v>
      </c>
      <c r="D3042" t="s">
        <v>5061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4894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94</v>
      </c>
      <c r="R3042" s="115" t="s">
        <v>1013</v>
      </c>
      <c r="S3042" s="125"/>
    </row>
    <row r="3043" spans="1:19" hidden="1">
      <c r="A3043" s="124" t="s">
        <v>5258</v>
      </c>
      <c r="B3043" s="149" t="str">
        <f>IFERROR(VLOOKUP(Proc[[#This Row],[App]],Table2[],3,0),"open")</f>
        <v>ok</v>
      </c>
      <c r="C3043" s="124" t="s">
        <v>369</v>
      </c>
      <c r="D3043" t="s">
        <v>5062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4894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94</v>
      </c>
      <c r="R3043" s="115" t="s">
        <v>1013</v>
      </c>
      <c r="S3043" s="125"/>
    </row>
    <row r="3044" spans="1:19" hidden="1">
      <c r="A3044" s="124" t="s">
        <v>5258</v>
      </c>
      <c r="B3044" s="149" t="str">
        <f>IFERROR(VLOOKUP(Proc[[#This Row],[App]],Table2[],3,0),"open")</f>
        <v>ok</v>
      </c>
      <c r="C3044" s="124" t="s">
        <v>369</v>
      </c>
      <c r="D3044" t="s">
        <v>5063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4894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94</v>
      </c>
      <c r="R3044" s="115" t="s">
        <v>1013</v>
      </c>
      <c r="S3044" s="125"/>
    </row>
    <row r="3045" spans="1:19" hidden="1">
      <c r="A3045" s="124" t="s">
        <v>5258</v>
      </c>
      <c r="B3045" s="149" t="str">
        <f>IFERROR(VLOOKUP(Proc[[#This Row],[App]],Table2[],3,0),"open")</f>
        <v>ok</v>
      </c>
      <c r="C3045" s="124" t="s">
        <v>369</v>
      </c>
      <c r="D3045" t="s">
        <v>5064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4894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94</v>
      </c>
      <c r="R3045" s="115" t="s">
        <v>1013</v>
      </c>
      <c r="S3045" s="125"/>
    </row>
    <row r="3046" spans="1:19" hidden="1">
      <c r="A3046" s="124" t="s">
        <v>5258</v>
      </c>
      <c r="B3046" s="149" t="str">
        <f>IFERROR(VLOOKUP(Proc[[#This Row],[App]],Table2[],3,0),"open")</f>
        <v>ok</v>
      </c>
      <c r="C3046" s="124" t="s">
        <v>369</v>
      </c>
      <c r="D3046" t="s">
        <v>5065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4894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94</v>
      </c>
      <c r="R3046" s="115" t="s">
        <v>1013</v>
      </c>
      <c r="S3046" s="125"/>
    </row>
    <row r="3047" spans="1:19" hidden="1">
      <c r="A3047" s="124" t="s">
        <v>5258</v>
      </c>
      <c r="B3047" s="149" t="str">
        <f>IFERROR(VLOOKUP(Proc[[#This Row],[App]],Table2[],3,0),"open")</f>
        <v>ok</v>
      </c>
      <c r="C3047" s="124" t="s">
        <v>369</v>
      </c>
      <c r="D3047" t="s">
        <v>5066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4894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94</v>
      </c>
      <c r="R3047" s="115" t="s">
        <v>1013</v>
      </c>
      <c r="S3047" s="125"/>
    </row>
    <row r="3048" spans="1:19" hidden="1">
      <c r="A3048" s="124" t="s">
        <v>5258</v>
      </c>
      <c r="B3048" s="149" t="str">
        <f>IFERROR(VLOOKUP(Proc[[#This Row],[App]],Table2[],3,0),"open")</f>
        <v>ok</v>
      </c>
      <c r="C3048" s="124" t="s">
        <v>369</v>
      </c>
      <c r="D3048" t="s">
        <v>5067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4894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94</v>
      </c>
      <c r="R3048" s="115" t="s">
        <v>1013</v>
      </c>
      <c r="S3048" s="125"/>
    </row>
    <row r="3049" spans="1:19" hidden="1">
      <c r="A3049" s="124" t="s">
        <v>5258</v>
      </c>
      <c r="B3049" s="149" t="str">
        <f>IFERROR(VLOOKUP(Proc[[#This Row],[App]],Table2[],3,0),"open")</f>
        <v>ok</v>
      </c>
      <c r="C3049" s="124" t="s">
        <v>369</v>
      </c>
      <c r="D3049" t="s">
        <v>5068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4894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94</v>
      </c>
      <c r="R3049" s="115" t="s">
        <v>1013</v>
      </c>
      <c r="S3049" s="125"/>
    </row>
    <row r="3050" spans="1:19" hidden="1">
      <c r="A3050" s="124" t="s">
        <v>5258</v>
      </c>
      <c r="B3050" s="149" t="str">
        <f>IFERROR(VLOOKUP(Proc[[#This Row],[App]],Table2[],3,0),"open")</f>
        <v>ok</v>
      </c>
      <c r="C3050" s="124" t="s">
        <v>369</v>
      </c>
      <c r="D3050" t="s">
        <v>5069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4894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94</v>
      </c>
      <c r="R3050" s="115" t="s">
        <v>1013</v>
      </c>
      <c r="S3050" s="125"/>
    </row>
    <row r="3051" spans="1:19" hidden="1">
      <c r="A3051" s="124" t="s">
        <v>5258</v>
      </c>
      <c r="B3051" s="149" t="str">
        <f>IFERROR(VLOOKUP(Proc[[#This Row],[App]],Table2[],3,0),"open")</f>
        <v>ok</v>
      </c>
      <c r="C3051" s="124" t="s">
        <v>369</v>
      </c>
      <c r="D3051" t="s">
        <v>5070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4894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94</v>
      </c>
      <c r="R3051" s="115" t="s">
        <v>1013</v>
      </c>
      <c r="S3051" s="125"/>
    </row>
    <row r="3052" spans="1:19" hidden="1">
      <c r="A3052" s="124" t="s">
        <v>5258</v>
      </c>
      <c r="B3052" s="149" t="str">
        <f>IFERROR(VLOOKUP(Proc[[#This Row],[App]],Table2[],3,0),"open")</f>
        <v>ok</v>
      </c>
      <c r="C3052" s="124" t="s">
        <v>369</v>
      </c>
      <c r="D3052" t="s">
        <v>5071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4894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94</v>
      </c>
      <c r="R3052" s="115" t="s">
        <v>1013</v>
      </c>
      <c r="S3052" s="125"/>
    </row>
    <row r="3053" spans="1:19" hidden="1">
      <c r="A3053" s="124" t="s">
        <v>5258</v>
      </c>
      <c r="B3053" s="149" t="str">
        <f>IFERROR(VLOOKUP(Proc[[#This Row],[App]],Table2[],3,0),"open")</f>
        <v>ok</v>
      </c>
      <c r="C3053" s="124" t="s">
        <v>369</v>
      </c>
      <c r="D3053" t="s">
        <v>5072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4894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94</v>
      </c>
      <c r="R3053" s="115" t="s">
        <v>1013</v>
      </c>
      <c r="S3053" s="125"/>
    </row>
    <row r="3054" spans="1:19" hidden="1">
      <c r="A3054" s="124" t="s">
        <v>5258</v>
      </c>
      <c r="B3054" s="149" t="str">
        <f>IFERROR(VLOOKUP(Proc[[#This Row],[App]],Table2[],3,0),"open")</f>
        <v>ok</v>
      </c>
      <c r="C3054" s="124" t="s">
        <v>369</v>
      </c>
      <c r="D3054" t="s">
        <v>5073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4894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94</v>
      </c>
      <c r="R3054" s="115" t="s">
        <v>1013</v>
      </c>
      <c r="S3054" s="125"/>
    </row>
    <row r="3055" spans="1:19" hidden="1">
      <c r="A3055" s="124" t="s">
        <v>5258</v>
      </c>
      <c r="B3055" s="149" t="str">
        <f>IFERROR(VLOOKUP(Proc[[#This Row],[App]],Table2[],3,0),"open")</f>
        <v>ok</v>
      </c>
      <c r="C3055" s="124" t="s">
        <v>369</v>
      </c>
      <c r="D3055" t="s">
        <v>5074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4894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94</v>
      </c>
      <c r="R3055" s="115" t="s">
        <v>1013</v>
      </c>
      <c r="S3055" s="125"/>
    </row>
    <row r="3056" spans="1:19" hidden="1">
      <c r="A3056" s="124" t="s">
        <v>5258</v>
      </c>
      <c r="B3056" s="149" t="str">
        <f>IFERROR(VLOOKUP(Proc[[#This Row],[App]],Table2[],3,0),"open")</f>
        <v>ok</v>
      </c>
      <c r="C3056" s="124" t="s">
        <v>369</v>
      </c>
      <c r="D3056" t="s">
        <v>5075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4894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94</v>
      </c>
      <c r="R3056" s="115" t="s">
        <v>1013</v>
      </c>
      <c r="S3056" s="125"/>
    </row>
    <row r="3057" spans="1:19" hidden="1">
      <c r="A3057" s="124" t="s">
        <v>5258</v>
      </c>
      <c r="B3057" s="149" t="str">
        <f>IFERROR(VLOOKUP(Proc[[#This Row],[App]],Table2[],3,0),"open")</f>
        <v>ok</v>
      </c>
      <c r="C3057" s="124" t="s">
        <v>369</v>
      </c>
      <c r="D3057" t="s">
        <v>5076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4894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94</v>
      </c>
      <c r="R3057" s="115" t="s">
        <v>1013</v>
      </c>
      <c r="S3057" s="125"/>
    </row>
    <row r="3058" spans="1:19" hidden="1">
      <c r="A3058" s="124" t="s">
        <v>5258</v>
      </c>
      <c r="B3058" s="149" t="str">
        <f>IFERROR(VLOOKUP(Proc[[#This Row],[App]],Table2[],3,0),"open")</f>
        <v>ok</v>
      </c>
      <c r="C3058" s="124" t="s">
        <v>369</v>
      </c>
      <c r="D3058" t="s">
        <v>5077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4894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94</v>
      </c>
      <c r="R3058" s="115" t="s">
        <v>1013</v>
      </c>
      <c r="S3058" s="125"/>
    </row>
    <row r="3059" spans="1:19" hidden="1">
      <c r="A3059" s="124" t="s">
        <v>5258</v>
      </c>
      <c r="B3059" s="149" t="str">
        <f>IFERROR(VLOOKUP(Proc[[#This Row],[App]],Table2[],3,0),"open")</f>
        <v>ok</v>
      </c>
      <c r="C3059" s="124" t="s">
        <v>369</v>
      </c>
      <c r="D3059" t="s">
        <v>5078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4894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94</v>
      </c>
      <c r="R3059" s="115" t="s">
        <v>1013</v>
      </c>
      <c r="S3059" s="125"/>
    </row>
    <row r="3060" spans="1:19" hidden="1">
      <c r="A3060" s="124" t="s">
        <v>5258</v>
      </c>
      <c r="B3060" s="149" t="str">
        <f>IFERROR(VLOOKUP(Proc[[#This Row],[App]],Table2[],3,0),"open")</f>
        <v>ok</v>
      </c>
      <c r="C3060" s="124" t="s">
        <v>369</v>
      </c>
      <c r="D3060" t="s">
        <v>5079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4894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94</v>
      </c>
      <c r="R3060" s="115" t="s">
        <v>1013</v>
      </c>
      <c r="S3060" s="125"/>
    </row>
    <row r="3061" spans="1:19" hidden="1">
      <c r="A3061" s="124" t="s">
        <v>5258</v>
      </c>
      <c r="B3061" s="149" t="str">
        <f>IFERROR(VLOOKUP(Proc[[#This Row],[App]],Table2[],3,0),"open")</f>
        <v>ok</v>
      </c>
      <c r="C3061" s="124" t="s">
        <v>369</v>
      </c>
      <c r="D3061" t="s">
        <v>5080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4894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94</v>
      </c>
      <c r="R3061" s="115" t="s">
        <v>1013</v>
      </c>
      <c r="S3061" s="125"/>
    </row>
    <row r="3062" spans="1:19" hidden="1">
      <c r="A3062" s="124" t="s">
        <v>5258</v>
      </c>
      <c r="B3062" s="149" t="str">
        <f>IFERROR(VLOOKUP(Proc[[#This Row],[App]],Table2[],3,0),"open")</f>
        <v>ok</v>
      </c>
      <c r="C3062" s="124" t="s">
        <v>369</v>
      </c>
      <c r="D3062" t="s">
        <v>5081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4894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94</v>
      </c>
      <c r="R3062" s="115" t="s">
        <v>1013</v>
      </c>
      <c r="S3062" s="125"/>
    </row>
    <row r="3063" spans="1:19" hidden="1">
      <c r="A3063" s="124" t="s">
        <v>5258</v>
      </c>
      <c r="B3063" s="149" t="str">
        <f>IFERROR(VLOOKUP(Proc[[#This Row],[App]],Table2[],3,0),"open")</f>
        <v>ok</v>
      </c>
      <c r="C3063" s="124" t="s">
        <v>369</v>
      </c>
      <c r="D3063" t="s">
        <v>5082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4894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94</v>
      </c>
      <c r="R3063" s="115" t="s">
        <v>1013</v>
      </c>
      <c r="S3063" s="125"/>
    </row>
    <row r="3064" spans="1:19" hidden="1">
      <c r="A3064" s="124" t="s">
        <v>5258</v>
      </c>
      <c r="B3064" s="149" t="str">
        <f>IFERROR(VLOOKUP(Proc[[#This Row],[App]],Table2[],3,0),"open")</f>
        <v>ok</v>
      </c>
      <c r="C3064" s="124" t="s">
        <v>369</v>
      </c>
      <c r="D3064" t="s">
        <v>5083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4894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94</v>
      </c>
      <c r="R3064" s="115" t="s">
        <v>1013</v>
      </c>
      <c r="S3064" s="125"/>
    </row>
    <row r="3065" spans="1:19" hidden="1">
      <c r="A3065" s="124" t="s">
        <v>5258</v>
      </c>
      <c r="B3065" s="149" t="str">
        <f>IFERROR(VLOOKUP(Proc[[#This Row],[App]],Table2[],3,0),"open")</f>
        <v>ok</v>
      </c>
      <c r="C3065" s="124" t="s">
        <v>369</v>
      </c>
      <c r="D3065" t="s">
        <v>5084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4894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94</v>
      </c>
      <c r="R3065" s="115" t="s">
        <v>1013</v>
      </c>
      <c r="S3065" s="125"/>
    </row>
    <row r="3066" spans="1:19" hidden="1">
      <c r="A3066" s="124" t="s">
        <v>5258</v>
      </c>
      <c r="B3066" s="149" t="str">
        <f>IFERROR(VLOOKUP(Proc[[#This Row],[App]],Table2[],3,0),"open")</f>
        <v>ok</v>
      </c>
      <c r="C3066" s="124" t="s">
        <v>369</v>
      </c>
      <c r="D3066" t="s">
        <v>5085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4894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94</v>
      </c>
      <c r="R3066" s="115" t="s">
        <v>1013</v>
      </c>
      <c r="S3066" s="125"/>
    </row>
    <row r="3067" spans="1:19" hidden="1">
      <c r="A3067" s="124" t="s">
        <v>5258</v>
      </c>
      <c r="B3067" s="149" t="str">
        <f>IFERROR(VLOOKUP(Proc[[#This Row],[App]],Table2[],3,0),"open")</f>
        <v>ok</v>
      </c>
      <c r="C3067" s="124" t="s">
        <v>369</v>
      </c>
      <c r="D3067" t="s">
        <v>5086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4894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94</v>
      </c>
      <c r="R3067" s="115" t="s">
        <v>1013</v>
      </c>
      <c r="S3067" s="125"/>
    </row>
    <row r="3068" spans="1:19" hidden="1">
      <c r="A3068" s="124" t="s">
        <v>5258</v>
      </c>
      <c r="B3068" s="149" t="str">
        <f>IFERROR(VLOOKUP(Proc[[#This Row],[App]],Table2[],3,0),"open")</f>
        <v>ok</v>
      </c>
      <c r="C3068" s="124" t="s">
        <v>369</v>
      </c>
      <c r="D3068" t="s">
        <v>5087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4894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94</v>
      </c>
      <c r="R3068" s="115" t="s">
        <v>1013</v>
      </c>
      <c r="S3068" s="125"/>
    </row>
    <row r="3069" spans="1:19" hidden="1">
      <c r="A3069" s="124" t="s">
        <v>5258</v>
      </c>
      <c r="B3069" s="149" t="str">
        <f>IFERROR(VLOOKUP(Proc[[#This Row],[App]],Table2[],3,0),"open")</f>
        <v>ok</v>
      </c>
      <c r="C3069" s="124" t="s">
        <v>369</v>
      </c>
      <c r="D3069" t="s">
        <v>5088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4894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94</v>
      </c>
      <c r="R3069" s="115" t="s">
        <v>1013</v>
      </c>
      <c r="S3069" s="125"/>
    </row>
    <row r="3070" spans="1:19" hidden="1">
      <c r="A3070" s="124" t="s">
        <v>5258</v>
      </c>
      <c r="B3070" s="149" t="str">
        <f>IFERROR(VLOOKUP(Proc[[#This Row],[App]],Table2[],3,0),"open")</f>
        <v>ok</v>
      </c>
      <c r="C3070" s="124" t="s">
        <v>369</v>
      </c>
      <c r="D3070" t="s">
        <v>5089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4894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94</v>
      </c>
      <c r="R3070" s="115" t="s">
        <v>1013</v>
      </c>
      <c r="S3070" s="125"/>
    </row>
    <row r="3071" spans="1:19" hidden="1">
      <c r="A3071" s="124" t="s">
        <v>5258</v>
      </c>
      <c r="B3071" s="149" t="str">
        <f>IFERROR(VLOOKUP(Proc[[#This Row],[App]],Table2[],3,0),"open")</f>
        <v>ok</v>
      </c>
      <c r="C3071" s="124" t="s">
        <v>369</v>
      </c>
      <c r="D3071" t="s">
        <v>5090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4894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94</v>
      </c>
      <c r="R3071" s="115" t="s">
        <v>1013</v>
      </c>
      <c r="S3071" s="125"/>
    </row>
    <row r="3072" spans="1:19" hidden="1">
      <c r="A3072" s="124" t="s">
        <v>5258</v>
      </c>
      <c r="B3072" s="149" t="str">
        <f>IFERROR(VLOOKUP(Proc[[#This Row],[App]],Table2[],3,0),"open")</f>
        <v>ok</v>
      </c>
      <c r="C3072" s="124" t="s">
        <v>369</v>
      </c>
      <c r="D3072" t="s">
        <v>5091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4894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94</v>
      </c>
      <c r="R3072" s="115" t="s">
        <v>1013</v>
      </c>
      <c r="S3072" s="125"/>
    </row>
    <row r="3073" spans="1:19" hidden="1">
      <c r="A3073" s="124" t="s">
        <v>5258</v>
      </c>
      <c r="B3073" s="149" t="str">
        <f>IFERROR(VLOOKUP(Proc[[#This Row],[App]],Table2[],3,0),"open")</f>
        <v>ok</v>
      </c>
      <c r="C3073" s="124" t="s">
        <v>369</v>
      </c>
      <c r="D3073" t="s">
        <v>5092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4894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94</v>
      </c>
      <c r="R3073" s="115" t="s">
        <v>1013</v>
      </c>
      <c r="S3073" s="125"/>
    </row>
    <row r="3074" spans="1:19" hidden="1">
      <c r="A3074" s="124" t="s">
        <v>5258</v>
      </c>
      <c r="B3074" s="149" t="str">
        <f>IFERROR(VLOOKUP(Proc[[#This Row],[App]],Table2[],3,0),"open")</f>
        <v>ok</v>
      </c>
      <c r="C3074" s="124" t="s">
        <v>369</v>
      </c>
      <c r="D3074" t="s">
        <v>5093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4894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94</v>
      </c>
      <c r="R3074" s="115" t="s">
        <v>1013</v>
      </c>
      <c r="S3074" s="125"/>
    </row>
    <row r="3075" spans="1:19" hidden="1">
      <c r="A3075" s="124" t="s">
        <v>5258</v>
      </c>
      <c r="B3075" s="149" t="str">
        <f>IFERROR(VLOOKUP(Proc[[#This Row],[App]],Table2[],3,0),"open")</f>
        <v>ok</v>
      </c>
      <c r="C3075" s="124" t="s">
        <v>369</v>
      </c>
      <c r="D3075" t="s">
        <v>5094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4894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94</v>
      </c>
      <c r="R3075" s="115" t="s">
        <v>1013</v>
      </c>
      <c r="S3075" s="125"/>
    </row>
    <row r="3076" spans="1:19" hidden="1">
      <c r="A3076" s="124" t="s">
        <v>5258</v>
      </c>
      <c r="B3076" s="149" t="str">
        <f>IFERROR(VLOOKUP(Proc[[#This Row],[App]],Table2[],3,0),"open")</f>
        <v>ok</v>
      </c>
      <c r="C3076" s="124" t="s">
        <v>369</v>
      </c>
      <c r="D3076" t="s">
        <v>5095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4894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94</v>
      </c>
      <c r="R3076" s="115" t="s">
        <v>1013</v>
      </c>
      <c r="S3076" s="125"/>
    </row>
    <row r="3077" spans="1:19" hidden="1">
      <c r="A3077" s="124" t="s">
        <v>5258</v>
      </c>
      <c r="B3077" s="149" t="str">
        <f>IFERROR(VLOOKUP(Proc[[#This Row],[App]],Table2[],3,0),"open")</f>
        <v>ok</v>
      </c>
      <c r="C3077" s="124" t="s">
        <v>369</v>
      </c>
      <c r="D3077" t="s">
        <v>5096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4894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94</v>
      </c>
      <c r="R3077" s="115" t="s">
        <v>1013</v>
      </c>
      <c r="S3077" s="125"/>
    </row>
    <row r="3078" spans="1:19" hidden="1">
      <c r="A3078" s="124" t="s">
        <v>5258</v>
      </c>
      <c r="B3078" s="149" t="str">
        <f>IFERROR(VLOOKUP(Proc[[#This Row],[App]],Table2[],3,0),"open")</f>
        <v>ok</v>
      </c>
      <c r="C3078" s="124" t="s">
        <v>369</v>
      </c>
      <c r="D3078" t="s">
        <v>5097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4894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94</v>
      </c>
      <c r="R3078" s="115" t="s">
        <v>1013</v>
      </c>
      <c r="S3078" s="125"/>
    </row>
    <row r="3079" spans="1:19" hidden="1">
      <c r="A3079" s="124" t="s">
        <v>5258</v>
      </c>
      <c r="B3079" s="149" t="str">
        <f>IFERROR(VLOOKUP(Proc[[#This Row],[App]],Table2[],3,0),"open")</f>
        <v>ok</v>
      </c>
      <c r="C3079" s="124" t="s">
        <v>369</v>
      </c>
      <c r="D3079" t="s">
        <v>5098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4894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94</v>
      </c>
      <c r="R3079" s="115" t="s">
        <v>1013</v>
      </c>
      <c r="S3079" s="125"/>
    </row>
    <row r="3080" spans="1:19" hidden="1">
      <c r="A3080" s="124" t="s">
        <v>5258</v>
      </c>
      <c r="B3080" s="149" t="str">
        <f>IFERROR(VLOOKUP(Proc[[#This Row],[App]],Table2[],3,0),"open")</f>
        <v>ok</v>
      </c>
      <c r="C3080" s="124" t="s">
        <v>369</v>
      </c>
      <c r="D3080" t="s">
        <v>5099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4894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94</v>
      </c>
      <c r="R3080" s="115" t="s">
        <v>1013</v>
      </c>
      <c r="S3080" s="125"/>
    </row>
    <row r="3081" spans="1:19" hidden="1">
      <c r="A3081" s="124" t="s">
        <v>5258</v>
      </c>
      <c r="B3081" s="149" t="str">
        <f>IFERROR(VLOOKUP(Proc[[#This Row],[App]],Table2[],3,0),"open")</f>
        <v>ok</v>
      </c>
      <c r="C3081" s="124" t="s">
        <v>369</v>
      </c>
      <c r="D3081" t="s">
        <v>5100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4894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94</v>
      </c>
      <c r="R3081" s="115" t="s">
        <v>1013</v>
      </c>
      <c r="S3081" s="125"/>
    </row>
    <row r="3082" spans="1:19" hidden="1">
      <c r="A3082" s="124" t="s">
        <v>5258</v>
      </c>
      <c r="B3082" s="149" t="str">
        <f>IFERROR(VLOOKUP(Proc[[#This Row],[App]],Table2[],3,0),"open")</f>
        <v>ok</v>
      </c>
      <c r="C3082" s="124" t="s">
        <v>369</v>
      </c>
      <c r="D3082" t="s">
        <v>5101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4894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94</v>
      </c>
      <c r="R3082" s="115" t="s">
        <v>1013</v>
      </c>
      <c r="S3082" s="125"/>
    </row>
    <row r="3083" spans="1:19" hidden="1">
      <c r="A3083" s="124" t="s">
        <v>5258</v>
      </c>
      <c r="B3083" s="149" t="str">
        <f>IFERROR(VLOOKUP(Proc[[#This Row],[App]],Table2[],3,0),"open")</f>
        <v>ok</v>
      </c>
      <c r="C3083" s="124" t="s">
        <v>369</v>
      </c>
      <c r="D3083" t="s">
        <v>5102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4894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94</v>
      </c>
      <c r="R3083" s="115" t="s">
        <v>1013</v>
      </c>
      <c r="S3083" s="125"/>
    </row>
    <row r="3084" spans="1:19" hidden="1">
      <c r="A3084" s="124" t="s">
        <v>5258</v>
      </c>
      <c r="B3084" s="149" t="str">
        <f>IFERROR(VLOOKUP(Proc[[#This Row],[App]],Table2[],3,0),"open")</f>
        <v>ok</v>
      </c>
      <c r="C3084" s="124" t="s">
        <v>369</v>
      </c>
      <c r="D3084" t="s">
        <v>5103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4894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94</v>
      </c>
      <c r="R3084" s="115" t="s">
        <v>1013</v>
      </c>
      <c r="S3084" s="125"/>
    </row>
    <row r="3085" spans="1:19" hidden="1">
      <c r="A3085" s="124" t="s">
        <v>5258</v>
      </c>
      <c r="B3085" s="149" t="str">
        <f>IFERROR(VLOOKUP(Proc[[#This Row],[App]],Table2[],3,0),"open")</f>
        <v>ok</v>
      </c>
      <c r="C3085" s="124" t="s">
        <v>369</v>
      </c>
      <c r="D3085" t="s">
        <v>5104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4894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94</v>
      </c>
      <c r="R3085" s="115" t="s">
        <v>1013</v>
      </c>
      <c r="S3085" s="125"/>
    </row>
    <row r="3086" spans="1:19" hidden="1">
      <c r="A3086" s="124" t="s">
        <v>5258</v>
      </c>
      <c r="B3086" s="149" t="str">
        <f>IFERROR(VLOOKUP(Proc[[#This Row],[App]],Table2[],3,0),"open")</f>
        <v>ok</v>
      </c>
      <c r="C3086" s="124" t="s">
        <v>369</v>
      </c>
      <c r="D3086" t="s">
        <v>5105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4894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94</v>
      </c>
      <c r="R3086" s="115" t="s">
        <v>1013</v>
      </c>
      <c r="S3086" s="125"/>
    </row>
    <row r="3087" spans="1:19" hidden="1">
      <c r="A3087" s="124" t="s">
        <v>5258</v>
      </c>
      <c r="B3087" s="149" t="str">
        <f>IFERROR(VLOOKUP(Proc[[#This Row],[App]],Table2[],3,0),"open")</f>
        <v>ok</v>
      </c>
      <c r="C3087" s="124" t="s">
        <v>369</v>
      </c>
      <c r="D3087" t="s">
        <v>5106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4894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94</v>
      </c>
      <c r="R3087" s="115" t="s">
        <v>1013</v>
      </c>
      <c r="S3087" s="125"/>
    </row>
    <row r="3088" spans="1:19" hidden="1">
      <c r="A3088" s="124" t="s">
        <v>5258</v>
      </c>
      <c r="B3088" s="149" t="str">
        <f>IFERROR(VLOOKUP(Proc[[#This Row],[App]],Table2[],3,0),"open")</f>
        <v>ok</v>
      </c>
      <c r="C3088" s="124" t="s">
        <v>369</v>
      </c>
      <c r="D3088" t="s">
        <v>5107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4894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94</v>
      </c>
      <c r="R3088" s="115" t="s">
        <v>1013</v>
      </c>
      <c r="S3088" s="125"/>
    </row>
    <row r="3089" spans="1:19" hidden="1">
      <c r="A3089" s="124" t="s">
        <v>5258</v>
      </c>
      <c r="B3089" s="149" t="str">
        <f>IFERROR(VLOOKUP(Proc[[#This Row],[App]],Table2[],3,0),"open")</f>
        <v>ok</v>
      </c>
      <c r="C3089" s="124" t="s">
        <v>369</v>
      </c>
      <c r="D3089" t="s">
        <v>5108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4894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94</v>
      </c>
      <c r="R3089" s="115" t="s">
        <v>1013</v>
      </c>
      <c r="S3089" s="125"/>
    </row>
    <row r="3090" spans="1:19" hidden="1">
      <c r="A3090" s="124" t="s">
        <v>5258</v>
      </c>
      <c r="B3090" s="149" t="str">
        <f>IFERROR(VLOOKUP(Proc[[#This Row],[App]],Table2[],3,0),"open")</f>
        <v>ok</v>
      </c>
      <c r="C3090" s="124" t="s">
        <v>369</v>
      </c>
      <c r="D3090" t="s">
        <v>5109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4894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94</v>
      </c>
      <c r="R3090" s="115" t="s">
        <v>1013</v>
      </c>
      <c r="S3090" s="125"/>
    </row>
    <row r="3091" spans="1:19" hidden="1">
      <c r="A3091" s="124" t="s">
        <v>5258</v>
      </c>
      <c r="B3091" s="149" t="str">
        <f>IFERROR(VLOOKUP(Proc[[#This Row],[App]],Table2[],3,0),"open")</f>
        <v>ok</v>
      </c>
      <c r="C3091" s="124" t="s">
        <v>369</v>
      </c>
      <c r="D3091" t="s">
        <v>5110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4894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94</v>
      </c>
      <c r="R3091" s="115" t="s">
        <v>1013</v>
      </c>
      <c r="S3091" s="125"/>
    </row>
    <row r="3092" spans="1:19" hidden="1">
      <c r="A3092" s="124" t="s">
        <v>5258</v>
      </c>
      <c r="B3092" s="149" t="str">
        <f>IFERROR(VLOOKUP(Proc[[#This Row],[App]],Table2[],3,0),"open")</f>
        <v>ok</v>
      </c>
      <c r="C3092" s="124" t="s">
        <v>369</v>
      </c>
      <c r="D3092" t="s">
        <v>5111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4894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94</v>
      </c>
      <c r="R3092" s="115" t="s">
        <v>1013</v>
      </c>
      <c r="S3092" s="125"/>
    </row>
    <row r="3093" spans="1:19" hidden="1">
      <c r="A3093" s="124" t="s">
        <v>5258</v>
      </c>
      <c r="B3093" s="149" t="str">
        <f>IFERROR(VLOOKUP(Proc[[#This Row],[App]],Table2[],3,0),"open")</f>
        <v>ok</v>
      </c>
      <c r="C3093" s="124" t="s">
        <v>369</v>
      </c>
      <c r="D3093" t="s">
        <v>5112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4894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94</v>
      </c>
      <c r="R3093" s="115" t="s">
        <v>1013</v>
      </c>
      <c r="S3093" s="125"/>
    </row>
    <row r="3094" spans="1:19" hidden="1">
      <c r="A3094" s="124" t="s">
        <v>5258</v>
      </c>
      <c r="B3094" s="149" t="str">
        <f>IFERROR(VLOOKUP(Proc[[#This Row],[App]],Table2[],3,0),"open")</f>
        <v>ok</v>
      </c>
      <c r="C3094" s="124" t="s">
        <v>369</v>
      </c>
      <c r="D3094" t="s">
        <v>5113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4894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94</v>
      </c>
      <c r="R3094" s="115" t="s">
        <v>1013</v>
      </c>
      <c r="S3094" s="125"/>
    </row>
    <row r="3095" spans="1:19" hidden="1">
      <c r="A3095" s="124" t="s">
        <v>5258</v>
      </c>
      <c r="B3095" s="149" t="str">
        <f>IFERROR(VLOOKUP(Proc[[#This Row],[App]],Table2[],3,0),"open")</f>
        <v>ok</v>
      </c>
      <c r="C3095" s="124" t="s">
        <v>369</v>
      </c>
      <c r="D3095" t="s">
        <v>5114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4894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94</v>
      </c>
      <c r="R3095" s="115" t="s">
        <v>1013</v>
      </c>
      <c r="S3095" s="125"/>
    </row>
    <row r="3096" spans="1:19" hidden="1">
      <c r="A3096" s="124" t="s">
        <v>5258</v>
      </c>
      <c r="B3096" s="149" t="str">
        <f>IFERROR(VLOOKUP(Proc[[#This Row],[App]],Table2[],3,0),"open")</f>
        <v>ok</v>
      </c>
      <c r="C3096" s="124" t="s">
        <v>369</v>
      </c>
      <c r="D3096" t="s">
        <v>5115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4894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94</v>
      </c>
      <c r="R3096" s="115" t="s">
        <v>1013</v>
      </c>
      <c r="S3096" s="125"/>
    </row>
    <row r="3097" spans="1:19" hidden="1">
      <c r="A3097" s="124" t="s">
        <v>5258</v>
      </c>
      <c r="B3097" s="149" t="str">
        <f>IFERROR(VLOOKUP(Proc[[#This Row],[App]],Table2[],3,0),"open")</f>
        <v>ok</v>
      </c>
      <c r="C3097" s="124" t="s">
        <v>369</v>
      </c>
      <c r="D3097" t="s">
        <v>5116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4894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94</v>
      </c>
      <c r="R3097" s="115" t="s">
        <v>1013</v>
      </c>
      <c r="S3097" s="125"/>
    </row>
    <row r="3098" spans="1:19" hidden="1">
      <c r="A3098" s="124" t="s">
        <v>5258</v>
      </c>
      <c r="B3098" s="149" t="str">
        <f>IFERROR(VLOOKUP(Proc[[#This Row],[App]],Table2[],3,0),"open")</f>
        <v>ok</v>
      </c>
      <c r="C3098" s="124" t="s">
        <v>369</v>
      </c>
      <c r="D3098" t="s">
        <v>5117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4894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94</v>
      </c>
      <c r="R3098" s="115" t="s">
        <v>1013</v>
      </c>
      <c r="S3098" s="125"/>
    </row>
    <row r="3099" spans="1:19" hidden="1">
      <c r="A3099" s="124" t="s">
        <v>5258</v>
      </c>
      <c r="B3099" s="149" t="str">
        <f>IFERROR(VLOOKUP(Proc[[#This Row],[App]],Table2[],3,0),"open")</f>
        <v>ok</v>
      </c>
      <c r="C3099" s="124" t="s">
        <v>369</v>
      </c>
      <c r="D3099" t="s">
        <v>5118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4894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94</v>
      </c>
      <c r="R3099" s="115" t="s">
        <v>1013</v>
      </c>
      <c r="S3099" s="125"/>
    </row>
    <row r="3100" spans="1:19" hidden="1">
      <c r="A3100" s="124" t="s">
        <v>5258</v>
      </c>
      <c r="B3100" s="149" t="str">
        <f>IFERROR(VLOOKUP(Proc[[#This Row],[App]],Table2[],3,0),"open")</f>
        <v>ok</v>
      </c>
      <c r="C3100" s="124" t="s">
        <v>369</v>
      </c>
      <c r="D3100" t="s">
        <v>5119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4894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94</v>
      </c>
      <c r="R3100" s="115" t="s">
        <v>1013</v>
      </c>
      <c r="S3100" s="125"/>
    </row>
    <row r="3101" spans="1:19" hidden="1">
      <c r="A3101" s="124" t="s">
        <v>5258</v>
      </c>
      <c r="B3101" s="149" t="str">
        <f>IFERROR(VLOOKUP(Proc[[#This Row],[App]],Table2[],3,0),"open")</f>
        <v>ok</v>
      </c>
      <c r="C3101" s="124" t="s">
        <v>369</v>
      </c>
      <c r="D3101" t="s">
        <v>5120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4894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94</v>
      </c>
      <c r="R3101" s="115" t="s">
        <v>1013</v>
      </c>
      <c r="S3101" s="125"/>
    </row>
    <row r="3102" spans="1:19" hidden="1">
      <c r="A3102" s="124" t="s">
        <v>5258</v>
      </c>
      <c r="B3102" s="149" t="str">
        <f>IFERROR(VLOOKUP(Proc[[#This Row],[App]],Table2[],3,0),"open")</f>
        <v>ok</v>
      </c>
      <c r="C3102" s="124" t="s">
        <v>369</v>
      </c>
      <c r="D3102" t="s">
        <v>5121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4894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94</v>
      </c>
      <c r="R3102" s="115" t="s">
        <v>1013</v>
      </c>
      <c r="S3102" s="125"/>
    </row>
    <row r="3103" spans="1:19" hidden="1">
      <c r="A3103" s="124" t="s">
        <v>5258</v>
      </c>
      <c r="B3103" s="149" t="str">
        <f>IFERROR(VLOOKUP(Proc[[#This Row],[App]],Table2[],3,0),"open")</f>
        <v>ok</v>
      </c>
      <c r="C3103" s="124" t="s">
        <v>369</v>
      </c>
      <c r="D3103" t="s">
        <v>5122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4894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94</v>
      </c>
      <c r="R3103" s="115" t="s">
        <v>1013</v>
      </c>
      <c r="S3103" s="125"/>
    </row>
    <row r="3104" spans="1:19" hidden="1">
      <c r="A3104" s="124" t="s">
        <v>5258</v>
      </c>
      <c r="B3104" s="149" t="str">
        <f>IFERROR(VLOOKUP(Proc[[#This Row],[App]],Table2[],3,0),"open")</f>
        <v>ok</v>
      </c>
      <c r="C3104" s="124" t="s">
        <v>369</v>
      </c>
      <c r="D3104" t="s">
        <v>5123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4894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94</v>
      </c>
      <c r="R3104" s="115" t="s">
        <v>1013</v>
      </c>
      <c r="S3104" s="125"/>
    </row>
    <row r="3105" spans="1:19" hidden="1">
      <c r="A3105" s="124" t="s">
        <v>5258</v>
      </c>
      <c r="B3105" s="149" t="str">
        <f>IFERROR(VLOOKUP(Proc[[#This Row],[App]],Table2[],3,0),"open")</f>
        <v>ok</v>
      </c>
      <c r="C3105" s="124" t="s">
        <v>369</v>
      </c>
      <c r="D3105" t="s">
        <v>5124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4894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94</v>
      </c>
      <c r="R3105" s="115" t="s">
        <v>1013</v>
      </c>
      <c r="S3105" s="125"/>
    </row>
    <row r="3106" spans="1:19" hidden="1">
      <c r="A3106" s="124" t="s">
        <v>5258</v>
      </c>
      <c r="B3106" s="149" t="str">
        <f>IFERROR(VLOOKUP(Proc[[#This Row],[App]],Table2[],3,0),"open")</f>
        <v>ok</v>
      </c>
      <c r="C3106" s="124" t="s">
        <v>369</v>
      </c>
      <c r="D3106" t="s">
        <v>5125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4894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94</v>
      </c>
      <c r="R3106" s="115" t="s">
        <v>1013</v>
      </c>
      <c r="S3106" s="125"/>
    </row>
    <row r="3107" spans="1:19" hidden="1">
      <c r="A3107" s="124" t="s">
        <v>5258</v>
      </c>
      <c r="B3107" s="149" t="str">
        <f>IFERROR(VLOOKUP(Proc[[#This Row],[App]],Table2[],3,0),"open")</f>
        <v>ok</v>
      </c>
      <c r="C3107" s="124" t="s">
        <v>369</v>
      </c>
      <c r="D3107" t="s">
        <v>5126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4894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94</v>
      </c>
      <c r="R3107" s="115" t="s">
        <v>1013</v>
      </c>
      <c r="S3107" s="125"/>
    </row>
    <row r="3108" spans="1:19" hidden="1">
      <c r="A3108" s="124" t="s">
        <v>5258</v>
      </c>
      <c r="B3108" s="149" t="str">
        <f>IFERROR(VLOOKUP(Proc[[#This Row],[App]],Table2[],3,0),"open")</f>
        <v>ok</v>
      </c>
      <c r="C3108" s="124" t="s">
        <v>369</v>
      </c>
      <c r="D3108" t="s">
        <v>5127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4894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94</v>
      </c>
      <c r="R3108" s="115" t="s">
        <v>1013</v>
      </c>
      <c r="S3108" s="125"/>
    </row>
    <row r="3109" spans="1:19" hidden="1">
      <c r="A3109" s="124" t="s">
        <v>5258</v>
      </c>
      <c r="B3109" s="149" t="str">
        <f>IFERROR(VLOOKUP(Proc[[#This Row],[App]],Table2[],3,0),"open")</f>
        <v>ok</v>
      </c>
      <c r="C3109" s="124" t="s">
        <v>369</v>
      </c>
      <c r="D3109" t="s">
        <v>5128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4894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94</v>
      </c>
      <c r="R3109" s="115" t="s">
        <v>1013</v>
      </c>
      <c r="S3109" s="125"/>
    </row>
    <row r="3110" spans="1:19" hidden="1">
      <c r="A3110" s="124" t="s">
        <v>5258</v>
      </c>
      <c r="B3110" s="149" t="str">
        <f>IFERROR(VLOOKUP(Proc[[#This Row],[App]],Table2[],3,0),"open")</f>
        <v>ok</v>
      </c>
      <c r="C3110" s="124" t="s">
        <v>369</v>
      </c>
      <c r="D3110" t="s">
        <v>5129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4894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94</v>
      </c>
      <c r="R3110" s="115" t="s">
        <v>1013</v>
      </c>
      <c r="S3110" s="125"/>
    </row>
    <row r="3111" spans="1:19" hidden="1">
      <c r="A3111" s="124" t="s">
        <v>5258</v>
      </c>
      <c r="B3111" s="149" t="str">
        <f>IFERROR(VLOOKUP(Proc[[#This Row],[App]],Table2[],3,0),"open")</f>
        <v>ok</v>
      </c>
      <c r="C3111" s="124" t="s">
        <v>369</v>
      </c>
      <c r="D3111" t="s">
        <v>5130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4894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94</v>
      </c>
      <c r="R3111" s="115" t="s">
        <v>1013</v>
      </c>
      <c r="S3111" s="125"/>
    </row>
    <row r="3112" spans="1:19" hidden="1">
      <c r="A3112" s="124" t="s">
        <v>5258</v>
      </c>
      <c r="B3112" s="149" t="str">
        <f>IFERROR(VLOOKUP(Proc[[#This Row],[App]],Table2[],3,0),"open")</f>
        <v>ok</v>
      </c>
      <c r="C3112" s="124" t="s">
        <v>369</v>
      </c>
      <c r="D3112" t="s">
        <v>5131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4894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94</v>
      </c>
      <c r="R3112" s="115" t="s">
        <v>1013</v>
      </c>
      <c r="S3112" s="125"/>
    </row>
    <row r="3113" spans="1:19" hidden="1">
      <c r="A3113" s="124" t="s">
        <v>5258</v>
      </c>
      <c r="B3113" s="149" t="str">
        <f>IFERROR(VLOOKUP(Proc[[#This Row],[App]],Table2[],3,0),"open")</f>
        <v>ok</v>
      </c>
      <c r="C3113" s="124" t="s">
        <v>369</v>
      </c>
      <c r="D3113" t="s">
        <v>5132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4894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94</v>
      </c>
      <c r="R3113" s="115" t="s">
        <v>1013</v>
      </c>
      <c r="S3113" s="125"/>
    </row>
    <row r="3114" spans="1:19" hidden="1">
      <c r="A3114" s="124" t="s">
        <v>5258</v>
      </c>
      <c r="B3114" s="149" t="str">
        <f>IFERROR(VLOOKUP(Proc[[#This Row],[App]],Table2[],3,0),"open")</f>
        <v>ok</v>
      </c>
      <c r="C3114" s="124" t="s">
        <v>369</v>
      </c>
      <c r="D3114" t="s">
        <v>5133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4894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94</v>
      </c>
      <c r="R3114" s="115" t="s">
        <v>1013</v>
      </c>
      <c r="S3114" s="125"/>
    </row>
    <row r="3115" spans="1:19" hidden="1">
      <c r="A3115" s="124" t="s">
        <v>5258</v>
      </c>
      <c r="B3115" s="149" t="str">
        <f>IFERROR(VLOOKUP(Proc[[#This Row],[App]],Table2[],3,0),"open")</f>
        <v>ok</v>
      </c>
      <c r="C3115" s="124" t="s">
        <v>369</v>
      </c>
      <c r="D3115" t="s">
        <v>5134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4894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94</v>
      </c>
      <c r="R3115" s="115" t="s">
        <v>1013</v>
      </c>
      <c r="S3115" s="125"/>
    </row>
    <row r="3116" spans="1:19" hidden="1">
      <c r="A3116" s="124" t="s">
        <v>5258</v>
      </c>
      <c r="B3116" s="149" t="str">
        <f>IFERROR(VLOOKUP(Proc[[#This Row],[App]],Table2[],3,0),"open")</f>
        <v>ok</v>
      </c>
      <c r="C3116" s="124" t="s">
        <v>369</v>
      </c>
      <c r="D3116" t="s">
        <v>5135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4894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94</v>
      </c>
      <c r="R3116" s="115" t="s">
        <v>1013</v>
      </c>
      <c r="S3116" s="125"/>
    </row>
    <row r="3117" spans="1:19" hidden="1">
      <c r="A3117" s="124" t="s">
        <v>5258</v>
      </c>
      <c r="B3117" s="149" t="str">
        <f>IFERROR(VLOOKUP(Proc[[#This Row],[App]],Table2[],3,0),"open")</f>
        <v>ok</v>
      </c>
      <c r="C3117" s="124" t="s">
        <v>369</v>
      </c>
      <c r="D3117" t="s">
        <v>5136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4894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94</v>
      </c>
      <c r="R3117" s="115" t="s">
        <v>1013</v>
      </c>
      <c r="S3117" s="125"/>
    </row>
    <row r="3118" spans="1:19" hidden="1">
      <c r="A3118" s="124" t="s">
        <v>5258</v>
      </c>
      <c r="B3118" s="149" t="str">
        <f>IFERROR(VLOOKUP(Proc[[#This Row],[App]],Table2[],3,0),"open")</f>
        <v>ok</v>
      </c>
      <c r="C3118" s="124" t="s">
        <v>369</v>
      </c>
      <c r="D3118" t="s">
        <v>5137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4894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94</v>
      </c>
      <c r="R3118" s="115" t="s">
        <v>1013</v>
      </c>
      <c r="S3118" s="125"/>
    </row>
    <row r="3119" spans="1:19" hidden="1">
      <c r="A3119" s="124" t="s">
        <v>5258</v>
      </c>
      <c r="B3119" s="149" t="str">
        <f>IFERROR(VLOOKUP(Proc[[#This Row],[App]],Table2[],3,0),"open")</f>
        <v>ok</v>
      </c>
      <c r="C3119" s="124" t="s">
        <v>369</v>
      </c>
      <c r="D3119" t="s">
        <v>5138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4894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94</v>
      </c>
      <c r="R3119" s="115" t="s">
        <v>1013</v>
      </c>
      <c r="S3119" s="125"/>
    </row>
    <row r="3120" spans="1:19" hidden="1">
      <c r="A3120" s="124" t="s">
        <v>5258</v>
      </c>
      <c r="B3120" s="149" t="str">
        <f>IFERROR(VLOOKUP(Proc[[#This Row],[App]],Table2[],3,0),"open")</f>
        <v>ok</v>
      </c>
      <c r="C3120" s="124" t="s">
        <v>369</v>
      </c>
      <c r="D3120" t="s">
        <v>5139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4894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94</v>
      </c>
      <c r="R3120" s="115" t="s">
        <v>1013</v>
      </c>
      <c r="S3120" s="125"/>
    </row>
    <row r="3121" spans="1:19" hidden="1">
      <c r="A3121" s="124" t="s">
        <v>5258</v>
      </c>
      <c r="B3121" s="149" t="str">
        <f>IFERROR(VLOOKUP(Proc[[#This Row],[App]],Table2[],3,0),"open")</f>
        <v>ok</v>
      </c>
      <c r="C3121" s="124" t="s">
        <v>369</v>
      </c>
      <c r="D3121" t="s">
        <v>5140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4894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94</v>
      </c>
      <c r="R3121" s="115" t="s">
        <v>1013</v>
      </c>
      <c r="S3121" s="125"/>
    </row>
    <row r="3122" spans="1:19" hidden="1">
      <c r="A3122" s="124" t="s">
        <v>5258</v>
      </c>
      <c r="B3122" s="149" t="str">
        <f>IFERROR(VLOOKUP(Proc[[#This Row],[App]],Table2[],3,0),"open")</f>
        <v>ok</v>
      </c>
      <c r="C3122" s="124" t="s">
        <v>369</v>
      </c>
      <c r="D3122" t="s">
        <v>5141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4894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94</v>
      </c>
      <c r="R3122" s="115" t="s">
        <v>1013</v>
      </c>
      <c r="S3122" s="125"/>
    </row>
    <row r="3123" spans="1:19" hidden="1">
      <c r="A3123" s="124" t="s">
        <v>5258</v>
      </c>
      <c r="B3123" s="149" t="str">
        <f>IFERROR(VLOOKUP(Proc[[#This Row],[App]],Table2[],3,0),"open")</f>
        <v>ok</v>
      </c>
      <c r="C3123" s="124" t="s">
        <v>369</v>
      </c>
      <c r="D3123" t="s">
        <v>5142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4894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94</v>
      </c>
      <c r="R3123" s="115" t="s">
        <v>1013</v>
      </c>
      <c r="S3123" s="125"/>
    </row>
    <row r="3124" spans="1:19" hidden="1">
      <c r="A3124" s="124" t="s">
        <v>5258</v>
      </c>
      <c r="B3124" s="149" t="str">
        <f>IFERROR(VLOOKUP(Proc[[#This Row],[App]],Table2[],3,0),"open")</f>
        <v>ok</v>
      </c>
      <c r="C3124" s="124" t="s">
        <v>369</v>
      </c>
      <c r="D3124" t="s">
        <v>5143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4894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94</v>
      </c>
      <c r="R3124" s="115" t="s">
        <v>1013</v>
      </c>
      <c r="S3124" s="125"/>
    </row>
    <row r="3125" spans="1:19" hidden="1">
      <c r="A3125" s="124" t="s">
        <v>5258</v>
      </c>
      <c r="B3125" s="149" t="str">
        <f>IFERROR(VLOOKUP(Proc[[#This Row],[App]],Table2[],3,0),"open")</f>
        <v>ok</v>
      </c>
      <c r="C3125" s="124" t="s">
        <v>369</v>
      </c>
      <c r="D3125" t="s">
        <v>5144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4894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94</v>
      </c>
      <c r="R3125" s="115" t="s">
        <v>1013</v>
      </c>
      <c r="S3125" s="125"/>
    </row>
    <row r="3126" spans="1:19" hidden="1">
      <c r="A3126" s="124" t="s">
        <v>5258</v>
      </c>
      <c r="B3126" s="149" t="str">
        <f>IFERROR(VLOOKUP(Proc[[#This Row],[App]],Table2[],3,0),"open")</f>
        <v>ok</v>
      </c>
      <c r="C3126" s="124" t="s">
        <v>369</v>
      </c>
      <c r="D3126" t="s">
        <v>5145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4894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94</v>
      </c>
      <c r="R3126" s="115" t="s">
        <v>1013</v>
      </c>
      <c r="S3126" s="125"/>
    </row>
    <row r="3127" spans="1:19" hidden="1">
      <c r="A3127" s="124" t="s">
        <v>5258</v>
      </c>
      <c r="B3127" s="149" t="str">
        <f>IFERROR(VLOOKUP(Proc[[#This Row],[App]],Table2[],3,0),"open")</f>
        <v>ok</v>
      </c>
      <c r="C3127" s="124" t="s">
        <v>369</v>
      </c>
      <c r="D3127" t="s">
        <v>5146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4894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94</v>
      </c>
      <c r="R3127" s="115" t="s">
        <v>1013</v>
      </c>
      <c r="S3127" s="125"/>
    </row>
    <row r="3128" spans="1:19" hidden="1">
      <c r="A3128" s="124" t="s">
        <v>5258</v>
      </c>
      <c r="B3128" s="149" t="str">
        <f>IFERROR(VLOOKUP(Proc[[#This Row],[App]],Table2[],3,0),"open")</f>
        <v>ok</v>
      </c>
      <c r="C3128" s="124" t="s">
        <v>369</v>
      </c>
      <c r="D3128" t="s">
        <v>5147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4894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94</v>
      </c>
      <c r="R3128" s="115" t="s">
        <v>1013</v>
      </c>
      <c r="S3128" s="125"/>
    </row>
    <row r="3129" spans="1:19" hidden="1">
      <c r="A3129" s="124" t="s">
        <v>5258</v>
      </c>
      <c r="B3129" s="149" t="str">
        <f>IFERROR(VLOOKUP(Proc[[#This Row],[App]],Table2[],3,0),"open")</f>
        <v>ok</v>
      </c>
      <c r="C3129" s="124" t="s">
        <v>369</v>
      </c>
      <c r="D3129" t="s">
        <v>5148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4894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94</v>
      </c>
      <c r="R3129" s="115" t="s">
        <v>1013</v>
      </c>
      <c r="S3129" s="125"/>
    </row>
    <row r="3130" spans="1:19" hidden="1">
      <c r="A3130" s="124" t="s">
        <v>5258</v>
      </c>
      <c r="B3130" s="149" t="str">
        <f>IFERROR(VLOOKUP(Proc[[#This Row],[App]],Table2[],3,0),"open")</f>
        <v>ok</v>
      </c>
      <c r="C3130" s="124" t="s">
        <v>369</v>
      </c>
      <c r="D3130" t="s">
        <v>5149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4894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94</v>
      </c>
      <c r="R3130" s="115" t="s">
        <v>1013</v>
      </c>
      <c r="S3130" s="125"/>
    </row>
    <row r="3131" spans="1:19" hidden="1">
      <c r="A3131" s="124" t="s">
        <v>5258</v>
      </c>
      <c r="B3131" s="149" t="str">
        <f>IFERROR(VLOOKUP(Proc[[#This Row],[App]],Table2[],3,0),"open")</f>
        <v>ok</v>
      </c>
      <c r="C3131" s="124" t="s">
        <v>369</v>
      </c>
      <c r="D3131" t="s">
        <v>5150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4894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94</v>
      </c>
      <c r="R3131" s="115" t="s">
        <v>1013</v>
      </c>
      <c r="S3131" s="125"/>
    </row>
    <row r="3132" spans="1:19" hidden="1">
      <c r="A3132" s="124" t="s">
        <v>5258</v>
      </c>
      <c r="B3132" s="149" t="str">
        <f>IFERROR(VLOOKUP(Proc[[#This Row],[App]],Table2[],3,0),"open")</f>
        <v>ok</v>
      </c>
      <c r="C3132" s="124" t="s">
        <v>369</v>
      </c>
      <c r="D3132" t="s">
        <v>5151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4894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94</v>
      </c>
      <c r="R3132" s="115" t="s">
        <v>1013</v>
      </c>
      <c r="S3132" s="125"/>
    </row>
    <row r="3133" spans="1:19" hidden="1">
      <c r="A3133" s="124" t="s">
        <v>5258</v>
      </c>
      <c r="B3133" s="149" t="str">
        <f>IFERROR(VLOOKUP(Proc[[#This Row],[App]],Table2[],3,0),"open")</f>
        <v>ok</v>
      </c>
      <c r="C3133" s="124" t="s">
        <v>369</v>
      </c>
      <c r="D3133" t="s">
        <v>5152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4894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94</v>
      </c>
      <c r="R3133" s="115" t="s">
        <v>1013</v>
      </c>
      <c r="S3133" s="125"/>
    </row>
    <row r="3134" spans="1:19" hidden="1">
      <c r="A3134" s="124" t="s">
        <v>5258</v>
      </c>
      <c r="B3134" s="149" t="str">
        <f>IFERROR(VLOOKUP(Proc[[#This Row],[App]],Table2[],3,0),"open")</f>
        <v>ok</v>
      </c>
      <c r="C3134" s="124" t="s">
        <v>369</v>
      </c>
      <c r="D3134" t="s">
        <v>5153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4894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94</v>
      </c>
      <c r="R3134" s="115" t="s">
        <v>1013</v>
      </c>
      <c r="S3134" s="125"/>
    </row>
    <row r="3135" spans="1:19" hidden="1">
      <c r="A3135" s="124" t="s">
        <v>5258</v>
      </c>
      <c r="B3135" s="149" t="str">
        <f>IFERROR(VLOOKUP(Proc[[#This Row],[App]],Table2[],3,0),"open")</f>
        <v>ok</v>
      </c>
      <c r="C3135" s="124" t="s">
        <v>369</v>
      </c>
      <c r="D3135" t="s">
        <v>5154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4894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94</v>
      </c>
      <c r="R3135" s="115" t="s">
        <v>1013</v>
      </c>
      <c r="S3135" s="125"/>
    </row>
    <row r="3136" spans="1:19" hidden="1">
      <c r="A3136" s="124" t="s">
        <v>5258</v>
      </c>
      <c r="B3136" s="149" t="str">
        <f>IFERROR(VLOOKUP(Proc[[#This Row],[App]],Table2[],3,0),"open")</f>
        <v>ok</v>
      </c>
      <c r="C3136" s="124" t="s">
        <v>369</v>
      </c>
      <c r="D3136" t="s">
        <v>5155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4894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94</v>
      </c>
      <c r="R3136" s="115" t="s">
        <v>1013</v>
      </c>
      <c r="S3136" s="125"/>
    </row>
    <row r="3137" spans="1:19" hidden="1">
      <c r="A3137" s="124" t="s">
        <v>5258</v>
      </c>
      <c r="B3137" s="149" t="str">
        <f>IFERROR(VLOOKUP(Proc[[#This Row],[App]],Table2[],3,0),"open")</f>
        <v>ok</v>
      </c>
      <c r="C3137" s="124" t="s">
        <v>369</v>
      </c>
      <c r="D3137" t="s">
        <v>5156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4894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94</v>
      </c>
      <c r="R3137" s="115" t="s">
        <v>1013</v>
      </c>
      <c r="S3137" s="125"/>
    </row>
    <row r="3138" spans="1:19" hidden="1">
      <c r="A3138" s="124" t="s">
        <v>5258</v>
      </c>
      <c r="B3138" s="149" t="str">
        <f>IFERROR(VLOOKUP(Proc[[#This Row],[App]],Table2[],3,0),"open")</f>
        <v>ok</v>
      </c>
      <c r="C3138" s="124" t="s">
        <v>369</v>
      </c>
      <c r="D3138" t="s">
        <v>5157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4894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94</v>
      </c>
      <c r="R3138" s="115" t="s">
        <v>1013</v>
      </c>
      <c r="S3138" s="125"/>
    </row>
    <row r="3139" spans="1:19" hidden="1">
      <c r="A3139" s="124" t="s">
        <v>5258</v>
      </c>
      <c r="B3139" s="149" t="str">
        <f>IFERROR(VLOOKUP(Proc[[#This Row],[App]],Table2[],3,0),"open")</f>
        <v>ok</v>
      </c>
      <c r="C3139" s="124" t="s">
        <v>369</v>
      </c>
      <c r="D3139" t="s">
        <v>5158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4894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94</v>
      </c>
      <c r="R3139" s="115" t="s">
        <v>1013</v>
      </c>
      <c r="S3139" s="125"/>
    </row>
    <row r="3140" spans="1:19" hidden="1">
      <c r="A3140" s="124" t="s">
        <v>5258</v>
      </c>
      <c r="B3140" s="149" t="str">
        <f>IFERROR(VLOOKUP(Proc[[#This Row],[App]],Table2[],3,0),"open")</f>
        <v>ok</v>
      </c>
      <c r="C3140" s="124" t="s">
        <v>369</v>
      </c>
      <c r="D3140" t="s">
        <v>5159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4894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94</v>
      </c>
      <c r="R3140" s="115" t="s">
        <v>1013</v>
      </c>
      <c r="S3140" s="125"/>
    </row>
    <row r="3141" spans="1:19" hidden="1">
      <c r="A3141" s="124" t="s">
        <v>5258</v>
      </c>
      <c r="B3141" s="149" t="str">
        <f>IFERROR(VLOOKUP(Proc[[#This Row],[App]],Table2[],3,0),"open")</f>
        <v>ok</v>
      </c>
      <c r="C3141" s="124" t="s">
        <v>369</v>
      </c>
      <c r="D3141" t="s">
        <v>5160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4894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94</v>
      </c>
      <c r="R3141" s="115" t="s">
        <v>1013</v>
      </c>
      <c r="S3141" s="125"/>
    </row>
    <row r="3142" spans="1:19" hidden="1">
      <c r="A3142" s="124" t="s">
        <v>5258</v>
      </c>
      <c r="B3142" s="149" t="str">
        <f>IFERROR(VLOOKUP(Proc[[#This Row],[App]],Table2[],3,0),"open")</f>
        <v>ok</v>
      </c>
      <c r="C3142" s="124" t="s">
        <v>369</v>
      </c>
      <c r="D3142" t="s">
        <v>5161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4894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94</v>
      </c>
      <c r="R3142" s="115" t="s">
        <v>1013</v>
      </c>
      <c r="S3142" s="125"/>
    </row>
    <row r="3143" spans="1:19" hidden="1">
      <c r="A3143" s="124" t="s">
        <v>5258</v>
      </c>
      <c r="B3143" s="149" t="str">
        <f>IFERROR(VLOOKUP(Proc[[#This Row],[App]],Table2[],3,0),"open")</f>
        <v>ok</v>
      </c>
      <c r="C3143" s="124" t="s">
        <v>369</v>
      </c>
      <c r="D3143" t="s">
        <v>5162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4894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94</v>
      </c>
      <c r="R3143" s="115" t="s">
        <v>1013</v>
      </c>
      <c r="S3143" s="125"/>
    </row>
    <row r="3144" spans="1:19" hidden="1">
      <c r="A3144" s="124" t="s">
        <v>5258</v>
      </c>
      <c r="B3144" s="149" t="str">
        <f>IFERROR(VLOOKUP(Proc[[#This Row],[App]],Table2[],3,0),"open")</f>
        <v>ok</v>
      </c>
      <c r="C3144" s="124" t="s">
        <v>369</v>
      </c>
      <c r="D3144" t="s">
        <v>5163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4894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94</v>
      </c>
      <c r="R3144" s="115" t="s">
        <v>1013</v>
      </c>
      <c r="S3144" s="125"/>
    </row>
    <row r="3145" spans="1:19" hidden="1">
      <c r="A3145" s="124" t="s">
        <v>5258</v>
      </c>
      <c r="B3145" s="149" t="str">
        <f>IFERROR(VLOOKUP(Proc[[#This Row],[App]],Table2[],3,0),"open")</f>
        <v>ok</v>
      </c>
      <c r="C3145" s="124" t="s">
        <v>369</v>
      </c>
      <c r="D3145" t="s">
        <v>5164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4894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94</v>
      </c>
      <c r="R3145" s="115" t="s">
        <v>1013</v>
      </c>
      <c r="S3145" s="125"/>
    </row>
    <row r="3146" spans="1:19" hidden="1">
      <c r="A3146" s="124" t="s">
        <v>5258</v>
      </c>
      <c r="B3146" s="149" t="str">
        <f>IFERROR(VLOOKUP(Proc[[#This Row],[App]],Table2[],3,0),"open")</f>
        <v>ok</v>
      </c>
      <c r="C3146" s="124" t="s">
        <v>369</v>
      </c>
      <c r="D3146" t="s">
        <v>5165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4894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94</v>
      </c>
      <c r="R3146" s="115" t="s">
        <v>1013</v>
      </c>
      <c r="S3146" s="125"/>
    </row>
    <row r="3147" spans="1:19" hidden="1">
      <c r="A3147" s="124" t="s">
        <v>5258</v>
      </c>
      <c r="B3147" s="149" t="str">
        <f>IFERROR(VLOOKUP(Proc[[#This Row],[App]],Table2[],3,0),"open")</f>
        <v>ok</v>
      </c>
      <c r="C3147" s="124" t="s">
        <v>369</v>
      </c>
      <c r="D3147" t="s">
        <v>5166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4894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94</v>
      </c>
      <c r="R3147" s="115" t="s">
        <v>1013</v>
      </c>
      <c r="S3147" s="125"/>
    </row>
    <row r="3148" spans="1:19" hidden="1">
      <c r="A3148" s="124" t="s">
        <v>5258</v>
      </c>
      <c r="B3148" s="149" t="str">
        <f>IFERROR(VLOOKUP(Proc[[#This Row],[App]],Table2[],3,0),"open")</f>
        <v>ok</v>
      </c>
      <c r="C3148" s="124" t="s">
        <v>369</v>
      </c>
      <c r="D3148" t="s">
        <v>5167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4894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94</v>
      </c>
      <c r="R3148" s="115" t="s">
        <v>1013</v>
      </c>
      <c r="S3148" s="125"/>
    </row>
    <row r="3149" spans="1:19" hidden="1">
      <c r="A3149" s="124" t="s">
        <v>5258</v>
      </c>
      <c r="B3149" s="149" t="str">
        <f>IFERROR(VLOOKUP(Proc[[#This Row],[App]],Table2[],3,0),"open")</f>
        <v>ok</v>
      </c>
      <c r="C3149" s="124" t="s">
        <v>369</v>
      </c>
      <c r="D3149" t="s">
        <v>5168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4894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94</v>
      </c>
      <c r="R3149" s="115" t="s">
        <v>1013</v>
      </c>
      <c r="S3149" s="125"/>
    </row>
    <row r="3150" spans="1:19" hidden="1">
      <c r="A3150" s="124" t="s">
        <v>5258</v>
      </c>
      <c r="B3150" s="149" t="str">
        <f>IFERROR(VLOOKUP(Proc[[#This Row],[App]],Table2[],3,0),"open")</f>
        <v>ok</v>
      </c>
      <c r="C3150" s="124" t="s">
        <v>369</v>
      </c>
      <c r="D3150" t="s">
        <v>5169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4894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94</v>
      </c>
      <c r="R3150" s="115" t="s">
        <v>1013</v>
      </c>
      <c r="S3150" s="125"/>
    </row>
    <row r="3151" spans="1:19" hidden="1">
      <c r="A3151" s="124" t="s">
        <v>5258</v>
      </c>
      <c r="B3151" s="149" t="str">
        <f>IFERROR(VLOOKUP(Proc[[#This Row],[App]],Table2[],3,0),"open")</f>
        <v>ok</v>
      </c>
      <c r="C3151" s="124" t="s">
        <v>369</v>
      </c>
      <c r="D3151" t="s">
        <v>5170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4894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94</v>
      </c>
      <c r="R3151" s="115" t="s">
        <v>1013</v>
      </c>
      <c r="S3151" s="125"/>
    </row>
    <row r="3152" spans="1:19" hidden="1">
      <c r="A3152" s="124" t="s">
        <v>5258</v>
      </c>
      <c r="B3152" s="149" t="str">
        <f>IFERROR(VLOOKUP(Proc[[#This Row],[App]],Table2[],3,0),"open")</f>
        <v>ok</v>
      </c>
      <c r="C3152" s="124" t="s">
        <v>369</v>
      </c>
      <c r="D3152" t="s">
        <v>5171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4894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94</v>
      </c>
      <c r="R3152" s="115" t="s">
        <v>1013</v>
      </c>
      <c r="S3152" s="125"/>
    </row>
    <row r="3153" spans="1:19" hidden="1">
      <c r="A3153" s="124" t="s">
        <v>5258</v>
      </c>
      <c r="B3153" s="149" t="str">
        <f>IFERROR(VLOOKUP(Proc[[#This Row],[App]],Table2[],3,0),"open")</f>
        <v>ok</v>
      </c>
      <c r="C3153" s="124" t="s">
        <v>369</v>
      </c>
      <c r="D3153" t="s">
        <v>5172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4894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94</v>
      </c>
      <c r="R3153" s="115" t="s">
        <v>1013</v>
      </c>
      <c r="S3153" s="125"/>
    </row>
    <row r="3154" spans="1:19" hidden="1">
      <c r="A3154" s="124" t="s">
        <v>5258</v>
      </c>
      <c r="B3154" s="149" t="str">
        <f>IFERROR(VLOOKUP(Proc[[#This Row],[App]],Table2[],3,0),"open")</f>
        <v>ok</v>
      </c>
      <c r="C3154" s="124" t="s">
        <v>369</v>
      </c>
      <c r="D3154" t="s">
        <v>5173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4894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94</v>
      </c>
      <c r="R3154" s="115" t="s">
        <v>1013</v>
      </c>
      <c r="S3154" s="125"/>
    </row>
    <row r="3155" spans="1:19" hidden="1">
      <c r="A3155" s="124" t="s">
        <v>5258</v>
      </c>
      <c r="B3155" s="149" t="str">
        <f>IFERROR(VLOOKUP(Proc[[#This Row],[App]],Table2[],3,0),"open")</f>
        <v>ok</v>
      </c>
      <c r="C3155" s="124" t="s">
        <v>369</v>
      </c>
      <c r="D3155" t="s">
        <v>5174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4894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94</v>
      </c>
      <c r="R3155" s="115" t="s">
        <v>1013</v>
      </c>
      <c r="S3155" s="125"/>
    </row>
    <row r="3156" spans="1:19" hidden="1">
      <c r="A3156" s="124" t="s">
        <v>5258</v>
      </c>
      <c r="B3156" s="149" t="str">
        <f>IFERROR(VLOOKUP(Proc[[#This Row],[App]],Table2[],3,0),"open")</f>
        <v>ok</v>
      </c>
      <c r="C3156" s="124" t="s">
        <v>369</v>
      </c>
      <c r="D3156" t="s">
        <v>5175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4894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94</v>
      </c>
      <c r="R3156" s="115" t="s">
        <v>1013</v>
      </c>
      <c r="S3156" s="125"/>
    </row>
    <row r="3157" spans="1:19" hidden="1">
      <c r="A3157" s="124" t="s">
        <v>5258</v>
      </c>
      <c r="B3157" s="149" t="str">
        <f>IFERROR(VLOOKUP(Proc[[#This Row],[App]],Table2[],3,0),"open")</f>
        <v>ok</v>
      </c>
      <c r="C3157" s="124" t="s">
        <v>369</v>
      </c>
      <c r="D3157" t="s">
        <v>5176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4894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94</v>
      </c>
      <c r="R3157" s="115" t="s">
        <v>1013</v>
      </c>
      <c r="S3157" s="125"/>
    </row>
    <row r="3158" spans="1:19" hidden="1">
      <c r="A3158" s="124" t="s">
        <v>5258</v>
      </c>
      <c r="B3158" s="149" t="str">
        <f>IFERROR(VLOOKUP(Proc[[#This Row],[App]],Table2[],3,0),"open")</f>
        <v>ok</v>
      </c>
      <c r="C3158" s="124" t="s">
        <v>369</v>
      </c>
      <c r="D3158" t="s">
        <v>5177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4894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94</v>
      </c>
      <c r="R3158" s="115" t="s">
        <v>1013</v>
      </c>
      <c r="S3158" s="125"/>
    </row>
    <row r="3159" spans="1:19" hidden="1">
      <c r="A3159" s="124" t="s">
        <v>5258</v>
      </c>
      <c r="B3159" s="149" t="str">
        <f>IFERROR(VLOOKUP(Proc[[#This Row],[App]],Table2[],3,0),"open")</f>
        <v>ok</v>
      </c>
      <c r="C3159" s="124" t="s">
        <v>369</v>
      </c>
      <c r="D3159" t="s">
        <v>5178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4894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94</v>
      </c>
      <c r="R3159" s="115" t="s">
        <v>1013</v>
      </c>
      <c r="S3159" s="125"/>
    </row>
    <row r="3160" spans="1:19" hidden="1">
      <c r="A3160" s="124" t="s">
        <v>5258</v>
      </c>
      <c r="B3160" s="149" t="str">
        <f>IFERROR(VLOOKUP(Proc[[#This Row],[App]],Table2[],3,0),"open")</f>
        <v>ok</v>
      </c>
      <c r="C3160" s="124" t="s">
        <v>369</v>
      </c>
      <c r="D3160" t="s">
        <v>5179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4894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94</v>
      </c>
      <c r="R3160" s="115" t="s">
        <v>1013</v>
      </c>
      <c r="S3160" s="125"/>
    </row>
    <row r="3161" spans="1:19" hidden="1">
      <c r="A3161" s="124" t="s">
        <v>5258</v>
      </c>
      <c r="B3161" s="149" t="str">
        <f>IFERROR(VLOOKUP(Proc[[#This Row],[App]],Table2[],3,0),"open")</f>
        <v>ok</v>
      </c>
      <c r="C3161" s="124" t="s">
        <v>369</v>
      </c>
      <c r="D3161" t="s">
        <v>5180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4894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94</v>
      </c>
      <c r="R3161" s="115" t="s">
        <v>1013</v>
      </c>
      <c r="S3161" s="125"/>
    </row>
    <row r="3162" spans="1:19" hidden="1">
      <c r="A3162" s="124" t="s">
        <v>5258</v>
      </c>
      <c r="B3162" s="149" t="str">
        <f>IFERROR(VLOOKUP(Proc[[#This Row],[App]],Table2[],3,0),"open")</f>
        <v>ok</v>
      </c>
      <c r="C3162" s="124" t="s">
        <v>369</v>
      </c>
      <c r="D3162" t="s">
        <v>5181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4894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94</v>
      </c>
      <c r="R3162" s="115" t="s">
        <v>1013</v>
      </c>
      <c r="S3162" s="125"/>
    </row>
    <row r="3163" spans="1:19" hidden="1">
      <c r="A3163" s="124" t="s">
        <v>5258</v>
      </c>
      <c r="B3163" s="149" t="str">
        <f>IFERROR(VLOOKUP(Proc[[#This Row],[App]],Table2[],3,0),"open")</f>
        <v>ok</v>
      </c>
      <c r="C3163" s="124" t="s">
        <v>369</v>
      </c>
      <c r="D3163" t="s">
        <v>5182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4894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94</v>
      </c>
      <c r="R3163" s="115" t="s">
        <v>1013</v>
      </c>
      <c r="S3163" s="125"/>
    </row>
    <row r="3164" spans="1:19" hidden="1">
      <c r="A3164" s="124" t="s">
        <v>5258</v>
      </c>
      <c r="B3164" s="149" t="str">
        <f>IFERROR(VLOOKUP(Proc[[#This Row],[App]],Table2[],3,0),"open")</f>
        <v>ok</v>
      </c>
      <c r="C3164" s="124" t="s">
        <v>369</v>
      </c>
      <c r="D3164" t="s">
        <v>5183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4894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94</v>
      </c>
      <c r="R3164" s="115" t="s">
        <v>1013</v>
      </c>
      <c r="S3164" s="125"/>
    </row>
    <row r="3165" spans="1:19" hidden="1">
      <c r="A3165" s="124" t="s">
        <v>5258</v>
      </c>
      <c r="B3165" s="149" t="str">
        <f>IFERROR(VLOOKUP(Proc[[#This Row],[App]],Table2[],3,0),"open")</f>
        <v>ok</v>
      </c>
      <c r="C3165" s="124" t="s">
        <v>369</v>
      </c>
      <c r="D3165" t="s">
        <v>5184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4894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94</v>
      </c>
      <c r="R3165" s="115" t="s">
        <v>1013</v>
      </c>
      <c r="S3165" s="125"/>
    </row>
    <row r="3166" spans="1:19" hidden="1">
      <c r="A3166" s="124" t="s">
        <v>5258</v>
      </c>
      <c r="B3166" s="149" t="str">
        <f>IFERROR(VLOOKUP(Proc[[#This Row],[App]],Table2[],3,0),"open")</f>
        <v>ok</v>
      </c>
      <c r="C3166" s="124" t="s">
        <v>369</v>
      </c>
      <c r="D3166" t="s">
        <v>5185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4894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94</v>
      </c>
      <c r="R3166" s="115" t="s">
        <v>1013</v>
      </c>
      <c r="S3166" s="125"/>
    </row>
    <row r="3167" spans="1:19" hidden="1">
      <c r="A3167" s="124" t="s">
        <v>5258</v>
      </c>
      <c r="B3167" s="149" t="str">
        <f>IFERROR(VLOOKUP(Proc[[#This Row],[App]],Table2[],3,0),"open")</f>
        <v>ok</v>
      </c>
      <c r="C3167" s="124" t="s">
        <v>369</v>
      </c>
      <c r="D3167" t="s">
        <v>5186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4894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94</v>
      </c>
      <c r="R3167" s="115" t="s">
        <v>1013</v>
      </c>
      <c r="S3167" s="125"/>
    </row>
    <row r="3168" spans="1:19" hidden="1">
      <c r="A3168" s="124" t="s">
        <v>5258</v>
      </c>
      <c r="B3168" s="149" t="str">
        <f>IFERROR(VLOOKUP(Proc[[#This Row],[App]],Table2[],3,0),"open")</f>
        <v>ok</v>
      </c>
      <c r="C3168" s="124" t="s">
        <v>369</v>
      </c>
      <c r="D3168" t="s">
        <v>5187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4894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94</v>
      </c>
      <c r="R3168" s="115" t="s">
        <v>1013</v>
      </c>
      <c r="S3168" s="125"/>
    </row>
    <row r="3169" spans="1:19" hidden="1">
      <c r="A3169" s="124" t="s">
        <v>5258</v>
      </c>
      <c r="B3169" s="149" t="str">
        <f>IFERROR(VLOOKUP(Proc[[#This Row],[App]],Table2[],3,0),"open")</f>
        <v>ok</v>
      </c>
      <c r="C3169" s="124" t="s">
        <v>369</v>
      </c>
      <c r="D3169" t="s">
        <v>5188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4894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94</v>
      </c>
      <c r="R3169" s="115" t="s">
        <v>1013</v>
      </c>
      <c r="S3169" s="125"/>
    </row>
    <row r="3170" spans="1:19" hidden="1">
      <c r="A3170" s="124" t="s">
        <v>5258</v>
      </c>
      <c r="B3170" s="149" t="str">
        <f>IFERROR(VLOOKUP(Proc[[#This Row],[App]],Table2[],3,0),"open")</f>
        <v>ok</v>
      </c>
      <c r="C3170" s="124" t="s">
        <v>369</v>
      </c>
      <c r="D3170" t="s">
        <v>5189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4894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94</v>
      </c>
      <c r="R3170" s="115" t="s">
        <v>1013</v>
      </c>
      <c r="S3170" s="125"/>
    </row>
    <row r="3171" spans="1:19" hidden="1">
      <c r="A3171" s="124" t="s">
        <v>5258</v>
      </c>
      <c r="B3171" s="149" t="str">
        <f>IFERROR(VLOOKUP(Proc[[#This Row],[App]],Table2[],3,0),"open")</f>
        <v>ok</v>
      </c>
      <c r="C3171" s="124" t="s">
        <v>369</v>
      </c>
      <c r="D3171" t="s">
        <v>5190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4894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94</v>
      </c>
      <c r="R3171" s="115" t="s">
        <v>1013</v>
      </c>
      <c r="S3171" s="125"/>
    </row>
    <row r="3172" spans="1:19" hidden="1">
      <c r="A3172" s="124" t="s">
        <v>5258</v>
      </c>
      <c r="B3172" s="149" t="str">
        <f>IFERROR(VLOOKUP(Proc[[#This Row],[App]],Table2[],3,0),"open")</f>
        <v>ok</v>
      </c>
      <c r="C3172" s="124" t="s">
        <v>369</v>
      </c>
      <c r="D3172" t="s">
        <v>5191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4894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94</v>
      </c>
      <c r="R3172" s="115" t="s">
        <v>1013</v>
      </c>
      <c r="S3172" s="125"/>
    </row>
    <row r="3173" spans="1:19" hidden="1">
      <c r="A3173" s="124" t="s">
        <v>5258</v>
      </c>
      <c r="B3173" s="149" t="str">
        <f>IFERROR(VLOOKUP(Proc[[#This Row],[App]],Table2[],3,0),"open")</f>
        <v>ok</v>
      </c>
      <c r="C3173" s="124" t="s">
        <v>369</v>
      </c>
      <c r="D3173" t="s">
        <v>5192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4894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94</v>
      </c>
      <c r="R3173" s="115" t="s">
        <v>1013</v>
      </c>
      <c r="S3173" s="125"/>
    </row>
    <row r="3174" spans="1:19" hidden="1">
      <c r="A3174" s="124" t="s">
        <v>5258</v>
      </c>
      <c r="B3174" s="149" t="str">
        <f>IFERROR(VLOOKUP(Proc[[#This Row],[App]],Table2[],3,0),"open")</f>
        <v>ok</v>
      </c>
      <c r="C3174" s="124" t="s">
        <v>369</v>
      </c>
      <c r="D3174" t="s">
        <v>5193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4894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94</v>
      </c>
      <c r="R3174" s="115" t="s">
        <v>1013</v>
      </c>
      <c r="S3174" s="125"/>
    </row>
    <row r="3175" spans="1:19" hidden="1">
      <c r="A3175" s="124" t="s">
        <v>5258</v>
      </c>
      <c r="B3175" s="149" t="str">
        <f>IFERROR(VLOOKUP(Proc[[#This Row],[App]],Table2[],3,0),"open")</f>
        <v>ok</v>
      </c>
      <c r="C3175" s="124" t="s">
        <v>369</v>
      </c>
      <c r="D3175" t="s">
        <v>5194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4894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94</v>
      </c>
      <c r="R3175" s="115" t="s">
        <v>1013</v>
      </c>
      <c r="S3175" s="125"/>
    </row>
    <row r="3176" spans="1:19" hidden="1">
      <c r="A3176" s="124" t="s">
        <v>5258</v>
      </c>
      <c r="B3176" s="149" t="str">
        <f>IFERROR(VLOOKUP(Proc[[#This Row],[App]],Table2[],3,0),"open")</f>
        <v>ok</v>
      </c>
      <c r="C3176" s="124" t="s">
        <v>369</v>
      </c>
      <c r="D3176" t="s">
        <v>5195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4894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94</v>
      </c>
      <c r="R3176" s="115" t="s">
        <v>1013</v>
      </c>
      <c r="S3176" s="125"/>
    </row>
    <row r="3177" spans="1:19" hidden="1">
      <c r="A3177" s="124" t="s">
        <v>5258</v>
      </c>
      <c r="B3177" s="149" t="str">
        <f>IFERROR(VLOOKUP(Proc[[#This Row],[App]],Table2[],3,0),"open")</f>
        <v>ok</v>
      </c>
      <c r="C3177" s="124" t="s">
        <v>369</v>
      </c>
      <c r="D3177" t="s">
        <v>5196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4894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94</v>
      </c>
      <c r="R3177" s="115" t="s">
        <v>1013</v>
      </c>
      <c r="S3177" s="125"/>
    </row>
    <row r="3178" spans="1:19" hidden="1">
      <c r="A3178" s="124" t="s">
        <v>5258</v>
      </c>
      <c r="B3178" s="149" t="str">
        <f>IFERROR(VLOOKUP(Proc[[#This Row],[App]],Table2[],3,0),"open")</f>
        <v>ok</v>
      </c>
      <c r="C3178" s="124" t="s">
        <v>369</v>
      </c>
      <c r="D3178" t="s">
        <v>5197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4894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94</v>
      </c>
      <c r="R3178" s="115" t="s">
        <v>1013</v>
      </c>
      <c r="S3178" s="125"/>
    </row>
    <row r="3179" spans="1:19" hidden="1">
      <c r="A3179" s="124" t="s">
        <v>5258</v>
      </c>
      <c r="B3179" s="149" t="str">
        <f>IFERROR(VLOOKUP(Proc[[#This Row],[App]],Table2[],3,0),"open")</f>
        <v>ok</v>
      </c>
      <c r="C3179" s="124" t="s">
        <v>369</v>
      </c>
      <c r="D3179" t="s">
        <v>5198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4894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94</v>
      </c>
      <c r="R3179" s="115" t="s">
        <v>1013</v>
      </c>
      <c r="S3179" s="125"/>
    </row>
    <row r="3180" spans="1:19" hidden="1">
      <c r="A3180" s="124" t="s">
        <v>5258</v>
      </c>
      <c r="B3180" s="149" t="str">
        <f>IFERROR(VLOOKUP(Proc[[#This Row],[App]],Table2[],3,0),"open")</f>
        <v>ok</v>
      </c>
      <c r="C3180" s="124" t="s">
        <v>369</v>
      </c>
      <c r="D3180" t="s">
        <v>5199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4894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94</v>
      </c>
      <c r="R3180" s="115" t="s">
        <v>1013</v>
      </c>
      <c r="S3180" s="125"/>
    </row>
    <row r="3181" spans="1:19" hidden="1">
      <c r="A3181" s="124" t="s">
        <v>5258</v>
      </c>
      <c r="B3181" s="149" t="str">
        <f>IFERROR(VLOOKUP(Proc[[#This Row],[App]],Table2[],3,0),"open")</f>
        <v>ok</v>
      </c>
      <c r="C3181" s="124" t="s">
        <v>369</v>
      </c>
      <c r="D3181" t="s">
        <v>5200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4894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94</v>
      </c>
      <c r="R3181" s="115" t="s">
        <v>1013</v>
      </c>
      <c r="S3181" s="125"/>
    </row>
    <row r="3182" spans="1:19" hidden="1">
      <c r="A3182" s="124" t="s">
        <v>5258</v>
      </c>
      <c r="B3182" s="149" t="str">
        <f>IFERROR(VLOOKUP(Proc[[#This Row],[App]],Table2[],3,0),"open")</f>
        <v>ok</v>
      </c>
      <c r="C3182" s="124" t="s">
        <v>369</v>
      </c>
      <c r="D3182" t="s">
        <v>5201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4894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94</v>
      </c>
      <c r="R3182" s="115" t="s">
        <v>1013</v>
      </c>
      <c r="S3182" s="125"/>
    </row>
    <row r="3183" spans="1:19" hidden="1">
      <c r="A3183" s="124" t="s">
        <v>5258</v>
      </c>
      <c r="B3183" s="149" t="str">
        <f>IFERROR(VLOOKUP(Proc[[#This Row],[App]],Table2[],3,0),"open")</f>
        <v>ok</v>
      </c>
      <c r="C3183" s="124" t="s">
        <v>369</v>
      </c>
      <c r="D3183" t="s">
        <v>5202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4894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94</v>
      </c>
      <c r="R3183" s="115" t="s">
        <v>1013</v>
      </c>
      <c r="S3183" s="125"/>
    </row>
    <row r="3184" spans="1:19" hidden="1">
      <c r="A3184" s="124" t="s">
        <v>5258</v>
      </c>
      <c r="B3184" s="149" t="str">
        <f>IFERROR(VLOOKUP(Proc[[#This Row],[App]],Table2[],3,0),"open")</f>
        <v>ok</v>
      </c>
      <c r="C3184" s="124" t="s">
        <v>369</v>
      </c>
      <c r="D3184" t="s">
        <v>5203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4894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94</v>
      </c>
      <c r="R3184" s="115" t="s">
        <v>1013</v>
      </c>
      <c r="S3184" s="125"/>
    </row>
    <row r="3185" spans="1:19" hidden="1">
      <c r="A3185" s="124" t="s">
        <v>5258</v>
      </c>
      <c r="B3185" s="149" t="str">
        <f>IFERROR(VLOOKUP(Proc[[#This Row],[App]],Table2[],3,0),"open")</f>
        <v>ok</v>
      </c>
      <c r="C3185" s="124" t="s">
        <v>369</v>
      </c>
      <c r="D3185" t="s">
        <v>5204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4894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94</v>
      </c>
      <c r="R3185" s="115" t="s">
        <v>1013</v>
      </c>
      <c r="S3185" s="125"/>
    </row>
    <row r="3186" spans="1:19" hidden="1">
      <c r="A3186" s="124" t="s">
        <v>5258</v>
      </c>
      <c r="B3186" s="149" t="str">
        <f>IFERROR(VLOOKUP(Proc[[#This Row],[App]],Table2[],3,0),"open")</f>
        <v>ok</v>
      </c>
      <c r="C3186" s="124" t="s">
        <v>369</v>
      </c>
      <c r="D3186" t="s">
        <v>5205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4894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94</v>
      </c>
      <c r="R3186" s="115" t="s">
        <v>1013</v>
      </c>
      <c r="S3186" s="125"/>
    </row>
    <row r="3187" spans="1:19" hidden="1">
      <c r="A3187" s="124" t="s">
        <v>5258</v>
      </c>
      <c r="B3187" s="149" t="str">
        <f>IFERROR(VLOOKUP(Proc[[#This Row],[App]],Table2[],3,0),"open")</f>
        <v>ok</v>
      </c>
      <c r="C3187" s="124" t="s">
        <v>369</v>
      </c>
      <c r="D3187" t="s">
        <v>5206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4894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94</v>
      </c>
      <c r="R3187" s="115" t="s">
        <v>1013</v>
      </c>
      <c r="S3187" s="125"/>
    </row>
    <row r="3188" spans="1:19" hidden="1">
      <c r="A3188" s="124" t="s">
        <v>5258</v>
      </c>
      <c r="B3188" s="149" t="str">
        <f>IFERROR(VLOOKUP(Proc[[#This Row],[App]],Table2[],3,0),"open")</f>
        <v>ok</v>
      </c>
      <c r="C3188" s="124" t="s">
        <v>369</v>
      </c>
      <c r="D3188" t="s">
        <v>5207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4894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94</v>
      </c>
      <c r="R3188" s="115" t="s">
        <v>1013</v>
      </c>
      <c r="S3188" s="125"/>
    </row>
    <row r="3189" spans="1:19" hidden="1">
      <c r="A3189" s="124" t="s">
        <v>5258</v>
      </c>
      <c r="B3189" s="149" t="str">
        <f>IFERROR(VLOOKUP(Proc[[#This Row],[App]],Table2[],3,0),"open")</f>
        <v>ok</v>
      </c>
      <c r="C3189" s="124" t="s">
        <v>369</v>
      </c>
      <c r="D3189" t="s">
        <v>5208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4894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94</v>
      </c>
      <c r="R3189" s="115" t="s">
        <v>1013</v>
      </c>
      <c r="S3189" s="125"/>
    </row>
    <row r="3190" spans="1:19" hidden="1">
      <c r="A3190" s="124" t="s">
        <v>5258</v>
      </c>
      <c r="B3190" s="149" t="str">
        <f>IFERROR(VLOOKUP(Proc[[#This Row],[App]],Table2[],3,0),"open")</f>
        <v>ok</v>
      </c>
      <c r="C3190" s="124" t="s">
        <v>369</v>
      </c>
      <c r="D3190" t="s">
        <v>5209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4894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94</v>
      </c>
      <c r="R3190" s="115" t="s">
        <v>1013</v>
      </c>
      <c r="S3190" s="125"/>
    </row>
    <row r="3191" spans="1:19" hidden="1">
      <c r="A3191" s="124" t="s">
        <v>5258</v>
      </c>
      <c r="B3191" s="149" t="str">
        <f>IFERROR(VLOOKUP(Proc[[#This Row],[App]],Table2[],3,0),"open")</f>
        <v>ok</v>
      </c>
      <c r="C3191" s="124" t="s">
        <v>369</v>
      </c>
      <c r="D3191" t="s">
        <v>5210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4894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94</v>
      </c>
      <c r="R3191" s="115" t="s">
        <v>1013</v>
      </c>
      <c r="S3191" s="125"/>
    </row>
    <row r="3192" spans="1:19" hidden="1">
      <c r="A3192" s="124" t="s">
        <v>5258</v>
      </c>
      <c r="B3192" s="149" t="str">
        <f>IFERROR(VLOOKUP(Proc[[#This Row],[App]],Table2[],3,0),"open")</f>
        <v>ok</v>
      </c>
      <c r="C3192" s="124" t="s">
        <v>369</v>
      </c>
      <c r="D3192" t="s">
        <v>5211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4894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94</v>
      </c>
      <c r="R3192" s="115" t="s">
        <v>1013</v>
      </c>
      <c r="S3192" s="125"/>
    </row>
    <row r="3193" spans="1:19" hidden="1">
      <c r="A3193" s="124" t="s">
        <v>5258</v>
      </c>
      <c r="B3193" s="149" t="str">
        <f>IFERROR(VLOOKUP(Proc[[#This Row],[App]],Table2[],3,0),"open")</f>
        <v>ok</v>
      </c>
      <c r="C3193" s="124" t="s">
        <v>369</v>
      </c>
      <c r="D3193" t="s">
        <v>5212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4894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94</v>
      </c>
      <c r="R3193" s="115" t="s">
        <v>1013</v>
      </c>
      <c r="S3193" s="125"/>
    </row>
    <row r="3194" spans="1:19" hidden="1">
      <c r="A3194" s="124" t="s">
        <v>5258</v>
      </c>
      <c r="B3194" s="149" t="str">
        <f>IFERROR(VLOOKUP(Proc[[#This Row],[App]],Table2[],3,0),"open")</f>
        <v>ok</v>
      </c>
      <c r="C3194" s="124" t="s">
        <v>369</v>
      </c>
      <c r="D3194" t="s">
        <v>5213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4894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94</v>
      </c>
      <c r="R3194" s="115" t="s">
        <v>1013</v>
      </c>
      <c r="S3194" s="125"/>
    </row>
    <row r="3195" spans="1:19" hidden="1">
      <c r="A3195" s="124" t="s">
        <v>5258</v>
      </c>
      <c r="B3195" s="149" t="str">
        <f>IFERROR(VLOOKUP(Proc[[#This Row],[App]],Table2[],3,0),"open")</f>
        <v>ok</v>
      </c>
      <c r="C3195" s="124" t="s">
        <v>369</v>
      </c>
      <c r="D3195" t="s">
        <v>5214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4894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94</v>
      </c>
      <c r="R3195" s="115" t="s">
        <v>1013</v>
      </c>
      <c r="S3195" s="125"/>
    </row>
    <row r="3196" spans="1:19" hidden="1">
      <c r="A3196" s="124" t="s">
        <v>5258</v>
      </c>
      <c r="B3196" s="149" t="str">
        <f>IFERROR(VLOOKUP(Proc[[#This Row],[App]],Table2[],3,0),"open")</f>
        <v>ok</v>
      </c>
      <c r="C3196" s="124" t="s">
        <v>369</v>
      </c>
      <c r="D3196" t="s">
        <v>5215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4894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94</v>
      </c>
      <c r="R3196" s="115" t="s">
        <v>1013</v>
      </c>
      <c r="S3196" s="125"/>
    </row>
    <row r="3197" spans="1:19" hidden="1">
      <c r="A3197" s="124" t="s">
        <v>5258</v>
      </c>
      <c r="B3197" s="149" t="str">
        <f>IFERROR(VLOOKUP(Proc[[#This Row],[App]],Table2[],3,0),"open")</f>
        <v>ok</v>
      </c>
      <c r="C3197" s="124" t="s">
        <v>369</v>
      </c>
      <c r="D3197" t="s">
        <v>5216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4894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94</v>
      </c>
      <c r="R3197" s="115" t="s">
        <v>1013</v>
      </c>
      <c r="S3197" s="125"/>
    </row>
    <row r="3198" spans="1:19" hidden="1">
      <c r="A3198" s="124" t="s">
        <v>5258</v>
      </c>
      <c r="B3198" s="149" t="str">
        <f>IFERROR(VLOOKUP(Proc[[#This Row],[App]],Table2[],3,0),"open")</f>
        <v>ok</v>
      </c>
      <c r="C3198" s="124" t="s">
        <v>369</v>
      </c>
      <c r="D3198" t="s">
        <v>5217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4894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94</v>
      </c>
      <c r="R3198" s="115" t="s">
        <v>1013</v>
      </c>
      <c r="S3198" s="125"/>
    </row>
    <row r="3199" spans="1:19" hidden="1">
      <c r="A3199" s="124" t="s">
        <v>5258</v>
      </c>
      <c r="B3199" s="149" t="str">
        <f>IFERROR(VLOOKUP(Proc[[#This Row],[App]],Table2[],3,0),"open")</f>
        <v>ok</v>
      </c>
      <c r="C3199" s="124" t="s">
        <v>369</v>
      </c>
      <c r="D3199" t="s">
        <v>5218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4894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94</v>
      </c>
      <c r="R3199" s="115" t="s">
        <v>1013</v>
      </c>
      <c r="S3199" s="125"/>
    </row>
    <row r="3200" spans="1:19" hidden="1">
      <c r="A3200" s="124" t="s">
        <v>5258</v>
      </c>
      <c r="B3200" s="149" t="str">
        <f>IFERROR(VLOOKUP(Proc[[#This Row],[App]],Table2[],3,0),"open")</f>
        <v>ok</v>
      </c>
      <c r="C3200" s="124" t="s">
        <v>369</v>
      </c>
      <c r="D3200" t="s">
        <v>5219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4894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94</v>
      </c>
      <c r="R3200" s="115" t="s">
        <v>1013</v>
      </c>
      <c r="S3200" s="125"/>
    </row>
    <row r="3201" spans="1:19" hidden="1">
      <c r="A3201" s="124" t="s">
        <v>5258</v>
      </c>
      <c r="B3201" s="149" t="str">
        <f>IFERROR(VLOOKUP(Proc[[#This Row],[App]],Table2[],3,0),"open")</f>
        <v>ok</v>
      </c>
      <c r="C3201" s="124" t="s">
        <v>369</v>
      </c>
      <c r="D3201" t="s">
        <v>5220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4894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94</v>
      </c>
      <c r="R3201" s="115" t="s">
        <v>1013</v>
      </c>
      <c r="S3201" s="125"/>
    </row>
    <row r="3202" spans="1:19" hidden="1">
      <c r="A3202" s="124" t="s">
        <v>5258</v>
      </c>
      <c r="B3202" s="149" t="str">
        <f>IFERROR(VLOOKUP(Proc[[#This Row],[App]],Table2[],3,0),"open")</f>
        <v>ok</v>
      </c>
      <c r="C3202" s="124" t="s">
        <v>369</v>
      </c>
      <c r="D3202" t="s">
        <v>5221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4894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94</v>
      </c>
      <c r="R3202" s="115" t="s">
        <v>1013</v>
      </c>
      <c r="S3202" s="125"/>
    </row>
    <row r="3203" spans="1:19" hidden="1">
      <c r="A3203" s="124" t="s">
        <v>5258</v>
      </c>
      <c r="B3203" s="149" t="str">
        <f>IFERROR(VLOOKUP(Proc[[#This Row],[App]],Table2[],3,0),"open")</f>
        <v>ok</v>
      </c>
      <c r="C3203" s="124" t="s">
        <v>369</v>
      </c>
      <c r="D3203" t="s">
        <v>5222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4894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94</v>
      </c>
      <c r="R3203" s="115" t="s">
        <v>1013</v>
      </c>
      <c r="S3203" s="125"/>
    </row>
    <row r="3204" spans="1:19" hidden="1">
      <c r="A3204" s="124" t="s">
        <v>5258</v>
      </c>
      <c r="B3204" s="149" t="str">
        <f>IFERROR(VLOOKUP(Proc[[#This Row],[App]],Table2[],3,0),"open")</f>
        <v>ok</v>
      </c>
      <c r="C3204" s="124" t="s">
        <v>369</v>
      </c>
      <c r="D3204" t="s">
        <v>5223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4894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94</v>
      </c>
      <c r="R3204" s="115" t="s">
        <v>1013</v>
      </c>
      <c r="S3204" s="125"/>
    </row>
    <row r="3205" spans="1:19" hidden="1">
      <c r="A3205" s="124" t="s">
        <v>5258</v>
      </c>
      <c r="B3205" s="149" t="str">
        <f>IFERROR(VLOOKUP(Proc[[#This Row],[App]],Table2[],3,0),"open")</f>
        <v>ok</v>
      </c>
      <c r="C3205" s="124" t="s">
        <v>369</v>
      </c>
      <c r="D3205" t="s">
        <v>5224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4894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94</v>
      </c>
      <c r="R3205" s="115" t="s">
        <v>1013</v>
      </c>
      <c r="S3205" s="125"/>
    </row>
    <row r="3206" spans="1:19" hidden="1">
      <c r="A3206" s="124" t="s">
        <v>5258</v>
      </c>
      <c r="B3206" s="149" t="str">
        <f>IFERROR(VLOOKUP(Proc[[#This Row],[App]],Table2[],3,0),"open")</f>
        <v>ok</v>
      </c>
      <c r="C3206" s="124" t="s">
        <v>369</v>
      </c>
      <c r="D3206" t="s">
        <v>5225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4894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94</v>
      </c>
      <c r="R3206" s="115" t="s">
        <v>1013</v>
      </c>
      <c r="S3206" s="125"/>
    </row>
    <row r="3207" spans="1:19" hidden="1">
      <c r="A3207" s="124" t="s">
        <v>5258</v>
      </c>
      <c r="B3207" s="149" t="str">
        <f>IFERROR(VLOOKUP(Proc[[#This Row],[App]],Table2[],3,0),"open")</f>
        <v>ok</v>
      </c>
      <c r="C3207" s="124" t="s">
        <v>369</v>
      </c>
      <c r="D3207" t="s">
        <v>5226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4894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94</v>
      </c>
      <c r="R3207" s="115" t="s">
        <v>1013</v>
      </c>
      <c r="S3207" s="125"/>
    </row>
    <row r="3208" spans="1:19" hidden="1">
      <c r="A3208" s="124" t="s">
        <v>5258</v>
      </c>
      <c r="B3208" s="149" t="str">
        <f>IFERROR(VLOOKUP(Proc[[#This Row],[App]],Table2[],3,0),"open")</f>
        <v>ok</v>
      </c>
      <c r="C3208" s="124" t="s">
        <v>369</v>
      </c>
      <c r="D3208" t="s">
        <v>5227</v>
      </c>
      <c r="E3208" t="s">
        <v>5253</v>
      </c>
      <c r="F3208" s="125" t="s">
        <v>5253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4894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94</v>
      </c>
      <c r="R3208" s="115" t="s">
        <v>1013</v>
      </c>
      <c r="S3208" s="125"/>
    </row>
    <row r="3209" spans="1:19" hidden="1">
      <c r="A3209" s="124" t="s">
        <v>5258</v>
      </c>
      <c r="B3209" s="149" t="str">
        <f>IFERROR(VLOOKUP(Proc[[#This Row],[App]],Table2[],3,0),"open")</f>
        <v>ok</v>
      </c>
      <c r="C3209" s="124" t="s">
        <v>369</v>
      </c>
      <c r="D3209" t="s">
        <v>5228</v>
      </c>
      <c r="E3209" t="s">
        <v>5253</v>
      </c>
      <c r="F3209" s="125" t="s">
        <v>5253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4894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94</v>
      </c>
      <c r="R3209" s="115" t="s">
        <v>1013</v>
      </c>
      <c r="S3209" s="125"/>
    </row>
    <row r="3210" spans="1:19" hidden="1">
      <c r="A3210" s="124" t="s">
        <v>5258</v>
      </c>
      <c r="B3210" s="149" t="str">
        <f>IFERROR(VLOOKUP(Proc[[#This Row],[App]],Table2[],3,0),"open")</f>
        <v>ok</v>
      </c>
      <c r="C3210" s="124" t="s">
        <v>369</v>
      </c>
      <c r="D3210" t="s">
        <v>5229</v>
      </c>
      <c r="E3210" t="s">
        <v>5253</v>
      </c>
      <c r="F3210" s="125" t="s">
        <v>5253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4894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94</v>
      </c>
      <c r="R3210" s="115" t="s">
        <v>1013</v>
      </c>
      <c r="S3210" s="125"/>
    </row>
    <row r="3211" spans="1:19" hidden="1">
      <c r="A3211" s="124" t="s">
        <v>5258</v>
      </c>
      <c r="B3211" s="149" t="str">
        <f>IFERROR(VLOOKUP(Proc[[#This Row],[App]],Table2[],3,0),"open")</f>
        <v>ok</v>
      </c>
      <c r="C3211" s="124" t="s">
        <v>369</v>
      </c>
      <c r="D3211" t="s">
        <v>5230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4894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94</v>
      </c>
      <c r="R3211" s="115" t="s">
        <v>1013</v>
      </c>
      <c r="S3211" s="125"/>
    </row>
    <row r="3212" spans="1:19" hidden="1">
      <c r="A3212" s="124" t="s">
        <v>5258</v>
      </c>
      <c r="B3212" s="149" t="str">
        <f>IFERROR(VLOOKUP(Proc[[#This Row],[App]],Table2[],3,0),"open")</f>
        <v>ok</v>
      </c>
      <c r="C3212" s="124" t="s">
        <v>369</v>
      </c>
      <c r="D3212" t="s">
        <v>5231</v>
      </c>
      <c r="E3212" t="s">
        <v>5253</v>
      </c>
      <c r="F3212" s="125" t="s">
        <v>5253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4894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94</v>
      </c>
      <c r="R3212" s="115" t="s">
        <v>1013</v>
      </c>
      <c r="S3212" s="125"/>
    </row>
    <row r="3213" spans="1:19" hidden="1">
      <c r="A3213" s="124" t="s">
        <v>5258</v>
      </c>
      <c r="B3213" s="149" t="str">
        <f>IFERROR(VLOOKUP(Proc[[#This Row],[App]],Table2[],3,0),"open")</f>
        <v>ok</v>
      </c>
      <c r="C3213" s="124" t="s">
        <v>369</v>
      </c>
      <c r="D3213" t="s">
        <v>5232</v>
      </c>
      <c r="E3213" t="s">
        <v>5254</v>
      </c>
      <c r="F3213" s="125" t="s">
        <v>5254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4894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94</v>
      </c>
      <c r="R3213" s="115" t="s">
        <v>1013</v>
      </c>
      <c r="S3213" s="125"/>
    </row>
    <row r="3214" spans="1:19" hidden="1">
      <c r="A3214" s="124" t="s">
        <v>5258</v>
      </c>
      <c r="B3214" s="149" t="str">
        <f>IFERROR(VLOOKUP(Proc[[#This Row],[App]],Table2[],3,0),"open")</f>
        <v>ok</v>
      </c>
      <c r="C3214" s="124" t="s">
        <v>369</v>
      </c>
      <c r="D3214" t="s">
        <v>5233</v>
      </c>
      <c r="E3214" t="s">
        <v>5255</v>
      </c>
      <c r="F3214" s="125" t="s">
        <v>5255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4894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94</v>
      </c>
      <c r="R3214" s="115" t="s">
        <v>1013</v>
      </c>
      <c r="S3214" s="125"/>
    </row>
    <row r="3215" spans="1:19" hidden="1">
      <c r="A3215" s="124" t="s">
        <v>5258</v>
      </c>
      <c r="B3215" s="149" t="str">
        <f>IFERROR(VLOOKUP(Proc[[#This Row],[App]],Table2[],3,0),"open")</f>
        <v>ok</v>
      </c>
      <c r="C3215" s="124" t="s">
        <v>369</v>
      </c>
      <c r="D3215" t="s">
        <v>5234</v>
      </c>
      <c r="E3215" t="s">
        <v>5255</v>
      </c>
      <c r="F3215" s="125" t="s">
        <v>5255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4894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94</v>
      </c>
      <c r="R3215" s="115" t="s">
        <v>1013</v>
      </c>
      <c r="S3215" s="125"/>
    </row>
    <row r="3216" spans="1:19" hidden="1">
      <c r="A3216" s="124" t="s">
        <v>5258</v>
      </c>
      <c r="B3216" s="149" t="str">
        <f>IFERROR(VLOOKUP(Proc[[#This Row],[App]],Table2[],3,0),"open")</f>
        <v>ok</v>
      </c>
      <c r="C3216" s="124" t="s">
        <v>369</v>
      </c>
      <c r="D3216" t="s">
        <v>5235</v>
      </c>
      <c r="E3216" t="s">
        <v>5255</v>
      </c>
      <c r="F3216" s="125" t="s">
        <v>5255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4894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94</v>
      </c>
      <c r="R3216" s="115" t="s">
        <v>1013</v>
      </c>
      <c r="S3216" s="125"/>
    </row>
    <row r="3217" spans="1:19" hidden="1">
      <c r="A3217" s="124" t="s">
        <v>5258</v>
      </c>
      <c r="B3217" s="149" t="str">
        <f>IFERROR(VLOOKUP(Proc[[#This Row],[App]],Table2[],3,0),"open")</f>
        <v>ok</v>
      </c>
      <c r="C3217" s="124" t="s">
        <v>369</v>
      </c>
      <c r="D3217" t="s">
        <v>5236</v>
      </c>
      <c r="E3217" t="s">
        <v>5256</v>
      </c>
      <c r="F3217" s="125" t="s">
        <v>5256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4894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94</v>
      </c>
      <c r="R3217" s="115" t="s">
        <v>1013</v>
      </c>
      <c r="S3217" s="125"/>
    </row>
    <row r="3218" spans="1:19" hidden="1">
      <c r="A3218" s="124" t="s">
        <v>5258</v>
      </c>
      <c r="B3218" s="149" t="str">
        <f>IFERROR(VLOOKUP(Proc[[#This Row],[App]],Table2[],3,0),"open")</f>
        <v>ok</v>
      </c>
      <c r="C3218" s="124" t="s">
        <v>369</v>
      </c>
      <c r="D3218" t="s">
        <v>5237</v>
      </c>
      <c r="E3218" t="s">
        <v>5256</v>
      </c>
      <c r="F3218" s="125" t="s">
        <v>5256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4894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94</v>
      </c>
      <c r="R3218" s="115" t="s">
        <v>1013</v>
      </c>
      <c r="S3218" s="125"/>
    </row>
    <row r="3219" spans="1:19" hidden="1">
      <c r="A3219" s="124" t="s">
        <v>5258</v>
      </c>
      <c r="B3219" s="149" t="str">
        <f>IFERROR(VLOOKUP(Proc[[#This Row],[App]],Table2[],3,0),"open")</f>
        <v>ok</v>
      </c>
      <c r="C3219" s="124" t="s">
        <v>369</v>
      </c>
      <c r="D3219" t="s">
        <v>5238</v>
      </c>
      <c r="E3219" t="s">
        <v>5257</v>
      </c>
      <c r="F3219" s="125" t="s">
        <v>5257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4894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94</v>
      </c>
      <c r="R3219" s="115" t="s">
        <v>1013</v>
      </c>
      <c r="S3219" s="125"/>
    </row>
    <row r="3220" spans="1:19" hidden="1">
      <c r="A3220" s="124" t="s">
        <v>5258</v>
      </c>
      <c r="B3220" s="149" t="str">
        <f>IFERROR(VLOOKUP(Proc[[#This Row],[App]],Table2[],3,0),"open")</f>
        <v>ok</v>
      </c>
      <c r="C3220" s="124" t="s">
        <v>369</v>
      </c>
      <c r="D3220" t="s">
        <v>5239</v>
      </c>
      <c r="E3220" t="s">
        <v>5257</v>
      </c>
      <c r="F3220" s="125" t="s">
        <v>5257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4894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94</v>
      </c>
      <c r="R3220" s="115" t="s">
        <v>1013</v>
      </c>
      <c r="S3220" s="125"/>
    </row>
    <row r="3221" spans="1:19" hidden="1">
      <c r="A3221" s="124" t="s">
        <v>5258</v>
      </c>
      <c r="B3221" s="149" t="str">
        <f>IFERROR(VLOOKUP(Proc[[#This Row],[App]],Table2[],3,0),"open")</f>
        <v>ok</v>
      </c>
      <c r="C3221" s="124" t="s">
        <v>369</v>
      </c>
      <c r="D3221" t="s">
        <v>5240</v>
      </c>
      <c r="E3221" t="s">
        <v>5257</v>
      </c>
      <c r="F3221" s="125" t="s">
        <v>5257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4894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94</v>
      </c>
      <c r="R3221" s="115" t="s">
        <v>1013</v>
      </c>
      <c r="S3221" s="125"/>
    </row>
    <row r="3222" spans="1:19" hidden="1">
      <c r="A3222" s="124" t="s">
        <v>5258</v>
      </c>
      <c r="B3222" s="149" t="str">
        <f>IFERROR(VLOOKUP(Proc[[#This Row],[App]],Table2[],3,0),"open")</f>
        <v>ok</v>
      </c>
      <c r="C3222" s="124" t="s">
        <v>369</v>
      </c>
      <c r="D3222" t="s">
        <v>5241</v>
      </c>
      <c r="E3222" t="s">
        <v>5257</v>
      </c>
      <c r="F3222" s="125" t="s">
        <v>5257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4894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94</v>
      </c>
      <c r="R3222" s="115" t="s">
        <v>1013</v>
      </c>
      <c r="S3222" s="125"/>
    </row>
    <row r="3223" spans="1:19" hidden="1">
      <c r="A3223" s="124" t="s">
        <v>5258</v>
      </c>
      <c r="B3223" s="149" t="str">
        <f>IFERROR(VLOOKUP(Proc[[#This Row],[App]],Table2[],3,0),"open")</f>
        <v>ok</v>
      </c>
      <c r="C3223" s="124" t="s">
        <v>369</v>
      </c>
      <c r="D3223" t="s">
        <v>5242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4894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94</v>
      </c>
      <c r="R3223" s="115" t="s">
        <v>1013</v>
      </c>
      <c r="S3223" s="125"/>
    </row>
    <row r="3224" spans="1:19" hidden="1">
      <c r="A3224" s="124" t="s">
        <v>5258</v>
      </c>
      <c r="B3224" s="149" t="str">
        <f>IFERROR(VLOOKUP(Proc[[#This Row],[App]],Table2[],3,0),"open")</f>
        <v>ok</v>
      </c>
      <c r="C3224" s="124" t="s">
        <v>369</v>
      </c>
      <c r="D3224" t="s">
        <v>5243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4894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94</v>
      </c>
      <c r="R3224" s="115" t="s">
        <v>1013</v>
      </c>
      <c r="S3224" s="125"/>
    </row>
    <row r="3225" spans="1:19" hidden="1">
      <c r="A3225" s="124" t="s">
        <v>5258</v>
      </c>
      <c r="B3225" s="149" t="str">
        <f>IFERROR(VLOOKUP(Proc[[#This Row],[App]],Table2[],3,0),"open")</f>
        <v>ok</v>
      </c>
      <c r="C3225" s="124" t="s">
        <v>369</v>
      </c>
      <c r="D3225" t="s">
        <v>5244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4894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94</v>
      </c>
      <c r="R3225" s="115" t="s">
        <v>1013</v>
      </c>
      <c r="S3225" s="125"/>
    </row>
    <row r="3226" spans="1:19" hidden="1">
      <c r="A3226" s="124" t="s">
        <v>5258</v>
      </c>
      <c r="B3226" s="149" t="str">
        <f>IFERROR(VLOOKUP(Proc[[#This Row],[App]],Table2[],3,0),"open")</f>
        <v>ok</v>
      </c>
      <c r="C3226" s="124" t="s">
        <v>369</v>
      </c>
      <c r="D3226" t="s">
        <v>5245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4894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94</v>
      </c>
      <c r="R3226" s="115" t="s">
        <v>1013</v>
      </c>
      <c r="S3226" s="125"/>
    </row>
    <row r="3227" spans="1:19" hidden="1">
      <c r="A3227" s="124" t="s">
        <v>5258</v>
      </c>
      <c r="B3227" s="149" t="str">
        <f>IFERROR(VLOOKUP(Proc[[#This Row],[App]],Table2[],3,0),"open")</f>
        <v>ok</v>
      </c>
      <c r="C3227" s="124" t="s">
        <v>369</v>
      </c>
      <c r="D3227" t="s">
        <v>5246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4894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94</v>
      </c>
      <c r="R3227" s="115" t="s">
        <v>1013</v>
      </c>
      <c r="S3227" s="125"/>
    </row>
    <row r="3228" spans="1:19" hidden="1">
      <c r="A3228" s="124" t="s">
        <v>5258</v>
      </c>
      <c r="B3228" s="149" t="str">
        <f>IFERROR(VLOOKUP(Proc[[#This Row],[App]],Table2[],3,0),"open")</f>
        <v>ok</v>
      </c>
      <c r="C3228" s="124" t="s">
        <v>369</v>
      </c>
      <c r="D3228" t="s">
        <v>5247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4894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94</v>
      </c>
      <c r="R3228" s="115" t="s">
        <v>1013</v>
      </c>
      <c r="S3228" s="125"/>
    </row>
    <row r="3229" spans="1:19" hidden="1">
      <c r="A3229" s="124" t="s">
        <v>5258</v>
      </c>
      <c r="B3229" s="149" t="str">
        <f>IFERROR(VLOOKUP(Proc[[#This Row],[App]],Table2[],3,0),"open")</f>
        <v>ok</v>
      </c>
      <c r="C3229" s="124" t="s">
        <v>369</v>
      </c>
      <c r="D3229" t="s">
        <v>5248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4894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94</v>
      </c>
      <c r="R3229" s="115" t="s">
        <v>1013</v>
      </c>
      <c r="S3229" s="125"/>
    </row>
    <row r="3230" spans="1:19" hidden="1">
      <c r="A3230" s="124" t="s">
        <v>5258</v>
      </c>
      <c r="B3230" s="149" t="str">
        <f>IFERROR(VLOOKUP(Proc[[#This Row],[App]],Table2[],3,0),"open")</f>
        <v>ok</v>
      </c>
      <c r="C3230" s="124" t="s">
        <v>369</v>
      </c>
      <c r="D3230" t="s">
        <v>5249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4894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94</v>
      </c>
      <c r="R3230" s="115" t="s">
        <v>1013</v>
      </c>
      <c r="S3230" s="125"/>
    </row>
    <row r="3231" spans="1:19" hidden="1">
      <c r="A3231" s="124" t="s">
        <v>5258</v>
      </c>
      <c r="B3231" s="149" t="str">
        <f>IFERROR(VLOOKUP(Proc[[#This Row],[App]],Table2[],3,0),"open")</f>
        <v>ok</v>
      </c>
      <c r="C3231" s="124" t="s">
        <v>369</v>
      </c>
      <c r="D3231" t="s">
        <v>5250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4894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94</v>
      </c>
      <c r="R3231" s="115" t="s">
        <v>1013</v>
      </c>
      <c r="S3231" s="125"/>
    </row>
    <row r="3232" spans="1:19" hidden="1">
      <c r="A3232" t="s">
        <v>5271</v>
      </c>
      <c r="B3232" s="149" t="str">
        <f>IFERROR(VLOOKUP(Proc[[#This Row],[App]],Table2[],3,0),"open")</f>
        <v>ok</v>
      </c>
      <c r="C3232" s="124" t="s">
        <v>369</v>
      </c>
      <c r="D3232" t="s">
        <v>5259</v>
      </c>
      <c r="E3232" t="s">
        <v>5270</v>
      </c>
      <c r="F3232" s="125" t="s">
        <v>5270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4894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93</v>
      </c>
      <c r="R3232" s="115" t="s">
        <v>489</v>
      </c>
      <c r="S3232" s="125"/>
    </row>
    <row r="3233" spans="1:19" hidden="1">
      <c r="A3233" s="124" t="s">
        <v>5271</v>
      </c>
      <c r="B3233" s="149" t="str">
        <f>IFERROR(VLOOKUP(Proc[[#This Row],[App]],Table2[],3,0),"open")</f>
        <v>ok</v>
      </c>
      <c r="C3233" s="124" t="s">
        <v>369</v>
      </c>
      <c r="D3233" t="s">
        <v>5260</v>
      </c>
      <c r="E3233" t="s">
        <v>5270</v>
      </c>
      <c r="F3233" s="125" t="s">
        <v>5270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4894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93</v>
      </c>
      <c r="R3233" s="115" t="s">
        <v>489</v>
      </c>
      <c r="S3233" s="125"/>
    </row>
    <row r="3234" spans="1:19" hidden="1">
      <c r="A3234" s="124" t="s">
        <v>5271</v>
      </c>
      <c r="B3234" s="149" t="str">
        <f>IFERROR(VLOOKUP(Proc[[#This Row],[App]],Table2[],3,0),"open")</f>
        <v>ok</v>
      </c>
      <c r="C3234" s="124" t="s">
        <v>369</v>
      </c>
      <c r="D3234" t="s">
        <v>5261</v>
      </c>
      <c r="E3234" t="s">
        <v>5270</v>
      </c>
      <c r="F3234" s="125" t="s">
        <v>5270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4894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93</v>
      </c>
      <c r="R3234" s="115" t="s">
        <v>489</v>
      </c>
      <c r="S3234" s="125"/>
    </row>
    <row r="3235" spans="1:19" hidden="1">
      <c r="A3235" s="124" t="s">
        <v>5271</v>
      </c>
      <c r="B3235" s="149" t="str">
        <f>IFERROR(VLOOKUP(Proc[[#This Row],[App]],Table2[],3,0),"open")</f>
        <v>ok</v>
      </c>
      <c r="C3235" s="124" t="s">
        <v>369</v>
      </c>
      <c r="D3235" t="s">
        <v>5262</v>
      </c>
      <c r="E3235" t="s">
        <v>5270</v>
      </c>
      <c r="F3235" s="125" t="s">
        <v>5270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4894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93</v>
      </c>
      <c r="R3235" s="115" t="s">
        <v>489</v>
      </c>
      <c r="S3235" s="125"/>
    </row>
    <row r="3236" spans="1:19" hidden="1">
      <c r="A3236" s="124" t="s">
        <v>5271</v>
      </c>
      <c r="B3236" s="149" t="str">
        <f>IFERROR(VLOOKUP(Proc[[#This Row],[App]],Table2[],3,0),"open")</f>
        <v>ok</v>
      </c>
      <c r="C3236" s="124" t="s">
        <v>369</v>
      </c>
      <c r="D3236" t="s">
        <v>5263</v>
      </c>
      <c r="E3236" t="s">
        <v>5270</v>
      </c>
      <c r="F3236" s="125" t="s">
        <v>5270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4894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93</v>
      </c>
      <c r="R3236" s="115" t="s">
        <v>489</v>
      </c>
      <c r="S3236" s="125"/>
    </row>
    <row r="3237" spans="1:19" hidden="1">
      <c r="A3237" s="124" t="s">
        <v>5271</v>
      </c>
      <c r="B3237" s="149" t="str">
        <f>IFERROR(VLOOKUP(Proc[[#This Row],[App]],Table2[],3,0),"open")</f>
        <v>ok</v>
      </c>
      <c r="C3237" s="124" t="s">
        <v>369</v>
      </c>
      <c r="D3237" t="s">
        <v>5264</v>
      </c>
      <c r="E3237" t="s">
        <v>5270</v>
      </c>
      <c r="F3237" s="125" t="s">
        <v>5270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4894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93</v>
      </c>
      <c r="R3237" s="115" t="s">
        <v>489</v>
      </c>
      <c r="S3237" s="125"/>
    </row>
    <row r="3238" spans="1:19" hidden="1">
      <c r="A3238" s="124" t="s">
        <v>5271</v>
      </c>
      <c r="B3238" s="149" t="str">
        <f>IFERROR(VLOOKUP(Proc[[#This Row],[App]],Table2[],3,0),"open")</f>
        <v>ok</v>
      </c>
      <c r="C3238" s="124" t="s">
        <v>369</v>
      </c>
      <c r="D3238" t="s">
        <v>5265</v>
      </c>
      <c r="E3238" t="s">
        <v>5270</v>
      </c>
      <c r="F3238" s="125" t="s">
        <v>5270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4894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93</v>
      </c>
      <c r="R3238" s="115" t="s">
        <v>489</v>
      </c>
      <c r="S3238" s="125"/>
    </row>
    <row r="3239" spans="1:19" hidden="1">
      <c r="A3239" s="124" t="s">
        <v>5271</v>
      </c>
      <c r="B3239" s="149" t="str">
        <f>IFERROR(VLOOKUP(Proc[[#This Row],[App]],Table2[],3,0),"open")</f>
        <v>ok</v>
      </c>
      <c r="C3239" s="124" t="s">
        <v>369</v>
      </c>
      <c r="D3239" t="s">
        <v>5266</v>
      </c>
      <c r="E3239" t="s">
        <v>5270</v>
      </c>
      <c r="F3239" s="125" t="s">
        <v>5270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4894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93</v>
      </c>
      <c r="R3239" s="115" t="s">
        <v>489</v>
      </c>
      <c r="S3239" s="125"/>
    </row>
    <row r="3240" spans="1:19" hidden="1">
      <c r="A3240" s="124" t="s">
        <v>5271</v>
      </c>
      <c r="B3240" s="149" t="str">
        <f>IFERROR(VLOOKUP(Proc[[#This Row],[App]],Table2[],3,0),"open")</f>
        <v>ok</v>
      </c>
      <c r="C3240" s="124" t="s">
        <v>369</v>
      </c>
      <c r="D3240" t="s">
        <v>5267</v>
      </c>
      <c r="E3240" t="s">
        <v>5270</v>
      </c>
      <c r="F3240" s="125" t="s">
        <v>5270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4894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93</v>
      </c>
      <c r="R3240" s="115" t="s">
        <v>489</v>
      </c>
      <c r="S3240" s="125"/>
    </row>
    <row r="3241" spans="1:19" hidden="1">
      <c r="A3241" s="124" t="s">
        <v>5271</v>
      </c>
      <c r="B3241" s="149" t="str">
        <f>IFERROR(VLOOKUP(Proc[[#This Row],[App]],Table2[],3,0),"open")</f>
        <v>ok</v>
      </c>
      <c r="C3241" s="124" t="s">
        <v>369</v>
      </c>
      <c r="D3241" t="s">
        <v>5268</v>
      </c>
      <c r="E3241" t="s">
        <v>5270</v>
      </c>
      <c r="F3241" s="125" t="s">
        <v>5270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4894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93</v>
      </c>
      <c r="R3241" s="115" t="s">
        <v>489</v>
      </c>
      <c r="S3241" s="125"/>
    </row>
    <row r="3242" spans="1:19" hidden="1">
      <c r="A3242" s="124" t="s">
        <v>5271</v>
      </c>
      <c r="B3242" s="149" t="str">
        <f>IFERROR(VLOOKUP(Proc[[#This Row],[App]],Table2[],3,0),"open")</f>
        <v>ok</v>
      </c>
      <c r="C3242" s="124" t="s">
        <v>369</v>
      </c>
      <c r="D3242" t="s">
        <v>5269</v>
      </c>
      <c r="E3242" t="s">
        <v>5270</v>
      </c>
      <c r="F3242" s="125" t="s">
        <v>5270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4894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93</v>
      </c>
      <c r="R3242" s="115" t="s">
        <v>489</v>
      </c>
      <c r="S3242" s="125"/>
    </row>
    <row r="3243" spans="1:19" hidden="1">
      <c r="A3243" t="s">
        <v>5478</v>
      </c>
      <c r="B3243" s="149" t="str">
        <f>IFERROR(VLOOKUP(Proc[[#This Row],[App]],Table2[],3,0),"open")</f>
        <v>ok</v>
      </c>
      <c r="C3243" s="124" t="s">
        <v>369</v>
      </c>
      <c r="D3243" t="s">
        <v>5272</v>
      </c>
      <c r="E3243" t="s">
        <v>5444</v>
      </c>
      <c r="F3243" s="125" t="s">
        <v>5444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4894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93</v>
      </c>
      <c r="R3243" s="115" t="s">
        <v>1459</v>
      </c>
      <c r="S3243" s="125"/>
    </row>
    <row r="3244" spans="1:19" hidden="1">
      <c r="A3244" s="124" t="s">
        <v>5478</v>
      </c>
      <c r="B3244" s="149" t="str">
        <f>IFERROR(VLOOKUP(Proc[[#This Row],[App]],Table2[],3,0),"open")</f>
        <v>ok</v>
      </c>
      <c r="C3244" s="124" t="s">
        <v>369</v>
      </c>
      <c r="D3244" t="s">
        <v>5273</v>
      </c>
      <c r="E3244" t="s">
        <v>5445</v>
      </c>
      <c r="F3244" s="125" t="s">
        <v>5445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4894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93</v>
      </c>
      <c r="R3244" s="115" t="s">
        <v>1459</v>
      </c>
      <c r="S3244" s="125"/>
    </row>
    <row r="3245" spans="1:19" hidden="1">
      <c r="A3245" s="124" t="s">
        <v>5478</v>
      </c>
      <c r="B3245" s="149" t="str">
        <f>IFERROR(VLOOKUP(Proc[[#This Row],[App]],Table2[],3,0),"open")</f>
        <v>ok</v>
      </c>
      <c r="C3245" s="124" t="s">
        <v>369</v>
      </c>
      <c r="D3245" t="s">
        <v>5274</v>
      </c>
      <c r="E3245" t="s">
        <v>5444</v>
      </c>
      <c r="F3245" s="125" t="s">
        <v>5444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4894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93</v>
      </c>
      <c r="R3245" s="115" t="s">
        <v>1459</v>
      </c>
      <c r="S3245" s="125"/>
    </row>
    <row r="3246" spans="1:19" hidden="1">
      <c r="A3246" s="124" t="s">
        <v>5478</v>
      </c>
      <c r="B3246" s="149" t="str">
        <f>IFERROR(VLOOKUP(Proc[[#This Row],[App]],Table2[],3,0),"open")</f>
        <v>ok</v>
      </c>
      <c r="C3246" s="124" t="s">
        <v>369</v>
      </c>
      <c r="D3246" t="s">
        <v>5275</v>
      </c>
      <c r="E3246" t="s">
        <v>5446</v>
      </c>
      <c r="F3246" s="125" t="s">
        <v>5446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4894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93</v>
      </c>
      <c r="R3246" s="115" t="s">
        <v>1459</v>
      </c>
      <c r="S3246" s="125"/>
    </row>
    <row r="3247" spans="1:19" hidden="1">
      <c r="A3247" s="124" t="s">
        <v>5478</v>
      </c>
      <c r="B3247" s="149" t="str">
        <f>IFERROR(VLOOKUP(Proc[[#This Row],[App]],Table2[],3,0),"open")</f>
        <v>ok</v>
      </c>
      <c r="C3247" s="124" t="s">
        <v>369</v>
      </c>
      <c r="D3247" t="s">
        <v>5276</v>
      </c>
      <c r="E3247" t="s">
        <v>5447</v>
      </c>
      <c r="F3247" s="125" t="s">
        <v>5447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4894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93</v>
      </c>
      <c r="R3247" s="115" t="s">
        <v>1459</v>
      </c>
      <c r="S3247" s="125"/>
    </row>
    <row r="3248" spans="1:19" hidden="1">
      <c r="A3248" s="124" t="s">
        <v>5478</v>
      </c>
      <c r="B3248" s="149" t="str">
        <f>IFERROR(VLOOKUP(Proc[[#This Row],[App]],Table2[],3,0),"open")</f>
        <v>ok</v>
      </c>
      <c r="C3248" s="124" t="s">
        <v>369</v>
      </c>
      <c r="D3248" t="s">
        <v>5277</v>
      </c>
      <c r="E3248" t="s">
        <v>5448</v>
      </c>
      <c r="F3248" s="125" t="s">
        <v>5448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4894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93</v>
      </c>
      <c r="R3248" s="115" t="s">
        <v>1459</v>
      </c>
      <c r="S3248" s="125"/>
    </row>
    <row r="3249" spans="1:19" hidden="1">
      <c r="A3249" s="124" t="s">
        <v>5478</v>
      </c>
      <c r="B3249" s="149" t="str">
        <f>IFERROR(VLOOKUP(Proc[[#This Row],[App]],Table2[],3,0),"open")</f>
        <v>ok</v>
      </c>
      <c r="C3249" s="124" t="s">
        <v>369</v>
      </c>
      <c r="D3249" t="s">
        <v>5278</v>
      </c>
      <c r="E3249" t="s">
        <v>5449</v>
      </c>
      <c r="F3249" s="125" t="s">
        <v>5449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4894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93</v>
      </c>
      <c r="R3249" s="115" t="s">
        <v>1459</v>
      </c>
      <c r="S3249" s="125"/>
    </row>
    <row r="3250" spans="1:19" hidden="1">
      <c r="A3250" s="124" t="s">
        <v>5478</v>
      </c>
      <c r="B3250" s="149" t="str">
        <f>IFERROR(VLOOKUP(Proc[[#This Row],[App]],Table2[],3,0),"open")</f>
        <v>ok</v>
      </c>
      <c r="C3250" s="124" t="s">
        <v>369</v>
      </c>
      <c r="D3250" t="s">
        <v>5279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4894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93</v>
      </c>
      <c r="R3250" s="115" t="s">
        <v>1459</v>
      </c>
      <c r="S3250" s="125"/>
    </row>
    <row r="3251" spans="1:19" hidden="1">
      <c r="A3251" s="124" t="s">
        <v>5478</v>
      </c>
      <c r="B3251" s="149" t="str">
        <f>IFERROR(VLOOKUP(Proc[[#This Row],[App]],Table2[],3,0),"open")</f>
        <v>ok</v>
      </c>
      <c r="C3251" s="124" t="s">
        <v>369</v>
      </c>
      <c r="D3251" t="s">
        <v>5280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4894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93</v>
      </c>
      <c r="R3251" s="115" t="s">
        <v>1459</v>
      </c>
      <c r="S3251" s="125"/>
    </row>
    <row r="3252" spans="1:19" hidden="1">
      <c r="A3252" s="124" t="s">
        <v>5478</v>
      </c>
      <c r="B3252" s="149" t="str">
        <f>IFERROR(VLOOKUP(Proc[[#This Row],[App]],Table2[],3,0),"open")</f>
        <v>ok</v>
      </c>
      <c r="C3252" s="124" t="s">
        <v>369</v>
      </c>
      <c r="D3252" t="s">
        <v>5281</v>
      </c>
      <c r="E3252" t="s">
        <v>5450</v>
      </c>
      <c r="F3252" s="125" t="s">
        <v>5450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4894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93</v>
      </c>
      <c r="R3252" s="115" t="s">
        <v>1459</v>
      </c>
      <c r="S3252" s="125"/>
    </row>
    <row r="3253" spans="1:19" hidden="1">
      <c r="A3253" s="124" t="s">
        <v>5478</v>
      </c>
      <c r="B3253" s="149" t="str">
        <f>IFERROR(VLOOKUP(Proc[[#This Row],[App]],Table2[],3,0),"open")</f>
        <v>ok</v>
      </c>
      <c r="C3253" s="124" t="s">
        <v>369</v>
      </c>
      <c r="D3253" t="s">
        <v>5282</v>
      </c>
      <c r="E3253" t="s">
        <v>5451</v>
      </c>
      <c r="F3253" s="125" t="s">
        <v>5451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4894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93</v>
      </c>
      <c r="R3253" s="115" t="s">
        <v>1459</v>
      </c>
      <c r="S3253" s="125"/>
    </row>
    <row r="3254" spans="1:19" hidden="1">
      <c r="A3254" s="124" t="s">
        <v>5478</v>
      </c>
      <c r="B3254" s="149" t="str">
        <f>IFERROR(VLOOKUP(Proc[[#This Row],[App]],Table2[],3,0),"open")</f>
        <v>ok</v>
      </c>
      <c r="C3254" s="124" t="s">
        <v>369</v>
      </c>
      <c r="D3254" t="s">
        <v>5283</v>
      </c>
      <c r="E3254" t="s">
        <v>5452</v>
      </c>
      <c r="F3254" s="125" t="s">
        <v>5452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4894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93</v>
      </c>
      <c r="R3254" s="115" t="s">
        <v>1459</v>
      </c>
      <c r="S3254" s="125"/>
    </row>
    <row r="3255" spans="1:19" hidden="1">
      <c r="A3255" s="124" t="s">
        <v>5478</v>
      </c>
      <c r="B3255" s="149" t="str">
        <f>IFERROR(VLOOKUP(Proc[[#This Row],[App]],Table2[],3,0),"open")</f>
        <v>ok</v>
      </c>
      <c r="C3255" s="124" t="s">
        <v>369</v>
      </c>
      <c r="D3255" t="s">
        <v>5284</v>
      </c>
      <c r="E3255" t="s">
        <v>5453</v>
      </c>
      <c r="F3255" s="125" t="s">
        <v>5453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4894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93</v>
      </c>
      <c r="R3255" s="115" t="s">
        <v>1459</v>
      </c>
      <c r="S3255" s="125"/>
    </row>
    <row r="3256" spans="1:19" hidden="1">
      <c r="A3256" s="124" t="s">
        <v>5478</v>
      </c>
      <c r="B3256" s="149" t="str">
        <f>IFERROR(VLOOKUP(Proc[[#This Row],[App]],Table2[],3,0),"open")</f>
        <v>ok</v>
      </c>
      <c r="C3256" s="124" t="s">
        <v>369</v>
      </c>
      <c r="D3256" t="s">
        <v>5285</v>
      </c>
      <c r="E3256" t="s">
        <v>5453</v>
      </c>
      <c r="F3256" s="125" t="s">
        <v>5453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4894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93</v>
      </c>
      <c r="R3256" s="115" t="s">
        <v>1459</v>
      </c>
      <c r="S3256" s="125"/>
    </row>
    <row r="3257" spans="1:19" hidden="1">
      <c r="A3257" s="124" t="s">
        <v>5478</v>
      </c>
      <c r="B3257" s="149" t="str">
        <f>IFERROR(VLOOKUP(Proc[[#This Row],[App]],Table2[],3,0),"open")</f>
        <v>ok</v>
      </c>
      <c r="C3257" s="124" t="s">
        <v>369</v>
      </c>
      <c r="D3257" t="s">
        <v>5286</v>
      </c>
      <c r="E3257" t="s">
        <v>5453</v>
      </c>
      <c r="F3257" s="125" t="s">
        <v>5453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4894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93</v>
      </c>
      <c r="R3257" s="115" t="s">
        <v>1459</v>
      </c>
      <c r="S3257" s="125"/>
    </row>
    <row r="3258" spans="1:19" hidden="1">
      <c r="A3258" s="124" t="s">
        <v>5478</v>
      </c>
      <c r="B3258" s="149" t="str">
        <f>IFERROR(VLOOKUP(Proc[[#This Row],[App]],Table2[],3,0),"open")</f>
        <v>ok</v>
      </c>
      <c r="C3258" s="124" t="s">
        <v>369</v>
      </c>
      <c r="D3258" t="s">
        <v>5287</v>
      </c>
      <c r="E3258" t="s">
        <v>5454</v>
      </c>
      <c r="F3258" s="125" t="s">
        <v>5454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4894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93</v>
      </c>
      <c r="R3258" s="115" t="s">
        <v>1459</v>
      </c>
      <c r="S3258" s="125"/>
    </row>
    <row r="3259" spans="1:19" hidden="1">
      <c r="A3259" s="124" t="s">
        <v>5478</v>
      </c>
      <c r="B3259" s="149" t="str">
        <f>IFERROR(VLOOKUP(Proc[[#This Row],[App]],Table2[],3,0),"open")</f>
        <v>ok</v>
      </c>
      <c r="C3259" s="124" t="s">
        <v>369</v>
      </c>
      <c r="D3259" t="s">
        <v>5288</v>
      </c>
      <c r="E3259" t="s">
        <v>5450</v>
      </c>
      <c r="F3259" s="125" t="s">
        <v>5450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4894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93</v>
      </c>
      <c r="R3259" s="115" t="s">
        <v>1459</v>
      </c>
      <c r="S3259" s="125"/>
    </row>
    <row r="3260" spans="1:19" hidden="1">
      <c r="A3260" s="124" t="s">
        <v>5478</v>
      </c>
      <c r="B3260" s="149" t="str">
        <f>IFERROR(VLOOKUP(Proc[[#This Row],[App]],Table2[],3,0),"open")</f>
        <v>ok</v>
      </c>
      <c r="C3260" s="124" t="s">
        <v>369</v>
      </c>
      <c r="D3260" t="s">
        <v>5289</v>
      </c>
      <c r="E3260" t="s">
        <v>5455</v>
      </c>
      <c r="F3260" s="125" t="s">
        <v>5455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4894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93</v>
      </c>
      <c r="R3260" s="115" t="s">
        <v>1459</v>
      </c>
      <c r="S3260" s="125"/>
    </row>
    <row r="3261" spans="1:19" hidden="1">
      <c r="A3261" s="124" t="s">
        <v>5478</v>
      </c>
      <c r="B3261" s="149" t="str">
        <f>IFERROR(VLOOKUP(Proc[[#This Row],[App]],Table2[],3,0),"open")</f>
        <v>ok</v>
      </c>
      <c r="C3261" s="124" t="s">
        <v>369</v>
      </c>
      <c r="D3261" t="s">
        <v>5290</v>
      </c>
      <c r="E3261" t="s">
        <v>5455</v>
      </c>
      <c r="F3261" s="125" t="s">
        <v>5455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4894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93</v>
      </c>
      <c r="R3261" s="115" t="s">
        <v>1459</v>
      </c>
      <c r="S3261" s="125"/>
    </row>
    <row r="3262" spans="1:19" hidden="1">
      <c r="A3262" s="124" t="s">
        <v>5478</v>
      </c>
      <c r="B3262" s="149" t="str">
        <f>IFERROR(VLOOKUP(Proc[[#This Row],[App]],Table2[],3,0),"open")</f>
        <v>ok</v>
      </c>
      <c r="C3262" s="124" t="s">
        <v>369</v>
      </c>
      <c r="D3262" t="s">
        <v>5291</v>
      </c>
      <c r="E3262" t="s">
        <v>5453</v>
      </c>
      <c r="F3262" s="125" t="s">
        <v>5453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4894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93</v>
      </c>
      <c r="R3262" s="115" t="s">
        <v>1459</v>
      </c>
      <c r="S3262" s="125"/>
    </row>
    <row r="3263" spans="1:19" hidden="1">
      <c r="A3263" s="124" t="s">
        <v>5478</v>
      </c>
      <c r="B3263" s="149" t="str">
        <f>IFERROR(VLOOKUP(Proc[[#This Row],[App]],Table2[],3,0),"open")</f>
        <v>ok</v>
      </c>
      <c r="C3263" s="124" t="s">
        <v>369</v>
      </c>
      <c r="D3263" t="s">
        <v>5292</v>
      </c>
      <c r="E3263" t="s">
        <v>5456</v>
      </c>
      <c r="F3263" s="125" t="s">
        <v>5456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4894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93</v>
      </c>
      <c r="R3263" s="115" t="s">
        <v>1459</v>
      </c>
      <c r="S3263" s="125"/>
    </row>
    <row r="3264" spans="1:19" hidden="1">
      <c r="A3264" s="124" t="s">
        <v>5478</v>
      </c>
      <c r="B3264" s="149" t="str">
        <f>IFERROR(VLOOKUP(Proc[[#This Row],[App]],Table2[],3,0),"open")</f>
        <v>ok</v>
      </c>
      <c r="C3264" s="124" t="s">
        <v>369</v>
      </c>
      <c r="D3264" t="s">
        <v>5293</v>
      </c>
      <c r="E3264" t="s">
        <v>5449</v>
      </c>
      <c r="F3264" s="125" t="s">
        <v>5449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4894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93</v>
      </c>
      <c r="R3264" s="115" t="s">
        <v>1459</v>
      </c>
      <c r="S3264" s="125"/>
    </row>
    <row r="3265" spans="1:19" hidden="1">
      <c r="A3265" s="124" t="s">
        <v>5478</v>
      </c>
      <c r="B3265" s="149" t="str">
        <f>IFERROR(VLOOKUP(Proc[[#This Row],[App]],Table2[],3,0),"open")</f>
        <v>ok</v>
      </c>
      <c r="C3265" s="124" t="s">
        <v>369</v>
      </c>
      <c r="D3265" t="s">
        <v>5294</v>
      </c>
      <c r="E3265" t="s">
        <v>5456</v>
      </c>
      <c r="F3265" s="125" t="s">
        <v>5456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4894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93</v>
      </c>
      <c r="R3265" s="115" t="s">
        <v>1459</v>
      </c>
      <c r="S3265" s="125"/>
    </row>
    <row r="3266" spans="1:19" hidden="1">
      <c r="A3266" s="124" t="s">
        <v>5478</v>
      </c>
      <c r="B3266" s="149" t="str">
        <f>IFERROR(VLOOKUP(Proc[[#This Row],[App]],Table2[],3,0),"open")</f>
        <v>ok</v>
      </c>
      <c r="C3266" s="124" t="s">
        <v>369</v>
      </c>
      <c r="D3266" t="s">
        <v>5295</v>
      </c>
      <c r="E3266" t="s">
        <v>5457</v>
      </c>
      <c r="F3266" s="125" t="s">
        <v>5457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4894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93</v>
      </c>
      <c r="R3266" s="115" t="s">
        <v>1459</v>
      </c>
      <c r="S3266" s="125"/>
    </row>
    <row r="3267" spans="1:19" hidden="1">
      <c r="A3267" s="124" t="s">
        <v>5478</v>
      </c>
      <c r="B3267" s="149" t="str">
        <f>IFERROR(VLOOKUP(Proc[[#This Row],[App]],Table2[],3,0),"open")</f>
        <v>ok</v>
      </c>
      <c r="C3267" s="124" t="s">
        <v>369</v>
      </c>
      <c r="D3267" t="s">
        <v>5296</v>
      </c>
      <c r="E3267" t="s">
        <v>5449</v>
      </c>
      <c r="F3267" s="125" t="s">
        <v>5449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4894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93</v>
      </c>
      <c r="R3267" s="115" t="s">
        <v>1459</v>
      </c>
      <c r="S3267" s="125"/>
    </row>
    <row r="3268" spans="1:19" hidden="1">
      <c r="A3268" s="124" t="s">
        <v>5478</v>
      </c>
      <c r="B3268" s="149" t="str">
        <f>IFERROR(VLOOKUP(Proc[[#This Row],[App]],Table2[],3,0),"open")</f>
        <v>ok</v>
      </c>
      <c r="C3268" s="124" t="s">
        <v>369</v>
      </c>
      <c r="D3268" t="s">
        <v>4807</v>
      </c>
      <c r="E3268" t="s">
        <v>4410</v>
      </c>
      <c r="F3268" s="125" t="s">
        <v>4410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4894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93</v>
      </c>
      <c r="R3268" s="115" t="s">
        <v>1459</v>
      </c>
      <c r="S3268" s="125"/>
    </row>
    <row r="3269" spans="1:19" hidden="1">
      <c r="A3269" s="124" t="s">
        <v>5478</v>
      </c>
      <c r="B3269" s="149" t="str">
        <f>IFERROR(VLOOKUP(Proc[[#This Row],[App]],Table2[],3,0),"open")</f>
        <v>ok</v>
      </c>
      <c r="C3269" s="124" t="s">
        <v>369</v>
      </c>
      <c r="D3269" t="s">
        <v>5297</v>
      </c>
      <c r="E3269" t="s">
        <v>5449</v>
      </c>
      <c r="F3269" s="125" t="s">
        <v>5449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4894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93</v>
      </c>
      <c r="R3269" s="115" t="s">
        <v>1459</v>
      </c>
      <c r="S3269" s="125"/>
    </row>
    <row r="3270" spans="1:19" hidden="1">
      <c r="A3270" s="124" t="s">
        <v>5478</v>
      </c>
      <c r="B3270" s="149" t="str">
        <f>IFERROR(VLOOKUP(Proc[[#This Row],[App]],Table2[],3,0),"open")</f>
        <v>ok</v>
      </c>
      <c r="C3270" s="124" t="s">
        <v>369</v>
      </c>
      <c r="D3270" t="s">
        <v>5298</v>
      </c>
      <c r="E3270" t="s">
        <v>5458</v>
      </c>
      <c r="F3270" s="125" t="s">
        <v>5458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4894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93</v>
      </c>
      <c r="R3270" s="115" t="s">
        <v>1459</v>
      </c>
      <c r="S3270" s="125"/>
    </row>
    <row r="3271" spans="1:19" hidden="1">
      <c r="A3271" s="124" t="s">
        <v>5478</v>
      </c>
      <c r="B3271" s="149" t="str">
        <f>IFERROR(VLOOKUP(Proc[[#This Row],[App]],Table2[],3,0),"open")</f>
        <v>ok</v>
      </c>
      <c r="C3271" s="124" t="s">
        <v>369</v>
      </c>
      <c r="D3271" t="s">
        <v>5299</v>
      </c>
      <c r="E3271" t="s">
        <v>5459</v>
      </c>
      <c r="F3271" s="125" t="s">
        <v>5459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4894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93</v>
      </c>
      <c r="R3271" s="115" t="s">
        <v>1459</v>
      </c>
      <c r="S3271" s="125"/>
    </row>
    <row r="3272" spans="1:19" hidden="1">
      <c r="A3272" s="124" t="s">
        <v>5478</v>
      </c>
      <c r="B3272" s="149" t="str">
        <f>IFERROR(VLOOKUP(Proc[[#This Row],[App]],Table2[],3,0),"open")</f>
        <v>ok</v>
      </c>
      <c r="C3272" s="124" t="s">
        <v>369</v>
      </c>
      <c r="D3272" t="s">
        <v>5300</v>
      </c>
      <c r="E3272" t="s">
        <v>5460</v>
      </c>
      <c r="F3272" s="125" t="s">
        <v>5460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4894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93</v>
      </c>
      <c r="R3272" s="115" t="s">
        <v>1459</v>
      </c>
      <c r="S3272" s="125"/>
    </row>
    <row r="3273" spans="1:19" hidden="1">
      <c r="A3273" s="124" t="s">
        <v>5478</v>
      </c>
      <c r="B3273" s="149" t="str">
        <f>IFERROR(VLOOKUP(Proc[[#This Row],[App]],Table2[],3,0),"open")</f>
        <v>ok</v>
      </c>
      <c r="C3273" s="124" t="s">
        <v>369</v>
      </c>
      <c r="D3273" t="s">
        <v>3370</v>
      </c>
      <c r="E3273" t="s">
        <v>5457</v>
      </c>
      <c r="F3273" s="125" t="s">
        <v>5457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4894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93</v>
      </c>
      <c r="R3273" s="115" t="s">
        <v>1459</v>
      </c>
      <c r="S3273" s="125"/>
    </row>
    <row r="3274" spans="1:19" hidden="1">
      <c r="A3274" s="124" t="s">
        <v>5478</v>
      </c>
      <c r="B3274" s="149" t="str">
        <f>IFERROR(VLOOKUP(Proc[[#This Row],[App]],Table2[],3,0),"open")</f>
        <v>ok</v>
      </c>
      <c r="C3274" s="124" t="s">
        <v>369</v>
      </c>
      <c r="D3274" t="s">
        <v>5301</v>
      </c>
      <c r="E3274" t="s">
        <v>5459</v>
      </c>
      <c r="F3274" s="125" t="s">
        <v>5459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4894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93</v>
      </c>
      <c r="R3274" s="115" t="s">
        <v>1459</v>
      </c>
      <c r="S3274" s="125"/>
    </row>
    <row r="3275" spans="1:19" hidden="1">
      <c r="A3275" s="124" t="s">
        <v>5478</v>
      </c>
      <c r="B3275" s="149" t="str">
        <f>IFERROR(VLOOKUP(Proc[[#This Row],[App]],Table2[],3,0),"open")</f>
        <v>ok</v>
      </c>
      <c r="C3275" s="124" t="s">
        <v>369</v>
      </c>
      <c r="D3275" t="s">
        <v>5302</v>
      </c>
      <c r="E3275" t="s">
        <v>5449</v>
      </c>
      <c r="F3275" s="125" t="s">
        <v>5449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4894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93</v>
      </c>
      <c r="R3275" s="115" t="s">
        <v>1459</v>
      </c>
      <c r="S3275" s="125"/>
    </row>
    <row r="3276" spans="1:19" hidden="1">
      <c r="A3276" s="124" t="s">
        <v>5478</v>
      </c>
      <c r="B3276" s="149" t="str">
        <f>IFERROR(VLOOKUP(Proc[[#This Row],[App]],Table2[],3,0),"open")</f>
        <v>ok</v>
      </c>
      <c r="C3276" s="124" t="s">
        <v>369</v>
      </c>
      <c r="D3276" t="s">
        <v>5303</v>
      </c>
      <c r="E3276" t="s">
        <v>5461</v>
      </c>
      <c r="F3276" s="125" t="s">
        <v>5461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4894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93</v>
      </c>
      <c r="R3276" s="115" t="s">
        <v>1459</v>
      </c>
      <c r="S3276" s="125"/>
    </row>
    <row r="3277" spans="1:19" hidden="1">
      <c r="A3277" s="124" t="s">
        <v>5478</v>
      </c>
      <c r="B3277" s="149" t="str">
        <f>IFERROR(VLOOKUP(Proc[[#This Row],[App]],Table2[],3,0),"open")</f>
        <v>ok</v>
      </c>
      <c r="C3277" s="124" t="s">
        <v>369</v>
      </c>
      <c r="D3277" t="s">
        <v>5304</v>
      </c>
      <c r="E3277" t="s">
        <v>5462</v>
      </c>
      <c r="F3277" s="125" t="s">
        <v>5462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4894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93</v>
      </c>
      <c r="R3277" s="115" t="s">
        <v>1459</v>
      </c>
      <c r="S3277" s="125"/>
    </row>
    <row r="3278" spans="1:19" hidden="1">
      <c r="A3278" s="124" t="s">
        <v>5478</v>
      </c>
      <c r="B3278" s="149" t="str">
        <f>IFERROR(VLOOKUP(Proc[[#This Row],[App]],Table2[],3,0),"open")</f>
        <v>ok</v>
      </c>
      <c r="C3278" s="124" t="s">
        <v>369</v>
      </c>
      <c r="D3278" t="s">
        <v>5305</v>
      </c>
      <c r="E3278" t="s">
        <v>5449</v>
      </c>
      <c r="F3278" s="125" t="s">
        <v>5449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4894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93</v>
      </c>
      <c r="R3278" s="115" t="s">
        <v>1459</v>
      </c>
      <c r="S3278" s="125"/>
    </row>
    <row r="3279" spans="1:19" hidden="1">
      <c r="A3279" s="124" t="s">
        <v>5478</v>
      </c>
      <c r="B3279" s="149" t="str">
        <f>IFERROR(VLOOKUP(Proc[[#This Row],[App]],Table2[],3,0),"open")</f>
        <v>ok</v>
      </c>
      <c r="C3279" s="124" t="s">
        <v>369</v>
      </c>
      <c r="D3279" t="s">
        <v>5306</v>
      </c>
      <c r="E3279" t="s">
        <v>5456</v>
      </c>
      <c r="F3279" s="125" t="s">
        <v>5456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4894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93</v>
      </c>
      <c r="R3279" s="115" t="s">
        <v>1459</v>
      </c>
      <c r="S3279" s="125"/>
    </row>
    <row r="3280" spans="1:19" hidden="1">
      <c r="A3280" s="124" t="s">
        <v>5478</v>
      </c>
      <c r="B3280" s="149" t="str">
        <f>IFERROR(VLOOKUP(Proc[[#This Row],[App]],Table2[],3,0),"open")</f>
        <v>ok</v>
      </c>
      <c r="C3280" s="124" t="s">
        <v>369</v>
      </c>
      <c r="D3280" t="s">
        <v>5307</v>
      </c>
      <c r="E3280" t="s">
        <v>5456</v>
      </c>
      <c r="F3280" s="125" t="s">
        <v>5456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4894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93</v>
      </c>
      <c r="R3280" s="115" t="s">
        <v>1459</v>
      </c>
      <c r="S3280" s="125"/>
    </row>
    <row r="3281" spans="1:19" hidden="1">
      <c r="A3281" s="124" t="s">
        <v>5478</v>
      </c>
      <c r="B3281" s="149" t="str">
        <f>IFERROR(VLOOKUP(Proc[[#This Row],[App]],Table2[],3,0),"open")</f>
        <v>ok</v>
      </c>
      <c r="C3281" s="124" t="s">
        <v>369</v>
      </c>
      <c r="D3281" t="s">
        <v>5308</v>
      </c>
      <c r="E3281" t="s">
        <v>5463</v>
      </c>
      <c r="F3281" s="125" t="s">
        <v>5463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4894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93</v>
      </c>
      <c r="R3281" s="115" t="s">
        <v>1459</v>
      </c>
      <c r="S3281" s="125"/>
    </row>
    <row r="3282" spans="1:19" hidden="1">
      <c r="A3282" s="124" t="s">
        <v>5478</v>
      </c>
      <c r="B3282" s="149" t="str">
        <f>IFERROR(VLOOKUP(Proc[[#This Row],[App]],Table2[],3,0),"open")</f>
        <v>ok</v>
      </c>
      <c r="C3282" s="124" t="s">
        <v>369</v>
      </c>
      <c r="D3282" t="s">
        <v>5309</v>
      </c>
      <c r="E3282" t="s">
        <v>5459</v>
      </c>
      <c r="F3282" s="125" t="s">
        <v>5459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4894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93</v>
      </c>
      <c r="R3282" s="115" t="s">
        <v>1459</v>
      </c>
      <c r="S3282" s="125"/>
    </row>
    <row r="3283" spans="1:19" hidden="1">
      <c r="A3283" s="124" t="s">
        <v>5478</v>
      </c>
      <c r="B3283" s="149" t="str">
        <f>IFERROR(VLOOKUP(Proc[[#This Row],[App]],Table2[],3,0),"open")</f>
        <v>ok</v>
      </c>
      <c r="C3283" s="149" t="s">
        <v>377</v>
      </c>
      <c r="D3283" t="s">
        <v>2319</v>
      </c>
      <c r="E3283" t="s">
        <v>430</v>
      </c>
      <c r="F3283" s="150" t="s">
        <v>5569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4832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4894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93</v>
      </c>
      <c r="R3283" s="115" t="s">
        <v>1459</v>
      </c>
      <c r="S3283" s="125"/>
    </row>
    <row r="3284" spans="1:19" hidden="1">
      <c r="A3284" s="124" t="s">
        <v>5478</v>
      </c>
      <c r="B3284" s="149" t="str">
        <f>IFERROR(VLOOKUP(Proc[[#This Row],[App]],Table2[],3,0),"open")</f>
        <v>ok</v>
      </c>
      <c r="C3284" s="124" t="s">
        <v>369</v>
      </c>
      <c r="D3284" t="s">
        <v>5310</v>
      </c>
      <c r="E3284" t="s">
        <v>5464</v>
      </c>
      <c r="F3284" s="125" t="s">
        <v>5464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4894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93</v>
      </c>
      <c r="R3284" s="115" t="s">
        <v>1459</v>
      </c>
      <c r="S3284" s="125"/>
    </row>
    <row r="3285" spans="1:19" hidden="1">
      <c r="A3285" s="124" t="s">
        <v>5478</v>
      </c>
      <c r="B3285" s="149" t="str">
        <f>IFERROR(VLOOKUP(Proc[[#This Row],[App]],Table2[],3,0),"open")</f>
        <v>ok</v>
      </c>
      <c r="C3285" s="124" t="s">
        <v>369</v>
      </c>
      <c r="D3285" t="s">
        <v>5311</v>
      </c>
      <c r="E3285" t="s">
        <v>5456</v>
      </c>
      <c r="F3285" s="125" t="s">
        <v>5456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4894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93</v>
      </c>
      <c r="R3285" s="115" t="s">
        <v>1459</v>
      </c>
      <c r="S3285" s="125"/>
    </row>
    <row r="3286" spans="1:19" hidden="1">
      <c r="A3286" s="124" t="s">
        <v>5478</v>
      </c>
      <c r="B3286" s="149" t="str">
        <f>IFERROR(VLOOKUP(Proc[[#This Row],[App]],Table2[],3,0),"open")</f>
        <v>ok</v>
      </c>
      <c r="C3286" s="124" t="s">
        <v>369</v>
      </c>
      <c r="D3286" t="s">
        <v>5312</v>
      </c>
      <c r="E3286" t="s">
        <v>5464</v>
      </c>
      <c r="F3286" s="125" t="s">
        <v>5464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4894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93</v>
      </c>
      <c r="R3286" s="115" t="s">
        <v>1459</v>
      </c>
      <c r="S3286" s="125"/>
    </row>
    <row r="3287" spans="1:19" hidden="1">
      <c r="A3287" s="124" t="s">
        <v>5478</v>
      </c>
      <c r="B3287" s="149" t="str">
        <f>IFERROR(VLOOKUP(Proc[[#This Row],[App]],Table2[],3,0),"open")</f>
        <v>ok</v>
      </c>
      <c r="C3287" s="124" t="s">
        <v>369</v>
      </c>
      <c r="D3287" t="s">
        <v>5313</v>
      </c>
      <c r="E3287" t="s">
        <v>5456</v>
      </c>
      <c r="F3287" s="125" t="s">
        <v>5456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4894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93</v>
      </c>
      <c r="R3287" s="115" t="s">
        <v>1459</v>
      </c>
      <c r="S3287" s="125"/>
    </row>
    <row r="3288" spans="1:19" hidden="1">
      <c r="A3288" s="124" t="s">
        <v>5478</v>
      </c>
      <c r="B3288" s="149" t="str">
        <f>IFERROR(VLOOKUP(Proc[[#This Row],[App]],Table2[],3,0),"open")</f>
        <v>ok</v>
      </c>
      <c r="C3288" s="124" t="s">
        <v>369</v>
      </c>
      <c r="D3288" t="s">
        <v>5314</v>
      </c>
      <c r="E3288" t="s">
        <v>5453</v>
      </c>
      <c r="F3288" s="125" t="s">
        <v>5453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4894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93</v>
      </c>
      <c r="R3288" s="115" t="s">
        <v>1459</v>
      </c>
      <c r="S3288" s="125"/>
    </row>
    <row r="3289" spans="1:19" hidden="1">
      <c r="A3289" s="124" t="s">
        <v>5478</v>
      </c>
      <c r="B3289" s="149" t="str">
        <f>IFERROR(VLOOKUP(Proc[[#This Row],[App]],Table2[],3,0),"open")</f>
        <v>ok</v>
      </c>
      <c r="C3289" s="124" t="s">
        <v>369</v>
      </c>
      <c r="D3289" t="s">
        <v>5315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4894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93</v>
      </c>
      <c r="R3289" s="115" t="s">
        <v>1459</v>
      </c>
      <c r="S3289" s="125"/>
    </row>
    <row r="3290" spans="1:19" hidden="1">
      <c r="A3290" s="124" t="s">
        <v>5478</v>
      </c>
      <c r="B3290" s="149" t="str">
        <f>IFERROR(VLOOKUP(Proc[[#This Row],[App]],Table2[],3,0),"open")</f>
        <v>ok</v>
      </c>
      <c r="C3290" s="124" t="s">
        <v>369</v>
      </c>
      <c r="D3290" t="s">
        <v>5316</v>
      </c>
      <c r="E3290" t="s">
        <v>5452</v>
      </c>
      <c r="F3290" s="125" t="s">
        <v>5452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4894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93</v>
      </c>
      <c r="R3290" s="115" t="s">
        <v>1459</v>
      </c>
      <c r="S3290" s="125"/>
    </row>
    <row r="3291" spans="1:19" hidden="1">
      <c r="A3291" s="124" t="s">
        <v>5478</v>
      </c>
      <c r="B3291" s="149" t="str">
        <f>IFERROR(VLOOKUP(Proc[[#This Row],[App]],Table2[],3,0),"open")</f>
        <v>ok</v>
      </c>
      <c r="C3291" s="124" t="s">
        <v>369</v>
      </c>
      <c r="D3291" t="s">
        <v>5317</v>
      </c>
      <c r="E3291" t="s">
        <v>5452</v>
      </c>
      <c r="F3291" s="125" t="s">
        <v>5452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4894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93</v>
      </c>
      <c r="R3291" s="115" t="s">
        <v>1459</v>
      </c>
      <c r="S3291" s="125"/>
    </row>
    <row r="3292" spans="1:19" hidden="1">
      <c r="A3292" s="124" t="s">
        <v>5478</v>
      </c>
      <c r="B3292" s="149" t="str">
        <f>IFERROR(VLOOKUP(Proc[[#This Row],[App]],Table2[],3,0),"open")</f>
        <v>ok</v>
      </c>
      <c r="C3292" s="124" t="s">
        <v>369</v>
      </c>
      <c r="D3292" t="s">
        <v>5318</v>
      </c>
      <c r="E3292" t="s">
        <v>5444</v>
      </c>
      <c r="F3292" s="125" t="s">
        <v>5444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4894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93</v>
      </c>
      <c r="R3292" s="115" t="s">
        <v>1459</v>
      </c>
      <c r="S3292" s="125"/>
    </row>
    <row r="3293" spans="1:19" hidden="1">
      <c r="A3293" s="124" t="s">
        <v>5478</v>
      </c>
      <c r="B3293" s="149" t="str">
        <f>IFERROR(VLOOKUP(Proc[[#This Row],[App]],Table2[],3,0),"open")</f>
        <v>ok</v>
      </c>
      <c r="C3293" s="124" t="s">
        <v>369</v>
      </c>
      <c r="D3293" t="s">
        <v>5319</v>
      </c>
      <c r="E3293" t="s">
        <v>5445</v>
      </c>
      <c r="F3293" s="125" t="s">
        <v>5445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4894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93</v>
      </c>
      <c r="R3293" s="115" t="s">
        <v>1459</v>
      </c>
      <c r="S3293" s="125"/>
    </row>
    <row r="3294" spans="1:19" hidden="1">
      <c r="A3294" s="124" t="s">
        <v>5478</v>
      </c>
      <c r="B3294" s="149" t="str">
        <f>IFERROR(VLOOKUP(Proc[[#This Row],[App]],Table2[],3,0),"open")</f>
        <v>ok</v>
      </c>
      <c r="C3294" s="124" t="s">
        <v>369</v>
      </c>
      <c r="D3294" t="s">
        <v>5320</v>
      </c>
      <c r="E3294" t="s">
        <v>5452</v>
      </c>
      <c r="F3294" s="125" t="s">
        <v>5452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4894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93</v>
      </c>
      <c r="R3294" s="115" t="s">
        <v>1459</v>
      </c>
      <c r="S3294" s="125"/>
    </row>
    <row r="3295" spans="1:19" hidden="1">
      <c r="A3295" s="124" t="s">
        <v>5478</v>
      </c>
      <c r="B3295" s="149" t="str">
        <f>IFERROR(VLOOKUP(Proc[[#This Row],[App]],Table2[],3,0),"open")</f>
        <v>ok</v>
      </c>
      <c r="C3295" s="124" t="s">
        <v>369</v>
      </c>
      <c r="D3295" t="s">
        <v>5321</v>
      </c>
      <c r="E3295" t="s">
        <v>5446</v>
      </c>
      <c r="F3295" s="125" t="s">
        <v>5446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4894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93</v>
      </c>
      <c r="R3295" s="115" t="s">
        <v>1459</v>
      </c>
      <c r="S3295" s="125"/>
    </row>
    <row r="3296" spans="1:19" hidden="1">
      <c r="A3296" s="124" t="s">
        <v>5478</v>
      </c>
      <c r="B3296" s="149" t="str">
        <f>IFERROR(VLOOKUP(Proc[[#This Row],[App]],Table2[],3,0),"open")</f>
        <v>ok</v>
      </c>
      <c r="C3296" s="124" t="s">
        <v>369</v>
      </c>
      <c r="D3296" t="s">
        <v>5322</v>
      </c>
      <c r="E3296" t="s">
        <v>5464</v>
      </c>
      <c r="F3296" s="125" t="s">
        <v>5464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4894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93</v>
      </c>
      <c r="R3296" s="115" t="s">
        <v>1459</v>
      </c>
      <c r="S3296" s="125"/>
    </row>
    <row r="3297" spans="1:19" hidden="1">
      <c r="A3297" s="124" t="s">
        <v>5478</v>
      </c>
      <c r="B3297" s="149" t="str">
        <f>IFERROR(VLOOKUP(Proc[[#This Row],[App]],Table2[],3,0),"open")</f>
        <v>ok</v>
      </c>
      <c r="C3297" s="124" t="s">
        <v>369</v>
      </c>
      <c r="D3297" t="s">
        <v>5323</v>
      </c>
      <c r="E3297" t="s">
        <v>5452</v>
      </c>
      <c r="F3297" s="125" t="s">
        <v>5452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4894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93</v>
      </c>
      <c r="R3297" s="115" t="s">
        <v>1459</v>
      </c>
      <c r="S3297" s="125"/>
    </row>
    <row r="3298" spans="1:19" hidden="1">
      <c r="A3298" s="124" t="s">
        <v>5478</v>
      </c>
      <c r="B3298" s="149" t="str">
        <f>IFERROR(VLOOKUP(Proc[[#This Row],[App]],Table2[],3,0),"open")</f>
        <v>ok</v>
      </c>
      <c r="C3298" s="124" t="s">
        <v>369</v>
      </c>
      <c r="D3298" t="s">
        <v>5324</v>
      </c>
      <c r="E3298" t="s">
        <v>5444</v>
      </c>
      <c r="F3298" s="125" t="s">
        <v>5444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4894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93</v>
      </c>
      <c r="R3298" s="115" t="s">
        <v>1459</v>
      </c>
      <c r="S3298" s="125"/>
    </row>
    <row r="3299" spans="1:19" hidden="1">
      <c r="A3299" s="124" t="s">
        <v>5478</v>
      </c>
      <c r="B3299" s="149" t="str">
        <f>IFERROR(VLOOKUP(Proc[[#This Row],[App]],Table2[],3,0),"open")</f>
        <v>ok</v>
      </c>
      <c r="C3299" s="124" t="s">
        <v>369</v>
      </c>
      <c r="D3299" t="s">
        <v>5325</v>
      </c>
      <c r="E3299" t="s">
        <v>5464</v>
      </c>
      <c r="F3299" s="125" t="s">
        <v>5464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4894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93</v>
      </c>
      <c r="R3299" s="115" t="s">
        <v>1459</v>
      </c>
      <c r="S3299" s="125"/>
    </row>
    <row r="3300" spans="1:19" hidden="1">
      <c r="A3300" s="124" t="s">
        <v>5478</v>
      </c>
      <c r="B3300" s="149" t="str">
        <f>IFERROR(VLOOKUP(Proc[[#This Row],[App]],Table2[],3,0),"open")</f>
        <v>ok</v>
      </c>
      <c r="C3300" s="124" t="s">
        <v>369</v>
      </c>
      <c r="D3300" t="s">
        <v>5326</v>
      </c>
      <c r="E3300" t="s">
        <v>4410</v>
      </c>
      <c r="F3300" s="140" t="s">
        <v>4410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5479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4894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93</v>
      </c>
      <c r="R3300" s="115" t="s">
        <v>1459</v>
      </c>
      <c r="S3300" s="125"/>
    </row>
    <row r="3301" spans="1:19" hidden="1">
      <c r="A3301" s="124" t="s">
        <v>5478</v>
      </c>
      <c r="B3301" s="149" t="str">
        <f>IFERROR(VLOOKUP(Proc[[#This Row],[App]],Table2[],3,0),"open")</f>
        <v>ok</v>
      </c>
      <c r="C3301" s="124" t="s">
        <v>369</v>
      </c>
      <c r="D3301" t="s">
        <v>5327</v>
      </c>
      <c r="E3301" t="s">
        <v>5444</v>
      </c>
      <c r="F3301" s="125" t="s">
        <v>5444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4894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93</v>
      </c>
      <c r="R3301" s="115" t="s">
        <v>1459</v>
      </c>
      <c r="S3301" s="125"/>
    </row>
    <row r="3302" spans="1:19" hidden="1">
      <c r="A3302" s="124" t="s">
        <v>5478</v>
      </c>
      <c r="B3302" s="149" t="str">
        <f>IFERROR(VLOOKUP(Proc[[#This Row],[App]],Table2[],3,0),"open")</f>
        <v>ok</v>
      </c>
      <c r="C3302" s="124" t="s">
        <v>369</v>
      </c>
      <c r="D3302" t="s">
        <v>5328</v>
      </c>
      <c r="E3302" t="s">
        <v>5456</v>
      </c>
      <c r="F3302" s="125" t="s">
        <v>5456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4894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93</v>
      </c>
      <c r="R3302" s="115" t="s">
        <v>1459</v>
      </c>
      <c r="S3302" s="125"/>
    </row>
    <row r="3303" spans="1:19" hidden="1">
      <c r="A3303" s="124" t="s">
        <v>5478</v>
      </c>
      <c r="B3303" s="149" t="str">
        <f>IFERROR(VLOOKUP(Proc[[#This Row],[App]],Table2[],3,0),"open")</f>
        <v>ok</v>
      </c>
      <c r="C3303" s="124" t="s">
        <v>369</v>
      </c>
      <c r="D3303" t="s">
        <v>5329</v>
      </c>
      <c r="E3303" t="s">
        <v>5452</v>
      </c>
      <c r="F3303" s="125" t="s">
        <v>5452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4894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93</v>
      </c>
      <c r="R3303" s="115" t="s">
        <v>1459</v>
      </c>
      <c r="S3303" s="125"/>
    </row>
    <row r="3304" spans="1:19" hidden="1">
      <c r="A3304" s="124" t="s">
        <v>5478</v>
      </c>
      <c r="B3304" s="149" t="str">
        <f>IFERROR(VLOOKUP(Proc[[#This Row],[App]],Table2[],3,0),"open")</f>
        <v>ok</v>
      </c>
      <c r="C3304" s="124" t="s">
        <v>369</v>
      </c>
      <c r="D3304" t="s">
        <v>5330</v>
      </c>
      <c r="E3304" t="s">
        <v>5452</v>
      </c>
      <c r="F3304" s="125" t="s">
        <v>5452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4894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93</v>
      </c>
      <c r="R3304" s="115" t="s">
        <v>1459</v>
      </c>
      <c r="S3304" s="125"/>
    </row>
    <row r="3305" spans="1:19" hidden="1">
      <c r="A3305" s="124" t="s">
        <v>5478</v>
      </c>
      <c r="B3305" s="149" t="str">
        <f>IFERROR(VLOOKUP(Proc[[#This Row],[App]],Table2[],3,0),"open")</f>
        <v>ok</v>
      </c>
      <c r="C3305" s="124" t="s">
        <v>369</v>
      </c>
      <c r="D3305" t="s">
        <v>5331</v>
      </c>
      <c r="E3305" t="s">
        <v>5445</v>
      </c>
      <c r="F3305" s="125" t="s">
        <v>5445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4894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93</v>
      </c>
      <c r="R3305" s="115" t="s">
        <v>1459</v>
      </c>
      <c r="S3305" s="125"/>
    </row>
    <row r="3306" spans="1:19" hidden="1">
      <c r="A3306" s="124" t="s">
        <v>5478</v>
      </c>
      <c r="B3306" s="149" t="str">
        <f>IFERROR(VLOOKUP(Proc[[#This Row],[App]],Table2[],3,0),"open")</f>
        <v>ok</v>
      </c>
      <c r="C3306" s="124" t="s">
        <v>369</v>
      </c>
      <c r="D3306" t="s">
        <v>5332</v>
      </c>
      <c r="E3306" t="s">
        <v>5457</v>
      </c>
      <c r="F3306" s="125" t="s">
        <v>5457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4894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93</v>
      </c>
      <c r="R3306" s="115" t="s">
        <v>1459</v>
      </c>
      <c r="S3306" s="125"/>
    </row>
    <row r="3307" spans="1:19" hidden="1">
      <c r="A3307" s="124" t="s">
        <v>5478</v>
      </c>
      <c r="B3307" s="149" t="str">
        <f>IFERROR(VLOOKUP(Proc[[#This Row],[App]],Table2[],3,0),"open")</f>
        <v>ok</v>
      </c>
      <c r="C3307" s="124" t="s">
        <v>369</v>
      </c>
      <c r="D3307" t="s">
        <v>5333</v>
      </c>
      <c r="E3307" t="s">
        <v>5444</v>
      </c>
      <c r="F3307" s="125" t="s">
        <v>5444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4894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93</v>
      </c>
      <c r="R3307" s="115" t="s">
        <v>1459</v>
      </c>
      <c r="S3307" s="125"/>
    </row>
    <row r="3308" spans="1:19" hidden="1">
      <c r="A3308" s="124" t="s">
        <v>5478</v>
      </c>
      <c r="B3308" s="149" t="str">
        <f>IFERROR(VLOOKUP(Proc[[#This Row],[App]],Table2[],3,0),"open")</f>
        <v>ok</v>
      </c>
      <c r="C3308" s="124" t="s">
        <v>369</v>
      </c>
      <c r="D3308" t="s">
        <v>1457</v>
      </c>
      <c r="E3308" t="s">
        <v>5444</v>
      </c>
      <c r="F3308" s="125" t="s">
        <v>5444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4894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93</v>
      </c>
      <c r="R3308" s="115" t="s">
        <v>1459</v>
      </c>
      <c r="S3308" s="125"/>
    </row>
    <row r="3309" spans="1:19" hidden="1">
      <c r="A3309" s="124" t="s">
        <v>5478</v>
      </c>
      <c r="B3309" s="149" t="str">
        <f>IFERROR(VLOOKUP(Proc[[#This Row],[App]],Table2[],3,0),"open")</f>
        <v>ok</v>
      </c>
      <c r="C3309" s="124" t="s">
        <v>369</v>
      </c>
      <c r="D3309" t="s">
        <v>5334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4894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93</v>
      </c>
      <c r="R3309" s="115" t="s">
        <v>1459</v>
      </c>
      <c r="S3309" s="125"/>
    </row>
    <row r="3310" spans="1:19" hidden="1">
      <c r="A3310" s="124" t="s">
        <v>5478</v>
      </c>
      <c r="B3310" s="149" t="str">
        <f>IFERROR(VLOOKUP(Proc[[#This Row],[App]],Table2[],3,0),"open")</f>
        <v>ok</v>
      </c>
      <c r="C3310" s="124" t="s">
        <v>369</v>
      </c>
      <c r="D3310" t="s">
        <v>5335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4894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93</v>
      </c>
      <c r="R3310" s="115" t="s">
        <v>1459</v>
      </c>
      <c r="S3310" s="125"/>
    </row>
    <row r="3311" spans="1:19" hidden="1">
      <c r="A3311" s="124" t="s">
        <v>5478</v>
      </c>
      <c r="B3311" s="149" t="str">
        <f>IFERROR(VLOOKUP(Proc[[#This Row],[App]],Table2[],3,0),"open")</f>
        <v>ok</v>
      </c>
      <c r="C3311" s="124" t="s">
        <v>369</v>
      </c>
      <c r="D3311" t="s">
        <v>5336</v>
      </c>
      <c r="E3311" t="s">
        <v>5465</v>
      </c>
      <c r="F3311" s="125" t="s">
        <v>5465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4894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93</v>
      </c>
      <c r="R3311" s="115" t="s">
        <v>1459</v>
      </c>
      <c r="S3311" s="125"/>
    </row>
    <row r="3312" spans="1:19" hidden="1">
      <c r="A3312" s="124" t="s">
        <v>5478</v>
      </c>
      <c r="B3312" s="149" t="str">
        <f>IFERROR(VLOOKUP(Proc[[#This Row],[App]],Table2[],3,0),"open")</f>
        <v>ok</v>
      </c>
      <c r="C3312" s="124" t="s">
        <v>369</v>
      </c>
      <c r="D3312" t="s">
        <v>5337</v>
      </c>
      <c r="E3312" t="s">
        <v>5466</v>
      </c>
      <c r="F3312" s="125" t="s">
        <v>5466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4894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93</v>
      </c>
      <c r="R3312" s="115" t="s">
        <v>1459</v>
      </c>
      <c r="S3312" s="125"/>
    </row>
    <row r="3313" spans="1:19" hidden="1">
      <c r="A3313" s="124" t="s">
        <v>5478</v>
      </c>
      <c r="B3313" s="149" t="str">
        <f>IFERROR(VLOOKUP(Proc[[#This Row],[App]],Table2[],3,0),"open")</f>
        <v>ok</v>
      </c>
      <c r="C3313" s="124" t="s">
        <v>369</v>
      </c>
      <c r="D3313" t="s">
        <v>5338</v>
      </c>
      <c r="E3313" t="s">
        <v>5449</v>
      </c>
      <c r="F3313" s="125" t="s">
        <v>5449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4894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93</v>
      </c>
      <c r="R3313" s="115" t="s">
        <v>1459</v>
      </c>
      <c r="S3313" s="125"/>
    </row>
    <row r="3314" spans="1:19" hidden="1">
      <c r="A3314" s="124" t="s">
        <v>5478</v>
      </c>
      <c r="B3314" s="149" t="str">
        <f>IFERROR(VLOOKUP(Proc[[#This Row],[App]],Table2[],3,0),"open")</f>
        <v>ok</v>
      </c>
      <c r="C3314" s="124" t="s">
        <v>369</v>
      </c>
      <c r="D3314" t="s">
        <v>5339</v>
      </c>
      <c r="E3314" t="s">
        <v>5458</v>
      </c>
      <c r="F3314" s="125" t="s">
        <v>5458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4894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93</v>
      </c>
      <c r="R3314" s="115" t="s">
        <v>1459</v>
      </c>
      <c r="S3314" s="125"/>
    </row>
    <row r="3315" spans="1:19" hidden="1">
      <c r="A3315" s="124" t="s">
        <v>5478</v>
      </c>
      <c r="B3315" s="149" t="str">
        <f>IFERROR(VLOOKUP(Proc[[#This Row],[App]],Table2[],3,0),"open")</f>
        <v>ok</v>
      </c>
      <c r="C3315" s="124" t="s">
        <v>369</v>
      </c>
      <c r="D3315" t="s">
        <v>5340</v>
      </c>
      <c r="E3315" t="s">
        <v>5460</v>
      </c>
      <c r="F3315" s="125" t="s">
        <v>5460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4894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93</v>
      </c>
      <c r="R3315" s="115" t="s">
        <v>1459</v>
      </c>
      <c r="S3315" s="125"/>
    </row>
    <row r="3316" spans="1:19" hidden="1">
      <c r="A3316" s="124" t="s">
        <v>5478</v>
      </c>
      <c r="B3316" s="149" t="str">
        <f>IFERROR(VLOOKUP(Proc[[#This Row],[App]],Table2[],3,0),"open")</f>
        <v>ok</v>
      </c>
      <c r="C3316" s="124" t="s">
        <v>369</v>
      </c>
      <c r="D3316" t="s">
        <v>5341</v>
      </c>
      <c r="E3316" t="s">
        <v>5459</v>
      </c>
      <c r="F3316" s="125" t="s">
        <v>5459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4894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93</v>
      </c>
      <c r="R3316" s="115" t="s">
        <v>1459</v>
      </c>
      <c r="S3316" s="125"/>
    </row>
    <row r="3317" spans="1:19" hidden="1">
      <c r="A3317" s="124" t="s">
        <v>5478</v>
      </c>
      <c r="B3317" s="149" t="str">
        <f>IFERROR(VLOOKUP(Proc[[#This Row],[App]],Table2[],3,0),"open")</f>
        <v>ok</v>
      </c>
      <c r="C3317" s="124" t="s">
        <v>369</v>
      </c>
      <c r="D3317" t="s">
        <v>5342</v>
      </c>
      <c r="E3317" t="s">
        <v>5452</v>
      </c>
      <c r="F3317" s="125" t="s">
        <v>5452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4894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93</v>
      </c>
      <c r="R3317" s="115" t="s">
        <v>1459</v>
      </c>
      <c r="S3317" s="125"/>
    </row>
    <row r="3318" spans="1:19" hidden="1">
      <c r="A3318" s="124" t="s">
        <v>5478</v>
      </c>
      <c r="B3318" s="149" t="str">
        <f>IFERROR(VLOOKUP(Proc[[#This Row],[App]],Table2[],3,0),"open")</f>
        <v>ok</v>
      </c>
      <c r="C3318" s="124" t="s">
        <v>369</v>
      </c>
      <c r="D3318" t="s">
        <v>5343</v>
      </c>
      <c r="E3318" t="s">
        <v>5452</v>
      </c>
      <c r="F3318" s="125" t="s">
        <v>5452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4894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93</v>
      </c>
      <c r="R3318" s="115" t="s">
        <v>1459</v>
      </c>
      <c r="S3318" s="125"/>
    </row>
    <row r="3319" spans="1:19" hidden="1">
      <c r="A3319" s="124" t="s">
        <v>5478</v>
      </c>
      <c r="B3319" s="149" t="str">
        <f>IFERROR(VLOOKUP(Proc[[#This Row],[App]],Table2[],3,0),"open")</f>
        <v>ok</v>
      </c>
      <c r="C3319" s="124" t="s">
        <v>369</v>
      </c>
      <c r="D3319" t="s">
        <v>5344</v>
      </c>
      <c r="E3319" t="s">
        <v>5452</v>
      </c>
      <c r="F3319" s="125" t="s">
        <v>5452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4894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93</v>
      </c>
      <c r="R3319" s="115" t="s">
        <v>1459</v>
      </c>
      <c r="S3319" s="125"/>
    </row>
    <row r="3320" spans="1:19" hidden="1">
      <c r="A3320" s="124" t="s">
        <v>5478</v>
      </c>
      <c r="B3320" s="149" t="str">
        <f>IFERROR(VLOOKUP(Proc[[#This Row],[App]],Table2[],3,0),"open")</f>
        <v>ok</v>
      </c>
      <c r="C3320" s="124" t="s">
        <v>369</v>
      </c>
      <c r="D3320" t="s">
        <v>5345</v>
      </c>
      <c r="E3320" t="s">
        <v>5452</v>
      </c>
      <c r="F3320" s="125" t="s">
        <v>5452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4894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93</v>
      </c>
      <c r="R3320" s="115" t="s">
        <v>1459</v>
      </c>
      <c r="S3320" s="125"/>
    </row>
    <row r="3321" spans="1:19" hidden="1">
      <c r="A3321" s="124" t="s">
        <v>5478</v>
      </c>
      <c r="B3321" s="149" t="str">
        <f>IFERROR(VLOOKUP(Proc[[#This Row],[App]],Table2[],3,0),"open")</f>
        <v>ok</v>
      </c>
      <c r="C3321" s="124" t="s">
        <v>369</v>
      </c>
      <c r="D3321" t="s">
        <v>5346</v>
      </c>
      <c r="E3321" t="s">
        <v>5452</v>
      </c>
      <c r="F3321" s="125" t="s">
        <v>5452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4894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93</v>
      </c>
      <c r="R3321" s="115" t="s">
        <v>1459</v>
      </c>
      <c r="S3321" s="125"/>
    </row>
    <row r="3322" spans="1:19" hidden="1">
      <c r="A3322" s="124" t="s">
        <v>5478</v>
      </c>
      <c r="B3322" s="149" t="str">
        <f>IFERROR(VLOOKUP(Proc[[#This Row],[App]],Table2[],3,0),"open")</f>
        <v>ok</v>
      </c>
      <c r="C3322" s="124" t="s">
        <v>369</v>
      </c>
      <c r="D3322" t="s">
        <v>5347</v>
      </c>
      <c r="E3322" t="s">
        <v>5452</v>
      </c>
      <c r="F3322" s="125" t="s">
        <v>5452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4894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93</v>
      </c>
      <c r="R3322" s="115" t="s">
        <v>1459</v>
      </c>
      <c r="S3322" s="125"/>
    </row>
    <row r="3323" spans="1:19" hidden="1">
      <c r="A3323" s="124" t="s">
        <v>5478</v>
      </c>
      <c r="B3323" s="149" t="str">
        <f>IFERROR(VLOOKUP(Proc[[#This Row],[App]],Table2[],3,0),"open")</f>
        <v>ok</v>
      </c>
      <c r="C3323" s="124" t="s">
        <v>369</v>
      </c>
      <c r="D3323" t="s">
        <v>5348</v>
      </c>
      <c r="E3323" t="s">
        <v>5452</v>
      </c>
      <c r="F3323" s="125" t="s">
        <v>5452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4894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93</v>
      </c>
      <c r="R3323" s="115" t="s">
        <v>1459</v>
      </c>
      <c r="S3323" s="125"/>
    </row>
    <row r="3324" spans="1:19" hidden="1">
      <c r="A3324" s="124" t="s">
        <v>5478</v>
      </c>
      <c r="B3324" s="149" t="str">
        <f>IFERROR(VLOOKUP(Proc[[#This Row],[App]],Table2[],3,0),"open")</f>
        <v>ok</v>
      </c>
      <c r="C3324" s="124" t="s">
        <v>369</v>
      </c>
      <c r="D3324" t="s">
        <v>5349</v>
      </c>
      <c r="E3324" t="s">
        <v>5450</v>
      </c>
      <c r="F3324" s="125" t="s">
        <v>5450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4894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93</v>
      </c>
      <c r="R3324" s="115" t="s">
        <v>1459</v>
      </c>
      <c r="S3324" s="125"/>
    </row>
    <row r="3325" spans="1:19" hidden="1">
      <c r="A3325" s="124" t="s">
        <v>5478</v>
      </c>
      <c r="B3325" s="149" t="str">
        <f>IFERROR(VLOOKUP(Proc[[#This Row],[App]],Table2[],3,0),"open")</f>
        <v>ok</v>
      </c>
      <c r="C3325" s="124" t="s">
        <v>369</v>
      </c>
      <c r="D3325" t="s">
        <v>5350</v>
      </c>
      <c r="E3325" t="s">
        <v>5449</v>
      </c>
      <c r="F3325" s="125" t="s">
        <v>5449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4894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93</v>
      </c>
      <c r="R3325" s="115" t="s">
        <v>1459</v>
      </c>
      <c r="S3325" s="125"/>
    </row>
    <row r="3326" spans="1:19" hidden="1">
      <c r="A3326" s="124" t="s">
        <v>5478</v>
      </c>
      <c r="B3326" s="149" t="str">
        <f>IFERROR(VLOOKUP(Proc[[#This Row],[App]],Table2[],3,0),"open")</f>
        <v>ok</v>
      </c>
      <c r="C3326" s="124" t="s">
        <v>369</v>
      </c>
      <c r="D3326" t="s">
        <v>5351</v>
      </c>
      <c r="E3326" t="s">
        <v>5450</v>
      </c>
      <c r="F3326" s="125" t="s">
        <v>5450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4894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93</v>
      </c>
      <c r="R3326" s="115" t="s">
        <v>1459</v>
      </c>
      <c r="S3326" s="125"/>
    </row>
    <row r="3327" spans="1:19" hidden="1">
      <c r="A3327" s="124" t="s">
        <v>5478</v>
      </c>
      <c r="B3327" s="149" t="str">
        <f>IFERROR(VLOOKUP(Proc[[#This Row],[App]],Table2[],3,0),"open")</f>
        <v>ok</v>
      </c>
      <c r="C3327" s="124" t="s">
        <v>369</v>
      </c>
      <c r="D3327" t="s">
        <v>5352</v>
      </c>
      <c r="E3327" t="s">
        <v>5450</v>
      </c>
      <c r="F3327" s="125" t="s">
        <v>5450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4894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93</v>
      </c>
      <c r="R3327" s="115" t="s">
        <v>1459</v>
      </c>
      <c r="S3327" s="125"/>
    </row>
    <row r="3328" spans="1:19" hidden="1">
      <c r="A3328" s="124" t="s">
        <v>5478</v>
      </c>
      <c r="B3328" s="149" t="str">
        <f>IFERROR(VLOOKUP(Proc[[#This Row],[App]],Table2[],3,0),"open")</f>
        <v>ok</v>
      </c>
      <c r="C3328" s="124" t="s">
        <v>369</v>
      </c>
      <c r="D3328" t="s">
        <v>5353</v>
      </c>
      <c r="E3328" t="s">
        <v>5450</v>
      </c>
      <c r="F3328" s="125" t="s">
        <v>5450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4894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93</v>
      </c>
      <c r="R3328" s="115" t="s">
        <v>1459</v>
      </c>
      <c r="S3328" s="125"/>
    </row>
    <row r="3329" spans="1:19" hidden="1">
      <c r="A3329" s="124" t="s">
        <v>5478</v>
      </c>
      <c r="B3329" s="149" t="str">
        <f>IFERROR(VLOOKUP(Proc[[#This Row],[App]],Table2[],3,0),"open")</f>
        <v>ok</v>
      </c>
      <c r="C3329" s="124" t="s">
        <v>369</v>
      </c>
      <c r="D3329" t="s">
        <v>5354</v>
      </c>
      <c r="E3329" t="s">
        <v>5450</v>
      </c>
      <c r="F3329" s="125" t="s">
        <v>5450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4894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93</v>
      </c>
      <c r="R3329" s="115" t="s">
        <v>1459</v>
      </c>
      <c r="S3329" s="125"/>
    </row>
    <row r="3330" spans="1:19" hidden="1">
      <c r="A3330" s="124" t="s">
        <v>5478</v>
      </c>
      <c r="B3330" s="149" t="str">
        <f>IFERROR(VLOOKUP(Proc[[#This Row],[App]],Table2[],3,0),"open")</f>
        <v>ok</v>
      </c>
      <c r="C3330" s="124" t="s">
        <v>369</v>
      </c>
      <c r="D3330" t="s">
        <v>5355</v>
      </c>
      <c r="E3330" t="s">
        <v>5446</v>
      </c>
      <c r="F3330" s="125" t="s">
        <v>5446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4894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93</v>
      </c>
      <c r="R3330" s="115" t="s">
        <v>1459</v>
      </c>
      <c r="S3330" s="125"/>
    </row>
    <row r="3331" spans="1:19" hidden="1">
      <c r="A3331" s="124" t="s">
        <v>5478</v>
      </c>
      <c r="B3331" s="149" t="str">
        <f>IFERROR(VLOOKUP(Proc[[#This Row],[App]],Table2[],3,0),"open")</f>
        <v>ok</v>
      </c>
      <c r="C3331" s="124" t="s">
        <v>369</v>
      </c>
      <c r="D3331" t="s">
        <v>5356</v>
      </c>
      <c r="E3331" t="s">
        <v>5446</v>
      </c>
      <c r="F3331" s="125" t="s">
        <v>5446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4894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93</v>
      </c>
      <c r="R3331" s="115" t="s">
        <v>1459</v>
      </c>
      <c r="S3331" s="125"/>
    </row>
    <row r="3332" spans="1:19" hidden="1">
      <c r="A3332" s="124" t="s">
        <v>5478</v>
      </c>
      <c r="B3332" s="149" t="str">
        <f>IFERROR(VLOOKUP(Proc[[#This Row],[App]],Table2[],3,0),"open")</f>
        <v>ok</v>
      </c>
      <c r="C3332" s="124" t="s">
        <v>369</v>
      </c>
      <c r="D3332" t="s">
        <v>5357</v>
      </c>
      <c r="E3332" t="s">
        <v>5452</v>
      </c>
      <c r="F3332" s="125" t="s">
        <v>5452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4894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93</v>
      </c>
      <c r="R3332" s="115" t="s">
        <v>1459</v>
      </c>
      <c r="S3332" s="125"/>
    </row>
    <row r="3333" spans="1:19" hidden="1">
      <c r="A3333" s="124" t="s">
        <v>5478</v>
      </c>
      <c r="B3333" s="149" t="str">
        <f>IFERROR(VLOOKUP(Proc[[#This Row],[App]],Table2[],3,0),"open")</f>
        <v>ok</v>
      </c>
      <c r="C3333" s="124" t="s">
        <v>369</v>
      </c>
      <c r="D3333" t="s">
        <v>5358</v>
      </c>
      <c r="E3333" t="s">
        <v>5467</v>
      </c>
      <c r="F3333" s="125" t="s">
        <v>5467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4894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93</v>
      </c>
      <c r="R3333" s="115" t="s">
        <v>1459</v>
      </c>
      <c r="S3333" s="125"/>
    </row>
    <row r="3334" spans="1:19" hidden="1">
      <c r="A3334" s="124" t="s">
        <v>5478</v>
      </c>
      <c r="B3334" s="149" t="str">
        <f>IFERROR(VLOOKUP(Proc[[#This Row],[App]],Table2[],3,0),"open")</f>
        <v>ok</v>
      </c>
      <c r="C3334" s="124" t="s">
        <v>369</v>
      </c>
      <c r="D3334" t="s">
        <v>5359</v>
      </c>
      <c r="E3334" t="s">
        <v>5468</v>
      </c>
      <c r="F3334" s="125" t="s">
        <v>5468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4894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93</v>
      </c>
      <c r="R3334" s="115" t="s">
        <v>1459</v>
      </c>
      <c r="S3334" s="125"/>
    </row>
    <row r="3335" spans="1:19" hidden="1">
      <c r="A3335" s="124" t="s">
        <v>5478</v>
      </c>
      <c r="B3335" s="149" t="str">
        <f>IFERROR(VLOOKUP(Proc[[#This Row],[App]],Table2[],3,0),"open")</f>
        <v>ok</v>
      </c>
      <c r="C3335" s="124" t="s">
        <v>369</v>
      </c>
      <c r="D3335" t="s">
        <v>5360</v>
      </c>
      <c r="E3335" t="s">
        <v>5445</v>
      </c>
      <c r="F3335" s="125" t="s">
        <v>5445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4894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93</v>
      </c>
      <c r="R3335" s="115" t="s">
        <v>1459</v>
      </c>
      <c r="S3335" s="125"/>
    </row>
    <row r="3336" spans="1:19" hidden="1">
      <c r="A3336" s="124" t="s">
        <v>5478</v>
      </c>
      <c r="B3336" s="149" t="str">
        <f>IFERROR(VLOOKUP(Proc[[#This Row],[App]],Table2[],3,0),"open")</f>
        <v>ok</v>
      </c>
      <c r="C3336" s="124" t="s">
        <v>369</v>
      </c>
      <c r="D3336" t="s">
        <v>5361</v>
      </c>
      <c r="E3336" t="s">
        <v>5449</v>
      </c>
      <c r="F3336" s="125" t="s">
        <v>5449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4894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93</v>
      </c>
      <c r="R3336" s="115" t="s">
        <v>1459</v>
      </c>
      <c r="S3336" s="125"/>
    </row>
    <row r="3337" spans="1:19" hidden="1">
      <c r="A3337" s="124" t="s">
        <v>5478</v>
      </c>
      <c r="B3337" s="149" t="str">
        <f>IFERROR(VLOOKUP(Proc[[#This Row],[App]],Table2[],3,0),"open")</f>
        <v>ok</v>
      </c>
      <c r="C3337" s="124" t="s">
        <v>369</v>
      </c>
      <c r="D3337" t="s">
        <v>5362</v>
      </c>
      <c r="E3337" t="s">
        <v>5449</v>
      </c>
      <c r="F3337" s="125" t="s">
        <v>5449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4894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93</v>
      </c>
      <c r="R3337" s="115" t="s">
        <v>1459</v>
      </c>
      <c r="S3337" s="125"/>
    </row>
    <row r="3338" spans="1:19" hidden="1">
      <c r="A3338" s="124" t="s">
        <v>5478</v>
      </c>
      <c r="B3338" s="149" t="str">
        <f>IFERROR(VLOOKUP(Proc[[#This Row],[App]],Table2[],3,0),"open")</f>
        <v>ok</v>
      </c>
      <c r="C3338" s="124" t="s">
        <v>369</v>
      </c>
      <c r="D3338" t="s">
        <v>5363</v>
      </c>
      <c r="E3338" t="s">
        <v>5457</v>
      </c>
      <c r="F3338" s="125" t="s">
        <v>5457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4894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93</v>
      </c>
      <c r="R3338" s="115" t="s">
        <v>1459</v>
      </c>
      <c r="S3338" s="125"/>
    </row>
    <row r="3339" spans="1:19" hidden="1">
      <c r="A3339" s="124" t="s">
        <v>5478</v>
      </c>
      <c r="B3339" s="149" t="str">
        <f>IFERROR(VLOOKUP(Proc[[#This Row],[App]],Table2[],3,0),"open")</f>
        <v>ok</v>
      </c>
      <c r="C3339" s="124" t="s">
        <v>369</v>
      </c>
      <c r="D3339" t="s">
        <v>5364</v>
      </c>
      <c r="E3339" t="s">
        <v>5446</v>
      </c>
      <c r="F3339" s="125" t="s">
        <v>5446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4894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93</v>
      </c>
      <c r="R3339" s="115" t="s">
        <v>1459</v>
      </c>
      <c r="S3339" s="125"/>
    </row>
    <row r="3340" spans="1:19" hidden="1">
      <c r="A3340" s="124" t="s">
        <v>5478</v>
      </c>
      <c r="B3340" s="149" t="str">
        <f>IFERROR(VLOOKUP(Proc[[#This Row],[App]],Table2[],3,0),"open")</f>
        <v>ok</v>
      </c>
      <c r="C3340" s="124" t="s">
        <v>369</v>
      </c>
      <c r="D3340" t="s">
        <v>5365</v>
      </c>
      <c r="E3340" t="s">
        <v>5469</v>
      </c>
      <c r="F3340" s="125" t="s">
        <v>5469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4894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93</v>
      </c>
      <c r="R3340" s="115" t="s">
        <v>1459</v>
      </c>
      <c r="S3340" s="125"/>
    </row>
    <row r="3341" spans="1:19" hidden="1">
      <c r="A3341" s="124" t="s">
        <v>5478</v>
      </c>
      <c r="B3341" s="149" t="str">
        <f>IFERROR(VLOOKUP(Proc[[#This Row],[App]],Table2[],3,0),"open")</f>
        <v>ok</v>
      </c>
      <c r="C3341" s="124" t="s">
        <v>369</v>
      </c>
      <c r="D3341" t="s">
        <v>5366</v>
      </c>
      <c r="E3341" t="s">
        <v>5456</v>
      </c>
      <c r="F3341" s="125" t="s">
        <v>5456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4894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93</v>
      </c>
      <c r="R3341" s="115" t="s">
        <v>1459</v>
      </c>
      <c r="S3341" s="125"/>
    </row>
    <row r="3342" spans="1:19" hidden="1">
      <c r="A3342" s="124" t="s">
        <v>5478</v>
      </c>
      <c r="B3342" s="149" t="str">
        <f>IFERROR(VLOOKUP(Proc[[#This Row],[App]],Table2[],3,0),"open")</f>
        <v>ok</v>
      </c>
      <c r="C3342" s="124" t="s">
        <v>369</v>
      </c>
      <c r="D3342" t="s">
        <v>5367</v>
      </c>
      <c r="E3342" t="s">
        <v>5452</v>
      </c>
      <c r="F3342" s="125" t="s">
        <v>5452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4894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93</v>
      </c>
      <c r="R3342" s="115" t="s">
        <v>1459</v>
      </c>
      <c r="S3342" s="125"/>
    </row>
    <row r="3343" spans="1:19" hidden="1">
      <c r="A3343" s="124" t="s">
        <v>5478</v>
      </c>
      <c r="B3343" s="149" t="str">
        <f>IFERROR(VLOOKUP(Proc[[#This Row],[App]],Table2[],3,0),"open")</f>
        <v>ok</v>
      </c>
      <c r="C3343" s="124" t="s">
        <v>369</v>
      </c>
      <c r="D3343" t="s">
        <v>5368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4894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93</v>
      </c>
      <c r="R3343" s="115" t="s">
        <v>1459</v>
      </c>
      <c r="S3343" s="125"/>
    </row>
    <row r="3344" spans="1:19" hidden="1">
      <c r="A3344" s="124" t="s">
        <v>5478</v>
      </c>
      <c r="B3344" s="149" t="str">
        <f>IFERROR(VLOOKUP(Proc[[#This Row],[App]],Table2[],3,0),"open")</f>
        <v>ok</v>
      </c>
      <c r="C3344" s="124" t="s">
        <v>369</v>
      </c>
      <c r="D3344" t="s">
        <v>5369</v>
      </c>
      <c r="E3344" t="s">
        <v>5444</v>
      </c>
      <c r="F3344" s="125" t="s">
        <v>5444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4894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93</v>
      </c>
      <c r="R3344" s="115" t="s">
        <v>1459</v>
      </c>
      <c r="S3344" s="125"/>
    </row>
    <row r="3345" spans="1:19" hidden="1">
      <c r="A3345" s="124" t="s">
        <v>5478</v>
      </c>
      <c r="B3345" s="149" t="str">
        <f>IFERROR(VLOOKUP(Proc[[#This Row],[App]],Table2[],3,0),"open")</f>
        <v>ok</v>
      </c>
      <c r="C3345" s="124" t="s">
        <v>369</v>
      </c>
      <c r="D3345" t="s">
        <v>5370</v>
      </c>
      <c r="E3345" t="s">
        <v>5445</v>
      </c>
      <c r="F3345" s="125" t="s">
        <v>5445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4894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93</v>
      </c>
      <c r="R3345" s="115" t="s">
        <v>1459</v>
      </c>
      <c r="S3345" s="125"/>
    </row>
    <row r="3346" spans="1:19" hidden="1">
      <c r="A3346" s="124" t="s">
        <v>5478</v>
      </c>
      <c r="B3346" s="149" t="str">
        <f>IFERROR(VLOOKUP(Proc[[#This Row],[App]],Table2[],3,0),"open")</f>
        <v>ok</v>
      </c>
      <c r="C3346" s="124" t="s">
        <v>369</v>
      </c>
      <c r="D3346" t="s">
        <v>5371</v>
      </c>
      <c r="E3346" t="s">
        <v>5446</v>
      </c>
      <c r="F3346" s="125" t="s">
        <v>5446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4894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93</v>
      </c>
      <c r="R3346" s="115" t="s">
        <v>1459</v>
      </c>
      <c r="S3346" s="125"/>
    </row>
    <row r="3347" spans="1:19" hidden="1">
      <c r="A3347" s="124" t="s">
        <v>5478</v>
      </c>
      <c r="B3347" s="149" t="str">
        <f>IFERROR(VLOOKUP(Proc[[#This Row],[App]],Table2[],3,0),"open")</f>
        <v>ok</v>
      </c>
      <c r="C3347" s="124" t="s">
        <v>369</v>
      </c>
      <c r="D3347" t="s">
        <v>2569</v>
      </c>
      <c r="E3347" t="s">
        <v>5453</v>
      </c>
      <c r="F3347" s="125" t="s">
        <v>5453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4894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93</v>
      </c>
      <c r="R3347" s="115" t="s">
        <v>1459</v>
      </c>
      <c r="S3347" s="125"/>
    </row>
    <row r="3348" spans="1:19" hidden="1">
      <c r="A3348" s="124" t="s">
        <v>5478</v>
      </c>
      <c r="B3348" s="149" t="str">
        <f>IFERROR(VLOOKUP(Proc[[#This Row],[App]],Table2[],3,0),"open")</f>
        <v>ok</v>
      </c>
      <c r="C3348" s="124" t="s">
        <v>369</v>
      </c>
      <c r="D3348" t="s">
        <v>5372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4894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93</v>
      </c>
      <c r="R3348" s="115" t="s">
        <v>1459</v>
      </c>
      <c r="S3348" s="125"/>
    </row>
    <row r="3349" spans="1:19" hidden="1">
      <c r="A3349" s="124" t="s">
        <v>5478</v>
      </c>
      <c r="B3349" s="149" t="str">
        <f>IFERROR(VLOOKUP(Proc[[#This Row],[App]],Table2[],3,0),"open")</f>
        <v>ok</v>
      </c>
      <c r="C3349" s="124" t="s">
        <v>369</v>
      </c>
      <c r="D3349" t="s">
        <v>5373</v>
      </c>
      <c r="E3349" t="s">
        <v>5446</v>
      </c>
      <c r="F3349" s="125" t="s">
        <v>5446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4894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93</v>
      </c>
      <c r="R3349" s="115" t="s">
        <v>1459</v>
      </c>
      <c r="S3349" s="125"/>
    </row>
    <row r="3350" spans="1:19" hidden="1">
      <c r="A3350" s="124" t="s">
        <v>5478</v>
      </c>
      <c r="B3350" s="149" t="str">
        <f>IFERROR(VLOOKUP(Proc[[#This Row],[App]],Table2[],3,0),"open")</f>
        <v>ok</v>
      </c>
      <c r="C3350" s="124" t="s">
        <v>369</v>
      </c>
      <c r="D3350" t="s">
        <v>5374</v>
      </c>
      <c r="E3350" t="s">
        <v>5445</v>
      </c>
      <c r="F3350" s="125" t="s">
        <v>5445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4894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93</v>
      </c>
      <c r="R3350" s="115" t="s">
        <v>1459</v>
      </c>
      <c r="S3350" s="125"/>
    </row>
    <row r="3351" spans="1:19" hidden="1">
      <c r="A3351" s="124" t="s">
        <v>5478</v>
      </c>
      <c r="B3351" s="149" t="str">
        <f>IFERROR(VLOOKUP(Proc[[#This Row],[App]],Table2[],3,0),"open")</f>
        <v>ok</v>
      </c>
      <c r="C3351" s="124" t="s">
        <v>369</v>
      </c>
      <c r="D3351" t="s">
        <v>5375</v>
      </c>
      <c r="E3351" t="s">
        <v>5470</v>
      </c>
      <c r="F3351" s="125" t="s">
        <v>5470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4894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93</v>
      </c>
      <c r="R3351" s="115" t="s">
        <v>1459</v>
      </c>
      <c r="S3351" s="125"/>
    </row>
    <row r="3352" spans="1:19" hidden="1">
      <c r="A3352" s="124" t="s">
        <v>5478</v>
      </c>
      <c r="B3352" s="149" t="str">
        <f>IFERROR(VLOOKUP(Proc[[#This Row],[App]],Table2[],3,0),"open")</f>
        <v>ok</v>
      </c>
      <c r="C3352" s="124" t="s">
        <v>369</v>
      </c>
      <c r="D3352" t="s">
        <v>5376</v>
      </c>
      <c r="E3352" t="s">
        <v>5444</v>
      </c>
      <c r="F3352" s="125" t="s">
        <v>5444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4894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93</v>
      </c>
      <c r="R3352" s="115" t="s">
        <v>1459</v>
      </c>
      <c r="S3352" s="125"/>
    </row>
    <row r="3353" spans="1:19" hidden="1">
      <c r="A3353" s="124" t="s">
        <v>5478</v>
      </c>
      <c r="B3353" s="149" t="str">
        <f>IFERROR(VLOOKUP(Proc[[#This Row],[App]],Table2[],3,0),"open")</f>
        <v>ok</v>
      </c>
      <c r="C3353" s="124" t="s">
        <v>369</v>
      </c>
      <c r="D3353" t="s">
        <v>5377</v>
      </c>
      <c r="E3353" t="s">
        <v>5464</v>
      </c>
      <c r="F3353" s="125" t="s">
        <v>5464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4894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93</v>
      </c>
      <c r="R3353" s="115" t="s">
        <v>1459</v>
      </c>
      <c r="S3353" s="125"/>
    </row>
    <row r="3354" spans="1:19" hidden="1">
      <c r="A3354" s="124" t="s">
        <v>5478</v>
      </c>
      <c r="B3354" s="149" t="str">
        <f>IFERROR(VLOOKUP(Proc[[#This Row],[App]],Table2[],3,0),"open")</f>
        <v>ok</v>
      </c>
      <c r="C3354" s="124" t="s">
        <v>369</v>
      </c>
      <c r="D3354" t="s">
        <v>5378</v>
      </c>
      <c r="E3354" t="s">
        <v>5446</v>
      </c>
      <c r="F3354" s="125" t="s">
        <v>5446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4894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93</v>
      </c>
      <c r="R3354" s="115" t="s">
        <v>1459</v>
      </c>
      <c r="S3354" s="125"/>
    </row>
    <row r="3355" spans="1:19" hidden="1">
      <c r="A3355" s="124" t="s">
        <v>5478</v>
      </c>
      <c r="B3355" s="149" t="str">
        <f>IFERROR(VLOOKUP(Proc[[#This Row],[App]],Table2[],3,0),"open")</f>
        <v>ok</v>
      </c>
      <c r="C3355" s="124" t="s">
        <v>369</v>
      </c>
      <c r="D3355" t="s">
        <v>5379</v>
      </c>
      <c r="E3355" t="s">
        <v>5455</v>
      </c>
      <c r="F3355" s="125" t="s">
        <v>5455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4894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93</v>
      </c>
      <c r="R3355" s="115" t="s">
        <v>1459</v>
      </c>
      <c r="S3355" s="125"/>
    </row>
    <row r="3356" spans="1:19" hidden="1">
      <c r="A3356" s="124" t="s">
        <v>5478</v>
      </c>
      <c r="B3356" s="149" t="str">
        <f>IFERROR(VLOOKUP(Proc[[#This Row],[App]],Table2[],3,0),"open")</f>
        <v>ok</v>
      </c>
      <c r="C3356" s="124" t="s">
        <v>369</v>
      </c>
      <c r="D3356" t="s">
        <v>5380</v>
      </c>
      <c r="E3356" t="s">
        <v>5445</v>
      </c>
      <c r="F3356" s="125" t="s">
        <v>5445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4894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93</v>
      </c>
      <c r="R3356" s="115" t="s">
        <v>1459</v>
      </c>
      <c r="S3356" s="125"/>
    </row>
    <row r="3357" spans="1:19" hidden="1">
      <c r="A3357" s="124" t="s">
        <v>5478</v>
      </c>
      <c r="B3357" s="149" t="str">
        <f>IFERROR(VLOOKUP(Proc[[#This Row],[App]],Table2[],3,0),"open")</f>
        <v>ok</v>
      </c>
      <c r="C3357" s="124" t="s">
        <v>369</v>
      </c>
      <c r="D3357" t="s">
        <v>5381</v>
      </c>
      <c r="E3357" t="s">
        <v>5453</v>
      </c>
      <c r="F3357" s="125" t="s">
        <v>5453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4894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93</v>
      </c>
      <c r="R3357" s="115" t="s">
        <v>1459</v>
      </c>
      <c r="S3357" s="125"/>
    </row>
    <row r="3358" spans="1:19" hidden="1">
      <c r="A3358" s="124" t="s">
        <v>5478</v>
      </c>
      <c r="B3358" s="149" t="str">
        <f>IFERROR(VLOOKUP(Proc[[#This Row],[App]],Table2[],3,0),"open")</f>
        <v>ok</v>
      </c>
      <c r="C3358" s="124" t="s">
        <v>369</v>
      </c>
      <c r="D3358" t="s">
        <v>5382</v>
      </c>
      <c r="E3358" t="s">
        <v>5448</v>
      </c>
      <c r="F3358" s="125" t="s">
        <v>5448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4894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93</v>
      </c>
      <c r="R3358" s="115" t="s">
        <v>1459</v>
      </c>
      <c r="S3358" s="125"/>
    </row>
    <row r="3359" spans="1:19" hidden="1">
      <c r="A3359" s="124" t="s">
        <v>5478</v>
      </c>
      <c r="B3359" s="149" t="str">
        <f>IFERROR(VLOOKUP(Proc[[#This Row],[App]],Table2[],3,0),"open")</f>
        <v>ok</v>
      </c>
      <c r="C3359" s="124" t="s">
        <v>369</v>
      </c>
      <c r="D3359" t="s">
        <v>5383</v>
      </c>
      <c r="E3359" t="s">
        <v>5455</v>
      </c>
      <c r="F3359" s="125" t="s">
        <v>5455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4894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93</v>
      </c>
      <c r="R3359" s="115" t="s">
        <v>1459</v>
      </c>
      <c r="S3359" s="125"/>
    </row>
    <row r="3360" spans="1:19" hidden="1">
      <c r="A3360" s="124" t="s">
        <v>5478</v>
      </c>
      <c r="B3360" s="149" t="str">
        <f>IFERROR(VLOOKUP(Proc[[#This Row],[App]],Table2[],3,0),"open")</f>
        <v>ok</v>
      </c>
      <c r="C3360" s="124" t="s">
        <v>369</v>
      </c>
      <c r="D3360" t="s">
        <v>5384</v>
      </c>
      <c r="E3360" t="s">
        <v>5445</v>
      </c>
      <c r="F3360" s="125" t="s">
        <v>5445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4894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93</v>
      </c>
      <c r="R3360" s="115" t="s">
        <v>1459</v>
      </c>
      <c r="S3360" s="125"/>
    </row>
    <row r="3361" spans="1:19" hidden="1">
      <c r="A3361" s="124" t="s">
        <v>5478</v>
      </c>
      <c r="B3361" s="149" t="str">
        <f>IFERROR(VLOOKUP(Proc[[#This Row],[App]],Table2[],3,0),"open")</f>
        <v>ok</v>
      </c>
      <c r="C3361" s="124" t="s">
        <v>369</v>
      </c>
      <c r="D3361" t="s">
        <v>5385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4894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93</v>
      </c>
      <c r="R3361" s="115" t="s">
        <v>1459</v>
      </c>
      <c r="S3361" s="125"/>
    </row>
    <row r="3362" spans="1:19" hidden="1">
      <c r="A3362" s="124" t="s">
        <v>5478</v>
      </c>
      <c r="B3362" s="149" t="str">
        <f>IFERROR(VLOOKUP(Proc[[#This Row],[App]],Table2[],3,0),"open")</f>
        <v>ok</v>
      </c>
      <c r="C3362" s="124" t="s">
        <v>369</v>
      </c>
      <c r="D3362" t="s">
        <v>5386</v>
      </c>
      <c r="E3362" t="s">
        <v>5445</v>
      </c>
      <c r="F3362" s="125" t="s">
        <v>5445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4894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93</v>
      </c>
      <c r="R3362" s="115" t="s">
        <v>1459</v>
      </c>
      <c r="S3362" s="125"/>
    </row>
    <row r="3363" spans="1:19" hidden="1">
      <c r="A3363" s="124" t="s">
        <v>5478</v>
      </c>
      <c r="B3363" s="149" t="str">
        <f>IFERROR(VLOOKUP(Proc[[#This Row],[App]],Table2[],3,0),"open")</f>
        <v>ok</v>
      </c>
      <c r="C3363" s="124" t="s">
        <v>369</v>
      </c>
      <c r="D3363" t="s">
        <v>5387</v>
      </c>
      <c r="E3363" t="s">
        <v>5471</v>
      </c>
      <c r="F3363" s="125" t="s">
        <v>5471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4894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93</v>
      </c>
      <c r="R3363" s="115" t="s">
        <v>1459</v>
      </c>
      <c r="S3363" s="125"/>
    </row>
    <row r="3364" spans="1:19" hidden="1">
      <c r="A3364" s="124" t="s">
        <v>5478</v>
      </c>
      <c r="B3364" s="149" t="str">
        <f>IFERROR(VLOOKUP(Proc[[#This Row],[App]],Table2[],3,0),"open")</f>
        <v>ok</v>
      </c>
      <c r="C3364" s="124" t="s">
        <v>369</v>
      </c>
      <c r="D3364" t="s">
        <v>5388</v>
      </c>
      <c r="E3364" t="s">
        <v>5472</v>
      </c>
      <c r="F3364" s="125" t="s">
        <v>5472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4894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93</v>
      </c>
      <c r="R3364" s="115" t="s">
        <v>1459</v>
      </c>
      <c r="S3364" s="125"/>
    </row>
    <row r="3365" spans="1:19" hidden="1">
      <c r="A3365" s="124" t="s">
        <v>5478</v>
      </c>
      <c r="B3365" s="149" t="str">
        <f>IFERROR(VLOOKUP(Proc[[#This Row],[App]],Table2[],3,0),"open")</f>
        <v>ok</v>
      </c>
      <c r="C3365" s="124" t="s">
        <v>369</v>
      </c>
      <c r="D3365" t="s">
        <v>5389</v>
      </c>
      <c r="E3365" t="s">
        <v>5453</v>
      </c>
      <c r="F3365" s="125" t="s">
        <v>5453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4894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93</v>
      </c>
      <c r="R3365" s="115" t="s">
        <v>1459</v>
      </c>
      <c r="S3365" s="125"/>
    </row>
    <row r="3366" spans="1:19" hidden="1">
      <c r="A3366" s="124" t="s">
        <v>5478</v>
      </c>
      <c r="B3366" s="149" t="str">
        <f>IFERROR(VLOOKUP(Proc[[#This Row],[App]],Table2[],3,0),"open")</f>
        <v>ok</v>
      </c>
      <c r="C3366" s="124" t="s">
        <v>369</v>
      </c>
      <c r="D3366" t="s">
        <v>5390</v>
      </c>
      <c r="E3366" t="s">
        <v>5446</v>
      </c>
      <c r="F3366" s="125" t="s">
        <v>5446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4894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93</v>
      </c>
      <c r="R3366" s="115" t="s">
        <v>1459</v>
      </c>
      <c r="S3366" s="125"/>
    </row>
    <row r="3367" spans="1:19" hidden="1">
      <c r="A3367" s="124" t="s">
        <v>5478</v>
      </c>
      <c r="B3367" s="149" t="str">
        <f>IFERROR(VLOOKUP(Proc[[#This Row],[App]],Table2[],3,0),"open")</f>
        <v>ok</v>
      </c>
      <c r="C3367" s="124" t="s">
        <v>369</v>
      </c>
      <c r="D3367" t="s">
        <v>5391</v>
      </c>
      <c r="E3367" t="s">
        <v>5455</v>
      </c>
      <c r="F3367" s="125" t="s">
        <v>5455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4894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93</v>
      </c>
      <c r="R3367" s="115" t="s">
        <v>1459</v>
      </c>
      <c r="S3367" s="125"/>
    </row>
    <row r="3368" spans="1:19" hidden="1">
      <c r="A3368" s="124" t="s">
        <v>5478</v>
      </c>
      <c r="B3368" s="149" t="str">
        <f>IFERROR(VLOOKUP(Proc[[#This Row],[App]],Table2[],3,0),"open")</f>
        <v>ok</v>
      </c>
      <c r="C3368" s="124" t="s">
        <v>369</v>
      </c>
      <c r="D3368" t="s">
        <v>5392</v>
      </c>
      <c r="E3368" t="s">
        <v>5453</v>
      </c>
      <c r="F3368" s="125" t="s">
        <v>5453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4894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93</v>
      </c>
      <c r="R3368" s="115" t="s">
        <v>1459</v>
      </c>
      <c r="S3368" s="125"/>
    </row>
    <row r="3369" spans="1:19" hidden="1">
      <c r="A3369" s="124" t="s">
        <v>5478</v>
      </c>
      <c r="B3369" s="149" t="str">
        <f>IFERROR(VLOOKUP(Proc[[#This Row],[App]],Table2[],3,0),"open")</f>
        <v>ok</v>
      </c>
      <c r="C3369" s="124" t="s">
        <v>369</v>
      </c>
      <c r="D3369" t="s">
        <v>5393</v>
      </c>
      <c r="E3369" t="s">
        <v>5445</v>
      </c>
      <c r="F3369" s="125" t="s">
        <v>5445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4894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93</v>
      </c>
      <c r="R3369" s="115" t="s">
        <v>1459</v>
      </c>
      <c r="S3369" s="125"/>
    </row>
    <row r="3370" spans="1:19" hidden="1">
      <c r="A3370" s="124" t="s">
        <v>5478</v>
      </c>
      <c r="B3370" s="149" t="str">
        <f>IFERROR(VLOOKUP(Proc[[#This Row],[App]],Table2[],3,0),"open")</f>
        <v>ok</v>
      </c>
      <c r="C3370" s="124" t="s">
        <v>369</v>
      </c>
      <c r="D3370" t="s">
        <v>5394</v>
      </c>
      <c r="E3370" t="s">
        <v>5452</v>
      </c>
      <c r="F3370" s="125" t="s">
        <v>5452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4894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93</v>
      </c>
      <c r="R3370" s="115" t="s">
        <v>1459</v>
      </c>
      <c r="S3370" s="125"/>
    </row>
    <row r="3371" spans="1:19" hidden="1">
      <c r="A3371" s="124" t="s">
        <v>5478</v>
      </c>
      <c r="B3371" s="149" t="str">
        <f>IFERROR(VLOOKUP(Proc[[#This Row],[App]],Table2[],3,0),"open")</f>
        <v>ok</v>
      </c>
      <c r="C3371" s="124" t="s">
        <v>369</v>
      </c>
      <c r="D3371" t="s">
        <v>5395</v>
      </c>
      <c r="E3371" t="s">
        <v>5446</v>
      </c>
      <c r="F3371" s="125" t="s">
        <v>5446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4894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93</v>
      </c>
      <c r="R3371" s="115" t="s">
        <v>1459</v>
      </c>
      <c r="S3371" s="125"/>
    </row>
    <row r="3372" spans="1:19" hidden="1">
      <c r="A3372" s="124" t="s">
        <v>5478</v>
      </c>
      <c r="B3372" s="149" t="str">
        <f>IFERROR(VLOOKUP(Proc[[#This Row],[App]],Table2[],3,0),"open")</f>
        <v>ok</v>
      </c>
      <c r="C3372" s="124" t="s">
        <v>369</v>
      </c>
      <c r="D3372" t="s">
        <v>5396</v>
      </c>
      <c r="E3372" t="s">
        <v>5445</v>
      </c>
      <c r="F3372" s="125" t="s">
        <v>5445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4894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93</v>
      </c>
      <c r="R3372" s="115" t="s">
        <v>1459</v>
      </c>
      <c r="S3372" s="125"/>
    </row>
    <row r="3373" spans="1:19" hidden="1">
      <c r="A3373" s="124" t="s">
        <v>5478</v>
      </c>
      <c r="B3373" s="149" t="str">
        <f>IFERROR(VLOOKUP(Proc[[#This Row],[App]],Table2[],3,0),"open")</f>
        <v>ok</v>
      </c>
      <c r="C3373" s="124" t="s">
        <v>369</v>
      </c>
      <c r="D3373" t="s">
        <v>5397</v>
      </c>
      <c r="E3373" t="s">
        <v>5445</v>
      </c>
      <c r="F3373" s="125" t="s">
        <v>5445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4894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93</v>
      </c>
      <c r="R3373" s="115" t="s">
        <v>1459</v>
      </c>
      <c r="S3373" s="125"/>
    </row>
    <row r="3374" spans="1:19" hidden="1">
      <c r="A3374" s="124" t="s">
        <v>5478</v>
      </c>
      <c r="B3374" s="149" t="str">
        <f>IFERROR(VLOOKUP(Proc[[#This Row],[App]],Table2[],3,0),"open")</f>
        <v>ok</v>
      </c>
      <c r="C3374" s="124" t="s">
        <v>369</v>
      </c>
      <c r="D3374" t="s">
        <v>5398</v>
      </c>
      <c r="E3374" t="s">
        <v>5448</v>
      </c>
      <c r="F3374" s="125" t="s">
        <v>5448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4894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93</v>
      </c>
      <c r="R3374" s="115" t="s">
        <v>1459</v>
      </c>
      <c r="S3374" s="125"/>
    </row>
    <row r="3375" spans="1:19" hidden="1">
      <c r="A3375" s="124" t="s">
        <v>5478</v>
      </c>
      <c r="B3375" s="149" t="str">
        <f>IFERROR(VLOOKUP(Proc[[#This Row],[App]],Table2[],3,0),"open")</f>
        <v>ok</v>
      </c>
      <c r="C3375" s="124" t="s">
        <v>369</v>
      </c>
      <c r="D3375" t="s">
        <v>5399</v>
      </c>
      <c r="E3375" t="s">
        <v>5448</v>
      </c>
      <c r="F3375" s="125" t="s">
        <v>5448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4894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93</v>
      </c>
      <c r="R3375" s="115" t="s">
        <v>1459</v>
      </c>
      <c r="S3375" s="125"/>
    </row>
    <row r="3376" spans="1:19" hidden="1">
      <c r="A3376" s="124" t="s">
        <v>5478</v>
      </c>
      <c r="B3376" s="149" t="str">
        <f>IFERROR(VLOOKUP(Proc[[#This Row],[App]],Table2[],3,0),"open")</f>
        <v>ok</v>
      </c>
      <c r="C3376" s="124" t="s">
        <v>369</v>
      </c>
      <c r="D3376" t="s">
        <v>5400</v>
      </c>
      <c r="E3376" t="s">
        <v>5456</v>
      </c>
      <c r="F3376" s="125" t="s">
        <v>5456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4894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93</v>
      </c>
      <c r="R3376" s="115" t="s">
        <v>1459</v>
      </c>
      <c r="S3376" s="125"/>
    </row>
    <row r="3377" spans="1:19" hidden="1">
      <c r="A3377" s="124" t="s">
        <v>5478</v>
      </c>
      <c r="B3377" s="149" t="str">
        <f>IFERROR(VLOOKUP(Proc[[#This Row],[App]],Table2[],3,0),"open")</f>
        <v>ok</v>
      </c>
      <c r="C3377" s="124" t="s">
        <v>369</v>
      </c>
      <c r="D3377" t="s">
        <v>5401</v>
      </c>
      <c r="E3377" t="s">
        <v>5464</v>
      </c>
      <c r="F3377" s="125" t="s">
        <v>5464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4894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93</v>
      </c>
      <c r="R3377" s="115" t="s">
        <v>1459</v>
      </c>
      <c r="S3377" s="125"/>
    </row>
    <row r="3378" spans="1:19" hidden="1">
      <c r="A3378" s="124" t="s">
        <v>5478</v>
      </c>
      <c r="B3378" s="149" t="str">
        <f>IFERROR(VLOOKUP(Proc[[#This Row],[App]],Table2[],3,0),"open")</f>
        <v>ok</v>
      </c>
      <c r="C3378" s="124" t="s">
        <v>369</v>
      </c>
      <c r="D3378" t="s">
        <v>5402</v>
      </c>
      <c r="E3378" t="s">
        <v>5456</v>
      </c>
      <c r="F3378" s="125" t="s">
        <v>5456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4894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93</v>
      </c>
      <c r="R3378" s="115" t="s">
        <v>1459</v>
      </c>
      <c r="S3378" s="125"/>
    </row>
    <row r="3379" spans="1:19" hidden="1">
      <c r="A3379" s="124" t="s">
        <v>5478</v>
      </c>
      <c r="B3379" s="149" t="str">
        <f>IFERROR(VLOOKUP(Proc[[#This Row],[App]],Table2[],3,0),"open")</f>
        <v>ok</v>
      </c>
      <c r="C3379" s="124" t="s">
        <v>369</v>
      </c>
      <c r="D3379" t="s">
        <v>4828</v>
      </c>
      <c r="E3379" t="s">
        <v>5473</v>
      </c>
      <c r="F3379" s="125" t="s">
        <v>5473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4894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93</v>
      </c>
      <c r="R3379" s="115" t="s">
        <v>1459</v>
      </c>
      <c r="S3379" s="125"/>
    </row>
    <row r="3380" spans="1:19" hidden="1">
      <c r="A3380" s="124" t="s">
        <v>5478</v>
      </c>
      <c r="B3380" s="149" t="str">
        <f>IFERROR(VLOOKUP(Proc[[#This Row],[App]],Table2[],3,0),"open")</f>
        <v>ok</v>
      </c>
      <c r="C3380" s="124" t="s">
        <v>369</v>
      </c>
      <c r="D3380" t="s">
        <v>5403</v>
      </c>
      <c r="E3380" t="s">
        <v>5473</v>
      </c>
      <c r="F3380" s="125" t="s">
        <v>5473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4894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93</v>
      </c>
      <c r="R3380" s="115" t="s">
        <v>1459</v>
      </c>
      <c r="S3380" s="125"/>
    </row>
    <row r="3381" spans="1:19" hidden="1">
      <c r="A3381" s="124" t="s">
        <v>5478</v>
      </c>
      <c r="B3381" s="149" t="str">
        <f>IFERROR(VLOOKUP(Proc[[#This Row],[App]],Table2[],3,0),"open")</f>
        <v>ok</v>
      </c>
      <c r="C3381" s="124" t="s">
        <v>369</v>
      </c>
      <c r="D3381" t="s">
        <v>5404</v>
      </c>
      <c r="E3381" t="s">
        <v>5449</v>
      </c>
      <c r="F3381" s="125" t="s">
        <v>5449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4894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93</v>
      </c>
      <c r="R3381" s="115" t="s">
        <v>1459</v>
      </c>
      <c r="S3381" s="125"/>
    </row>
    <row r="3382" spans="1:19" hidden="1">
      <c r="A3382" s="124" t="s">
        <v>5478</v>
      </c>
      <c r="B3382" s="149" t="str">
        <f>IFERROR(VLOOKUP(Proc[[#This Row],[App]],Table2[],3,0),"open")</f>
        <v>ok</v>
      </c>
      <c r="C3382" s="124" t="s">
        <v>369</v>
      </c>
      <c r="D3382" t="s">
        <v>5405</v>
      </c>
      <c r="E3382" t="s">
        <v>5457</v>
      </c>
      <c r="F3382" s="125" t="s">
        <v>5457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4894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93</v>
      </c>
      <c r="R3382" s="115" t="s">
        <v>1459</v>
      </c>
      <c r="S3382" s="125"/>
    </row>
    <row r="3383" spans="1:19" hidden="1">
      <c r="A3383" s="124" t="s">
        <v>5478</v>
      </c>
      <c r="B3383" s="149" t="str">
        <f>IFERROR(VLOOKUP(Proc[[#This Row],[App]],Table2[],3,0),"open")</f>
        <v>ok</v>
      </c>
      <c r="C3383" s="124" t="s">
        <v>369</v>
      </c>
      <c r="D3383" t="s">
        <v>5406</v>
      </c>
      <c r="E3383" t="s">
        <v>5473</v>
      </c>
      <c r="F3383" s="125" t="s">
        <v>5473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4894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93</v>
      </c>
      <c r="R3383" s="115" t="s">
        <v>1459</v>
      </c>
      <c r="S3383" s="125"/>
    </row>
    <row r="3384" spans="1:19" hidden="1">
      <c r="A3384" s="124" t="s">
        <v>5478</v>
      </c>
      <c r="B3384" s="149" t="str">
        <f>IFERROR(VLOOKUP(Proc[[#This Row],[App]],Table2[],3,0),"open")</f>
        <v>ok</v>
      </c>
      <c r="C3384" s="124" t="s">
        <v>369</v>
      </c>
      <c r="D3384" t="s">
        <v>5407</v>
      </c>
      <c r="E3384" t="s">
        <v>5455</v>
      </c>
      <c r="F3384" s="125" t="s">
        <v>5455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4894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93</v>
      </c>
      <c r="R3384" s="115" t="s">
        <v>1459</v>
      </c>
      <c r="S3384" s="125"/>
    </row>
    <row r="3385" spans="1:19" hidden="1">
      <c r="A3385" s="124" t="s">
        <v>5478</v>
      </c>
      <c r="B3385" s="149" t="str">
        <f>IFERROR(VLOOKUP(Proc[[#This Row],[App]],Table2[],3,0),"open")</f>
        <v>ok</v>
      </c>
      <c r="C3385" s="124" t="s">
        <v>369</v>
      </c>
      <c r="D3385" t="s">
        <v>5408</v>
      </c>
      <c r="E3385" t="s">
        <v>5450</v>
      </c>
      <c r="F3385" s="125" t="s">
        <v>5450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4894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93</v>
      </c>
      <c r="R3385" s="115" t="s">
        <v>1459</v>
      </c>
      <c r="S3385" s="125"/>
    </row>
    <row r="3386" spans="1:19" hidden="1">
      <c r="A3386" s="124" t="s">
        <v>5478</v>
      </c>
      <c r="B3386" s="149" t="str">
        <f>IFERROR(VLOOKUP(Proc[[#This Row],[App]],Table2[],3,0),"open")</f>
        <v>ok</v>
      </c>
      <c r="C3386" s="124" t="s">
        <v>369</v>
      </c>
      <c r="D3386" t="s">
        <v>5409</v>
      </c>
      <c r="E3386" t="s">
        <v>5456</v>
      </c>
      <c r="F3386" s="125" t="s">
        <v>5456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4894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93</v>
      </c>
      <c r="R3386" s="115" t="s">
        <v>1459</v>
      </c>
      <c r="S3386" s="125"/>
    </row>
    <row r="3387" spans="1:19" hidden="1">
      <c r="A3387" s="124" t="s">
        <v>5478</v>
      </c>
      <c r="B3387" s="149" t="str">
        <f>IFERROR(VLOOKUP(Proc[[#This Row],[App]],Table2[],3,0),"open")</f>
        <v>ok</v>
      </c>
      <c r="C3387" s="124" t="s">
        <v>369</v>
      </c>
      <c r="D3387" t="s">
        <v>5410</v>
      </c>
      <c r="E3387" t="s">
        <v>5456</v>
      </c>
      <c r="F3387" s="125" t="s">
        <v>5456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4894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93</v>
      </c>
      <c r="R3387" s="115" t="s">
        <v>1459</v>
      </c>
      <c r="S3387" s="125"/>
    </row>
    <row r="3388" spans="1:19" hidden="1">
      <c r="A3388" s="124" t="s">
        <v>5478</v>
      </c>
      <c r="B3388" s="149" t="str">
        <f>IFERROR(VLOOKUP(Proc[[#This Row],[App]],Table2[],3,0),"open")</f>
        <v>ok</v>
      </c>
      <c r="C3388" s="124" t="s">
        <v>369</v>
      </c>
      <c r="D3388" t="s">
        <v>5411</v>
      </c>
      <c r="E3388" t="s">
        <v>5474</v>
      </c>
      <c r="F3388" s="125" t="s">
        <v>5474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4894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93</v>
      </c>
      <c r="R3388" s="115" t="s">
        <v>1459</v>
      </c>
      <c r="S3388" s="125"/>
    </row>
    <row r="3389" spans="1:19" hidden="1">
      <c r="A3389" s="124" t="s">
        <v>5478</v>
      </c>
      <c r="B3389" s="149" t="str">
        <f>IFERROR(VLOOKUP(Proc[[#This Row],[App]],Table2[],3,0),"open")</f>
        <v>ok</v>
      </c>
      <c r="C3389" s="124" t="s">
        <v>369</v>
      </c>
      <c r="D3389" t="s">
        <v>5412</v>
      </c>
      <c r="E3389" t="s">
        <v>5456</v>
      </c>
      <c r="F3389" s="125" t="s">
        <v>5456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4894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93</v>
      </c>
      <c r="R3389" s="115" t="s">
        <v>1459</v>
      </c>
      <c r="S3389" s="125"/>
    </row>
    <row r="3390" spans="1:19" hidden="1">
      <c r="A3390" s="124" t="s">
        <v>5478</v>
      </c>
      <c r="B3390" s="149" t="str">
        <f>IFERROR(VLOOKUP(Proc[[#This Row],[App]],Table2[],3,0),"open")</f>
        <v>ok</v>
      </c>
      <c r="C3390" s="124" t="s">
        <v>369</v>
      </c>
      <c r="D3390" t="s">
        <v>5413</v>
      </c>
      <c r="E3390" t="s">
        <v>5456</v>
      </c>
      <c r="F3390" s="125" t="s">
        <v>5456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4894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93</v>
      </c>
      <c r="R3390" s="115" t="s">
        <v>1459</v>
      </c>
      <c r="S3390" s="125"/>
    </row>
    <row r="3391" spans="1:19" hidden="1">
      <c r="A3391" s="124" t="s">
        <v>5478</v>
      </c>
      <c r="B3391" s="149" t="str">
        <f>IFERROR(VLOOKUP(Proc[[#This Row],[App]],Table2[],3,0),"open")</f>
        <v>ok</v>
      </c>
      <c r="C3391" s="124" t="s">
        <v>369</v>
      </c>
      <c r="D3391" t="s">
        <v>5414</v>
      </c>
      <c r="E3391" t="s">
        <v>5456</v>
      </c>
      <c r="F3391" s="125" t="s">
        <v>5456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4894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93</v>
      </c>
      <c r="R3391" s="115" t="s">
        <v>1459</v>
      </c>
      <c r="S3391" s="125"/>
    </row>
    <row r="3392" spans="1:19" hidden="1">
      <c r="A3392" s="124" t="s">
        <v>5478</v>
      </c>
      <c r="B3392" s="149" t="str">
        <f>IFERROR(VLOOKUP(Proc[[#This Row],[App]],Table2[],3,0),"open")</f>
        <v>ok</v>
      </c>
      <c r="C3392" s="124" t="s">
        <v>369</v>
      </c>
      <c r="D3392" t="s">
        <v>5415</v>
      </c>
      <c r="E3392" t="s">
        <v>5475</v>
      </c>
      <c r="F3392" s="125" t="s">
        <v>5475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4894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93</v>
      </c>
      <c r="R3392" s="115" t="s">
        <v>1459</v>
      </c>
      <c r="S3392" s="125"/>
    </row>
    <row r="3393" spans="1:19" hidden="1">
      <c r="A3393" s="124" t="s">
        <v>5478</v>
      </c>
      <c r="B3393" s="149" t="str">
        <f>IFERROR(VLOOKUP(Proc[[#This Row],[App]],Table2[],3,0),"open")</f>
        <v>ok</v>
      </c>
      <c r="C3393" s="124" t="s">
        <v>369</v>
      </c>
      <c r="D3393" t="s">
        <v>5416</v>
      </c>
      <c r="E3393" t="s">
        <v>5456</v>
      </c>
      <c r="F3393" s="125" t="s">
        <v>5456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4894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93</v>
      </c>
      <c r="R3393" s="115" t="s">
        <v>1459</v>
      </c>
      <c r="S3393" s="125"/>
    </row>
    <row r="3394" spans="1:19" hidden="1">
      <c r="A3394" s="124" t="s">
        <v>5478</v>
      </c>
      <c r="B3394" s="149" t="str">
        <f>IFERROR(VLOOKUP(Proc[[#This Row],[App]],Table2[],3,0),"open")</f>
        <v>ok</v>
      </c>
      <c r="C3394" s="124" t="s">
        <v>369</v>
      </c>
      <c r="D3394" t="s">
        <v>5417</v>
      </c>
      <c r="E3394" t="s">
        <v>5456</v>
      </c>
      <c r="F3394" s="125" t="s">
        <v>5456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4894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93</v>
      </c>
      <c r="R3394" s="115" t="s">
        <v>1459</v>
      </c>
      <c r="S3394" s="125"/>
    </row>
    <row r="3395" spans="1:19" hidden="1">
      <c r="A3395" s="124" t="s">
        <v>5478</v>
      </c>
      <c r="B3395" s="149" t="str">
        <f>IFERROR(VLOOKUP(Proc[[#This Row],[App]],Table2[],3,0),"open")</f>
        <v>ok</v>
      </c>
      <c r="C3395" s="124" t="s">
        <v>369</v>
      </c>
      <c r="D3395" t="s">
        <v>5418</v>
      </c>
      <c r="E3395" t="s">
        <v>5448</v>
      </c>
      <c r="F3395" s="125" t="s">
        <v>5448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4894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93</v>
      </c>
      <c r="R3395" s="115" t="s">
        <v>1459</v>
      </c>
      <c r="S3395" s="125"/>
    </row>
    <row r="3396" spans="1:19" hidden="1">
      <c r="A3396" s="124" t="s">
        <v>5478</v>
      </c>
      <c r="B3396" s="149" t="str">
        <f>IFERROR(VLOOKUP(Proc[[#This Row],[App]],Table2[],3,0),"open")</f>
        <v>ok</v>
      </c>
      <c r="C3396" s="124" t="s">
        <v>369</v>
      </c>
      <c r="D3396" t="s">
        <v>5419</v>
      </c>
      <c r="E3396" t="s">
        <v>5464</v>
      </c>
      <c r="F3396" s="125" t="s">
        <v>5464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4894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93</v>
      </c>
      <c r="R3396" s="115" t="s">
        <v>1459</v>
      </c>
      <c r="S3396" s="125"/>
    </row>
    <row r="3397" spans="1:19" hidden="1">
      <c r="A3397" s="124" t="s">
        <v>5478</v>
      </c>
      <c r="B3397" s="149" t="str">
        <f>IFERROR(VLOOKUP(Proc[[#This Row],[App]],Table2[],3,0),"open")</f>
        <v>ok</v>
      </c>
      <c r="C3397" s="124" t="s">
        <v>369</v>
      </c>
      <c r="D3397" t="s">
        <v>5420</v>
      </c>
      <c r="E3397" t="s">
        <v>5447</v>
      </c>
      <c r="F3397" s="125" t="s">
        <v>5447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4894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93</v>
      </c>
      <c r="R3397" s="115" t="s">
        <v>1459</v>
      </c>
      <c r="S3397" s="125"/>
    </row>
    <row r="3398" spans="1:19" hidden="1">
      <c r="A3398" s="124" t="s">
        <v>5478</v>
      </c>
      <c r="B3398" s="149" t="str">
        <f>IFERROR(VLOOKUP(Proc[[#This Row],[App]],Table2[],3,0),"open")</f>
        <v>ok</v>
      </c>
      <c r="C3398" s="124" t="s">
        <v>369</v>
      </c>
      <c r="D3398" t="s">
        <v>5421</v>
      </c>
      <c r="E3398" t="s">
        <v>5464</v>
      </c>
      <c r="F3398" s="125" t="s">
        <v>5464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4894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93</v>
      </c>
      <c r="R3398" s="115" t="s">
        <v>1459</v>
      </c>
      <c r="S3398" s="125"/>
    </row>
    <row r="3399" spans="1:19" hidden="1">
      <c r="A3399" s="124" t="s">
        <v>5478</v>
      </c>
      <c r="B3399" s="149" t="str">
        <f>IFERROR(VLOOKUP(Proc[[#This Row],[App]],Table2[],3,0),"open")</f>
        <v>ok</v>
      </c>
      <c r="C3399" s="124" t="s">
        <v>369</v>
      </c>
      <c r="D3399" t="s">
        <v>5422</v>
      </c>
      <c r="E3399" t="s">
        <v>5446</v>
      </c>
      <c r="F3399" s="125" t="s">
        <v>5446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4894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93</v>
      </c>
      <c r="R3399" s="115" t="s">
        <v>1459</v>
      </c>
      <c r="S3399" s="125"/>
    </row>
    <row r="3400" spans="1:19" hidden="1">
      <c r="A3400" s="124" t="s">
        <v>5478</v>
      </c>
      <c r="B3400" s="149" t="str">
        <f>IFERROR(VLOOKUP(Proc[[#This Row],[App]],Table2[],3,0),"open")</f>
        <v>ok</v>
      </c>
      <c r="C3400" s="124" t="s">
        <v>369</v>
      </c>
      <c r="D3400" t="s">
        <v>5423</v>
      </c>
      <c r="E3400" t="s">
        <v>5467</v>
      </c>
      <c r="F3400" s="125" t="s">
        <v>5467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4894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93</v>
      </c>
      <c r="R3400" s="115" t="s">
        <v>1459</v>
      </c>
      <c r="S3400" s="125"/>
    </row>
    <row r="3401" spans="1:19" hidden="1">
      <c r="A3401" s="124" t="s">
        <v>5478</v>
      </c>
      <c r="B3401" s="149" t="str">
        <f>IFERROR(VLOOKUP(Proc[[#This Row],[App]],Table2[],3,0),"open")</f>
        <v>ok</v>
      </c>
      <c r="C3401" s="124" t="s">
        <v>369</v>
      </c>
      <c r="D3401" t="s">
        <v>5424</v>
      </c>
      <c r="E3401" t="s">
        <v>5445</v>
      </c>
      <c r="F3401" s="125" t="s">
        <v>5445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4894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93</v>
      </c>
      <c r="R3401" s="115" t="s">
        <v>1459</v>
      </c>
      <c r="S3401" s="125"/>
    </row>
    <row r="3402" spans="1:19" hidden="1">
      <c r="A3402" s="124" t="s">
        <v>5478</v>
      </c>
      <c r="B3402" s="149" t="str">
        <f>IFERROR(VLOOKUP(Proc[[#This Row],[App]],Table2[],3,0),"open")</f>
        <v>ok</v>
      </c>
      <c r="C3402" s="124" t="s">
        <v>369</v>
      </c>
      <c r="D3402" t="s">
        <v>5425</v>
      </c>
      <c r="E3402" t="s">
        <v>5464</v>
      </c>
      <c r="F3402" s="125" t="s">
        <v>5464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4894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93</v>
      </c>
      <c r="R3402" s="115" t="s">
        <v>1459</v>
      </c>
      <c r="S3402" s="125"/>
    </row>
    <row r="3403" spans="1:19" hidden="1">
      <c r="A3403" s="124" t="s">
        <v>5478</v>
      </c>
      <c r="B3403" s="149" t="str">
        <f>IFERROR(VLOOKUP(Proc[[#This Row],[App]],Table2[],3,0),"open")</f>
        <v>ok</v>
      </c>
      <c r="C3403" s="124" t="s">
        <v>369</v>
      </c>
      <c r="D3403" t="s">
        <v>5426</v>
      </c>
      <c r="E3403" t="s">
        <v>5473</v>
      </c>
      <c r="F3403" s="125" t="s">
        <v>5473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4894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93</v>
      </c>
      <c r="R3403" s="115" t="s">
        <v>1459</v>
      </c>
      <c r="S3403" s="125"/>
    </row>
    <row r="3404" spans="1:19" hidden="1">
      <c r="A3404" s="124" t="s">
        <v>5478</v>
      </c>
      <c r="B3404" s="149" t="str">
        <f>IFERROR(VLOOKUP(Proc[[#This Row],[App]],Table2[],3,0),"open")</f>
        <v>ok</v>
      </c>
      <c r="C3404" s="124" t="s">
        <v>369</v>
      </c>
      <c r="D3404" t="s">
        <v>5427</v>
      </c>
      <c r="E3404" t="s">
        <v>5446</v>
      </c>
      <c r="F3404" s="125" t="s">
        <v>5446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4894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93</v>
      </c>
      <c r="R3404" s="115" t="s">
        <v>1459</v>
      </c>
      <c r="S3404" s="125"/>
    </row>
    <row r="3405" spans="1:19" hidden="1">
      <c r="A3405" s="124" t="s">
        <v>5478</v>
      </c>
      <c r="B3405" s="149" t="str">
        <f>IFERROR(VLOOKUP(Proc[[#This Row],[App]],Table2[],3,0),"open")</f>
        <v>ok</v>
      </c>
      <c r="C3405" s="124" t="s">
        <v>369</v>
      </c>
      <c r="D3405" t="s">
        <v>5428</v>
      </c>
      <c r="E3405" t="s">
        <v>5453</v>
      </c>
      <c r="F3405" s="125" t="s">
        <v>5453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4894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93</v>
      </c>
      <c r="R3405" s="115" t="s">
        <v>1459</v>
      </c>
      <c r="S3405" s="125"/>
    </row>
    <row r="3406" spans="1:19" hidden="1">
      <c r="A3406" s="124" t="s">
        <v>5478</v>
      </c>
      <c r="B3406" s="149" t="str">
        <f>IFERROR(VLOOKUP(Proc[[#This Row],[App]],Table2[],3,0),"open")</f>
        <v>ok</v>
      </c>
      <c r="C3406" s="124" t="s">
        <v>369</v>
      </c>
      <c r="D3406" t="s">
        <v>5429</v>
      </c>
      <c r="E3406" t="s">
        <v>5453</v>
      </c>
      <c r="F3406" s="125" t="s">
        <v>5453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4894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93</v>
      </c>
      <c r="R3406" s="115" t="s">
        <v>1459</v>
      </c>
      <c r="S3406" s="125"/>
    </row>
    <row r="3407" spans="1:19" hidden="1">
      <c r="A3407" s="124" t="s">
        <v>5478</v>
      </c>
      <c r="B3407" s="149" t="str">
        <f>IFERROR(VLOOKUP(Proc[[#This Row],[App]],Table2[],3,0),"open")</f>
        <v>ok</v>
      </c>
      <c r="C3407" s="124" t="s">
        <v>369</v>
      </c>
      <c r="D3407" t="s">
        <v>5430</v>
      </c>
      <c r="E3407" t="s">
        <v>5464</v>
      </c>
      <c r="F3407" s="125" t="s">
        <v>5464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4894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93</v>
      </c>
      <c r="R3407" s="115" t="s">
        <v>1459</v>
      </c>
      <c r="S3407" s="125"/>
    </row>
    <row r="3408" spans="1:19" hidden="1">
      <c r="A3408" s="124" t="s">
        <v>5478</v>
      </c>
      <c r="B3408" s="149" t="str">
        <f>IFERROR(VLOOKUP(Proc[[#This Row],[App]],Table2[],3,0),"open")</f>
        <v>ok</v>
      </c>
      <c r="C3408" s="124" t="s">
        <v>369</v>
      </c>
      <c r="D3408" t="s">
        <v>5431</v>
      </c>
      <c r="E3408" t="s">
        <v>5453</v>
      </c>
      <c r="F3408" s="125" t="s">
        <v>5453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4894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93</v>
      </c>
      <c r="R3408" s="115" t="s">
        <v>1459</v>
      </c>
      <c r="S3408" s="125"/>
    </row>
    <row r="3409" spans="1:19" hidden="1">
      <c r="A3409" s="124" t="s">
        <v>5478</v>
      </c>
      <c r="B3409" s="149" t="str">
        <f>IFERROR(VLOOKUP(Proc[[#This Row],[App]],Table2[],3,0),"open")</f>
        <v>ok</v>
      </c>
      <c r="C3409" s="124" t="s">
        <v>369</v>
      </c>
      <c r="D3409" t="s">
        <v>5432</v>
      </c>
      <c r="E3409" t="s">
        <v>5447</v>
      </c>
      <c r="F3409" s="125" t="s">
        <v>5447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4894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93</v>
      </c>
      <c r="R3409" s="115" t="s">
        <v>1459</v>
      </c>
      <c r="S3409" s="125"/>
    </row>
    <row r="3410" spans="1:19" hidden="1">
      <c r="A3410" s="124" t="s">
        <v>5478</v>
      </c>
      <c r="B3410" s="149" t="str">
        <f>IFERROR(VLOOKUP(Proc[[#This Row],[App]],Table2[],3,0),"open")</f>
        <v>ok</v>
      </c>
      <c r="C3410" s="124" t="s">
        <v>369</v>
      </c>
      <c r="D3410" t="s">
        <v>5433</v>
      </c>
      <c r="E3410" t="s">
        <v>5447</v>
      </c>
      <c r="F3410" s="125" t="s">
        <v>5447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4894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93</v>
      </c>
      <c r="R3410" s="115" t="s">
        <v>1459</v>
      </c>
      <c r="S3410" s="125"/>
    </row>
    <row r="3411" spans="1:19" hidden="1">
      <c r="A3411" s="124" t="s">
        <v>5478</v>
      </c>
      <c r="B3411" s="149" t="str">
        <f>IFERROR(VLOOKUP(Proc[[#This Row],[App]],Table2[],3,0),"open")</f>
        <v>ok</v>
      </c>
      <c r="C3411" s="124" t="s">
        <v>369</v>
      </c>
      <c r="D3411" t="s">
        <v>5434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4894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93</v>
      </c>
      <c r="R3411" s="115" t="s">
        <v>1459</v>
      </c>
      <c r="S3411" s="125"/>
    </row>
    <row r="3412" spans="1:19" hidden="1">
      <c r="A3412" s="124" t="s">
        <v>5478</v>
      </c>
      <c r="B3412" s="149" t="str">
        <f>IFERROR(VLOOKUP(Proc[[#This Row],[App]],Table2[],3,0),"open")</f>
        <v>ok</v>
      </c>
      <c r="C3412" s="124" t="s">
        <v>369</v>
      </c>
      <c r="D3412" t="s">
        <v>5435</v>
      </c>
      <c r="E3412" t="s">
        <v>5446</v>
      </c>
      <c r="F3412" s="125" t="s">
        <v>5446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4894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93</v>
      </c>
      <c r="R3412" s="115" t="s">
        <v>1459</v>
      </c>
      <c r="S3412" s="125"/>
    </row>
    <row r="3413" spans="1:19" hidden="1">
      <c r="A3413" s="124" t="s">
        <v>5478</v>
      </c>
      <c r="B3413" s="149" t="str">
        <f>IFERROR(VLOOKUP(Proc[[#This Row],[App]],Table2[],3,0),"open")</f>
        <v>ok</v>
      </c>
      <c r="C3413" s="124" t="s">
        <v>369</v>
      </c>
      <c r="D3413" t="s">
        <v>5436</v>
      </c>
      <c r="E3413" t="s">
        <v>5476</v>
      </c>
      <c r="F3413" s="125" t="s">
        <v>5476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4894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93</v>
      </c>
      <c r="R3413" s="115" t="s">
        <v>1459</v>
      </c>
      <c r="S3413" s="125"/>
    </row>
    <row r="3414" spans="1:19" hidden="1">
      <c r="A3414" s="124" t="s">
        <v>5478</v>
      </c>
      <c r="B3414" s="149" t="str">
        <f>IFERROR(VLOOKUP(Proc[[#This Row],[App]],Table2[],3,0),"open")</f>
        <v>ok</v>
      </c>
      <c r="C3414" s="124" t="s">
        <v>369</v>
      </c>
      <c r="D3414" t="s">
        <v>5437</v>
      </c>
      <c r="E3414" t="s">
        <v>5477</v>
      </c>
      <c r="F3414" s="125" t="s">
        <v>5477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4894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93</v>
      </c>
      <c r="R3414" s="115" t="s">
        <v>1459</v>
      </c>
      <c r="S3414" s="125"/>
    </row>
    <row r="3415" spans="1:19" hidden="1">
      <c r="A3415" s="124" t="s">
        <v>5478</v>
      </c>
      <c r="B3415" s="149" t="str">
        <f>IFERROR(VLOOKUP(Proc[[#This Row],[App]],Table2[],3,0),"open")</f>
        <v>ok</v>
      </c>
      <c r="C3415" s="124" t="s">
        <v>369</v>
      </c>
      <c r="D3415" t="s">
        <v>5438</v>
      </c>
      <c r="E3415" t="s">
        <v>5476</v>
      </c>
      <c r="F3415" s="125" t="s">
        <v>5476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4894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93</v>
      </c>
      <c r="R3415" s="115" t="s">
        <v>1459</v>
      </c>
      <c r="S3415" s="125"/>
    </row>
    <row r="3416" spans="1:19" hidden="1">
      <c r="A3416" s="124" t="s">
        <v>5478</v>
      </c>
      <c r="B3416" s="149" t="str">
        <f>IFERROR(VLOOKUP(Proc[[#This Row],[App]],Table2[],3,0),"open")</f>
        <v>ok</v>
      </c>
      <c r="C3416" s="124" t="s">
        <v>369</v>
      </c>
      <c r="D3416" t="s">
        <v>5439</v>
      </c>
      <c r="E3416" t="s">
        <v>5476</v>
      </c>
      <c r="F3416" s="125" t="s">
        <v>5476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4894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93</v>
      </c>
      <c r="R3416" s="115" t="s">
        <v>1459</v>
      </c>
      <c r="S3416" s="125"/>
    </row>
    <row r="3417" spans="1:19" hidden="1">
      <c r="A3417" s="124" t="s">
        <v>5478</v>
      </c>
      <c r="B3417" s="149" t="str">
        <f>IFERROR(VLOOKUP(Proc[[#This Row],[App]],Table2[],3,0),"open")</f>
        <v>ok</v>
      </c>
      <c r="C3417" s="124" t="s">
        <v>369</v>
      </c>
      <c r="D3417" t="s">
        <v>5440</v>
      </c>
      <c r="E3417" t="s">
        <v>5476</v>
      </c>
      <c r="F3417" s="125" t="s">
        <v>5476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4894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93</v>
      </c>
      <c r="R3417" s="115" t="s">
        <v>1459</v>
      </c>
      <c r="S3417" s="125"/>
    </row>
    <row r="3418" spans="1:19" hidden="1">
      <c r="A3418" s="124" t="s">
        <v>5478</v>
      </c>
      <c r="B3418" s="149" t="str">
        <f>IFERROR(VLOOKUP(Proc[[#This Row],[App]],Table2[],3,0),"open")</f>
        <v>ok</v>
      </c>
      <c r="C3418" s="124" t="s">
        <v>369</v>
      </c>
      <c r="D3418" t="s">
        <v>5441</v>
      </c>
      <c r="E3418" t="s">
        <v>5476</v>
      </c>
      <c r="F3418" s="125" t="s">
        <v>5476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4894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93</v>
      </c>
      <c r="R3418" s="115" t="s">
        <v>1459</v>
      </c>
      <c r="S3418" s="125"/>
    </row>
    <row r="3419" spans="1:19" hidden="1">
      <c r="A3419" s="124" t="s">
        <v>5478</v>
      </c>
      <c r="B3419" s="149" t="str">
        <f>IFERROR(VLOOKUP(Proc[[#This Row],[App]],Table2[],3,0),"open")</f>
        <v>ok</v>
      </c>
      <c r="C3419" s="124" t="s">
        <v>369</v>
      </c>
      <c r="D3419" t="s">
        <v>5442</v>
      </c>
      <c r="E3419" t="s">
        <v>5476</v>
      </c>
      <c r="F3419" s="125" t="s">
        <v>5476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4894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93</v>
      </c>
      <c r="R3419" s="115" t="s">
        <v>1459</v>
      </c>
      <c r="S3419" s="125"/>
    </row>
    <row r="3420" spans="1:19" hidden="1">
      <c r="A3420" s="124" t="s">
        <v>5478</v>
      </c>
      <c r="B3420" s="149" t="str">
        <f>IFERROR(VLOOKUP(Proc[[#This Row],[App]],Table2[],3,0),"open")</f>
        <v>ok</v>
      </c>
      <c r="C3420" s="124" t="s">
        <v>369</v>
      </c>
      <c r="D3420" t="s">
        <v>5443</v>
      </c>
      <c r="E3420" t="s">
        <v>5476</v>
      </c>
      <c r="F3420" s="125" t="s">
        <v>5476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4894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93</v>
      </c>
      <c r="R3420" s="115" t="s">
        <v>1459</v>
      </c>
      <c r="S3420" s="125"/>
    </row>
    <row r="3421" spans="1:19" hidden="1">
      <c r="A3421" t="s">
        <v>5493</v>
      </c>
      <c r="B3421" s="149" t="str">
        <f>IFERROR(VLOOKUP(Proc[[#This Row],[App]],Table2[],3,0),"open")</f>
        <v>ok</v>
      </c>
      <c r="C3421" s="124" t="s">
        <v>369</v>
      </c>
      <c r="D3421" t="s">
        <v>5480</v>
      </c>
      <c r="E3421" t="s">
        <v>5494</v>
      </c>
      <c r="F3421" s="125" t="s">
        <v>5494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4894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93</v>
      </c>
      <c r="R3421" s="115" t="s">
        <v>1013</v>
      </c>
      <c r="S3421" s="125"/>
    </row>
    <row r="3422" spans="1:19" hidden="1">
      <c r="A3422" s="124" t="s">
        <v>5493</v>
      </c>
      <c r="B3422" s="149" t="str">
        <f>IFERROR(VLOOKUP(Proc[[#This Row],[App]],Table2[],3,0),"open")</f>
        <v>ok</v>
      </c>
      <c r="C3422" s="124" t="s">
        <v>369</v>
      </c>
      <c r="D3422" t="s">
        <v>5481</v>
      </c>
      <c r="E3422" t="s">
        <v>5495</v>
      </c>
      <c r="F3422" s="125" t="s">
        <v>5495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4894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93</v>
      </c>
      <c r="R3422" s="115" t="s">
        <v>1013</v>
      </c>
      <c r="S3422" s="125"/>
    </row>
    <row r="3423" spans="1:19" hidden="1">
      <c r="A3423" s="124" t="s">
        <v>5493</v>
      </c>
      <c r="B3423" s="149" t="str">
        <f>IFERROR(VLOOKUP(Proc[[#This Row],[App]],Table2[],3,0),"open")</f>
        <v>ok</v>
      </c>
      <c r="C3423" s="124" t="s">
        <v>369</v>
      </c>
      <c r="D3423" t="s">
        <v>5482</v>
      </c>
      <c r="E3423" t="s">
        <v>5496</v>
      </c>
      <c r="F3423" s="125" t="s">
        <v>5496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4894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93</v>
      </c>
      <c r="R3423" s="115" t="s">
        <v>1013</v>
      </c>
      <c r="S3423" s="125"/>
    </row>
    <row r="3424" spans="1:19" hidden="1">
      <c r="A3424" s="124" t="s">
        <v>5493</v>
      </c>
      <c r="B3424" s="149" t="str">
        <f>IFERROR(VLOOKUP(Proc[[#This Row],[App]],Table2[],3,0),"open")</f>
        <v>ok</v>
      </c>
      <c r="C3424" s="124" t="s">
        <v>369</v>
      </c>
      <c r="D3424" t="s">
        <v>5483</v>
      </c>
      <c r="E3424" t="s">
        <v>5497</v>
      </c>
      <c r="F3424" s="125" t="s">
        <v>5497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4894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93</v>
      </c>
      <c r="R3424" s="115" t="s">
        <v>1013</v>
      </c>
      <c r="S3424" s="125"/>
    </row>
    <row r="3425" spans="1:19" hidden="1">
      <c r="A3425" s="124" t="s">
        <v>5493</v>
      </c>
      <c r="B3425" s="149" t="str">
        <f>IFERROR(VLOOKUP(Proc[[#This Row],[App]],Table2[],3,0),"open")</f>
        <v>ok</v>
      </c>
      <c r="C3425" s="124" t="s">
        <v>369</v>
      </c>
      <c r="D3425" t="s">
        <v>5484</v>
      </c>
      <c r="E3425" t="s">
        <v>5497</v>
      </c>
      <c r="F3425" s="125" t="s">
        <v>5497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4894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93</v>
      </c>
      <c r="R3425" s="115" t="s">
        <v>1013</v>
      </c>
      <c r="S3425" s="125"/>
    </row>
    <row r="3426" spans="1:19" hidden="1">
      <c r="A3426" s="124" t="s">
        <v>5493</v>
      </c>
      <c r="B3426" s="149" t="str">
        <f>IFERROR(VLOOKUP(Proc[[#This Row],[App]],Table2[],3,0),"open")</f>
        <v>ok</v>
      </c>
      <c r="C3426" s="124" t="s">
        <v>369</v>
      </c>
      <c r="D3426" t="s">
        <v>5485</v>
      </c>
      <c r="E3426" t="s">
        <v>5494</v>
      </c>
      <c r="F3426" s="125" t="s">
        <v>5494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4894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93</v>
      </c>
      <c r="R3426" s="115" t="s">
        <v>1013</v>
      </c>
      <c r="S3426" s="125"/>
    </row>
    <row r="3427" spans="1:19" hidden="1">
      <c r="A3427" s="124" t="s">
        <v>5493</v>
      </c>
      <c r="B3427" s="149" t="str">
        <f>IFERROR(VLOOKUP(Proc[[#This Row],[App]],Table2[],3,0),"open")</f>
        <v>ok</v>
      </c>
      <c r="C3427" s="124" t="s">
        <v>369</v>
      </c>
      <c r="D3427" t="s">
        <v>5486</v>
      </c>
      <c r="E3427" t="s">
        <v>5495</v>
      </c>
      <c r="F3427" s="125" t="s">
        <v>5495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4894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93</v>
      </c>
      <c r="R3427" s="115" t="s">
        <v>1013</v>
      </c>
      <c r="S3427" s="125"/>
    </row>
    <row r="3428" spans="1:19" hidden="1">
      <c r="A3428" s="124" t="s">
        <v>5493</v>
      </c>
      <c r="B3428" s="149" t="str">
        <f>IFERROR(VLOOKUP(Proc[[#This Row],[App]],Table2[],3,0),"open")</f>
        <v>ok</v>
      </c>
      <c r="C3428" s="124" t="s">
        <v>369</v>
      </c>
      <c r="D3428" t="s">
        <v>5487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4894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93</v>
      </c>
      <c r="R3428" s="115" t="s">
        <v>1013</v>
      </c>
      <c r="S3428" s="125"/>
    </row>
    <row r="3429" spans="1:19" hidden="1">
      <c r="A3429" s="124" t="s">
        <v>5493</v>
      </c>
      <c r="B3429" s="149" t="str">
        <f>IFERROR(VLOOKUP(Proc[[#This Row],[App]],Table2[],3,0),"open")</f>
        <v>ok</v>
      </c>
      <c r="C3429" s="124" t="s">
        <v>369</v>
      </c>
      <c r="D3429" t="s">
        <v>5488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4894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93</v>
      </c>
      <c r="R3429" s="115" t="s">
        <v>1013</v>
      </c>
      <c r="S3429" s="125"/>
    </row>
    <row r="3430" spans="1:19" hidden="1">
      <c r="A3430" s="124" t="s">
        <v>5493</v>
      </c>
      <c r="B3430" s="149" t="str">
        <f>IFERROR(VLOOKUP(Proc[[#This Row],[App]],Table2[],3,0),"open")</f>
        <v>ok</v>
      </c>
      <c r="C3430" s="124" t="s">
        <v>369</v>
      </c>
      <c r="D3430" t="s">
        <v>5489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4894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93</v>
      </c>
      <c r="R3430" s="115" t="s">
        <v>1013</v>
      </c>
      <c r="S3430" s="125"/>
    </row>
    <row r="3431" spans="1:19" hidden="1">
      <c r="A3431" s="124" t="s">
        <v>5493</v>
      </c>
      <c r="B3431" s="149" t="str">
        <f>IFERROR(VLOOKUP(Proc[[#This Row],[App]],Table2[],3,0),"open")</f>
        <v>ok</v>
      </c>
      <c r="C3431" s="124" t="s">
        <v>369</v>
      </c>
      <c r="D3431" t="s">
        <v>5490</v>
      </c>
      <c r="E3431" t="s">
        <v>5497</v>
      </c>
      <c r="F3431" s="125" t="s">
        <v>5497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4894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93</v>
      </c>
      <c r="R3431" s="115" t="s">
        <v>1013</v>
      </c>
      <c r="S3431" s="125"/>
    </row>
    <row r="3432" spans="1:19" hidden="1">
      <c r="A3432" s="124" t="s">
        <v>5493</v>
      </c>
      <c r="B3432" s="149" t="str">
        <f>IFERROR(VLOOKUP(Proc[[#This Row],[App]],Table2[],3,0),"open")</f>
        <v>ok</v>
      </c>
      <c r="C3432" s="124" t="s">
        <v>369</v>
      </c>
      <c r="D3432" t="s">
        <v>5491</v>
      </c>
      <c r="E3432" t="s">
        <v>5497</v>
      </c>
      <c r="F3432" s="125" t="s">
        <v>5497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4894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93</v>
      </c>
      <c r="R3432" s="115" t="s">
        <v>1013</v>
      </c>
      <c r="S3432" s="125"/>
    </row>
    <row r="3433" spans="1:19" hidden="1">
      <c r="A3433" s="124" t="s">
        <v>5493</v>
      </c>
      <c r="B3433" s="149" t="str">
        <f>IFERROR(VLOOKUP(Proc[[#This Row],[App]],Table2[],3,0),"open")</f>
        <v>ok</v>
      </c>
      <c r="C3433" s="124" t="s">
        <v>369</v>
      </c>
      <c r="D3433" t="s">
        <v>5492</v>
      </c>
      <c r="E3433" t="s">
        <v>5498</v>
      </c>
      <c r="F3433" s="125" t="s">
        <v>5498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4894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93</v>
      </c>
      <c r="R3433" s="115" t="s">
        <v>1013</v>
      </c>
      <c r="S3433" s="125"/>
    </row>
    <row r="3434" spans="1:19" hidden="1">
      <c r="A3434" t="s">
        <v>5499</v>
      </c>
      <c r="B3434" s="149" t="str">
        <f>IFERROR(VLOOKUP(Proc[[#This Row],[App]],Table2[],3,0),"open")</f>
        <v>ok</v>
      </c>
      <c r="C3434" s="124" t="s">
        <v>369</v>
      </c>
      <c r="D3434" t="s">
        <v>5544</v>
      </c>
      <c r="E3434" t="s">
        <v>5500</v>
      </c>
      <c r="F3434" s="125" t="s">
        <v>5500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4894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90</v>
      </c>
      <c r="R3434" s="115" t="s">
        <v>5501</v>
      </c>
      <c r="S3434" s="125"/>
    </row>
    <row r="3435" spans="1:19" hidden="1">
      <c r="A3435" s="124" t="s">
        <v>5499</v>
      </c>
      <c r="B3435" s="149" t="str">
        <f>IFERROR(VLOOKUP(Proc[[#This Row],[App]],Table2[],3,0),"open")</f>
        <v>ok</v>
      </c>
      <c r="C3435" s="124" t="s">
        <v>369</v>
      </c>
      <c r="D3435" t="s">
        <v>5545</v>
      </c>
      <c r="E3435" t="s">
        <v>5500</v>
      </c>
      <c r="F3435" s="125" t="s">
        <v>5500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4894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90</v>
      </c>
      <c r="R3435" s="115" t="s">
        <v>5501</v>
      </c>
      <c r="S3435" s="125"/>
    </row>
    <row r="3436" spans="1:19" hidden="1">
      <c r="A3436" t="s">
        <v>5502</v>
      </c>
      <c r="B3436" s="149" t="str">
        <f>IFERROR(VLOOKUP(Proc[[#This Row],[App]],Table2[],3,0),"open")</f>
        <v>ok</v>
      </c>
      <c r="C3436" s="124" t="s">
        <v>369</v>
      </c>
      <c r="D3436" t="s">
        <v>5503</v>
      </c>
      <c r="E3436" t="s">
        <v>5551</v>
      </c>
      <c r="F3436" s="125" t="s">
        <v>5551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4894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90</v>
      </c>
      <c r="R3436" s="115" t="s">
        <v>489</v>
      </c>
      <c r="S3436" s="125"/>
    </row>
    <row r="3437" spans="1:19" hidden="1">
      <c r="A3437" s="124" t="s">
        <v>5502</v>
      </c>
      <c r="B3437" s="149" t="str">
        <f>IFERROR(VLOOKUP(Proc[[#This Row],[App]],Table2[],3,0),"open")</f>
        <v>ok</v>
      </c>
      <c r="C3437" s="124" t="s">
        <v>369</v>
      </c>
      <c r="D3437" t="s">
        <v>5504</v>
      </c>
      <c r="E3437" t="s">
        <v>5551</v>
      </c>
      <c r="F3437" s="125" t="s">
        <v>5551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4894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90</v>
      </c>
      <c r="R3437" s="115" t="s">
        <v>489</v>
      </c>
      <c r="S3437" s="125"/>
    </row>
    <row r="3438" spans="1:19" hidden="1">
      <c r="A3438" s="124" t="s">
        <v>5502</v>
      </c>
      <c r="B3438" s="149" t="str">
        <f>IFERROR(VLOOKUP(Proc[[#This Row],[App]],Table2[],3,0),"open")</f>
        <v>ok</v>
      </c>
      <c r="C3438" s="124" t="s">
        <v>369</v>
      </c>
      <c r="D3438" t="s">
        <v>5505</v>
      </c>
      <c r="E3438" t="s">
        <v>5551</v>
      </c>
      <c r="F3438" s="125" t="s">
        <v>5551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4894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90</v>
      </c>
      <c r="R3438" s="115" t="s">
        <v>489</v>
      </c>
      <c r="S3438" s="125"/>
    </row>
    <row r="3439" spans="1:19" hidden="1">
      <c r="A3439" s="124" t="s">
        <v>5502</v>
      </c>
      <c r="B3439" s="149" t="str">
        <f>IFERROR(VLOOKUP(Proc[[#This Row],[App]],Table2[],3,0),"open")</f>
        <v>ok</v>
      </c>
      <c r="C3439" s="124" t="s">
        <v>369</v>
      </c>
      <c r="D3439" t="s">
        <v>5506</v>
      </c>
      <c r="E3439" t="s">
        <v>5551</v>
      </c>
      <c r="F3439" s="125" t="s">
        <v>5551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4894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90</v>
      </c>
      <c r="R3439" s="115" t="s">
        <v>489</v>
      </c>
      <c r="S3439" s="125"/>
    </row>
    <row r="3440" spans="1:19" hidden="1">
      <c r="A3440" s="124" t="s">
        <v>5502</v>
      </c>
      <c r="B3440" s="149" t="str">
        <f>IFERROR(VLOOKUP(Proc[[#This Row],[App]],Table2[],3,0),"open")</f>
        <v>ok</v>
      </c>
      <c r="C3440" s="124" t="s">
        <v>369</v>
      </c>
      <c r="D3440" t="s">
        <v>5507</v>
      </c>
      <c r="E3440" t="s">
        <v>5551</v>
      </c>
      <c r="F3440" s="125" t="s">
        <v>5551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4894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90</v>
      </c>
      <c r="R3440" s="115" t="s">
        <v>489</v>
      </c>
      <c r="S3440" s="125"/>
    </row>
    <row r="3441" spans="1:19" hidden="1">
      <c r="A3441" s="124" t="s">
        <v>5502</v>
      </c>
      <c r="B3441" s="149" t="str">
        <f>IFERROR(VLOOKUP(Proc[[#This Row],[App]],Table2[],3,0),"open")</f>
        <v>ok</v>
      </c>
      <c r="C3441" s="124" t="s">
        <v>369</v>
      </c>
      <c r="D3441" t="s">
        <v>5508</v>
      </c>
      <c r="E3441" t="s">
        <v>5551</v>
      </c>
      <c r="F3441" s="125" t="s">
        <v>5551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4894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90</v>
      </c>
      <c r="R3441" s="115" t="s">
        <v>489</v>
      </c>
      <c r="S3441" s="125"/>
    </row>
    <row r="3442" spans="1:19" hidden="1">
      <c r="A3442" s="124" t="s">
        <v>5502</v>
      </c>
      <c r="B3442" s="149" t="str">
        <f>IFERROR(VLOOKUP(Proc[[#This Row],[App]],Table2[],3,0),"open")</f>
        <v>ok</v>
      </c>
      <c r="C3442" s="124" t="s">
        <v>369</v>
      </c>
      <c r="D3442" t="s">
        <v>5509</v>
      </c>
      <c r="E3442" t="s">
        <v>5551</v>
      </c>
      <c r="F3442" s="125" t="s">
        <v>5551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4894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90</v>
      </c>
      <c r="R3442" s="115" t="s">
        <v>489</v>
      </c>
      <c r="S3442" s="125"/>
    </row>
    <row r="3443" spans="1:19" hidden="1">
      <c r="A3443" s="124" t="s">
        <v>5502</v>
      </c>
      <c r="B3443" s="149" t="str">
        <f>IFERROR(VLOOKUP(Proc[[#This Row],[App]],Table2[],3,0),"open")</f>
        <v>ok</v>
      </c>
      <c r="C3443" s="124" t="s">
        <v>369</v>
      </c>
      <c r="D3443" t="s">
        <v>5510</v>
      </c>
      <c r="E3443" t="s">
        <v>5551</v>
      </c>
      <c r="F3443" s="125" t="s">
        <v>5551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4894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90</v>
      </c>
      <c r="R3443" s="115" t="s">
        <v>489</v>
      </c>
      <c r="S3443" s="125"/>
    </row>
    <row r="3444" spans="1:19" hidden="1">
      <c r="A3444" s="124" t="s">
        <v>5502</v>
      </c>
      <c r="B3444" s="149" t="str">
        <f>IFERROR(VLOOKUP(Proc[[#This Row],[App]],Table2[],3,0),"open")</f>
        <v>ok</v>
      </c>
      <c r="C3444" s="124" t="s">
        <v>369</v>
      </c>
      <c r="D3444" t="s">
        <v>5511</v>
      </c>
      <c r="E3444" t="s">
        <v>5551</v>
      </c>
      <c r="F3444" s="125" t="s">
        <v>5551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4894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90</v>
      </c>
      <c r="R3444" s="115" t="s">
        <v>489</v>
      </c>
      <c r="S3444" s="125"/>
    </row>
    <row r="3445" spans="1:19" hidden="1">
      <c r="A3445" s="124" t="s">
        <v>5502</v>
      </c>
      <c r="B3445" s="149" t="str">
        <f>IFERROR(VLOOKUP(Proc[[#This Row],[App]],Table2[],3,0),"open")</f>
        <v>ok</v>
      </c>
      <c r="C3445" s="124" t="s">
        <v>369</v>
      </c>
      <c r="D3445" t="s">
        <v>5512</v>
      </c>
      <c r="E3445" t="s">
        <v>5551</v>
      </c>
      <c r="F3445" s="125" t="s">
        <v>5551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4894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90</v>
      </c>
      <c r="R3445" s="115" t="s">
        <v>489</v>
      </c>
      <c r="S3445" s="125"/>
    </row>
    <row r="3446" spans="1:19" hidden="1">
      <c r="A3446" s="124" t="s">
        <v>5502</v>
      </c>
      <c r="B3446" s="149" t="str">
        <f>IFERROR(VLOOKUP(Proc[[#This Row],[App]],Table2[],3,0),"open")</f>
        <v>ok</v>
      </c>
      <c r="C3446" s="124" t="s">
        <v>369</v>
      </c>
      <c r="D3446" t="s">
        <v>5513</v>
      </c>
      <c r="E3446" t="s">
        <v>5551</v>
      </c>
      <c r="F3446" s="125" t="s">
        <v>5551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4894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90</v>
      </c>
      <c r="R3446" s="115" t="s">
        <v>489</v>
      </c>
      <c r="S3446" s="125"/>
    </row>
    <row r="3447" spans="1:19" hidden="1">
      <c r="A3447" s="124" t="s">
        <v>5502</v>
      </c>
      <c r="B3447" s="149" t="str">
        <f>IFERROR(VLOOKUP(Proc[[#This Row],[App]],Table2[],3,0),"open")</f>
        <v>ok</v>
      </c>
      <c r="C3447" s="124" t="s">
        <v>369</v>
      </c>
      <c r="D3447" t="s">
        <v>5514</v>
      </c>
      <c r="E3447" t="s">
        <v>5551</v>
      </c>
      <c r="F3447" s="125" t="s">
        <v>5551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4894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90</v>
      </c>
      <c r="R3447" s="115" t="s">
        <v>489</v>
      </c>
      <c r="S3447" s="125"/>
    </row>
    <row r="3448" spans="1:19" hidden="1">
      <c r="A3448" s="124" t="s">
        <v>5502</v>
      </c>
      <c r="B3448" s="149" t="str">
        <f>IFERROR(VLOOKUP(Proc[[#This Row],[App]],Table2[],3,0),"open")</f>
        <v>ok</v>
      </c>
      <c r="C3448" s="124" t="s">
        <v>369</v>
      </c>
      <c r="D3448" t="s">
        <v>5515</v>
      </c>
      <c r="E3448" t="s">
        <v>5551</v>
      </c>
      <c r="F3448" s="125" t="s">
        <v>5551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4894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90</v>
      </c>
      <c r="R3448" s="115" t="s">
        <v>489</v>
      </c>
      <c r="S3448" s="125"/>
    </row>
    <row r="3449" spans="1:19" hidden="1">
      <c r="A3449" s="124" t="s">
        <v>5502</v>
      </c>
      <c r="B3449" s="149" t="str">
        <f>IFERROR(VLOOKUP(Proc[[#This Row],[App]],Table2[],3,0),"open")</f>
        <v>ok</v>
      </c>
      <c r="C3449" s="124" t="s">
        <v>369</v>
      </c>
      <c r="D3449" t="s">
        <v>5516</v>
      </c>
      <c r="E3449" t="s">
        <v>5551</v>
      </c>
      <c r="F3449" s="125" t="s">
        <v>5551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4894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90</v>
      </c>
      <c r="R3449" s="115" t="s">
        <v>489</v>
      </c>
      <c r="S3449" s="125"/>
    </row>
    <row r="3450" spans="1:19" hidden="1">
      <c r="A3450" s="124" t="s">
        <v>5502</v>
      </c>
      <c r="B3450" s="149" t="str">
        <f>IFERROR(VLOOKUP(Proc[[#This Row],[App]],Table2[],3,0),"open")</f>
        <v>ok</v>
      </c>
      <c r="C3450" s="124" t="s">
        <v>369</v>
      </c>
      <c r="D3450" t="s">
        <v>5517</v>
      </c>
      <c r="E3450" t="s">
        <v>5551</v>
      </c>
      <c r="F3450" s="125" t="s">
        <v>5551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4894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90</v>
      </c>
      <c r="R3450" s="115" t="s">
        <v>489</v>
      </c>
      <c r="S3450" s="125"/>
    </row>
    <row r="3451" spans="1:19" hidden="1">
      <c r="A3451" s="124" t="s">
        <v>5502</v>
      </c>
      <c r="B3451" s="149" t="str">
        <f>IFERROR(VLOOKUP(Proc[[#This Row],[App]],Table2[],3,0),"open")</f>
        <v>ok</v>
      </c>
      <c r="C3451" s="124" t="s">
        <v>369</v>
      </c>
      <c r="D3451" t="s">
        <v>5518</v>
      </c>
      <c r="E3451" t="s">
        <v>5551</v>
      </c>
      <c r="F3451" s="125" t="s">
        <v>5551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4894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90</v>
      </c>
      <c r="R3451" s="115" t="s">
        <v>489</v>
      </c>
      <c r="S3451" s="125"/>
    </row>
    <row r="3452" spans="1:19" hidden="1">
      <c r="A3452" s="124" t="s">
        <v>5502</v>
      </c>
      <c r="B3452" s="149" t="str">
        <f>IFERROR(VLOOKUP(Proc[[#This Row],[App]],Table2[],3,0),"open")</f>
        <v>ok</v>
      </c>
      <c r="C3452" s="124" t="s">
        <v>369</v>
      </c>
      <c r="D3452" t="s">
        <v>5519</v>
      </c>
      <c r="E3452" t="s">
        <v>5551</v>
      </c>
      <c r="F3452" s="125" t="s">
        <v>5551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4894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90</v>
      </c>
      <c r="R3452" s="115" t="s">
        <v>489</v>
      </c>
      <c r="S3452" s="125"/>
    </row>
    <row r="3453" spans="1:19" hidden="1">
      <c r="A3453" s="124" t="s">
        <v>5502</v>
      </c>
      <c r="B3453" s="149" t="str">
        <f>IFERROR(VLOOKUP(Proc[[#This Row],[App]],Table2[],3,0),"open")</f>
        <v>ok</v>
      </c>
      <c r="C3453" s="124" t="s">
        <v>369</v>
      </c>
      <c r="D3453" t="s">
        <v>5520</v>
      </c>
      <c r="E3453" t="s">
        <v>5551</v>
      </c>
      <c r="F3453" s="125" t="s">
        <v>5551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4894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90</v>
      </c>
      <c r="R3453" s="115" t="s">
        <v>489</v>
      </c>
      <c r="S3453" s="125"/>
    </row>
    <row r="3454" spans="1:19" hidden="1">
      <c r="A3454" s="124" t="s">
        <v>5502</v>
      </c>
      <c r="B3454" s="149" t="str">
        <f>IFERROR(VLOOKUP(Proc[[#This Row],[App]],Table2[],3,0),"open")</f>
        <v>ok</v>
      </c>
      <c r="C3454" s="124" t="s">
        <v>369</v>
      </c>
      <c r="D3454" t="s">
        <v>5521</v>
      </c>
      <c r="E3454" t="s">
        <v>5551</v>
      </c>
      <c r="F3454" s="125" t="s">
        <v>5551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4894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90</v>
      </c>
      <c r="R3454" s="115" t="s">
        <v>489</v>
      </c>
      <c r="S3454" s="125"/>
    </row>
    <row r="3455" spans="1:19" hidden="1">
      <c r="A3455" t="s">
        <v>5522</v>
      </c>
      <c r="B3455" s="149" t="str">
        <f>IFERROR(VLOOKUP(Proc[[#This Row],[App]],Table2[],3,0),"open")</f>
        <v>ok</v>
      </c>
      <c r="C3455" s="124" t="s">
        <v>369</v>
      </c>
      <c r="D3455" t="s">
        <v>5523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4894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90</v>
      </c>
      <c r="R3455" s="115" t="s">
        <v>1459</v>
      </c>
      <c r="S3455" s="125"/>
    </row>
    <row r="3456" spans="1:19" hidden="1">
      <c r="A3456" t="s">
        <v>5524</v>
      </c>
      <c r="B3456" s="149" t="str">
        <f>IFERROR(VLOOKUP(Proc[[#This Row],[App]],Table2[],3,0),"open")</f>
        <v>ok</v>
      </c>
      <c r="C3456" s="124" t="s">
        <v>369</v>
      </c>
      <c r="D3456" t="s">
        <v>5525</v>
      </c>
      <c r="E3456" t="s">
        <v>5527</v>
      </c>
      <c r="F3456" s="124" t="s">
        <v>5527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4894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90</v>
      </c>
      <c r="R3456" s="115" t="s">
        <v>489</v>
      </c>
      <c r="S3456" s="125"/>
    </row>
    <row r="3457" spans="1:19" hidden="1">
      <c r="A3457" s="124" t="s">
        <v>5524</v>
      </c>
      <c r="B3457" s="149" t="str">
        <f>IFERROR(VLOOKUP(Proc[[#This Row],[App]],Table2[],3,0),"open")</f>
        <v>ok</v>
      </c>
      <c r="C3457" s="124" t="s">
        <v>369</v>
      </c>
      <c r="D3457" t="s">
        <v>5526</v>
      </c>
      <c r="E3457" t="s">
        <v>5528</v>
      </c>
      <c r="F3457" s="124" t="s">
        <v>5528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4894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90</v>
      </c>
      <c r="R3457" s="115" t="s">
        <v>489</v>
      </c>
      <c r="S3457" s="125"/>
    </row>
    <row r="3458" spans="1:19" hidden="1">
      <c r="A3458" t="s">
        <v>5529</v>
      </c>
      <c r="B3458" s="149" t="str">
        <f>IFERROR(VLOOKUP(Proc[[#This Row],[App]],Table2[],3,0),"open")</f>
        <v>ok</v>
      </c>
      <c r="C3458" s="124" t="s">
        <v>369</v>
      </c>
      <c r="D3458" t="s">
        <v>4321</v>
      </c>
      <c r="E3458" t="s">
        <v>5552</v>
      </c>
      <c r="F3458" s="125" t="s">
        <v>5552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4894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90</v>
      </c>
      <c r="R3458" s="115" t="s">
        <v>489</v>
      </c>
      <c r="S3458" s="125"/>
    </row>
    <row r="3459" spans="1:19" hidden="1">
      <c r="A3459" t="s">
        <v>5530</v>
      </c>
      <c r="B3459" s="149" t="str">
        <f>IFERROR(VLOOKUP(Proc[[#This Row],[App]],Table2[],3,0),"open")</f>
        <v>ok</v>
      </c>
      <c r="C3459" s="124" t="s">
        <v>369</v>
      </c>
      <c r="D3459" t="s">
        <v>5557</v>
      </c>
      <c r="E3459" t="s">
        <v>5552</v>
      </c>
      <c r="F3459" s="125" t="s">
        <v>5552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4894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90</v>
      </c>
      <c r="R3459" s="115" t="s">
        <v>489</v>
      </c>
      <c r="S3459" s="125"/>
    </row>
    <row r="3460" spans="1:19" hidden="1">
      <c r="A3460" s="124" t="s">
        <v>5530</v>
      </c>
      <c r="B3460" s="149" t="str">
        <f>IFERROR(VLOOKUP(Proc[[#This Row],[App]],Table2[],3,0),"open")</f>
        <v>ok</v>
      </c>
      <c r="C3460" s="124" t="s">
        <v>369</v>
      </c>
      <c r="D3460" t="s">
        <v>5558</v>
      </c>
      <c r="E3460" t="s">
        <v>5552</v>
      </c>
      <c r="F3460" s="125" t="s">
        <v>5552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4894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90</v>
      </c>
      <c r="R3460" s="115" t="s">
        <v>489</v>
      </c>
      <c r="S3460" s="125"/>
    </row>
    <row r="3461" spans="1:19" hidden="1">
      <c r="A3461" s="124" t="s">
        <v>5530</v>
      </c>
      <c r="B3461" s="149" t="str">
        <f>IFERROR(VLOOKUP(Proc[[#This Row],[App]],Table2[],3,0),"open")</f>
        <v>ok</v>
      </c>
      <c r="C3461" s="124" t="s">
        <v>369</v>
      </c>
      <c r="D3461" t="s">
        <v>5559</v>
      </c>
      <c r="E3461" t="s">
        <v>5552</v>
      </c>
      <c r="F3461" s="125" t="s">
        <v>5552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4894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90</v>
      </c>
      <c r="R3461" s="115" t="s">
        <v>489</v>
      </c>
      <c r="S3461" s="125"/>
    </row>
    <row r="3462" spans="1:19" hidden="1">
      <c r="A3462" s="124" t="s">
        <v>5530</v>
      </c>
      <c r="B3462" s="149" t="str">
        <f>IFERROR(VLOOKUP(Proc[[#This Row],[App]],Table2[],3,0),"open")</f>
        <v>ok</v>
      </c>
      <c r="C3462" s="124" t="s">
        <v>369</v>
      </c>
      <c r="D3462" t="s">
        <v>5560</v>
      </c>
      <c r="E3462" t="s">
        <v>5552</v>
      </c>
      <c r="F3462" s="125" t="s">
        <v>5552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4894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90</v>
      </c>
      <c r="R3462" s="115" t="s">
        <v>489</v>
      </c>
      <c r="S3462" s="125"/>
    </row>
    <row r="3463" spans="1:19" hidden="1">
      <c r="A3463" s="124" t="s">
        <v>5530</v>
      </c>
      <c r="B3463" s="149" t="str">
        <f>IFERROR(VLOOKUP(Proc[[#This Row],[App]],Table2[],3,0),"open")</f>
        <v>ok</v>
      </c>
      <c r="C3463" s="124" t="s">
        <v>369</v>
      </c>
      <c r="D3463" t="s">
        <v>5561</v>
      </c>
      <c r="E3463" t="s">
        <v>5552</v>
      </c>
      <c r="F3463" s="125" t="s">
        <v>5552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4894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90</v>
      </c>
      <c r="R3463" s="115" t="s">
        <v>489</v>
      </c>
      <c r="S3463" s="125"/>
    </row>
    <row r="3464" spans="1:19" hidden="1">
      <c r="A3464" s="124" t="s">
        <v>5530</v>
      </c>
      <c r="B3464" s="149" t="str">
        <f>IFERROR(VLOOKUP(Proc[[#This Row],[App]],Table2[],3,0),"open")</f>
        <v>ok</v>
      </c>
      <c r="C3464" s="124" t="s">
        <v>369</v>
      </c>
      <c r="D3464" t="s">
        <v>5562</v>
      </c>
      <c r="E3464" t="s">
        <v>5552</v>
      </c>
      <c r="F3464" s="125" t="s">
        <v>5552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4894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90</v>
      </c>
      <c r="R3464" s="115" t="s">
        <v>489</v>
      </c>
      <c r="S3464" s="125"/>
    </row>
    <row r="3465" spans="1:19" hidden="1">
      <c r="A3465" s="124" t="s">
        <v>5530</v>
      </c>
      <c r="B3465" s="149" t="str">
        <f>IFERROR(VLOOKUP(Proc[[#This Row],[App]],Table2[],3,0),"open")</f>
        <v>ok</v>
      </c>
      <c r="C3465" s="124" t="s">
        <v>369</v>
      </c>
      <c r="D3465" t="s">
        <v>5563</v>
      </c>
      <c r="E3465" t="s">
        <v>5531</v>
      </c>
      <c r="F3465" s="125" t="s">
        <v>5531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4894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90</v>
      </c>
      <c r="R3465" s="115" t="s">
        <v>489</v>
      </c>
      <c r="S3465" s="125"/>
    </row>
    <row r="3466" spans="1:19" hidden="1">
      <c r="A3466" s="124" t="s">
        <v>5530</v>
      </c>
      <c r="B3466" s="149" t="str">
        <f>IFERROR(VLOOKUP(Proc[[#This Row],[App]],Table2[],3,0),"open")</f>
        <v>ok</v>
      </c>
      <c r="C3466" s="124" t="s">
        <v>369</v>
      </c>
      <c r="D3466" t="s">
        <v>5564</v>
      </c>
      <c r="E3466" t="s">
        <v>5531</v>
      </c>
      <c r="F3466" s="125" t="s">
        <v>5531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4894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90</v>
      </c>
      <c r="R3466" s="115" t="s">
        <v>489</v>
      </c>
      <c r="S3466" s="125"/>
    </row>
    <row r="3467" spans="1:19" hidden="1">
      <c r="A3467" t="s">
        <v>5533</v>
      </c>
      <c r="B3467" s="149" t="str">
        <f>IFERROR(VLOOKUP(Proc[[#This Row],[App]],Table2[],3,0),"open")</f>
        <v>ok</v>
      </c>
      <c r="C3467" s="124" t="s">
        <v>369</v>
      </c>
      <c r="D3467" t="s">
        <v>5534</v>
      </c>
      <c r="E3467" t="s">
        <v>5532</v>
      </c>
      <c r="F3467" s="125" t="s">
        <v>5532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4894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90</v>
      </c>
      <c r="R3467" s="115" t="s">
        <v>415</v>
      </c>
      <c r="S3467" s="125"/>
    </row>
    <row r="3468" spans="1:19" hidden="1">
      <c r="A3468" s="124" t="s">
        <v>5533</v>
      </c>
      <c r="B3468" s="149" t="str">
        <f>IFERROR(VLOOKUP(Proc[[#This Row],[App]],Table2[],3,0),"open")</f>
        <v>ok</v>
      </c>
      <c r="C3468" s="124" t="s">
        <v>369</v>
      </c>
      <c r="D3468" t="s">
        <v>5535</v>
      </c>
      <c r="E3468" t="s">
        <v>5532</v>
      </c>
      <c r="F3468" s="125" t="s">
        <v>5532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4894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90</v>
      </c>
      <c r="R3468" s="115" t="s">
        <v>415</v>
      </c>
      <c r="S3468" s="125"/>
    </row>
    <row r="3469" spans="1:19" hidden="1">
      <c r="A3469" s="124" t="s">
        <v>5533</v>
      </c>
      <c r="B3469" s="149" t="str">
        <f>IFERROR(VLOOKUP(Proc[[#This Row],[App]],Table2[],3,0),"open")</f>
        <v>ok</v>
      </c>
      <c r="C3469" s="124" t="s">
        <v>369</v>
      </c>
      <c r="D3469" t="s">
        <v>5536</v>
      </c>
      <c r="E3469" t="s">
        <v>5532</v>
      </c>
      <c r="F3469" s="125" t="s">
        <v>5532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4894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90</v>
      </c>
      <c r="R3469" s="115" t="s">
        <v>415</v>
      </c>
      <c r="S3469" s="125"/>
    </row>
    <row r="3470" spans="1:19" hidden="1">
      <c r="A3470" s="124" t="s">
        <v>5533</v>
      </c>
      <c r="B3470" s="149" t="str">
        <f>IFERROR(VLOOKUP(Proc[[#This Row],[App]],Table2[],3,0),"open")</f>
        <v>ok</v>
      </c>
      <c r="C3470" s="124" t="s">
        <v>369</v>
      </c>
      <c r="D3470" t="s">
        <v>5537</v>
      </c>
      <c r="E3470" t="s">
        <v>5532</v>
      </c>
      <c r="F3470" s="125" t="s">
        <v>5532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4894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90</v>
      </c>
      <c r="R3470" s="115" t="s">
        <v>415</v>
      </c>
      <c r="S3470" s="125"/>
    </row>
    <row r="3471" spans="1:19" hidden="1">
      <c r="A3471" s="124" t="s">
        <v>5533</v>
      </c>
      <c r="B3471" s="149" t="str">
        <f>IFERROR(VLOOKUP(Proc[[#This Row],[App]],Table2[],3,0),"open")</f>
        <v>ok</v>
      </c>
      <c r="C3471" s="124" t="s">
        <v>369</v>
      </c>
      <c r="D3471" t="s">
        <v>5538</v>
      </c>
      <c r="E3471" t="s">
        <v>5532</v>
      </c>
      <c r="F3471" s="125" t="s">
        <v>5532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4894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90</v>
      </c>
      <c r="R3471" s="115" t="s">
        <v>415</v>
      </c>
      <c r="S3471" s="125"/>
    </row>
    <row r="3472" spans="1:19" hidden="1">
      <c r="A3472" s="124" t="s">
        <v>5533</v>
      </c>
      <c r="B3472" s="149" t="str">
        <f>IFERROR(VLOOKUP(Proc[[#This Row],[App]],Table2[],3,0),"open")</f>
        <v>ok</v>
      </c>
      <c r="C3472" s="124" t="s">
        <v>369</v>
      </c>
      <c r="D3472" t="s">
        <v>5539</v>
      </c>
      <c r="E3472" t="s">
        <v>5532</v>
      </c>
      <c r="F3472" s="125" t="s">
        <v>5532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4894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90</v>
      </c>
      <c r="R3472" s="115" t="s">
        <v>415</v>
      </c>
      <c r="S3472" s="125"/>
    </row>
    <row r="3473" spans="1:19" hidden="1">
      <c r="A3473" s="124" t="s">
        <v>5533</v>
      </c>
      <c r="B3473" s="149" t="str">
        <f>IFERROR(VLOOKUP(Proc[[#This Row],[App]],Table2[],3,0),"open")</f>
        <v>ok</v>
      </c>
      <c r="C3473" s="124" t="s">
        <v>369</v>
      </c>
      <c r="D3473" t="s">
        <v>5540</v>
      </c>
      <c r="E3473" t="s">
        <v>5532</v>
      </c>
      <c r="F3473" s="125" t="s">
        <v>5532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4894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90</v>
      </c>
      <c r="R3473" s="115" t="s">
        <v>415</v>
      </c>
      <c r="S3473" s="125"/>
    </row>
    <row r="3474" spans="1:19" hidden="1">
      <c r="A3474" s="124" t="s">
        <v>5533</v>
      </c>
      <c r="B3474" s="149" t="str">
        <f>IFERROR(VLOOKUP(Proc[[#This Row],[App]],Table2[],3,0),"open")</f>
        <v>ok</v>
      </c>
      <c r="C3474" s="124" t="s">
        <v>369</v>
      </c>
      <c r="D3474" t="s">
        <v>5541</v>
      </c>
      <c r="E3474" t="s">
        <v>5532</v>
      </c>
      <c r="F3474" s="125" t="s">
        <v>5532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4894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90</v>
      </c>
      <c r="R3474" s="115" t="s">
        <v>415</v>
      </c>
      <c r="S3474" s="125"/>
    </row>
    <row r="3475" spans="1:19" hidden="1">
      <c r="A3475" s="124" t="s">
        <v>5533</v>
      </c>
      <c r="B3475" s="149" t="str">
        <f>IFERROR(VLOOKUP(Proc[[#This Row],[App]],Table2[],3,0),"open")</f>
        <v>ok</v>
      </c>
      <c r="C3475" s="124" t="s">
        <v>369</v>
      </c>
      <c r="D3475" t="s">
        <v>5542</v>
      </c>
      <c r="E3475" t="s">
        <v>5532</v>
      </c>
      <c r="F3475" s="125" t="s">
        <v>5532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4894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90</v>
      </c>
      <c r="R3475" s="115" t="s">
        <v>415</v>
      </c>
      <c r="S3475" s="125"/>
    </row>
    <row r="3476" spans="1:19" hidden="1">
      <c r="A3476" s="124" t="s">
        <v>5533</v>
      </c>
      <c r="B3476" s="149" t="str">
        <f>IFERROR(VLOOKUP(Proc[[#This Row],[App]],Table2[],3,0),"open")</f>
        <v>ok</v>
      </c>
      <c r="C3476" s="124" t="s">
        <v>369</v>
      </c>
      <c r="D3476" t="s">
        <v>5543</v>
      </c>
      <c r="E3476" t="s">
        <v>5532</v>
      </c>
      <c r="F3476" s="125" t="s">
        <v>5532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4894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90</v>
      </c>
      <c r="R3476" s="115" t="s">
        <v>415</v>
      </c>
      <c r="S3476" s="125"/>
    </row>
    <row r="3477" spans="1:19" hidden="1">
      <c r="A3477" t="s">
        <v>5546</v>
      </c>
      <c r="B3477" s="149" t="str">
        <f>IFERROR(VLOOKUP(Proc[[#This Row],[App]],Table2[],3,0),"open")</f>
        <v>ok</v>
      </c>
      <c r="C3477" s="124" t="s">
        <v>369</v>
      </c>
      <c r="D3477" t="s">
        <v>5547</v>
      </c>
      <c r="E3477" s="124" t="s">
        <v>5548</v>
      </c>
      <c r="F3477" s="125" t="s">
        <v>5548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4894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89</v>
      </c>
      <c r="R3477" s="115" t="s">
        <v>410</v>
      </c>
      <c r="S3477" s="125"/>
    </row>
    <row r="3478" spans="1:19" hidden="1">
      <c r="A3478" t="s">
        <v>5549</v>
      </c>
      <c r="B3478" s="149" t="str">
        <f>IFERROR(VLOOKUP(Proc[[#This Row],[App]],Table2[],3,0),"open")</f>
        <v>ok</v>
      </c>
      <c r="C3478" s="124" t="s">
        <v>369</v>
      </c>
      <c r="D3478" t="s">
        <v>5550</v>
      </c>
      <c r="E3478" t="s">
        <v>5553</v>
      </c>
      <c r="F3478" s="125" t="s">
        <v>5553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4894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89</v>
      </c>
      <c r="R3478" s="115" t="s">
        <v>515</v>
      </c>
      <c r="S3478" s="125"/>
    </row>
    <row r="3479" spans="1:19" hidden="1">
      <c r="A3479" t="s">
        <v>5554</v>
      </c>
      <c r="B3479" s="149" t="str">
        <f>IFERROR(VLOOKUP(Proc[[#This Row],[App]],Table2[],3,0),"open")</f>
        <v>ok</v>
      </c>
      <c r="C3479" t="s">
        <v>369</v>
      </c>
      <c r="D3479" t="s">
        <v>5565</v>
      </c>
      <c r="E3479" t="s">
        <v>5555</v>
      </c>
      <c r="F3479" s="129" t="s">
        <v>5555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4894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88</v>
      </c>
      <c r="R3479" s="115" t="s">
        <v>410</v>
      </c>
      <c r="S3479" s="125"/>
    </row>
    <row r="3480" spans="1:19" hidden="1">
      <c r="A3480" s="124" t="s">
        <v>5554</v>
      </c>
      <c r="B3480" s="149" t="str">
        <f>IFERROR(VLOOKUP(Proc[[#This Row],[App]],Table2[],3,0),"open")</f>
        <v>ok</v>
      </c>
      <c r="C3480" s="128" t="s">
        <v>369</v>
      </c>
      <c r="D3480" t="s">
        <v>5566</v>
      </c>
      <c r="E3480" t="s">
        <v>5555</v>
      </c>
      <c r="F3480" s="129" t="s">
        <v>5555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4894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88</v>
      </c>
      <c r="R3480" s="115" t="s">
        <v>410</v>
      </c>
      <c r="S3480" s="125"/>
    </row>
    <row r="3481" spans="1:19" hidden="1">
      <c r="A3481" s="124" t="s">
        <v>5554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4894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88</v>
      </c>
      <c r="R3481" s="115" t="s">
        <v>410</v>
      </c>
      <c r="S3481" s="125"/>
    </row>
    <row r="3482" spans="1:19" hidden="1">
      <c r="A3482" s="124" t="s">
        <v>5554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4894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88</v>
      </c>
      <c r="R3482" s="115" t="s">
        <v>410</v>
      </c>
      <c r="S3482" s="125"/>
    </row>
    <row r="3483" spans="1:19" hidden="1">
      <c r="A3483" s="124" t="s">
        <v>5554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4894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88</v>
      </c>
      <c r="R3483" s="115" t="s">
        <v>410</v>
      </c>
      <c r="S3483" s="125"/>
    </row>
    <row r="3484" spans="1:19" hidden="1">
      <c r="A3484" s="124" t="s">
        <v>5554</v>
      </c>
      <c r="B3484" s="149" t="str">
        <f>IFERROR(VLOOKUP(Proc[[#This Row],[App]],Table2[],3,0),"open")</f>
        <v>ok</v>
      </c>
      <c r="C3484" s="128" t="s">
        <v>369</v>
      </c>
      <c r="D3484" t="s">
        <v>5567</v>
      </c>
      <c r="E3484" t="s">
        <v>5556</v>
      </c>
      <c r="F3484" s="129" t="s">
        <v>5556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4894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88</v>
      </c>
      <c r="R3484" s="115" t="s">
        <v>410</v>
      </c>
      <c r="S3484" s="125"/>
    </row>
    <row r="3485" spans="1:19" hidden="1">
      <c r="A3485" s="124" t="s">
        <v>5554</v>
      </c>
      <c r="B3485" s="149" t="str">
        <f>IFERROR(VLOOKUP(Proc[[#This Row],[App]],Table2[],3,0),"open")</f>
        <v>ok</v>
      </c>
      <c r="C3485" s="128" t="s">
        <v>369</v>
      </c>
      <c r="D3485" t="s">
        <v>5568</v>
      </c>
      <c r="E3485" t="s">
        <v>5556</v>
      </c>
      <c r="F3485" s="129" t="s">
        <v>5556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4894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88</v>
      </c>
      <c r="R3485" s="115" t="s">
        <v>410</v>
      </c>
      <c r="S3485" s="125"/>
    </row>
    <row r="3486" spans="1:19" hidden="1">
      <c r="A3486" t="s">
        <v>5571</v>
      </c>
      <c r="B3486" s="149" t="str">
        <f>IFERROR(VLOOKUP(Proc[[#This Row],[App]],Table2[],3,0),"open")</f>
        <v>ok</v>
      </c>
      <c r="C3486" s="128" t="s">
        <v>369</v>
      </c>
      <c r="D3486" t="s">
        <v>5575</v>
      </c>
      <c r="E3486" s="128" t="s">
        <v>5570</v>
      </c>
      <c r="F3486" s="129" t="s">
        <v>5570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4894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87</v>
      </c>
      <c r="R3486" s="115" t="s">
        <v>1262</v>
      </c>
      <c r="S3486" s="125"/>
    </row>
    <row r="3487" spans="1:19" hidden="1">
      <c r="A3487" t="s">
        <v>5574</v>
      </c>
      <c r="B3487" s="149" t="str">
        <f>IFERROR(VLOOKUP(Proc[[#This Row],[App]],Table2[],3,0),"open")</f>
        <v>ok</v>
      </c>
      <c r="C3487" s="128" t="s">
        <v>369</v>
      </c>
      <c r="D3487" t="s">
        <v>5572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4894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87</v>
      </c>
      <c r="R3487" s="115" t="s">
        <v>515</v>
      </c>
      <c r="S3487" s="129"/>
    </row>
    <row r="3488" spans="1:19" hidden="1">
      <c r="A3488" s="128" t="s">
        <v>5574</v>
      </c>
      <c r="B3488" s="149" t="str">
        <f>IFERROR(VLOOKUP(Proc[[#This Row],[App]],Table2[],3,0),"open")</f>
        <v>ok</v>
      </c>
      <c r="C3488" s="128" t="s">
        <v>369</v>
      </c>
      <c r="D3488" t="s">
        <v>5573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4894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87</v>
      </c>
      <c r="R3488" s="115" t="s">
        <v>515</v>
      </c>
      <c r="S3488" s="129"/>
    </row>
    <row r="3489" spans="1:19" hidden="1">
      <c r="A3489" t="s">
        <v>5669</v>
      </c>
      <c r="B3489" s="149" t="str">
        <f>IFERROR(VLOOKUP(Proc[[#This Row],[App]],Table2[],3,0),"open")</f>
        <v>ok</v>
      </c>
      <c r="C3489" s="128" t="s">
        <v>369</v>
      </c>
      <c r="D3489" t="s">
        <v>5576</v>
      </c>
      <c r="E3489" t="s">
        <v>5668</v>
      </c>
      <c r="F3489" s="129" t="s">
        <v>5668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4894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86</v>
      </c>
      <c r="R3489" s="115" t="s">
        <v>515</v>
      </c>
      <c r="S3489" s="129"/>
    </row>
    <row r="3490" spans="1:19" hidden="1">
      <c r="A3490" s="128" t="s">
        <v>5669</v>
      </c>
      <c r="B3490" s="149" t="str">
        <f>IFERROR(VLOOKUP(Proc[[#This Row],[App]],Table2[],3,0),"open")</f>
        <v>ok</v>
      </c>
      <c r="C3490" s="128" t="s">
        <v>369</v>
      </c>
      <c r="D3490" t="s">
        <v>5577</v>
      </c>
      <c r="E3490" t="s">
        <v>5668</v>
      </c>
      <c r="F3490" s="129" t="s">
        <v>5668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4894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86</v>
      </c>
      <c r="R3490" s="115" t="s">
        <v>515</v>
      </c>
      <c r="S3490" s="129"/>
    </row>
    <row r="3491" spans="1:19" hidden="1">
      <c r="A3491" s="128" t="s">
        <v>5669</v>
      </c>
      <c r="B3491" s="149" t="str">
        <f>IFERROR(VLOOKUP(Proc[[#This Row],[App]],Table2[],3,0),"open")</f>
        <v>ok</v>
      </c>
      <c r="C3491" s="128" t="s">
        <v>369</v>
      </c>
      <c r="D3491" t="s">
        <v>5578</v>
      </c>
      <c r="E3491" t="s">
        <v>5668</v>
      </c>
      <c r="F3491" s="129" t="s">
        <v>5668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4894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86</v>
      </c>
      <c r="R3491" s="115" t="s">
        <v>515</v>
      </c>
      <c r="S3491" s="129"/>
    </row>
    <row r="3492" spans="1:19" hidden="1">
      <c r="A3492" s="128" t="s">
        <v>5669</v>
      </c>
      <c r="B3492" s="149" t="str">
        <f>IFERROR(VLOOKUP(Proc[[#This Row],[App]],Table2[],3,0),"open")</f>
        <v>ok</v>
      </c>
      <c r="C3492" s="128" t="s">
        <v>369</v>
      </c>
      <c r="D3492" t="s">
        <v>5579</v>
      </c>
      <c r="E3492" t="s">
        <v>5668</v>
      </c>
      <c r="F3492" s="129" t="s">
        <v>5668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4894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86</v>
      </c>
      <c r="R3492" s="115" t="s">
        <v>515</v>
      </c>
      <c r="S3492" s="129"/>
    </row>
    <row r="3493" spans="1:19" hidden="1">
      <c r="A3493" s="128" t="s">
        <v>5669</v>
      </c>
      <c r="B3493" s="149" t="str">
        <f>IFERROR(VLOOKUP(Proc[[#This Row],[App]],Table2[],3,0),"open")</f>
        <v>ok</v>
      </c>
      <c r="C3493" s="128" t="s">
        <v>369</v>
      </c>
      <c r="D3493" t="s">
        <v>5580</v>
      </c>
      <c r="E3493" t="s">
        <v>5668</v>
      </c>
      <c r="F3493" s="129" t="s">
        <v>5668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4894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86</v>
      </c>
      <c r="R3493" s="115" t="s">
        <v>515</v>
      </c>
      <c r="S3493" s="129"/>
    </row>
    <row r="3494" spans="1:19" hidden="1">
      <c r="A3494" s="128" t="s">
        <v>5669</v>
      </c>
      <c r="B3494" s="149" t="str">
        <f>IFERROR(VLOOKUP(Proc[[#This Row],[App]],Table2[],3,0),"open")</f>
        <v>ok</v>
      </c>
      <c r="C3494" s="128" t="s">
        <v>369</v>
      </c>
      <c r="D3494" t="s">
        <v>5581</v>
      </c>
      <c r="E3494" t="s">
        <v>5668</v>
      </c>
      <c r="F3494" s="129" t="s">
        <v>5668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4894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86</v>
      </c>
      <c r="R3494" s="115" t="s">
        <v>515</v>
      </c>
      <c r="S3494" s="129"/>
    </row>
    <row r="3495" spans="1:19" hidden="1">
      <c r="A3495" s="128" t="s">
        <v>5669</v>
      </c>
      <c r="B3495" s="149" t="str">
        <f>IFERROR(VLOOKUP(Proc[[#This Row],[App]],Table2[],3,0),"open")</f>
        <v>ok</v>
      </c>
      <c r="C3495" s="128" t="s">
        <v>369</v>
      </c>
      <c r="D3495" t="s">
        <v>5582</v>
      </c>
      <c r="E3495" t="s">
        <v>5668</v>
      </c>
      <c r="F3495" s="129" t="s">
        <v>5668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4894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86</v>
      </c>
      <c r="R3495" s="115" t="s">
        <v>515</v>
      </c>
      <c r="S3495" s="129"/>
    </row>
    <row r="3496" spans="1:19" hidden="1">
      <c r="A3496" s="128" t="s">
        <v>5669</v>
      </c>
      <c r="B3496" s="149" t="str">
        <f>IFERROR(VLOOKUP(Proc[[#This Row],[App]],Table2[],3,0),"open")</f>
        <v>ok</v>
      </c>
      <c r="C3496" s="128" t="s">
        <v>369</v>
      </c>
      <c r="D3496" t="s">
        <v>5583</v>
      </c>
      <c r="E3496" t="s">
        <v>5668</v>
      </c>
      <c r="F3496" s="129" t="s">
        <v>5668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4894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86</v>
      </c>
      <c r="R3496" s="115" t="s">
        <v>515</v>
      </c>
      <c r="S3496" s="129"/>
    </row>
    <row r="3497" spans="1:19" hidden="1">
      <c r="A3497" s="128" t="s">
        <v>5669</v>
      </c>
      <c r="B3497" s="149" t="str">
        <f>IFERROR(VLOOKUP(Proc[[#This Row],[App]],Table2[],3,0),"open")</f>
        <v>ok</v>
      </c>
      <c r="C3497" s="128" t="s">
        <v>369</v>
      </c>
      <c r="D3497" t="s">
        <v>5584</v>
      </c>
      <c r="E3497" t="s">
        <v>5668</v>
      </c>
      <c r="F3497" s="129" t="s">
        <v>5668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4894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86</v>
      </c>
      <c r="R3497" s="115" t="s">
        <v>515</v>
      </c>
      <c r="S3497" s="129"/>
    </row>
    <row r="3498" spans="1:19" hidden="1">
      <c r="A3498" s="128" t="s">
        <v>5669</v>
      </c>
      <c r="B3498" s="149" t="str">
        <f>IFERROR(VLOOKUP(Proc[[#This Row],[App]],Table2[],3,0),"open")</f>
        <v>ok</v>
      </c>
      <c r="C3498" s="128" t="s">
        <v>369</v>
      </c>
      <c r="D3498" t="s">
        <v>5585</v>
      </c>
      <c r="E3498" t="s">
        <v>5668</v>
      </c>
      <c r="F3498" s="129" t="s">
        <v>5668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4894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86</v>
      </c>
      <c r="R3498" s="115" t="s">
        <v>515</v>
      </c>
      <c r="S3498" s="129"/>
    </row>
    <row r="3499" spans="1:19" hidden="1">
      <c r="A3499" s="128" t="s">
        <v>5669</v>
      </c>
      <c r="B3499" s="149" t="str">
        <f>IFERROR(VLOOKUP(Proc[[#This Row],[App]],Table2[],3,0),"open")</f>
        <v>ok</v>
      </c>
      <c r="C3499" s="128" t="s">
        <v>369</v>
      </c>
      <c r="D3499" t="s">
        <v>5586</v>
      </c>
      <c r="E3499" t="s">
        <v>5668</v>
      </c>
      <c r="F3499" s="129" t="s">
        <v>5668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4894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86</v>
      </c>
      <c r="R3499" s="115" t="s">
        <v>515</v>
      </c>
      <c r="S3499" s="129"/>
    </row>
    <row r="3500" spans="1:19" hidden="1">
      <c r="A3500" s="128" t="s">
        <v>5669</v>
      </c>
      <c r="B3500" s="149" t="str">
        <f>IFERROR(VLOOKUP(Proc[[#This Row],[App]],Table2[],3,0),"open")</f>
        <v>ok</v>
      </c>
      <c r="C3500" s="128" t="s">
        <v>369</v>
      </c>
      <c r="D3500" t="s">
        <v>5587</v>
      </c>
      <c r="E3500" t="s">
        <v>5668</v>
      </c>
      <c r="F3500" s="129" t="s">
        <v>5668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4894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86</v>
      </c>
      <c r="R3500" s="115" t="s">
        <v>515</v>
      </c>
      <c r="S3500" s="129"/>
    </row>
    <row r="3501" spans="1:19" hidden="1">
      <c r="A3501" s="128" t="s">
        <v>5669</v>
      </c>
      <c r="B3501" s="149" t="str">
        <f>IFERROR(VLOOKUP(Proc[[#This Row],[App]],Table2[],3,0),"open")</f>
        <v>ok</v>
      </c>
      <c r="C3501" s="128" t="s">
        <v>369</v>
      </c>
      <c r="D3501" t="s">
        <v>5588</v>
      </c>
      <c r="E3501" t="s">
        <v>5668</v>
      </c>
      <c r="F3501" s="129" t="s">
        <v>5668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4894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86</v>
      </c>
      <c r="R3501" s="115" t="s">
        <v>515</v>
      </c>
      <c r="S3501" s="129"/>
    </row>
    <row r="3502" spans="1:19" hidden="1">
      <c r="A3502" s="128" t="s">
        <v>5669</v>
      </c>
      <c r="B3502" s="149" t="str">
        <f>IFERROR(VLOOKUP(Proc[[#This Row],[App]],Table2[],3,0),"open")</f>
        <v>ok</v>
      </c>
      <c r="C3502" s="128" t="s">
        <v>369</v>
      </c>
      <c r="D3502" t="s">
        <v>5589</v>
      </c>
      <c r="E3502" t="s">
        <v>5668</v>
      </c>
      <c r="F3502" s="129" t="s">
        <v>5668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4894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86</v>
      </c>
      <c r="R3502" s="115" t="s">
        <v>515</v>
      </c>
      <c r="S3502" s="129"/>
    </row>
    <row r="3503" spans="1:19" hidden="1">
      <c r="A3503" s="128" t="s">
        <v>5669</v>
      </c>
      <c r="B3503" s="149" t="str">
        <f>IFERROR(VLOOKUP(Proc[[#This Row],[App]],Table2[],3,0),"open")</f>
        <v>ok</v>
      </c>
      <c r="C3503" s="128" t="s">
        <v>369</v>
      </c>
      <c r="D3503" t="s">
        <v>5590</v>
      </c>
      <c r="E3503" t="s">
        <v>5668</v>
      </c>
      <c r="F3503" s="129" t="s">
        <v>5668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4894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86</v>
      </c>
      <c r="R3503" s="115" t="s">
        <v>515</v>
      </c>
      <c r="S3503" s="129"/>
    </row>
    <row r="3504" spans="1:19" hidden="1">
      <c r="A3504" s="128" t="s">
        <v>5669</v>
      </c>
      <c r="B3504" s="149" t="str">
        <f>IFERROR(VLOOKUP(Proc[[#This Row],[App]],Table2[],3,0),"open")</f>
        <v>ok</v>
      </c>
      <c r="C3504" s="128" t="s">
        <v>369</v>
      </c>
      <c r="D3504" t="s">
        <v>5591</v>
      </c>
      <c r="E3504" t="s">
        <v>5668</v>
      </c>
      <c r="F3504" s="129" t="s">
        <v>5668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4894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86</v>
      </c>
      <c r="R3504" s="115" t="s">
        <v>515</v>
      </c>
      <c r="S3504" s="129"/>
    </row>
    <row r="3505" spans="1:19" hidden="1">
      <c r="A3505" s="128" t="s">
        <v>5669</v>
      </c>
      <c r="B3505" s="149" t="str">
        <f>IFERROR(VLOOKUP(Proc[[#This Row],[App]],Table2[],3,0),"open")</f>
        <v>ok</v>
      </c>
      <c r="C3505" s="128" t="s">
        <v>369</v>
      </c>
      <c r="D3505" t="s">
        <v>5592</v>
      </c>
      <c r="E3505" t="s">
        <v>5668</v>
      </c>
      <c r="F3505" s="129" t="s">
        <v>5668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4894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86</v>
      </c>
      <c r="R3505" s="115" t="s">
        <v>515</v>
      </c>
      <c r="S3505" s="129"/>
    </row>
    <row r="3506" spans="1:19" hidden="1">
      <c r="A3506" s="128" t="s">
        <v>5669</v>
      </c>
      <c r="B3506" s="149" t="str">
        <f>IFERROR(VLOOKUP(Proc[[#This Row],[App]],Table2[],3,0),"open")</f>
        <v>ok</v>
      </c>
      <c r="C3506" s="128" t="s">
        <v>369</v>
      </c>
      <c r="D3506" t="s">
        <v>5593</v>
      </c>
      <c r="E3506" t="s">
        <v>5668</v>
      </c>
      <c r="F3506" s="129" t="s">
        <v>5668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4894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86</v>
      </c>
      <c r="R3506" s="115" t="s">
        <v>515</v>
      </c>
      <c r="S3506" s="129"/>
    </row>
    <row r="3507" spans="1:19" hidden="1">
      <c r="A3507" s="128" t="s">
        <v>5669</v>
      </c>
      <c r="B3507" s="149" t="str">
        <f>IFERROR(VLOOKUP(Proc[[#This Row],[App]],Table2[],3,0),"open")</f>
        <v>ok</v>
      </c>
      <c r="C3507" s="128" t="s">
        <v>369</v>
      </c>
      <c r="D3507" t="s">
        <v>5594</v>
      </c>
      <c r="E3507" t="s">
        <v>5668</v>
      </c>
      <c r="F3507" s="129" t="s">
        <v>5668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4894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86</v>
      </c>
      <c r="R3507" s="115" t="s">
        <v>515</v>
      </c>
      <c r="S3507" s="129"/>
    </row>
    <row r="3508" spans="1:19" hidden="1">
      <c r="A3508" s="128" t="s">
        <v>5669</v>
      </c>
      <c r="B3508" s="149" t="str">
        <f>IFERROR(VLOOKUP(Proc[[#This Row],[App]],Table2[],3,0),"open")</f>
        <v>ok</v>
      </c>
      <c r="C3508" s="128" t="s">
        <v>369</v>
      </c>
      <c r="D3508" t="s">
        <v>5595</v>
      </c>
      <c r="E3508" t="s">
        <v>5668</v>
      </c>
      <c r="F3508" s="129" t="s">
        <v>5668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4894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86</v>
      </c>
      <c r="R3508" s="115" t="s">
        <v>515</v>
      </c>
      <c r="S3508" s="129"/>
    </row>
    <row r="3509" spans="1:19" hidden="1">
      <c r="A3509" s="128" t="s">
        <v>5669</v>
      </c>
      <c r="B3509" s="149" t="str">
        <f>IFERROR(VLOOKUP(Proc[[#This Row],[App]],Table2[],3,0),"open")</f>
        <v>ok</v>
      </c>
      <c r="C3509" s="128" t="s">
        <v>369</v>
      </c>
      <c r="D3509" t="s">
        <v>5596</v>
      </c>
      <c r="E3509" t="s">
        <v>5668</v>
      </c>
      <c r="F3509" s="129" t="s">
        <v>5668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4894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86</v>
      </c>
      <c r="R3509" s="115" t="s">
        <v>515</v>
      </c>
      <c r="S3509" s="129"/>
    </row>
    <row r="3510" spans="1:19" hidden="1">
      <c r="A3510" s="128" t="s">
        <v>5669</v>
      </c>
      <c r="B3510" s="149" t="str">
        <f>IFERROR(VLOOKUP(Proc[[#This Row],[App]],Table2[],3,0),"open")</f>
        <v>ok</v>
      </c>
      <c r="C3510" s="128" t="s">
        <v>369</v>
      </c>
      <c r="D3510" t="s">
        <v>5597</v>
      </c>
      <c r="E3510" t="s">
        <v>5668</v>
      </c>
      <c r="F3510" s="129" t="s">
        <v>5668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4894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86</v>
      </c>
      <c r="R3510" s="115" t="s">
        <v>515</v>
      </c>
      <c r="S3510" s="129"/>
    </row>
    <row r="3511" spans="1:19" hidden="1">
      <c r="A3511" s="128" t="s">
        <v>5669</v>
      </c>
      <c r="B3511" s="149" t="str">
        <f>IFERROR(VLOOKUP(Proc[[#This Row],[App]],Table2[],3,0),"open")</f>
        <v>ok</v>
      </c>
      <c r="C3511" s="128" t="s">
        <v>369</v>
      </c>
      <c r="D3511" t="s">
        <v>5598</v>
      </c>
      <c r="E3511" t="s">
        <v>5668</v>
      </c>
      <c r="F3511" s="129" t="s">
        <v>5668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4894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86</v>
      </c>
      <c r="R3511" s="115" t="s">
        <v>515</v>
      </c>
      <c r="S3511" s="129"/>
    </row>
    <row r="3512" spans="1:19" hidden="1">
      <c r="A3512" s="128" t="s">
        <v>5669</v>
      </c>
      <c r="B3512" s="149" t="str">
        <f>IFERROR(VLOOKUP(Proc[[#This Row],[App]],Table2[],3,0),"open")</f>
        <v>ok</v>
      </c>
      <c r="C3512" s="128" t="s">
        <v>369</v>
      </c>
      <c r="D3512" t="s">
        <v>5599</v>
      </c>
      <c r="E3512" t="s">
        <v>5668</v>
      </c>
      <c r="F3512" s="129" t="s">
        <v>5668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4894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86</v>
      </c>
      <c r="R3512" s="115" t="s">
        <v>515</v>
      </c>
      <c r="S3512" s="129"/>
    </row>
    <row r="3513" spans="1:19" hidden="1">
      <c r="A3513" s="128" t="s">
        <v>5669</v>
      </c>
      <c r="B3513" s="149" t="str">
        <f>IFERROR(VLOOKUP(Proc[[#This Row],[App]],Table2[],3,0),"open")</f>
        <v>ok</v>
      </c>
      <c r="C3513" s="128" t="s">
        <v>369</v>
      </c>
      <c r="D3513" t="s">
        <v>5600</v>
      </c>
      <c r="E3513" t="s">
        <v>5668</v>
      </c>
      <c r="F3513" s="129" t="s">
        <v>5668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4894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86</v>
      </c>
      <c r="R3513" s="115" t="s">
        <v>515</v>
      </c>
      <c r="S3513" s="129"/>
    </row>
    <row r="3514" spans="1:19" hidden="1">
      <c r="A3514" s="128" t="s">
        <v>5669</v>
      </c>
      <c r="B3514" s="149" t="str">
        <f>IFERROR(VLOOKUP(Proc[[#This Row],[App]],Table2[],3,0),"open")</f>
        <v>ok</v>
      </c>
      <c r="C3514" s="128" t="s">
        <v>369</v>
      </c>
      <c r="D3514" t="s">
        <v>5601</v>
      </c>
      <c r="E3514" t="s">
        <v>5668</v>
      </c>
      <c r="F3514" s="129" t="s">
        <v>5668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4894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86</v>
      </c>
      <c r="R3514" s="115" t="s">
        <v>515</v>
      </c>
      <c r="S3514" s="129"/>
    </row>
    <row r="3515" spans="1:19" hidden="1">
      <c r="A3515" s="128" t="s">
        <v>5669</v>
      </c>
      <c r="B3515" s="149" t="str">
        <f>IFERROR(VLOOKUP(Proc[[#This Row],[App]],Table2[],3,0),"open")</f>
        <v>ok</v>
      </c>
      <c r="C3515" s="128" t="s">
        <v>369</v>
      </c>
      <c r="D3515" t="s">
        <v>5602</v>
      </c>
      <c r="E3515" t="s">
        <v>5668</v>
      </c>
      <c r="F3515" s="129" t="s">
        <v>5668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4894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86</v>
      </c>
      <c r="R3515" s="115" t="s">
        <v>515</v>
      </c>
      <c r="S3515" s="129"/>
    </row>
    <row r="3516" spans="1:19" hidden="1">
      <c r="A3516" s="128" t="s">
        <v>5669</v>
      </c>
      <c r="B3516" s="149" t="str">
        <f>IFERROR(VLOOKUP(Proc[[#This Row],[App]],Table2[],3,0),"open")</f>
        <v>ok</v>
      </c>
      <c r="C3516" s="128" t="s">
        <v>369</v>
      </c>
      <c r="D3516" t="s">
        <v>5603</v>
      </c>
      <c r="E3516" t="s">
        <v>5668</v>
      </c>
      <c r="F3516" s="129" t="s">
        <v>5668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4894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86</v>
      </c>
      <c r="R3516" s="115" t="s">
        <v>515</v>
      </c>
      <c r="S3516" s="129"/>
    </row>
    <row r="3517" spans="1:19" hidden="1">
      <c r="A3517" s="128" t="s">
        <v>5669</v>
      </c>
      <c r="B3517" s="149" t="str">
        <f>IFERROR(VLOOKUP(Proc[[#This Row],[App]],Table2[],3,0),"open")</f>
        <v>ok</v>
      </c>
      <c r="C3517" s="128" t="s">
        <v>369</v>
      </c>
      <c r="D3517" t="s">
        <v>5604</v>
      </c>
      <c r="E3517" t="s">
        <v>5668</v>
      </c>
      <c r="F3517" s="129" t="s">
        <v>5668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4894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86</v>
      </c>
      <c r="R3517" s="115" t="s">
        <v>515</v>
      </c>
      <c r="S3517" s="129"/>
    </row>
    <row r="3518" spans="1:19" hidden="1">
      <c r="A3518" s="128" t="s">
        <v>5669</v>
      </c>
      <c r="B3518" s="149" t="str">
        <f>IFERROR(VLOOKUP(Proc[[#This Row],[App]],Table2[],3,0),"open")</f>
        <v>ok</v>
      </c>
      <c r="C3518" s="128" t="s">
        <v>369</v>
      </c>
      <c r="D3518" t="s">
        <v>5605</v>
      </c>
      <c r="E3518" t="s">
        <v>5668</v>
      </c>
      <c r="F3518" s="129" t="s">
        <v>5668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4894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86</v>
      </c>
      <c r="R3518" s="115" t="s">
        <v>515</v>
      </c>
      <c r="S3518" s="129"/>
    </row>
    <row r="3519" spans="1:19" hidden="1">
      <c r="A3519" s="128" t="s">
        <v>5669</v>
      </c>
      <c r="B3519" s="149" t="str">
        <f>IFERROR(VLOOKUP(Proc[[#This Row],[App]],Table2[],3,0),"open")</f>
        <v>ok</v>
      </c>
      <c r="C3519" s="128" t="s">
        <v>369</v>
      </c>
      <c r="D3519" t="s">
        <v>5606</v>
      </c>
      <c r="E3519" t="s">
        <v>5668</v>
      </c>
      <c r="F3519" s="129" t="s">
        <v>5668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4894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86</v>
      </c>
      <c r="R3519" s="115" t="s">
        <v>515</v>
      </c>
      <c r="S3519" s="129"/>
    </row>
    <row r="3520" spans="1:19" hidden="1">
      <c r="A3520" s="128" t="s">
        <v>5669</v>
      </c>
      <c r="B3520" s="149" t="str">
        <f>IFERROR(VLOOKUP(Proc[[#This Row],[App]],Table2[],3,0),"open")</f>
        <v>ok</v>
      </c>
      <c r="C3520" s="128" t="s">
        <v>369</v>
      </c>
      <c r="D3520" t="s">
        <v>5607</v>
      </c>
      <c r="E3520" t="s">
        <v>5668</v>
      </c>
      <c r="F3520" s="129" t="s">
        <v>5668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4894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86</v>
      </c>
      <c r="R3520" s="115" t="s">
        <v>515</v>
      </c>
      <c r="S3520" s="129"/>
    </row>
    <row r="3521" spans="1:19" hidden="1">
      <c r="A3521" s="128" t="s">
        <v>5669</v>
      </c>
      <c r="B3521" s="149" t="str">
        <f>IFERROR(VLOOKUP(Proc[[#This Row],[App]],Table2[],3,0),"open")</f>
        <v>ok</v>
      </c>
      <c r="C3521" s="128" t="s">
        <v>369</v>
      </c>
      <c r="D3521" t="s">
        <v>5608</v>
      </c>
      <c r="E3521" t="s">
        <v>5668</v>
      </c>
      <c r="F3521" s="129" t="s">
        <v>5668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4894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86</v>
      </c>
      <c r="R3521" s="115" t="s">
        <v>515</v>
      </c>
      <c r="S3521" s="129"/>
    </row>
    <row r="3522" spans="1:19" hidden="1">
      <c r="A3522" s="128" t="s">
        <v>5669</v>
      </c>
      <c r="B3522" s="149" t="str">
        <f>IFERROR(VLOOKUP(Proc[[#This Row],[App]],Table2[],3,0),"open")</f>
        <v>ok</v>
      </c>
      <c r="C3522" s="128" t="s">
        <v>369</v>
      </c>
      <c r="D3522" t="s">
        <v>5609</v>
      </c>
      <c r="E3522" t="s">
        <v>5668</v>
      </c>
      <c r="F3522" s="129" t="s">
        <v>5668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4894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86</v>
      </c>
      <c r="R3522" s="115" t="s">
        <v>515</v>
      </c>
      <c r="S3522" s="129"/>
    </row>
    <row r="3523" spans="1:19" hidden="1">
      <c r="A3523" s="128" t="s">
        <v>5669</v>
      </c>
      <c r="B3523" s="149" t="str">
        <f>IFERROR(VLOOKUP(Proc[[#This Row],[App]],Table2[],3,0),"open")</f>
        <v>ok</v>
      </c>
      <c r="C3523" s="128" t="s">
        <v>369</v>
      </c>
      <c r="D3523" t="s">
        <v>5610</v>
      </c>
      <c r="E3523" t="s">
        <v>5668</v>
      </c>
      <c r="F3523" s="129" t="s">
        <v>5668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4894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86</v>
      </c>
      <c r="R3523" s="115" t="s">
        <v>515</v>
      </c>
      <c r="S3523" s="129"/>
    </row>
    <row r="3524" spans="1:19" hidden="1">
      <c r="A3524" s="128" t="s">
        <v>5669</v>
      </c>
      <c r="B3524" s="149" t="str">
        <f>IFERROR(VLOOKUP(Proc[[#This Row],[App]],Table2[],3,0),"open")</f>
        <v>ok</v>
      </c>
      <c r="C3524" s="128" t="s">
        <v>369</v>
      </c>
      <c r="D3524" t="s">
        <v>5611</v>
      </c>
      <c r="E3524" t="s">
        <v>5668</v>
      </c>
      <c r="F3524" s="129" t="s">
        <v>5668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4894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86</v>
      </c>
      <c r="R3524" s="115" t="s">
        <v>515</v>
      </c>
      <c r="S3524" s="129"/>
    </row>
    <row r="3525" spans="1:19" hidden="1">
      <c r="A3525" s="128" t="s">
        <v>5669</v>
      </c>
      <c r="B3525" s="149" t="str">
        <f>IFERROR(VLOOKUP(Proc[[#This Row],[App]],Table2[],3,0),"open")</f>
        <v>ok</v>
      </c>
      <c r="C3525" s="128" t="s">
        <v>369</v>
      </c>
      <c r="D3525" t="s">
        <v>5612</v>
      </c>
      <c r="E3525" t="s">
        <v>5668</v>
      </c>
      <c r="F3525" s="129" t="s">
        <v>5668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4894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86</v>
      </c>
      <c r="R3525" s="115" t="s">
        <v>515</v>
      </c>
      <c r="S3525" s="129"/>
    </row>
    <row r="3526" spans="1:19" hidden="1">
      <c r="A3526" s="128" t="s">
        <v>5669</v>
      </c>
      <c r="B3526" s="149" t="str">
        <f>IFERROR(VLOOKUP(Proc[[#This Row],[App]],Table2[],3,0),"open")</f>
        <v>ok</v>
      </c>
      <c r="C3526" s="128" t="s">
        <v>369</v>
      </c>
      <c r="D3526" t="s">
        <v>5613</v>
      </c>
      <c r="E3526" t="s">
        <v>5668</v>
      </c>
      <c r="F3526" s="129" t="s">
        <v>5668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4894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86</v>
      </c>
      <c r="R3526" s="115" t="s">
        <v>515</v>
      </c>
      <c r="S3526" s="129"/>
    </row>
    <row r="3527" spans="1:19" hidden="1">
      <c r="A3527" s="128" t="s">
        <v>5669</v>
      </c>
      <c r="B3527" s="149" t="str">
        <f>IFERROR(VLOOKUP(Proc[[#This Row],[App]],Table2[],3,0),"open")</f>
        <v>ok</v>
      </c>
      <c r="C3527" s="128" t="s">
        <v>369</v>
      </c>
      <c r="D3527" t="s">
        <v>5614</v>
      </c>
      <c r="E3527" t="s">
        <v>5668</v>
      </c>
      <c r="F3527" s="129" t="s">
        <v>5668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4894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86</v>
      </c>
      <c r="R3527" s="115" t="s">
        <v>515</v>
      </c>
      <c r="S3527" s="129"/>
    </row>
    <row r="3528" spans="1:19" hidden="1">
      <c r="A3528" s="128" t="s">
        <v>5669</v>
      </c>
      <c r="B3528" s="149" t="str">
        <f>IFERROR(VLOOKUP(Proc[[#This Row],[App]],Table2[],3,0),"open")</f>
        <v>ok</v>
      </c>
      <c r="C3528" s="128" t="s">
        <v>369</v>
      </c>
      <c r="D3528" t="s">
        <v>5615</v>
      </c>
      <c r="E3528" t="s">
        <v>5668</v>
      </c>
      <c r="F3528" s="129" t="s">
        <v>5668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4894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86</v>
      </c>
      <c r="R3528" s="115" t="s">
        <v>515</v>
      </c>
      <c r="S3528" s="129"/>
    </row>
    <row r="3529" spans="1:19" hidden="1">
      <c r="A3529" s="128" t="s">
        <v>5669</v>
      </c>
      <c r="B3529" s="149" t="str">
        <f>IFERROR(VLOOKUP(Proc[[#This Row],[App]],Table2[],3,0),"open")</f>
        <v>ok</v>
      </c>
      <c r="C3529" s="128" t="s">
        <v>369</v>
      </c>
      <c r="D3529" t="s">
        <v>5616</v>
      </c>
      <c r="E3529" t="s">
        <v>5668</v>
      </c>
      <c r="F3529" s="129" t="s">
        <v>5668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4894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86</v>
      </c>
      <c r="R3529" s="115" t="s">
        <v>515</v>
      </c>
      <c r="S3529" s="129"/>
    </row>
    <row r="3530" spans="1:19" hidden="1">
      <c r="A3530" s="128" t="s">
        <v>5669</v>
      </c>
      <c r="B3530" s="149" t="str">
        <f>IFERROR(VLOOKUP(Proc[[#This Row],[App]],Table2[],3,0),"open")</f>
        <v>ok</v>
      </c>
      <c r="C3530" s="128" t="s">
        <v>369</v>
      </c>
      <c r="D3530" t="s">
        <v>5617</v>
      </c>
      <c r="E3530" t="s">
        <v>5668</v>
      </c>
      <c r="F3530" s="129" t="s">
        <v>5668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4894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86</v>
      </c>
      <c r="R3530" s="115" t="s">
        <v>515</v>
      </c>
      <c r="S3530" s="129"/>
    </row>
    <row r="3531" spans="1:19" hidden="1">
      <c r="A3531" s="128" t="s">
        <v>5669</v>
      </c>
      <c r="B3531" s="149" t="str">
        <f>IFERROR(VLOOKUP(Proc[[#This Row],[App]],Table2[],3,0),"open")</f>
        <v>ok</v>
      </c>
      <c r="C3531" s="128" t="s">
        <v>369</v>
      </c>
      <c r="D3531" t="s">
        <v>5618</v>
      </c>
      <c r="E3531" t="s">
        <v>5668</v>
      </c>
      <c r="F3531" s="129" t="s">
        <v>5668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4894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86</v>
      </c>
      <c r="R3531" s="115" t="s">
        <v>515</v>
      </c>
      <c r="S3531" s="129"/>
    </row>
    <row r="3532" spans="1:19" hidden="1">
      <c r="A3532" s="128" t="s">
        <v>5669</v>
      </c>
      <c r="B3532" s="149" t="str">
        <f>IFERROR(VLOOKUP(Proc[[#This Row],[App]],Table2[],3,0),"open")</f>
        <v>ok</v>
      </c>
      <c r="C3532" s="128" t="s">
        <v>369</v>
      </c>
      <c r="D3532" t="s">
        <v>5619</v>
      </c>
      <c r="E3532" t="s">
        <v>5668</v>
      </c>
      <c r="F3532" s="129" t="s">
        <v>5668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4894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86</v>
      </c>
      <c r="R3532" s="115" t="s">
        <v>515</v>
      </c>
      <c r="S3532" s="129"/>
    </row>
    <row r="3533" spans="1:19" hidden="1">
      <c r="A3533" s="128" t="s">
        <v>5669</v>
      </c>
      <c r="B3533" s="149" t="str">
        <f>IFERROR(VLOOKUP(Proc[[#This Row],[App]],Table2[],3,0),"open")</f>
        <v>ok</v>
      </c>
      <c r="C3533" s="128" t="s">
        <v>369</v>
      </c>
      <c r="D3533" t="s">
        <v>5620</v>
      </c>
      <c r="E3533" t="s">
        <v>5668</v>
      </c>
      <c r="F3533" s="129" t="s">
        <v>5668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4894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86</v>
      </c>
      <c r="R3533" s="115" t="s">
        <v>515</v>
      </c>
      <c r="S3533" s="129"/>
    </row>
    <row r="3534" spans="1:19" hidden="1">
      <c r="A3534" s="128" t="s">
        <v>5669</v>
      </c>
      <c r="B3534" s="149" t="str">
        <f>IFERROR(VLOOKUP(Proc[[#This Row],[App]],Table2[],3,0),"open")</f>
        <v>ok</v>
      </c>
      <c r="C3534" s="128" t="s">
        <v>369</v>
      </c>
      <c r="D3534" t="s">
        <v>5621</v>
      </c>
      <c r="E3534" t="s">
        <v>5668</v>
      </c>
      <c r="F3534" s="129" t="s">
        <v>5668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4894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86</v>
      </c>
      <c r="R3534" s="115" t="s">
        <v>515</v>
      </c>
      <c r="S3534" s="129"/>
    </row>
    <row r="3535" spans="1:19" hidden="1">
      <c r="A3535" s="128" t="s">
        <v>5669</v>
      </c>
      <c r="B3535" s="149" t="str">
        <f>IFERROR(VLOOKUP(Proc[[#This Row],[App]],Table2[],3,0),"open")</f>
        <v>ok</v>
      </c>
      <c r="C3535" s="128" t="s">
        <v>369</v>
      </c>
      <c r="D3535" t="s">
        <v>5622</v>
      </c>
      <c r="E3535" t="s">
        <v>5668</v>
      </c>
      <c r="F3535" s="129" t="s">
        <v>5668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4894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86</v>
      </c>
      <c r="R3535" s="115" t="s">
        <v>515</v>
      </c>
      <c r="S3535" s="129"/>
    </row>
    <row r="3536" spans="1:19" hidden="1">
      <c r="A3536" s="128" t="s">
        <v>5669</v>
      </c>
      <c r="B3536" s="149" t="str">
        <f>IFERROR(VLOOKUP(Proc[[#This Row],[App]],Table2[],3,0),"open")</f>
        <v>ok</v>
      </c>
      <c r="C3536" s="128" t="s">
        <v>369</v>
      </c>
      <c r="D3536" t="s">
        <v>5735</v>
      </c>
      <c r="E3536" t="s">
        <v>5668</v>
      </c>
      <c r="F3536" s="133" t="s">
        <v>5668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4894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86</v>
      </c>
      <c r="R3536" s="115" t="s">
        <v>515</v>
      </c>
      <c r="S3536" s="129"/>
    </row>
    <row r="3537" spans="1:19" hidden="1">
      <c r="A3537" s="128" t="s">
        <v>5669</v>
      </c>
      <c r="B3537" s="149" t="str">
        <f>IFERROR(VLOOKUP(Proc[[#This Row],[App]],Table2[],3,0),"open")</f>
        <v>ok</v>
      </c>
      <c r="C3537" s="133" t="s">
        <v>369</v>
      </c>
      <c r="D3537" t="s">
        <v>5623</v>
      </c>
      <c r="E3537" t="s">
        <v>5668</v>
      </c>
      <c r="F3537" s="129" t="s">
        <v>5668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4894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86</v>
      </c>
      <c r="R3537" s="115" t="s">
        <v>515</v>
      </c>
      <c r="S3537" s="129"/>
    </row>
    <row r="3538" spans="1:19" hidden="1">
      <c r="A3538" s="128" t="s">
        <v>5669</v>
      </c>
      <c r="B3538" s="149" t="str">
        <f>IFERROR(VLOOKUP(Proc[[#This Row],[App]],Table2[],3,0),"open")</f>
        <v>ok</v>
      </c>
      <c r="C3538" s="133" t="s">
        <v>369</v>
      </c>
      <c r="D3538" t="s">
        <v>5624</v>
      </c>
      <c r="E3538" t="s">
        <v>5668</v>
      </c>
      <c r="F3538" s="129" t="s">
        <v>5668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4894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86</v>
      </c>
      <c r="R3538" s="115" t="s">
        <v>515</v>
      </c>
      <c r="S3538" s="129"/>
    </row>
    <row r="3539" spans="1:19" hidden="1">
      <c r="A3539" s="128" t="s">
        <v>5669</v>
      </c>
      <c r="B3539" s="149" t="str">
        <f>IFERROR(VLOOKUP(Proc[[#This Row],[App]],Table2[],3,0),"open")</f>
        <v>ok</v>
      </c>
      <c r="C3539" s="128" t="s">
        <v>369</v>
      </c>
      <c r="D3539" t="s">
        <v>5625</v>
      </c>
      <c r="E3539" t="s">
        <v>5668</v>
      </c>
      <c r="F3539" s="129" t="s">
        <v>5668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4894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86</v>
      </c>
      <c r="R3539" s="115" t="s">
        <v>515</v>
      </c>
      <c r="S3539" s="129"/>
    </row>
    <row r="3540" spans="1:19" hidden="1">
      <c r="A3540" s="128" t="s">
        <v>5669</v>
      </c>
      <c r="B3540" s="149" t="str">
        <f>IFERROR(VLOOKUP(Proc[[#This Row],[App]],Table2[],3,0),"open")</f>
        <v>ok</v>
      </c>
      <c r="C3540" s="128" t="s">
        <v>369</v>
      </c>
      <c r="D3540" t="s">
        <v>5626</v>
      </c>
      <c r="E3540" t="s">
        <v>5668</v>
      </c>
      <c r="F3540" s="129" t="s">
        <v>5668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4894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86</v>
      </c>
      <c r="R3540" s="115" t="s">
        <v>515</v>
      </c>
      <c r="S3540" s="129"/>
    </row>
    <row r="3541" spans="1:19" hidden="1">
      <c r="A3541" s="128" t="s">
        <v>5669</v>
      </c>
      <c r="B3541" s="149" t="str">
        <f>IFERROR(VLOOKUP(Proc[[#This Row],[App]],Table2[],3,0),"open")</f>
        <v>ok</v>
      </c>
      <c r="C3541" s="128" t="s">
        <v>369</v>
      </c>
      <c r="D3541" t="s">
        <v>5627</v>
      </c>
      <c r="E3541" t="s">
        <v>5668</v>
      </c>
      <c r="F3541" s="129" t="s">
        <v>5668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4894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86</v>
      </c>
      <c r="R3541" s="115" t="s">
        <v>515</v>
      </c>
      <c r="S3541" s="129"/>
    </row>
    <row r="3542" spans="1:19" hidden="1">
      <c r="A3542" s="128" t="s">
        <v>5669</v>
      </c>
      <c r="B3542" s="149" t="str">
        <f>IFERROR(VLOOKUP(Proc[[#This Row],[App]],Table2[],3,0),"open")</f>
        <v>ok</v>
      </c>
      <c r="C3542" s="128" t="s">
        <v>369</v>
      </c>
      <c r="D3542" t="s">
        <v>5628</v>
      </c>
      <c r="E3542" t="s">
        <v>5668</v>
      </c>
      <c r="F3542" s="129" t="s">
        <v>5668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4894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86</v>
      </c>
      <c r="R3542" s="115" t="s">
        <v>515</v>
      </c>
      <c r="S3542" s="129"/>
    </row>
    <row r="3543" spans="1:19" hidden="1">
      <c r="A3543" s="128" t="s">
        <v>5669</v>
      </c>
      <c r="B3543" s="149" t="str">
        <f>IFERROR(VLOOKUP(Proc[[#This Row],[App]],Table2[],3,0),"open")</f>
        <v>ok</v>
      </c>
      <c r="C3543" s="128" t="s">
        <v>369</v>
      </c>
      <c r="D3543" t="s">
        <v>5629</v>
      </c>
      <c r="E3543" t="s">
        <v>5668</v>
      </c>
      <c r="F3543" s="129" t="s">
        <v>5668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4894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86</v>
      </c>
      <c r="R3543" s="115" t="s">
        <v>515</v>
      </c>
      <c r="S3543" s="129"/>
    </row>
    <row r="3544" spans="1:19" hidden="1">
      <c r="A3544" s="128" t="s">
        <v>5669</v>
      </c>
      <c r="B3544" s="149" t="str">
        <f>IFERROR(VLOOKUP(Proc[[#This Row],[App]],Table2[],3,0),"open")</f>
        <v>ok</v>
      </c>
      <c r="C3544" s="128" t="s">
        <v>369</v>
      </c>
      <c r="D3544" t="s">
        <v>5630</v>
      </c>
      <c r="E3544" t="s">
        <v>5668</v>
      </c>
      <c r="F3544" s="129" t="s">
        <v>5668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4894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86</v>
      </c>
      <c r="R3544" s="115" t="s">
        <v>515</v>
      </c>
      <c r="S3544" s="129"/>
    </row>
    <row r="3545" spans="1:19" hidden="1">
      <c r="A3545" s="128" t="s">
        <v>5669</v>
      </c>
      <c r="B3545" s="149" t="str">
        <f>IFERROR(VLOOKUP(Proc[[#This Row],[App]],Table2[],3,0),"open")</f>
        <v>ok</v>
      </c>
      <c r="C3545" s="128" t="s">
        <v>369</v>
      </c>
      <c r="D3545" t="s">
        <v>5631</v>
      </c>
      <c r="E3545" t="s">
        <v>5668</v>
      </c>
      <c r="F3545" s="129" t="s">
        <v>5668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4894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86</v>
      </c>
      <c r="R3545" s="115" t="s">
        <v>515</v>
      </c>
      <c r="S3545" s="129"/>
    </row>
    <row r="3546" spans="1:19" hidden="1">
      <c r="A3546" s="128" t="s">
        <v>5669</v>
      </c>
      <c r="B3546" s="149" t="str">
        <f>IFERROR(VLOOKUP(Proc[[#This Row],[App]],Table2[],3,0),"open")</f>
        <v>ok</v>
      </c>
      <c r="C3546" s="128" t="s">
        <v>369</v>
      </c>
      <c r="D3546" t="s">
        <v>5632</v>
      </c>
      <c r="E3546" t="s">
        <v>5668</v>
      </c>
      <c r="F3546" s="129" t="s">
        <v>5668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4894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86</v>
      </c>
      <c r="R3546" s="115" t="s">
        <v>515</v>
      </c>
      <c r="S3546" s="129"/>
    </row>
    <row r="3547" spans="1:19" hidden="1">
      <c r="A3547" s="128" t="s">
        <v>5669</v>
      </c>
      <c r="B3547" s="149" t="str">
        <f>IFERROR(VLOOKUP(Proc[[#This Row],[App]],Table2[],3,0),"open")</f>
        <v>ok</v>
      </c>
      <c r="C3547" s="128" t="s">
        <v>369</v>
      </c>
      <c r="D3547" t="s">
        <v>5633</v>
      </c>
      <c r="E3547" t="s">
        <v>5668</v>
      </c>
      <c r="F3547" s="129" t="s">
        <v>5668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4894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86</v>
      </c>
      <c r="R3547" s="115" t="s">
        <v>515</v>
      </c>
      <c r="S3547" s="129"/>
    </row>
    <row r="3548" spans="1:19" hidden="1">
      <c r="A3548" s="128" t="s">
        <v>5669</v>
      </c>
      <c r="B3548" s="149" t="str">
        <f>IFERROR(VLOOKUP(Proc[[#This Row],[App]],Table2[],3,0),"open")</f>
        <v>ok</v>
      </c>
      <c r="C3548" s="128" t="s">
        <v>369</v>
      </c>
      <c r="D3548" t="s">
        <v>5634</v>
      </c>
      <c r="E3548" t="s">
        <v>5668</v>
      </c>
      <c r="F3548" s="129" t="s">
        <v>5668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4894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86</v>
      </c>
      <c r="R3548" s="115" t="s">
        <v>515</v>
      </c>
      <c r="S3548" s="129"/>
    </row>
    <row r="3549" spans="1:19" hidden="1">
      <c r="A3549" s="128" t="s">
        <v>5669</v>
      </c>
      <c r="B3549" s="149" t="str">
        <f>IFERROR(VLOOKUP(Proc[[#This Row],[App]],Table2[],3,0),"open")</f>
        <v>ok</v>
      </c>
      <c r="C3549" s="128" t="s">
        <v>369</v>
      </c>
      <c r="D3549" t="s">
        <v>5635</v>
      </c>
      <c r="E3549" t="s">
        <v>5668</v>
      </c>
      <c r="F3549" s="129" t="s">
        <v>5668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4894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86</v>
      </c>
      <c r="R3549" s="115" t="s">
        <v>515</v>
      </c>
      <c r="S3549" s="129"/>
    </row>
    <row r="3550" spans="1:19" hidden="1">
      <c r="A3550" s="128" t="s">
        <v>5669</v>
      </c>
      <c r="B3550" s="149" t="str">
        <f>IFERROR(VLOOKUP(Proc[[#This Row],[App]],Table2[],3,0),"open")</f>
        <v>ok</v>
      </c>
      <c r="C3550" s="128" t="s">
        <v>369</v>
      </c>
      <c r="D3550" t="s">
        <v>5636</v>
      </c>
      <c r="E3550" t="s">
        <v>5668</v>
      </c>
      <c r="F3550" s="129" t="s">
        <v>5668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4894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86</v>
      </c>
      <c r="R3550" s="115" t="s">
        <v>515</v>
      </c>
      <c r="S3550" s="129"/>
    </row>
    <row r="3551" spans="1:19" hidden="1">
      <c r="A3551" s="128" t="s">
        <v>5669</v>
      </c>
      <c r="B3551" s="149" t="str">
        <f>IFERROR(VLOOKUP(Proc[[#This Row],[App]],Table2[],3,0),"open")</f>
        <v>ok</v>
      </c>
      <c r="C3551" s="128" t="s">
        <v>369</v>
      </c>
      <c r="D3551" t="s">
        <v>5637</v>
      </c>
      <c r="E3551" t="s">
        <v>5668</v>
      </c>
      <c r="F3551" s="129" t="s">
        <v>5668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4894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86</v>
      </c>
      <c r="R3551" s="115" t="s">
        <v>515</v>
      </c>
      <c r="S3551" s="129"/>
    </row>
    <row r="3552" spans="1:19" hidden="1">
      <c r="A3552" s="128" t="s">
        <v>5669</v>
      </c>
      <c r="B3552" s="149" t="str">
        <f>IFERROR(VLOOKUP(Proc[[#This Row],[App]],Table2[],3,0),"open")</f>
        <v>ok</v>
      </c>
      <c r="C3552" s="128" t="s">
        <v>369</v>
      </c>
      <c r="D3552" t="s">
        <v>5638</v>
      </c>
      <c r="E3552" t="s">
        <v>5668</v>
      </c>
      <c r="F3552" s="129" t="s">
        <v>5668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4894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86</v>
      </c>
      <c r="R3552" s="115" t="s">
        <v>515</v>
      </c>
      <c r="S3552" s="129"/>
    </row>
    <row r="3553" spans="1:19" hidden="1">
      <c r="A3553" s="128" t="s">
        <v>5669</v>
      </c>
      <c r="B3553" s="149" t="str">
        <f>IFERROR(VLOOKUP(Proc[[#This Row],[App]],Table2[],3,0),"open")</f>
        <v>ok</v>
      </c>
      <c r="C3553" s="128" t="s">
        <v>369</v>
      </c>
      <c r="D3553" t="s">
        <v>5639</v>
      </c>
      <c r="E3553" t="s">
        <v>5668</v>
      </c>
      <c r="F3553" s="129" t="s">
        <v>5668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4894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86</v>
      </c>
      <c r="R3553" s="115" t="s">
        <v>515</v>
      </c>
      <c r="S3553" s="129"/>
    </row>
    <row r="3554" spans="1:19" hidden="1">
      <c r="A3554" s="128" t="s">
        <v>5669</v>
      </c>
      <c r="B3554" s="149" t="str">
        <f>IFERROR(VLOOKUP(Proc[[#This Row],[App]],Table2[],3,0),"open")</f>
        <v>ok</v>
      </c>
      <c r="C3554" s="128" t="s">
        <v>369</v>
      </c>
      <c r="D3554" t="s">
        <v>5640</v>
      </c>
      <c r="E3554" t="s">
        <v>5668</v>
      </c>
      <c r="F3554" s="129" t="s">
        <v>5668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4894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86</v>
      </c>
      <c r="R3554" s="115" t="s">
        <v>515</v>
      </c>
      <c r="S3554" s="129"/>
    </row>
    <row r="3555" spans="1:19" hidden="1">
      <c r="A3555" s="128" t="s">
        <v>5669</v>
      </c>
      <c r="B3555" s="149" t="str">
        <f>IFERROR(VLOOKUP(Proc[[#This Row],[App]],Table2[],3,0),"open")</f>
        <v>ok</v>
      </c>
      <c r="C3555" s="128" t="s">
        <v>369</v>
      </c>
      <c r="D3555" t="s">
        <v>5641</v>
      </c>
      <c r="E3555" t="s">
        <v>5668</v>
      </c>
      <c r="F3555" s="129" t="s">
        <v>5668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4894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86</v>
      </c>
      <c r="R3555" s="115" t="s">
        <v>515</v>
      </c>
      <c r="S3555" s="129"/>
    </row>
    <row r="3556" spans="1:19" hidden="1">
      <c r="A3556" s="128" t="s">
        <v>5669</v>
      </c>
      <c r="B3556" s="149" t="str">
        <f>IFERROR(VLOOKUP(Proc[[#This Row],[App]],Table2[],3,0),"open")</f>
        <v>ok</v>
      </c>
      <c r="C3556" s="128" t="s">
        <v>369</v>
      </c>
      <c r="D3556" t="s">
        <v>5642</v>
      </c>
      <c r="E3556" t="s">
        <v>5668</v>
      </c>
      <c r="F3556" s="129" t="s">
        <v>5668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4894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86</v>
      </c>
      <c r="R3556" s="115" t="s">
        <v>515</v>
      </c>
      <c r="S3556" s="129"/>
    </row>
    <row r="3557" spans="1:19" hidden="1">
      <c r="A3557" s="128" t="s">
        <v>5669</v>
      </c>
      <c r="B3557" s="149" t="str">
        <f>IFERROR(VLOOKUP(Proc[[#This Row],[App]],Table2[],3,0),"open")</f>
        <v>ok</v>
      </c>
      <c r="C3557" s="128" t="s">
        <v>369</v>
      </c>
      <c r="D3557" t="s">
        <v>5643</v>
      </c>
      <c r="E3557" t="s">
        <v>5668</v>
      </c>
      <c r="F3557" s="129" t="s">
        <v>5668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4894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86</v>
      </c>
      <c r="R3557" s="115" t="s">
        <v>515</v>
      </c>
      <c r="S3557" s="129"/>
    </row>
    <row r="3558" spans="1:19" hidden="1">
      <c r="A3558" s="128" t="s">
        <v>5669</v>
      </c>
      <c r="B3558" s="149" t="str">
        <f>IFERROR(VLOOKUP(Proc[[#This Row],[App]],Table2[],3,0),"open")</f>
        <v>ok</v>
      </c>
      <c r="C3558" s="128" t="s">
        <v>369</v>
      </c>
      <c r="D3558" t="s">
        <v>5644</v>
      </c>
      <c r="E3558" t="s">
        <v>5668</v>
      </c>
      <c r="F3558" s="129" t="s">
        <v>5668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4894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86</v>
      </c>
      <c r="R3558" s="115" t="s">
        <v>515</v>
      </c>
      <c r="S3558" s="129"/>
    </row>
    <row r="3559" spans="1:19" hidden="1">
      <c r="A3559" s="128" t="s">
        <v>5669</v>
      </c>
      <c r="B3559" s="149" t="str">
        <f>IFERROR(VLOOKUP(Proc[[#This Row],[App]],Table2[],3,0),"open")</f>
        <v>ok</v>
      </c>
      <c r="C3559" s="128" t="s">
        <v>369</v>
      </c>
      <c r="D3559" t="s">
        <v>5645</v>
      </c>
      <c r="E3559" t="s">
        <v>5668</v>
      </c>
      <c r="F3559" s="129" t="s">
        <v>5668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4894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86</v>
      </c>
      <c r="R3559" s="115" t="s">
        <v>515</v>
      </c>
      <c r="S3559" s="129"/>
    </row>
    <row r="3560" spans="1:19" hidden="1">
      <c r="A3560" s="128" t="s">
        <v>5669</v>
      </c>
      <c r="B3560" s="149" t="str">
        <f>IFERROR(VLOOKUP(Proc[[#This Row],[App]],Table2[],3,0),"open")</f>
        <v>ok</v>
      </c>
      <c r="C3560" s="128" t="s">
        <v>369</v>
      </c>
      <c r="D3560" t="s">
        <v>5646</v>
      </c>
      <c r="E3560" t="s">
        <v>5668</v>
      </c>
      <c r="F3560" s="129" t="s">
        <v>5668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4894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86</v>
      </c>
      <c r="R3560" s="115" t="s">
        <v>515</v>
      </c>
      <c r="S3560" s="129"/>
    </row>
    <row r="3561" spans="1:19" hidden="1">
      <c r="A3561" s="128" t="s">
        <v>5669</v>
      </c>
      <c r="B3561" s="149" t="str">
        <f>IFERROR(VLOOKUP(Proc[[#This Row],[App]],Table2[],3,0),"open")</f>
        <v>ok</v>
      </c>
      <c r="C3561" s="128" t="s">
        <v>369</v>
      </c>
      <c r="D3561" t="s">
        <v>5647</v>
      </c>
      <c r="E3561" t="s">
        <v>5668</v>
      </c>
      <c r="F3561" s="129" t="s">
        <v>5668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4894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86</v>
      </c>
      <c r="R3561" s="115" t="s">
        <v>515</v>
      </c>
      <c r="S3561" s="129"/>
    </row>
    <row r="3562" spans="1:19" hidden="1">
      <c r="A3562" s="128" t="s">
        <v>5669</v>
      </c>
      <c r="B3562" s="149" t="str">
        <f>IFERROR(VLOOKUP(Proc[[#This Row],[App]],Table2[],3,0),"open")</f>
        <v>ok</v>
      </c>
      <c r="C3562" s="128" t="s">
        <v>369</v>
      </c>
      <c r="D3562" t="s">
        <v>5648</v>
      </c>
      <c r="E3562" t="s">
        <v>5668</v>
      </c>
      <c r="F3562" s="129" t="s">
        <v>5668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4894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86</v>
      </c>
      <c r="R3562" s="115" t="s">
        <v>515</v>
      </c>
      <c r="S3562" s="129"/>
    </row>
    <row r="3563" spans="1:19" hidden="1">
      <c r="A3563" s="128" t="s">
        <v>5669</v>
      </c>
      <c r="B3563" s="149" t="str">
        <f>IFERROR(VLOOKUP(Proc[[#This Row],[App]],Table2[],3,0),"open")</f>
        <v>ok</v>
      </c>
      <c r="C3563" s="128" t="s">
        <v>369</v>
      </c>
      <c r="D3563" t="s">
        <v>5649</v>
      </c>
      <c r="E3563" t="s">
        <v>5668</v>
      </c>
      <c r="F3563" s="129" t="s">
        <v>5668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4894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86</v>
      </c>
      <c r="R3563" s="115" t="s">
        <v>515</v>
      </c>
      <c r="S3563" s="129"/>
    </row>
    <row r="3564" spans="1:19" hidden="1">
      <c r="A3564" s="128" t="s">
        <v>5669</v>
      </c>
      <c r="B3564" s="149" t="str">
        <f>IFERROR(VLOOKUP(Proc[[#This Row],[App]],Table2[],3,0),"open")</f>
        <v>ok</v>
      </c>
      <c r="C3564" s="128" t="s">
        <v>369</v>
      </c>
      <c r="D3564" t="s">
        <v>5650</v>
      </c>
      <c r="E3564" t="s">
        <v>5668</v>
      </c>
      <c r="F3564" s="129" t="s">
        <v>5668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4894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86</v>
      </c>
      <c r="R3564" s="115" t="s">
        <v>515</v>
      </c>
      <c r="S3564" s="129"/>
    </row>
    <row r="3565" spans="1:19" hidden="1">
      <c r="A3565" s="128" t="s">
        <v>5669</v>
      </c>
      <c r="B3565" s="149" t="str">
        <f>IFERROR(VLOOKUP(Proc[[#This Row],[App]],Table2[],3,0),"open")</f>
        <v>ok</v>
      </c>
      <c r="C3565" s="128" t="s">
        <v>369</v>
      </c>
      <c r="D3565" t="s">
        <v>5651</v>
      </c>
      <c r="E3565" t="s">
        <v>5668</v>
      </c>
      <c r="F3565" s="129" t="s">
        <v>5668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4894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86</v>
      </c>
      <c r="R3565" s="115" t="s">
        <v>515</v>
      </c>
      <c r="S3565" s="129"/>
    </row>
    <row r="3566" spans="1:19" hidden="1">
      <c r="A3566" s="128" t="s">
        <v>5669</v>
      </c>
      <c r="B3566" s="149" t="str">
        <f>IFERROR(VLOOKUP(Proc[[#This Row],[App]],Table2[],3,0),"open")</f>
        <v>ok</v>
      </c>
      <c r="C3566" s="128" t="s">
        <v>369</v>
      </c>
      <c r="D3566" t="s">
        <v>5652</v>
      </c>
      <c r="E3566" t="s">
        <v>5668</v>
      </c>
      <c r="F3566" s="129" t="s">
        <v>5668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4894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86</v>
      </c>
      <c r="R3566" s="115" t="s">
        <v>515</v>
      </c>
      <c r="S3566" s="129"/>
    </row>
    <row r="3567" spans="1:19" hidden="1">
      <c r="A3567" s="128" t="s">
        <v>5669</v>
      </c>
      <c r="B3567" s="149" t="str">
        <f>IFERROR(VLOOKUP(Proc[[#This Row],[App]],Table2[],3,0),"open")</f>
        <v>ok</v>
      </c>
      <c r="C3567" s="128" t="s">
        <v>369</v>
      </c>
      <c r="D3567" t="s">
        <v>5653</v>
      </c>
      <c r="E3567" t="s">
        <v>5668</v>
      </c>
      <c r="F3567" s="129" t="s">
        <v>5668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4894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86</v>
      </c>
      <c r="R3567" s="115" t="s">
        <v>515</v>
      </c>
      <c r="S3567" s="129"/>
    </row>
    <row r="3568" spans="1:19" hidden="1">
      <c r="A3568" s="128" t="s">
        <v>5669</v>
      </c>
      <c r="B3568" s="149" t="str">
        <f>IFERROR(VLOOKUP(Proc[[#This Row],[App]],Table2[],3,0),"open")</f>
        <v>ok</v>
      </c>
      <c r="C3568" s="128" t="s">
        <v>369</v>
      </c>
      <c r="D3568" t="s">
        <v>5654</v>
      </c>
      <c r="E3568" t="s">
        <v>5668</v>
      </c>
      <c r="F3568" s="129" t="s">
        <v>5668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4894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86</v>
      </c>
      <c r="R3568" s="115" t="s">
        <v>515</v>
      </c>
      <c r="S3568" s="129"/>
    </row>
    <row r="3569" spans="1:19" hidden="1">
      <c r="A3569" s="128" t="s">
        <v>5669</v>
      </c>
      <c r="B3569" s="149" t="str">
        <f>IFERROR(VLOOKUP(Proc[[#This Row],[App]],Table2[],3,0),"open")</f>
        <v>ok</v>
      </c>
      <c r="C3569" s="128" t="s">
        <v>369</v>
      </c>
      <c r="D3569" t="s">
        <v>5655</v>
      </c>
      <c r="E3569" t="s">
        <v>5668</v>
      </c>
      <c r="F3569" s="129" t="s">
        <v>5668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4894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86</v>
      </c>
      <c r="R3569" s="115" t="s">
        <v>515</v>
      </c>
      <c r="S3569" s="129"/>
    </row>
    <row r="3570" spans="1:19" hidden="1">
      <c r="A3570" s="128" t="s">
        <v>5669</v>
      </c>
      <c r="B3570" s="149" t="str">
        <f>IFERROR(VLOOKUP(Proc[[#This Row],[App]],Table2[],3,0),"open")</f>
        <v>ok</v>
      </c>
      <c r="C3570" s="128" t="s">
        <v>369</v>
      </c>
      <c r="D3570" t="s">
        <v>5656</v>
      </c>
      <c r="E3570" t="s">
        <v>5668</v>
      </c>
      <c r="F3570" s="129" t="s">
        <v>5668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4894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86</v>
      </c>
      <c r="R3570" s="115" t="s">
        <v>515</v>
      </c>
      <c r="S3570" s="129"/>
    </row>
    <row r="3571" spans="1:19" hidden="1">
      <c r="A3571" s="128" t="s">
        <v>5669</v>
      </c>
      <c r="B3571" s="149" t="str">
        <f>IFERROR(VLOOKUP(Proc[[#This Row],[App]],Table2[],3,0),"open")</f>
        <v>ok</v>
      </c>
      <c r="C3571" s="128" t="s">
        <v>369</v>
      </c>
      <c r="D3571" t="s">
        <v>5657</v>
      </c>
      <c r="E3571" t="s">
        <v>5668</v>
      </c>
      <c r="F3571" s="129" t="s">
        <v>5668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4894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86</v>
      </c>
      <c r="R3571" s="115" t="s">
        <v>515</v>
      </c>
      <c r="S3571" s="129"/>
    </row>
    <row r="3572" spans="1:19" hidden="1">
      <c r="A3572" s="128" t="s">
        <v>5669</v>
      </c>
      <c r="B3572" s="149" t="str">
        <f>IFERROR(VLOOKUP(Proc[[#This Row],[App]],Table2[],3,0),"open")</f>
        <v>ok</v>
      </c>
      <c r="C3572" s="128" t="s">
        <v>369</v>
      </c>
      <c r="D3572" t="s">
        <v>5658</v>
      </c>
      <c r="E3572" t="s">
        <v>5668</v>
      </c>
      <c r="F3572" s="129" t="s">
        <v>5668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4894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86</v>
      </c>
      <c r="R3572" s="115" t="s">
        <v>515</v>
      </c>
      <c r="S3572" s="129"/>
    </row>
    <row r="3573" spans="1:19" hidden="1">
      <c r="A3573" s="128" t="s">
        <v>5669</v>
      </c>
      <c r="B3573" s="149" t="str">
        <f>IFERROR(VLOOKUP(Proc[[#This Row],[App]],Table2[],3,0),"open")</f>
        <v>ok</v>
      </c>
      <c r="C3573" s="128" t="s">
        <v>369</v>
      </c>
      <c r="D3573" t="s">
        <v>5659</v>
      </c>
      <c r="E3573" t="s">
        <v>5668</v>
      </c>
      <c r="F3573" s="129" t="s">
        <v>5668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4894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86</v>
      </c>
      <c r="R3573" s="115" t="s">
        <v>515</v>
      </c>
      <c r="S3573" s="129"/>
    </row>
    <row r="3574" spans="1:19" hidden="1">
      <c r="A3574" s="128" t="s">
        <v>5669</v>
      </c>
      <c r="B3574" s="149" t="str">
        <f>IFERROR(VLOOKUP(Proc[[#This Row],[App]],Table2[],3,0),"open")</f>
        <v>ok</v>
      </c>
      <c r="C3574" s="128" t="s">
        <v>369</v>
      </c>
      <c r="D3574" t="s">
        <v>5660</v>
      </c>
      <c r="E3574" t="s">
        <v>5668</v>
      </c>
      <c r="F3574" s="129" t="s">
        <v>5668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4894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86</v>
      </c>
      <c r="R3574" s="115" t="s">
        <v>515</v>
      </c>
      <c r="S3574" s="129"/>
    </row>
    <row r="3575" spans="1:19" hidden="1">
      <c r="A3575" s="128" t="s">
        <v>5669</v>
      </c>
      <c r="B3575" s="149" t="str">
        <f>IFERROR(VLOOKUP(Proc[[#This Row],[App]],Table2[],3,0),"open")</f>
        <v>ok</v>
      </c>
      <c r="C3575" s="128" t="s">
        <v>369</v>
      </c>
      <c r="D3575" t="s">
        <v>5661</v>
      </c>
      <c r="E3575" t="s">
        <v>5668</v>
      </c>
      <c r="F3575" s="129" t="s">
        <v>5668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4894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86</v>
      </c>
      <c r="R3575" s="115" t="s">
        <v>515</v>
      </c>
      <c r="S3575" s="129"/>
    </row>
    <row r="3576" spans="1:19" hidden="1">
      <c r="A3576" s="128" t="s">
        <v>5669</v>
      </c>
      <c r="B3576" s="149" t="str">
        <f>IFERROR(VLOOKUP(Proc[[#This Row],[App]],Table2[],3,0),"open")</f>
        <v>ok</v>
      </c>
      <c r="C3576" s="128" t="s">
        <v>369</v>
      </c>
      <c r="D3576" t="s">
        <v>5662</v>
      </c>
      <c r="E3576" t="s">
        <v>5668</v>
      </c>
      <c r="F3576" s="129" t="s">
        <v>5668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4894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86</v>
      </c>
      <c r="R3576" s="115" t="s">
        <v>515</v>
      </c>
      <c r="S3576" s="129"/>
    </row>
    <row r="3577" spans="1:19" hidden="1">
      <c r="A3577" s="128" t="s">
        <v>5669</v>
      </c>
      <c r="B3577" s="149" t="str">
        <f>IFERROR(VLOOKUP(Proc[[#This Row],[App]],Table2[],3,0),"open")</f>
        <v>ok</v>
      </c>
      <c r="C3577" s="128" t="s">
        <v>369</v>
      </c>
      <c r="D3577" t="s">
        <v>5663</v>
      </c>
      <c r="E3577" t="s">
        <v>5668</v>
      </c>
      <c r="F3577" s="129" t="s">
        <v>5668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4894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86</v>
      </c>
      <c r="R3577" s="115" t="s">
        <v>515</v>
      </c>
      <c r="S3577" s="129"/>
    </row>
    <row r="3578" spans="1:19" hidden="1">
      <c r="A3578" s="128" t="s">
        <v>5669</v>
      </c>
      <c r="B3578" s="149" t="str">
        <f>IFERROR(VLOOKUP(Proc[[#This Row],[App]],Table2[],3,0),"open")</f>
        <v>ok</v>
      </c>
      <c r="C3578" s="128" t="s">
        <v>369</v>
      </c>
      <c r="D3578" t="s">
        <v>5664</v>
      </c>
      <c r="E3578" t="s">
        <v>5668</v>
      </c>
      <c r="F3578" s="129" t="s">
        <v>5668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4894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86</v>
      </c>
      <c r="R3578" s="115" t="s">
        <v>515</v>
      </c>
      <c r="S3578" s="129"/>
    </row>
    <row r="3579" spans="1:19" hidden="1">
      <c r="A3579" s="128" t="s">
        <v>5669</v>
      </c>
      <c r="B3579" s="149" t="str">
        <f>IFERROR(VLOOKUP(Proc[[#This Row],[App]],Table2[],3,0),"open")</f>
        <v>ok</v>
      </c>
      <c r="C3579" s="128" t="s">
        <v>369</v>
      </c>
      <c r="D3579" t="s">
        <v>5665</v>
      </c>
      <c r="E3579" t="s">
        <v>5668</v>
      </c>
      <c r="F3579" s="129" t="s">
        <v>5668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4894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86</v>
      </c>
      <c r="R3579" s="115" t="s">
        <v>515</v>
      </c>
      <c r="S3579" s="129"/>
    </row>
    <row r="3580" spans="1:19" hidden="1">
      <c r="A3580" s="128" t="s">
        <v>5669</v>
      </c>
      <c r="B3580" s="149" t="str">
        <f>IFERROR(VLOOKUP(Proc[[#This Row],[App]],Table2[],3,0),"open")</f>
        <v>ok</v>
      </c>
      <c r="C3580" s="128" t="s">
        <v>369</v>
      </c>
      <c r="D3580" t="s">
        <v>5666</v>
      </c>
      <c r="E3580" t="s">
        <v>5668</v>
      </c>
      <c r="F3580" s="129" t="s">
        <v>5668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4894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86</v>
      </c>
      <c r="R3580" s="115" t="s">
        <v>515</v>
      </c>
      <c r="S3580" s="129"/>
    </row>
    <row r="3581" spans="1:19" hidden="1">
      <c r="A3581" s="128" t="s">
        <v>5669</v>
      </c>
      <c r="B3581" s="149" t="str">
        <f>IFERROR(VLOOKUP(Proc[[#This Row],[App]],Table2[],3,0),"open")</f>
        <v>ok</v>
      </c>
      <c r="C3581" s="128" t="s">
        <v>369</v>
      </c>
      <c r="D3581" t="s">
        <v>5667</v>
      </c>
      <c r="E3581" t="s">
        <v>5668</v>
      </c>
      <c r="F3581" s="129" t="s">
        <v>5668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4894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86</v>
      </c>
      <c r="R3581" s="115" t="s">
        <v>515</v>
      </c>
      <c r="S3581" s="129"/>
    </row>
    <row r="3582" spans="1:19" hidden="1">
      <c r="A3582" t="s">
        <v>5670</v>
      </c>
      <c r="B3582" s="149" t="str">
        <f>IFERROR(VLOOKUP(Proc[[#This Row],[App]],Table2[],3,0),"open")</f>
        <v>ok</v>
      </c>
      <c r="C3582" s="128" t="s">
        <v>369</v>
      </c>
      <c r="D3582" t="s">
        <v>5699</v>
      </c>
      <c r="E3582" t="s">
        <v>5671</v>
      </c>
      <c r="F3582" s="129" t="s">
        <v>5671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4894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86</v>
      </c>
      <c r="R3582" s="115" t="s">
        <v>1262</v>
      </c>
      <c r="S3582" s="129"/>
    </row>
    <row r="3583" spans="1:19" hidden="1">
      <c r="A3583" t="s">
        <v>5672</v>
      </c>
      <c r="B3583" s="149" t="str">
        <f>IFERROR(VLOOKUP(Proc[[#This Row],[App]],Table2[],3,0),"open")</f>
        <v>ok</v>
      </c>
      <c r="C3583" s="128" t="s">
        <v>369</v>
      </c>
      <c r="D3583" t="s">
        <v>5673</v>
      </c>
      <c r="E3583" t="s">
        <v>5679</v>
      </c>
      <c r="F3583" s="129" t="s">
        <v>5679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4894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85</v>
      </c>
      <c r="R3583" s="130" t="s">
        <v>5682</v>
      </c>
      <c r="S3583" s="129"/>
    </row>
    <row r="3584" spans="1:19" hidden="1">
      <c r="A3584" s="128" t="s">
        <v>5672</v>
      </c>
      <c r="B3584" s="149" t="str">
        <f>IFERROR(VLOOKUP(Proc[[#This Row],[App]],Table2[],3,0),"open")</f>
        <v>ok</v>
      </c>
      <c r="C3584" s="128" t="s">
        <v>369</v>
      </c>
      <c r="D3584" t="s">
        <v>5674</v>
      </c>
      <c r="E3584" t="s">
        <v>5680</v>
      </c>
      <c r="F3584" s="129" t="s">
        <v>5680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4894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85</v>
      </c>
      <c r="R3584" s="130" t="s">
        <v>5682</v>
      </c>
      <c r="S3584" s="129"/>
    </row>
    <row r="3585" spans="1:19" hidden="1">
      <c r="A3585" s="128" t="s">
        <v>5672</v>
      </c>
      <c r="B3585" s="149" t="str">
        <f>IFERROR(VLOOKUP(Proc[[#This Row],[App]],Table2[],3,0),"open")</f>
        <v>ok</v>
      </c>
      <c r="C3585" s="128" t="s">
        <v>369</v>
      </c>
      <c r="D3585" t="s">
        <v>5675</v>
      </c>
      <c r="E3585" t="s">
        <v>5680</v>
      </c>
      <c r="F3585" s="129" t="s">
        <v>5680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4894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85</v>
      </c>
      <c r="R3585" s="130" t="s">
        <v>5682</v>
      </c>
      <c r="S3585" s="129"/>
    </row>
    <row r="3586" spans="1:19" hidden="1">
      <c r="A3586" s="128" t="s">
        <v>5672</v>
      </c>
      <c r="B3586" s="149" t="str">
        <f>IFERROR(VLOOKUP(Proc[[#This Row],[App]],Table2[],3,0),"open")</f>
        <v>ok</v>
      </c>
      <c r="C3586" s="128" t="s">
        <v>369</v>
      </c>
      <c r="D3586" t="s">
        <v>5676</v>
      </c>
      <c r="E3586" t="s">
        <v>5681</v>
      </c>
      <c r="F3586" s="129" t="s">
        <v>5681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4894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85</v>
      </c>
      <c r="R3586" s="130" t="s">
        <v>5682</v>
      </c>
      <c r="S3586" s="129"/>
    </row>
    <row r="3587" spans="1:19" hidden="1">
      <c r="A3587" s="128" t="s">
        <v>5672</v>
      </c>
      <c r="B3587" s="149" t="str">
        <f>IFERROR(VLOOKUP(Proc[[#This Row],[App]],Table2[],3,0),"open")</f>
        <v>ok</v>
      </c>
      <c r="C3587" s="128" t="s">
        <v>369</v>
      </c>
      <c r="D3587" t="s">
        <v>5677</v>
      </c>
      <c r="E3587" t="s">
        <v>5679</v>
      </c>
      <c r="F3587" s="129" t="s">
        <v>5679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4894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85</v>
      </c>
      <c r="R3587" s="130" t="s">
        <v>5682</v>
      </c>
      <c r="S3587" s="129"/>
    </row>
    <row r="3588" spans="1:19" hidden="1">
      <c r="A3588" s="128" t="s">
        <v>5672</v>
      </c>
      <c r="B3588" s="149" t="str">
        <f>IFERROR(VLOOKUP(Proc[[#This Row],[App]],Table2[],3,0),"open")</f>
        <v>ok</v>
      </c>
      <c r="C3588" s="128" t="s">
        <v>369</v>
      </c>
      <c r="D3588" t="s">
        <v>5678</v>
      </c>
      <c r="E3588" t="s">
        <v>5679</v>
      </c>
      <c r="F3588" s="129" t="s">
        <v>5679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4894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85</v>
      </c>
      <c r="R3588" s="130" t="s">
        <v>5682</v>
      </c>
      <c r="S3588" s="129"/>
    </row>
    <row r="3589" spans="1:19" hidden="1">
      <c r="A3589" t="s">
        <v>5683</v>
      </c>
      <c r="B3589" s="149" t="str">
        <f>IFERROR(VLOOKUP(Proc[[#This Row],[App]],Table2[],3,0),"open")</f>
        <v>ok</v>
      </c>
      <c r="C3589" s="128" t="s">
        <v>369</v>
      </c>
      <c r="D3589" t="s">
        <v>5684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4894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85</v>
      </c>
      <c r="R3589" s="130" t="s">
        <v>5682</v>
      </c>
      <c r="S3589" s="129"/>
    </row>
    <row r="3590" spans="1:19" hidden="1">
      <c r="A3590" s="128" t="s">
        <v>5683</v>
      </c>
      <c r="B3590" s="149" t="str">
        <f>IFERROR(VLOOKUP(Proc[[#This Row],[App]],Table2[],3,0),"open")</f>
        <v>ok</v>
      </c>
      <c r="C3590" s="128" t="s">
        <v>369</v>
      </c>
      <c r="D3590" t="s">
        <v>5685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4894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85</v>
      </c>
      <c r="R3590" s="130" t="s">
        <v>5682</v>
      </c>
      <c r="S3590" s="129"/>
    </row>
    <row r="3591" spans="1:19" hidden="1">
      <c r="A3591" s="128" t="s">
        <v>5683</v>
      </c>
      <c r="B3591" s="149" t="str">
        <f>IFERROR(VLOOKUP(Proc[[#This Row],[App]],Table2[],3,0),"open")</f>
        <v>ok</v>
      </c>
      <c r="C3591" s="128" t="s">
        <v>369</v>
      </c>
      <c r="D3591" t="s">
        <v>5686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4894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85</v>
      </c>
      <c r="R3591" s="130" t="s">
        <v>5682</v>
      </c>
      <c r="S3591" s="129"/>
    </row>
    <row r="3592" spans="1:19" hidden="1">
      <c r="A3592" s="128" t="s">
        <v>5683</v>
      </c>
      <c r="B3592" s="149" t="str">
        <f>IFERROR(VLOOKUP(Proc[[#This Row],[App]],Table2[],3,0),"open")</f>
        <v>ok</v>
      </c>
      <c r="C3592" s="128" t="s">
        <v>369</v>
      </c>
      <c r="D3592" t="s">
        <v>5687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4894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85</v>
      </c>
      <c r="R3592" s="130" t="s">
        <v>5682</v>
      </c>
      <c r="S3592" s="129"/>
    </row>
    <row r="3593" spans="1:19" hidden="1">
      <c r="A3593" s="128" t="s">
        <v>5683</v>
      </c>
      <c r="B3593" s="149" t="str">
        <f>IFERROR(VLOOKUP(Proc[[#This Row],[App]],Table2[],3,0),"open")</f>
        <v>ok</v>
      </c>
      <c r="C3593" s="128" t="s">
        <v>369</v>
      </c>
      <c r="D3593" t="s">
        <v>5688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4894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85</v>
      </c>
      <c r="R3593" s="130" t="s">
        <v>5682</v>
      </c>
      <c r="S3593" s="129"/>
    </row>
    <row r="3594" spans="1:19" hidden="1">
      <c r="A3594" s="128" t="s">
        <v>5683</v>
      </c>
      <c r="B3594" s="149" t="str">
        <f>IFERROR(VLOOKUP(Proc[[#This Row],[App]],Table2[],3,0),"open")</f>
        <v>ok</v>
      </c>
      <c r="C3594" s="128" t="s">
        <v>369</v>
      </c>
      <c r="D3594" t="s">
        <v>5689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4894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85</v>
      </c>
      <c r="R3594" s="130" t="s">
        <v>5682</v>
      </c>
      <c r="S3594" s="129"/>
    </row>
    <row r="3595" spans="1:19" hidden="1">
      <c r="A3595" s="128" t="s">
        <v>5683</v>
      </c>
      <c r="B3595" s="149" t="str">
        <f>IFERROR(VLOOKUP(Proc[[#This Row],[App]],Table2[],3,0),"open")</f>
        <v>ok</v>
      </c>
      <c r="C3595" s="128" t="s">
        <v>369</v>
      </c>
      <c r="D3595" t="s">
        <v>5690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4894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85</v>
      </c>
      <c r="R3595" s="130" t="s">
        <v>5682</v>
      </c>
      <c r="S3595" s="129"/>
    </row>
    <row r="3596" spans="1:19" hidden="1">
      <c r="A3596" s="128" t="s">
        <v>5683</v>
      </c>
      <c r="B3596" s="149" t="str">
        <f>IFERROR(VLOOKUP(Proc[[#This Row],[App]],Table2[],3,0),"open")</f>
        <v>ok</v>
      </c>
      <c r="C3596" s="128" t="s">
        <v>369</v>
      </c>
      <c r="D3596" t="s">
        <v>5691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4894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85</v>
      </c>
      <c r="R3596" s="130" t="s">
        <v>5682</v>
      </c>
      <c r="S3596" s="129"/>
    </row>
    <row r="3597" spans="1:19" hidden="1">
      <c r="A3597" s="128" t="s">
        <v>5683</v>
      </c>
      <c r="B3597" s="149" t="str">
        <f>IFERROR(VLOOKUP(Proc[[#This Row],[App]],Table2[],3,0),"open")</f>
        <v>ok</v>
      </c>
      <c r="C3597" s="128" t="s">
        <v>369</v>
      </c>
      <c r="D3597" t="s">
        <v>5692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4894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85</v>
      </c>
      <c r="R3597" s="130" t="s">
        <v>5682</v>
      </c>
      <c r="S3597" s="129"/>
    </row>
    <row r="3598" spans="1:19" hidden="1">
      <c r="A3598" s="128" t="s">
        <v>5683</v>
      </c>
      <c r="B3598" s="149" t="str">
        <f>IFERROR(VLOOKUP(Proc[[#This Row],[App]],Table2[],3,0),"open")</f>
        <v>ok</v>
      </c>
      <c r="C3598" s="128" t="s">
        <v>369</v>
      </c>
      <c r="D3598" t="s">
        <v>5693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4894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85</v>
      </c>
      <c r="R3598" s="130" t="s">
        <v>5682</v>
      </c>
      <c r="S3598" s="129"/>
    </row>
    <row r="3599" spans="1:19" hidden="1">
      <c r="A3599" s="128" t="s">
        <v>5683</v>
      </c>
      <c r="B3599" s="149" t="str">
        <f>IFERROR(VLOOKUP(Proc[[#This Row],[App]],Table2[],3,0),"open")</f>
        <v>ok</v>
      </c>
      <c r="C3599" s="128" t="s">
        <v>369</v>
      </c>
      <c r="D3599" t="s">
        <v>5694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4894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85</v>
      </c>
      <c r="R3599" s="130" t="s">
        <v>5682</v>
      </c>
      <c r="S3599" s="129"/>
    </row>
    <row r="3600" spans="1:19" hidden="1">
      <c r="A3600" s="128" t="s">
        <v>5683</v>
      </c>
      <c r="B3600" s="149" t="str">
        <f>IFERROR(VLOOKUP(Proc[[#This Row],[App]],Table2[],3,0),"open")</f>
        <v>ok</v>
      </c>
      <c r="C3600" s="128" t="s">
        <v>369</v>
      </c>
      <c r="D3600" t="s">
        <v>5695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4894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85</v>
      </c>
      <c r="R3600" s="130" t="s">
        <v>5682</v>
      </c>
      <c r="S3600" s="129"/>
    </row>
    <row r="3601" spans="1:19" hidden="1">
      <c r="A3601" t="s">
        <v>5696</v>
      </c>
      <c r="B3601" s="149" t="str">
        <f>IFERROR(VLOOKUP(Proc[[#This Row],[App]],Table2[],3,0),"open")</f>
        <v>ok</v>
      </c>
      <c r="C3601" s="128" t="s">
        <v>369</v>
      </c>
      <c r="D3601" t="s">
        <v>5697</v>
      </c>
      <c r="E3601" t="s">
        <v>5698</v>
      </c>
      <c r="F3601" s="129" t="s">
        <v>5698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4894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85</v>
      </c>
      <c r="R3601" s="130" t="s">
        <v>5682</v>
      </c>
      <c r="S3601" s="129"/>
    </row>
    <row r="3602" spans="1:19" hidden="1">
      <c r="A3602" t="s">
        <v>5700</v>
      </c>
      <c r="B3602" s="149" t="str">
        <f>IFERROR(VLOOKUP(Proc[[#This Row],[App]],Table2[],3,0),"open")</f>
        <v>ok</v>
      </c>
      <c r="C3602" s="133" t="s">
        <v>369</v>
      </c>
      <c r="D3602" t="s">
        <v>5702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4894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84</v>
      </c>
      <c r="R3602" s="130" t="s">
        <v>780</v>
      </c>
      <c r="S3602" s="129"/>
    </row>
    <row r="3603" spans="1:19" hidden="1">
      <c r="A3603" s="128" t="s">
        <v>5700</v>
      </c>
      <c r="B3603" s="149" t="str">
        <f>IFERROR(VLOOKUP(Proc[[#This Row],[App]],Table2[],3,0),"open")</f>
        <v>ok</v>
      </c>
      <c r="C3603" s="133" t="s">
        <v>369</v>
      </c>
      <c r="D3603" t="s">
        <v>5703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4894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84</v>
      </c>
      <c r="R3603" s="130" t="s">
        <v>780</v>
      </c>
      <c r="S3603" s="129"/>
    </row>
    <row r="3604" spans="1:19" hidden="1">
      <c r="A3604" s="128" t="s">
        <v>5700</v>
      </c>
      <c r="B3604" s="149" t="str">
        <f>IFERROR(VLOOKUP(Proc[[#This Row],[App]],Table2[],3,0),"open")</f>
        <v>ok</v>
      </c>
      <c r="C3604" s="133" t="s">
        <v>369</v>
      </c>
      <c r="D3604" t="s">
        <v>5704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4894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84</v>
      </c>
      <c r="R3604" s="130" t="s">
        <v>780</v>
      </c>
      <c r="S3604" s="129"/>
    </row>
    <row r="3605" spans="1:19" hidden="1">
      <c r="A3605" s="128" t="s">
        <v>5700</v>
      </c>
      <c r="B3605" s="149" t="str">
        <f>IFERROR(VLOOKUP(Proc[[#This Row],[App]],Table2[],3,0),"open")</f>
        <v>ok</v>
      </c>
      <c r="C3605" s="133" t="s">
        <v>369</v>
      </c>
      <c r="D3605" t="s">
        <v>5705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4894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84</v>
      </c>
      <c r="R3605" s="130" t="s">
        <v>780</v>
      </c>
      <c r="S3605" s="129"/>
    </row>
    <row r="3606" spans="1:19" hidden="1">
      <c r="A3606" s="128" t="s">
        <v>5700</v>
      </c>
      <c r="B3606" s="149" t="str">
        <f>IFERROR(VLOOKUP(Proc[[#This Row],[App]],Table2[],3,0),"open")</f>
        <v>ok</v>
      </c>
      <c r="C3606" s="133" t="s">
        <v>369</v>
      </c>
      <c r="D3606" t="s">
        <v>5701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4894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84</v>
      </c>
      <c r="R3606" s="130" t="s">
        <v>780</v>
      </c>
      <c r="S3606" s="129"/>
    </row>
    <row r="3607" spans="1:19" hidden="1">
      <c r="A3607" t="s">
        <v>5708</v>
      </c>
      <c r="B3607" s="149" t="str">
        <f>IFERROR(VLOOKUP(Proc[[#This Row],[App]],Table2[],3,0),"open")</f>
        <v>ok</v>
      </c>
      <c r="C3607" t="s">
        <v>369</v>
      </c>
      <c r="D3607" t="s">
        <v>5706</v>
      </c>
      <c r="E3607" t="s">
        <v>5707</v>
      </c>
      <c r="F3607" s="129" t="s">
        <v>5707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4894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84</v>
      </c>
      <c r="R3607" s="130" t="s">
        <v>5709</v>
      </c>
      <c r="S3607" s="129"/>
    </row>
    <row r="3608" spans="1:19" hidden="1">
      <c r="A3608" t="s">
        <v>5710</v>
      </c>
      <c r="B3608" s="149" t="str">
        <f>IFERROR(VLOOKUP(Proc[[#This Row],[App]],Table2[],3,0),"open")</f>
        <v>ok</v>
      </c>
      <c r="C3608" t="s">
        <v>369</v>
      </c>
      <c r="D3608" t="s">
        <v>5711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4894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84</v>
      </c>
      <c r="R3608" s="130" t="s">
        <v>738</v>
      </c>
      <c r="S3608" s="129"/>
    </row>
    <row r="3609" spans="1:19" hidden="1">
      <c r="A3609" s="128" t="s">
        <v>5710</v>
      </c>
      <c r="B3609" s="149" t="str">
        <f>IFERROR(VLOOKUP(Proc[[#This Row],[App]],Table2[],3,0),"open")</f>
        <v>ok</v>
      </c>
      <c r="C3609" s="135" t="s">
        <v>369</v>
      </c>
      <c r="D3609" t="s">
        <v>5712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4894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84</v>
      </c>
      <c r="R3609" s="130" t="s">
        <v>738</v>
      </c>
      <c r="S3609" s="129"/>
    </row>
    <row r="3610" spans="1:19" hidden="1">
      <c r="A3610" s="128" t="s">
        <v>5710</v>
      </c>
      <c r="B3610" s="149" t="str">
        <f>IFERROR(VLOOKUP(Proc[[#This Row],[App]],Table2[],3,0),"open")</f>
        <v>ok</v>
      </c>
      <c r="C3610" s="135" t="s">
        <v>369</v>
      </c>
      <c r="D3610" t="s">
        <v>5713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4894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84</v>
      </c>
      <c r="R3610" s="130" t="s">
        <v>738</v>
      </c>
      <c r="S3610" s="129"/>
    </row>
    <row r="3611" spans="1:19" hidden="1">
      <c r="A3611" s="128" t="s">
        <v>5710</v>
      </c>
      <c r="B3611" s="149" t="str">
        <f>IFERROR(VLOOKUP(Proc[[#This Row],[App]],Table2[],3,0),"open")</f>
        <v>ok</v>
      </c>
      <c r="C3611" s="135" t="s">
        <v>369</v>
      </c>
      <c r="D3611" t="s">
        <v>5714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4894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84</v>
      </c>
      <c r="R3611" s="130" t="s">
        <v>738</v>
      </c>
      <c r="S3611" s="129"/>
    </row>
    <row r="3612" spans="1:19" hidden="1">
      <c r="A3612" s="128" t="s">
        <v>5710</v>
      </c>
      <c r="B3612" s="149" t="str">
        <f>IFERROR(VLOOKUP(Proc[[#This Row],[App]],Table2[],3,0),"open")</f>
        <v>ok</v>
      </c>
      <c r="C3612" s="135" t="s">
        <v>369</v>
      </c>
      <c r="D3612" t="s">
        <v>5715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4894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84</v>
      </c>
      <c r="R3612" s="130" t="s">
        <v>738</v>
      </c>
      <c r="S3612" s="129"/>
    </row>
    <row r="3613" spans="1:19" hidden="1">
      <c r="A3613" s="128" t="s">
        <v>5710</v>
      </c>
      <c r="B3613" s="149" t="str">
        <f>IFERROR(VLOOKUP(Proc[[#This Row],[App]],Table2[],3,0),"open")</f>
        <v>ok</v>
      </c>
      <c r="C3613" s="135" t="s">
        <v>369</v>
      </c>
      <c r="D3613" t="s">
        <v>5738</v>
      </c>
      <c r="E3613" t="s">
        <v>5720</v>
      </c>
      <c r="F3613" s="129" t="s">
        <v>5720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4894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84</v>
      </c>
      <c r="R3613" s="130" t="s">
        <v>738</v>
      </c>
      <c r="S3613" s="129"/>
    </row>
    <row r="3614" spans="1:19" hidden="1">
      <c r="A3614" s="128" t="s">
        <v>5710</v>
      </c>
      <c r="B3614" s="149" t="str">
        <f>IFERROR(VLOOKUP(Proc[[#This Row],[App]],Table2[],3,0),"open")</f>
        <v>ok</v>
      </c>
      <c r="C3614" s="135" t="s">
        <v>369</v>
      </c>
      <c r="D3614" t="s">
        <v>5716</v>
      </c>
      <c r="E3614" t="s">
        <v>5720</v>
      </c>
      <c r="F3614" s="129" t="s">
        <v>5720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4894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84</v>
      </c>
      <c r="R3614" s="130" t="s">
        <v>738</v>
      </c>
      <c r="S3614" s="129"/>
    </row>
    <row r="3615" spans="1:19" hidden="1">
      <c r="A3615" s="128" t="s">
        <v>5710</v>
      </c>
      <c r="B3615" s="149" t="str">
        <f>IFERROR(VLOOKUP(Proc[[#This Row],[App]],Table2[],3,0),"open")</f>
        <v>ok</v>
      </c>
      <c r="C3615" s="135" t="s">
        <v>369</v>
      </c>
      <c r="D3615" t="s">
        <v>5717</v>
      </c>
      <c r="E3615" t="s">
        <v>5720</v>
      </c>
      <c r="F3615" s="129" t="s">
        <v>5720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4894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84</v>
      </c>
      <c r="R3615" s="130" t="s">
        <v>738</v>
      </c>
      <c r="S3615" s="129"/>
    </row>
    <row r="3616" spans="1:19" hidden="1">
      <c r="A3616" s="128" t="s">
        <v>5710</v>
      </c>
      <c r="B3616" s="149" t="str">
        <f>IFERROR(VLOOKUP(Proc[[#This Row],[App]],Table2[],3,0),"open")</f>
        <v>ok</v>
      </c>
      <c r="C3616" s="135" t="s">
        <v>369</v>
      </c>
      <c r="D3616" t="s">
        <v>5718</v>
      </c>
      <c r="E3616" t="s">
        <v>5720</v>
      </c>
      <c r="F3616" s="129" t="s">
        <v>5720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4894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84</v>
      </c>
      <c r="R3616" s="130" t="s">
        <v>738</v>
      </c>
      <c r="S3616" s="129"/>
    </row>
    <row r="3617" spans="1:19" hidden="1">
      <c r="A3617" s="128" t="s">
        <v>5710</v>
      </c>
      <c r="B3617" s="149" t="str">
        <f>IFERROR(VLOOKUP(Proc[[#This Row],[App]],Table2[],3,0),"open")</f>
        <v>ok</v>
      </c>
      <c r="C3617" s="135" t="s">
        <v>369</v>
      </c>
      <c r="D3617" t="s">
        <v>5739</v>
      </c>
      <c r="E3617" t="s">
        <v>5720</v>
      </c>
      <c r="F3617" s="129" t="s">
        <v>5720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4894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84</v>
      </c>
      <c r="R3617" s="130" t="s">
        <v>738</v>
      </c>
      <c r="S3617" s="129"/>
    </row>
    <row r="3618" spans="1:19" hidden="1">
      <c r="A3618" s="128" t="s">
        <v>5710</v>
      </c>
      <c r="B3618" s="149" t="str">
        <f>IFERROR(VLOOKUP(Proc[[#This Row],[App]],Table2[],3,0),"open")</f>
        <v>ok</v>
      </c>
      <c r="C3618" s="135" t="s">
        <v>369</v>
      </c>
      <c r="D3618" t="s">
        <v>5719</v>
      </c>
      <c r="E3618" t="s">
        <v>5720</v>
      </c>
      <c r="F3618" s="129" t="s">
        <v>5720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4894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84</v>
      </c>
      <c r="R3618" s="130" t="s">
        <v>738</v>
      </c>
      <c r="S3618" s="129"/>
    </row>
    <row r="3619" spans="1:19" hidden="1">
      <c r="A3619" s="128" t="s">
        <v>5710</v>
      </c>
      <c r="B3619" s="149" t="str">
        <f>IFERROR(VLOOKUP(Proc[[#This Row],[App]],Table2[],3,0),"open")</f>
        <v>ok</v>
      </c>
      <c r="C3619" s="135" t="s">
        <v>369</v>
      </c>
      <c r="D3619" t="s">
        <v>5740</v>
      </c>
      <c r="E3619" t="s">
        <v>5720</v>
      </c>
      <c r="F3619" s="129" t="s">
        <v>5720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4894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84</v>
      </c>
      <c r="R3619" s="130" t="s">
        <v>738</v>
      </c>
      <c r="S3619" s="129"/>
    </row>
    <row r="3620" spans="1:19" hidden="1">
      <c r="A3620" t="s">
        <v>5721</v>
      </c>
      <c r="B3620" s="149" t="str">
        <f>IFERROR(VLOOKUP(Proc[[#This Row],[App]],Table2[],3,0),"open")</f>
        <v>ok</v>
      </c>
      <c r="C3620" s="135" t="s">
        <v>369</v>
      </c>
      <c r="D3620" t="s">
        <v>5722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4894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83</v>
      </c>
      <c r="R3620" s="130" t="s">
        <v>738</v>
      </c>
      <c r="S3620" s="129"/>
    </row>
    <row r="3621" spans="1:19" hidden="1">
      <c r="A3621" s="132" t="s">
        <v>5721</v>
      </c>
      <c r="B3621" s="149" t="str">
        <f>IFERROR(VLOOKUP(Proc[[#This Row],[App]],Table2[],3,0),"open")</f>
        <v>ok</v>
      </c>
      <c r="C3621" s="135" t="s">
        <v>369</v>
      </c>
      <c r="D3621" t="s">
        <v>5723</v>
      </c>
      <c r="E3621" t="s">
        <v>5724</v>
      </c>
      <c r="F3621" s="129" t="s">
        <v>5724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4894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83</v>
      </c>
      <c r="R3621" s="130" t="s">
        <v>738</v>
      </c>
      <c r="S3621" s="129"/>
    </row>
    <row r="3622" spans="1:19" hidden="1">
      <c r="A3622" s="132" t="s">
        <v>5721</v>
      </c>
      <c r="B3622" s="149" t="str">
        <f>IFERROR(VLOOKUP(Proc[[#This Row],[App]],Table2[],3,0),"open")</f>
        <v>ok</v>
      </c>
      <c r="C3622" s="135" t="s">
        <v>369</v>
      </c>
      <c r="D3622" t="s">
        <v>5725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4894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83</v>
      </c>
      <c r="R3622" s="130" t="s">
        <v>738</v>
      </c>
      <c r="S3622" s="129"/>
    </row>
    <row r="3623" spans="1:19" hidden="1">
      <c r="A3623" s="132" t="s">
        <v>5721</v>
      </c>
      <c r="B3623" s="149" t="str">
        <f>IFERROR(VLOOKUP(Proc[[#This Row],[App]],Table2[],3,0),"open")</f>
        <v>ok</v>
      </c>
      <c r="C3623" s="135" t="s">
        <v>369</v>
      </c>
      <c r="D3623" t="s">
        <v>5726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4894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83</v>
      </c>
      <c r="R3623" s="130" t="s">
        <v>738</v>
      </c>
      <c r="S3623" s="129"/>
    </row>
    <row r="3624" spans="1:19" hidden="1">
      <c r="A3624" s="132" t="s">
        <v>5721</v>
      </c>
      <c r="B3624" s="149" t="str">
        <f>IFERROR(VLOOKUP(Proc[[#This Row],[App]],Table2[],3,0),"open")</f>
        <v>ok</v>
      </c>
      <c r="C3624" s="135" t="s">
        <v>369</v>
      </c>
      <c r="D3624" t="s">
        <v>5727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4894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83</v>
      </c>
      <c r="R3624" s="130" t="s">
        <v>738</v>
      </c>
      <c r="S3624" s="129"/>
    </row>
    <row r="3625" spans="1:19" hidden="1">
      <c r="A3625" s="132" t="s">
        <v>5721</v>
      </c>
      <c r="B3625" s="149" t="str">
        <f>IFERROR(VLOOKUP(Proc[[#This Row],[App]],Table2[],3,0),"open")</f>
        <v>ok</v>
      </c>
      <c r="C3625" s="135" t="s">
        <v>369</v>
      </c>
      <c r="D3625" t="s">
        <v>5728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4894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83</v>
      </c>
      <c r="R3625" s="130" t="s">
        <v>738</v>
      </c>
      <c r="S3625" s="129"/>
    </row>
    <row r="3626" spans="1:19" hidden="1">
      <c r="A3626" s="132" t="s">
        <v>5721</v>
      </c>
      <c r="B3626" s="149" t="str">
        <f>IFERROR(VLOOKUP(Proc[[#This Row],[App]],Table2[],3,0),"open")</f>
        <v>ok</v>
      </c>
      <c r="C3626" s="135" t="s">
        <v>369</v>
      </c>
      <c r="D3626" t="s">
        <v>5729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4894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83</v>
      </c>
      <c r="R3626" s="130" t="s">
        <v>738</v>
      </c>
      <c r="S3626" s="129"/>
    </row>
    <row r="3627" spans="1:19" hidden="1">
      <c r="A3627" s="132" t="s">
        <v>5721</v>
      </c>
      <c r="B3627" s="149" t="str">
        <f>IFERROR(VLOOKUP(Proc[[#This Row],[App]],Table2[],3,0),"open")</f>
        <v>ok</v>
      </c>
      <c r="C3627" s="135" t="s">
        <v>369</v>
      </c>
      <c r="D3627" t="s">
        <v>5730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4894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83</v>
      </c>
      <c r="R3627" s="130" t="s">
        <v>738</v>
      </c>
      <c r="S3627" s="129"/>
    </row>
    <row r="3628" spans="1:19" hidden="1">
      <c r="A3628" t="s">
        <v>5731</v>
      </c>
      <c r="B3628" s="149" t="str">
        <f>IFERROR(VLOOKUP(Proc[[#This Row],[App]],Table2[],3,0),"open")</f>
        <v>ok</v>
      </c>
      <c r="C3628" s="135" t="s">
        <v>369</v>
      </c>
      <c r="D3628" t="s">
        <v>5732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4894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83</v>
      </c>
      <c r="R3628" s="130" t="s">
        <v>489</v>
      </c>
      <c r="S3628" s="129"/>
    </row>
    <row r="3629" spans="1:19" hidden="1">
      <c r="A3629" s="133" t="s">
        <v>5731</v>
      </c>
      <c r="B3629" s="149" t="str">
        <f>IFERROR(VLOOKUP(Proc[[#This Row],[App]],Table2[],3,0),"open")</f>
        <v>ok</v>
      </c>
      <c r="C3629" s="135" t="s">
        <v>369</v>
      </c>
      <c r="D3629" t="s">
        <v>5733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4894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83</v>
      </c>
      <c r="R3629" s="130" t="s">
        <v>489</v>
      </c>
      <c r="S3629" s="129"/>
    </row>
    <row r="3630" spans="1:19" hidden="1">
      <c r="A3630" t="s">
        <v>5734</v>
      </c>
      <c r="B3630" s="149" t="str">
        <f>IFERROR(VLOOKUP(Proc[[#This Row],[App]],Table2[],3,0),"open")</f>
        <v>ok</v>
      </c>
      <c r="C3630" s="135" t="s">
        <v>369</v>
      </c>
      <c r="D3630" t="s">
        <v>5575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4894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83</v>
      </c>
      <c r="R3630" s="130" t="s">
        <v>1262</v>
      </c>
      <c r="S3630" s="129"/>
    </row>
    <row r="3631" spans="1:19" hidden="1">
      <c r="A3631" t="s">
        <v>5737</v>
      </c>
      <c r="B3631" s="149" t="str">
        <f>IFERROR(VLOOKUP(Proc[[#This Row],[App]],Table2[],3,0),"open")</f>
        <v>ok</v>
      </c>
      <c r="C3631" s="135" t="s">
        <v>369</v>
      </c>
      <c r="D3631" s="135" t="s">
        <v>5736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4894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83</v>
      </c>
      <c r="R3631" s="130" t="s">
        <v>972</v>
      </c>
      <c r="S3631" s="129"/>
    </row>
    <row r="3632" spans="1:19" hidden="1">
      <c r="A3632" t="s">
        <v>5741</v>
      </c>
      <c r="B3632" s="149" t="str">
        <f>IFERROR(VLOOKUP(Proc[[#This Row],[App]],Table2[],3,0),"open")</f>
        <v>ok</v>
      </c>
      <c r="C3632" s="135" t="s">
        <v>369</v>
      </c>
      <c r="D3632" t="s">
        <v>5742</v>
      </c>
      <c r="E3632" t="s">
        <v>5270</v>
      </c>
      <c r="F3632" s="129" t="s">
        <v>5270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4894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80</v>
      </c>
      <c r="R3632" s="130" t="s">
        <v>489</v>
      </c>
      <c r="S3632" s="129"/>
    </row>
    <row r="3633" spans="1:19" hidden="1">
      <c r="A3633" s="135" t="s">
        <v>5741</v>
      </c>
      <c r="B3633" s="149" t="str">
        <f>IFERROR(VLOOKUP(Proc[[#This Row],[App]],Table2[],3,0),"open")</f>
        <v>ok</v>
      </c>
      <c r="C3633" s="135" t="s">
        <v>369</v>
      </c>
      <c r="D3633" t="s">
        <v>5743</v>
      </c>
      <c r="E3633" t="s">
        <v>5270</v>
      </c>
      <c r="F3633" s="129" t="s">
        <v>5270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4894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80</v>
      </c>
      <c r="R3633" s="130" t="s">
        <v>489</v>
      </c>
      <c r="S3633" s="129"/>
    </row>
    <row r="3634" spans="1:19" hidden="1">
      <c r="A3634" s="135" t="s">
        <v>5741</v>
      </c>
      <c r="B3634" s="149" t="str">
        <f>IFERROR(VLOOKUP(Proc[[#This Row],[App]],Table2[],3,0),"open")</f>
        <v>ok</v>
      </c>
      <c r="C3634" s="135" t="s">
        <v>369</v>
      </c>
      <c r="D3634" t="s">
        <v>5744</v>
      </c>
      <c r="E3634" t="s">
        <v>5270</v>
      </c>
      <c r="F3634" s="129" t="s">
        <v>5270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4894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80</v>
      </c>
      <c r="R3634" s="130" t="s">
        <v>489</v>
      </c>
      <c r="S3634" s="129"/>
    </row>
    <row r="3635" spans="1:19" hidden="1">
      <c r="A3635" s="135" t="s">
        <v>5741</v>
      </c>
      <c r="B3635" s="149" t="str">
        <f>IFERROR(VLOOKUP(Proc[[#This Row],[App]],Table2[],3,0),"open")</f>
        <v>ok</v>
      </c>
      <c r="C3635" s="135" t="s">
        <v>369</v>
      </c>
      <c r="D3635" t="s">
        <v>5745</v>
      </c>
      <c r="E3635" t="s">
        <v>5270</v>
      </c>
      <c r="F3635" s="129" t="s">
        <v>5270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4894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80</v>
      </c>
      <c r="R3635" s="130" t="s">
        <v>489</v>
      </c>
      <c r="S3635" s="129"/>
    </row>
    <row r="3636" spans="1:19" hidden="1">
      <c r="A3636" s="135" t="s">
        <v>5741</v>
      </c>
      <c r="B3636" s="149" t="str">
        <f>IFERROR(VLOOKUP(Proc[[#This Row],[App]],Table2[],3,0),"open")</f>
        <v>ok</v>
      </c>
      <c r="C3636" s="135" t="s">
        <v>369</v>
      </c>
      <c r="D3636" t="s">
        <v>5746</v>
      </c>
      <c r="E3636" t="s">
        <v>5270</v>
      </c>
      <c r="F3636" s="129" t="s">
        <v>5270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4894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80</v>
      </c>
      <c r="R3636" s="130" t="s">
        <v>489</v>
      </c>
      <c r="S3636" s="129"/>
    </row>
    <row r="3637" spans="1:19" hidden="1">
      <c r="A3637" s="135" t="s">
        <v>5741</v>
      </c>
      <c r="B3637" s="149" t="str">
        <f>IFERROR(VLOOKUP(Proc[[#This Row],[App]],Table2[],3,0),"open")</f>
        <v>ok</v>
      </c>
      <c r="C3637" s="135" t="s">
        <v>369</v>
      </c>
      <c r="D3637" t="s">
        <v>5747</v>
      </c>
      <c r="E3637" t="s">
        <v>5270</v>
      </c>
      <c r="F3637" s="129" t="s">
        <v>5270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4894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80</v>
      </c>
      <c r="R3637" s="130" t="s">
        <v>489</v>
      </c>
      <c r="S3637" s="129"/>
    </row>
    <row r="3638" spans="1:19" hidden="1">
      <c r="A3638" s="135" t="s">
        <v>5741</v>
      </c>
      <c r="B3638" s="149" t="str">
        <f>IFERROR(VLOOKUP(Proc[[#This Row],[App]],Table2[],3,0),"open")</f>
        <v>ok</v>
      </c>
      <c r="C3638" s="135" t="s">
        <v>369</v>
      </c>
      <c r="D3638" t="s">
        <v>5748</v>
      </c>
      <c r="E3638" t="s">
        <v>5270</v>
      </c>
      <c r="F3638" s="129" t="s">
        <v>5270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4894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80</v>
      </c>
      <c r="R3638" s="130" t="s">
        <v>489</v>
      </c>
      <c r="S3638" s="129"/>
    </row>
    <row r="3639" spans="1:19" hidden="1">
      <c r="A3639" s="135" t="s">
        <v>5741</v>
      </c>
      <c r="B3639" s="149" t="str">
        <f>IFERROR(VLOOKUP(Proc[[#This Row],[App]],Table2[],3,0),"open")</f>
        <v>ok</v>
      </c>
      <c r="C3639" s="135" t="s">
        <v>369</v>
      </c>
      <c r="D3639" t="s">
        <v>5749</v>
      </c>
      <c r="E3639" t="s">
        <v>5270</v>
      </c>
      <c r="F3639" s="129" t="s">
        <v>5270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4894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80</v>
      </c>
      <c r="R3639" s="130" t="s">
        <v>489</v>
      </c>
      <c r="S3639" s="129"/>
    </row>
    <row r="3640" spans="1:19" hidden="1">
      <c r="A3640" s="135" t="s">
        <v>5741</v>
      </c>
      <c r="B3640" s="149" t="str">
        <f>IFERROR(VLOOKUP(Proc[[#This Row],[App]],Table2[],3,0),"open")</f>
        <v>ok</v>
      </c>
      <c r="C3640" s="135" t="s">
        <v>369</v>
      </c>
      <c r="D3640" t="s">
        <v>5750</v>
      </c>
      <c r="E3640" t="s">
        <v>5270</v>
      </c>
      <c r="F3640" s="129" t="s">
        <v>5270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4894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80</v>
      </c>
      <c r="R3640" s="130" t="s">
        <v>489</v>
      </c>
      <c r="S3640" s="129"/>
    </row>
    <row r="3641" spans="1:19" hidden="1">
      <c r="A3641" s="135" t="s">
        <v>5741</v>
      </c>
      <c r="B3641" s="149" t="str">
        <f>IFERROR(VLOOKUP(Proc[[#This Row],[App]],Table2[],3,0),"open")</f>
        <v>ok</v>
      </c>
      <c r="C3641" s="135" t="s">
        <v>369</v>
      </c>
      <c r="D3641" t="s">
        <v>5751</v>
      </c>
      <c r="E3641" t="s">
        <v>5270</v>
      </c>
      <c r="F3641" s="129" t="s">
        <v>5270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4894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80</v>
      </c>
      <c r="R3641" s="130" t="s">
        <v>489</v>
      </c>
      <c r="S3641" s="129"/>
    </row>
    <row r="3642" spans="1:19" hidden="1">
      <c r="A3642" s="135" t="s">
        <v>5741</v>
      </c>
      <c r="B3642" s="149" t="str">
        <f>IFERROR(VLOOKUP(Proc[[#This Row],[App]],Table2[],3,0),"open")</f>
        <v>ok</v>
      </c>
      <c r="C3642" s="135" t="s">
        <v>369</v>
      </c>
      <c r="D3642" t="s">
        <v>5752</v>
      </c>
      <c r="E3642" t="s">
        <v>5270</v>
      </c>
      <c r="F3642" s="129" t="s">
        <v>5270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4894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80</v>
      </c>
      <c r="R3642" s="130" t="s">
        <v>489</v>
      </c>
      <c r="S3642" s="129"/>
    </row>
    <row r="3643" spans="1:19" hidden="1">
      <c r="A3643" s="135" t="s">
        <v>5741</v>
      </c>
      <c r="B3643" s="149" t="str">
        <f>IFERROR(VLOOKUP(Proc[[#This Row],[App]],Table2[],3,0),"open")</f>
        <v>ok</v>
      </c>
      <c r="C3643" s="135" t="s">
        <v>369</v>
      </c>
      <c r="D3643" t="s">
        <v>5753</v>
      </c>
      <c r="E3643" t="s">
        <v>5270</v>
      </c>
      <c r="F3643" s="129" t="s">
        <v>5270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4894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80</v>
      </c>
      <c r="R3643" s="130" t="s">
        <v>489</v>
      </c>
      <c r="S3643" s="129"/>
    </row>
    <row r="3644" spans="1:19" hidden="1">
      <c r="A3644" s="135" t="s">
        <v>5741</v>
      </c>
      <c r="B3644" s="149" t="str">
        <f>IFERROR(VLOOKUP(Proc[[#This Row],[App]],Table2[],3,0),"open")</f>
        <v>ok</v>
      </c>
      <c r="C3644" s="135" t="s">
        <v>369</v>
      </c>
      <c r="D3644" t="s">
        <v>5754</v>
      </c>
      <c r="E3644" t="s">
        <v>5270</v>
      </c>
      <c r="F3644" s="129" t="s">
        <v>5270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4894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80</v>
      </c>
      <c r="R3644" s="130" t="s">
        <v>489</v>
      </c>
      <c r="S3644" s="129"/>
    </row>
    <row r="3645" spans="1:19" hidden="1">
      <c r="A3645" s="135" t="s">
        <v>5741</v>
      </c>
      <c r="B3645" s="149" t="str">
        <f>IFERROR(VLOOKUP(Proc[[#This Row],[App]],Table2[],3,0),"open")</f>
        <v>ok</v>
      </c>
      <c r="C3645" s="135" t="s">
        <v>369</v>
      </c>
      <c r="D3645" t="s">
        <v>5755</v>
      </c>
      <c r="E3645" t="s">
        <v>5270</v>
      </c>
      <c r="F3645" s="129" t="s">
        <v>5270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4894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80</v>
      </c>
      <c r="R3645" s="130" t="s">
        <v>489</v>
      </c>
      <c r="S3645" s="129"/>
    </row>
    <row r="3646" spans="1:19" hidden="1">
      <c r="A3646" s="135" t="s">
        <v>5741</v>
      </c>
      <c r="B3646" s="149" t="str">
        <f>IFERROR(VLOOKUP(Proc[[#This Row],[App]],Table2[],3,0),"open")</f>
        <v>ok</v>
      </c>
      <c r="C3646" s="135" t="s">
        <v>369</v>
      </c>
      <c r="D3646" t="s">
        <v>5756</v>
      </c>
      <c r="E3646" t="s">
        <v>5270</v>
      </c>
      <c r="F3646" s="129" t="s">
        <v>5270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4894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80</v>
      </c>
      <c r="R3646" s="130" t="s">
        <v>489</v>
      </c>
      <c r="S3646" s="129"/>
    </row>
    <row r="3647" spans="1:19" hidden="1">
      <c r="A3647" s="135" t="s">
        <v>5741</v>
      </c>
      <c r="B3647" s="149" t="str">
        <f>IFERROR(VLOOKUP(Proc[[#This Row],[App]],Table2[],3,0),"open")</f>
        <v>ok</v>
      </c>
      <c r="C3647" s="135" t="s">
        <v>369</v>
      </c>
      <c r="D3647" t="s">
        <v>5757</v>
      </c>
      <c r="E3647" t="s">
        <v>5270</v>
      </c>
      <c r="F3647" s="129" t="s">
        <v>5270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4894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80</v>
      </c>
      <c r="R3647" s="130" t="s">
        <v>489</v>
      </c>
      <c r="S3647" s="129"/>
    </row>
    <row r="3648" spans="1:19" hidden="1">
      <c r="A3648" s="135" t="s">
        <v>5741</v>
      </c>
      <c r="B3648" s="149" t="str">
        <f>IFERROR(VLOOKUP(Proc[[#This Row],[App]],Table2[],3,0),"open")</f>
        <v>ok</v>
      </c>
      <c r="C3648" s="135" t="s">
        <v>369</v>
      </c>
      <c r="D3648" t="s">
        <v>5758</v>
      </c>
      <c r="E3648" t="s">
        <v>5270</v>
      </c>
      <c r="F3648" s="129" t="s">
        <v>5270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4894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80</v>
      </c>
      <c r="R3648" s="130" t="s">
        <v>489</v>
      </c>
      <c r="S3648" s="129"/>
    </row>
    <row r="3649" spans="1:19" hidden="1">
      <c r="A3649" s="135" t="s">
        <v>5741</v>
      </c>
      <c r="B3649" s="149" t="str">
        <f>IFERROR(VLOOKUP(Proc[[#This Row],[App]],Table2[],3,0),"open")</f>
        <v>ok</v>
      </c>
      <c r="C3649" s="135" t="s">
        <v>369</v>
      </c>
      <c r="D3649" t="s">
        <v>5759</v>
      </c>
      <c r="E3649" t="s">
        <v>5270</v>
      </c>
      <c r="F3649" s="129" t="s">
        <v>5270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4894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80</v>
      </c>
      <c r="R3649" s="130" t="s">
        <v>489</v>
      </c>
      <c r="S3649" s="129"/>
    </row>
    <row r="3650" spans="1:19" hidden="1">
      <c r="A3650" t="s">
        <v>5772</v>
      </c>
      <c r="B3650" s="149" t="str">
        <f>IFERROR(VLOOKUP(Proc[[#This Row],[App]],Table2[],3,0),"open")</f>
        <v>ok</v>
      </c>
      <c r="C3650" s="135" t="s">
        <v>377</v>
      </c>
      <c r="D3650" t="s">
        <v>6149</v>
      </c>
      <c r="E3650" t="s">
        <v>5770</v>
      </c>
      <c r="F3650" s="150" t="s">
        <v>6275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5773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4894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80</v>
      </c>
      <c r="R3650" s="130" t="s">
        <v>746</v>
      </c>
      <c r="S3650" s="129"/>
    </row>
    <row r="3651" spans="1:19" hidden="1">
      <c r="A3651" s="135" t="s">
        <v>5772</v>
      </c>
      <c r="B3651" s="149" t="str">
        <f>IFERROR(VLOOKUP(Proc[[#This Row],[App]],Table2[],3,0),"open")</f>
        <v>ok</v>
      </c>
      <c r="C3651" s="135" t="s">
        <v>369</v>
      </c>
      <c r="D3651" t="s">
        <v>5760</v>
      </c>
      <c r="E3651" t="s">
        <v>5770</v>
      </c>
      <c r="F3651" s="129" t="s">
        <v>5770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4894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80</v>
      </c>
      <c r="R3651" s="130" t="s">
        <v>746</v>
      </c>
      <c r="S3651" s="129"/>
    </row>
    <row r="3652" spans="1:19" hidden="1">
      <c r="A3652" s="135" t="s">
        <v>5772</v>
      </c>
      <c r="B3652" s="149" t="str">
        <f>IFERROR(VLOOKUP(Proc[[#This Row],[App]],Table2[],3,0),"open")</f>
        <v>ok</v>
      </c>
      <c r="C3652" s="138" t="s">
        <v>369</v>
      </c>
      <c r="D3652" t="s">
        <v>5761</v>
      </c>
      <c r="E3652" t="s">
        <v>5770</v>
      </c>
      <c r="F3652" s="129" t="s">
        <v>5770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4894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80</v>
      </c>
      <c r="R3652" s="130" t="s">
        <v>746</v>
      </c>
      <c r="S3652" s="129"/>
    </row>
    <row r="3653" spans="1:19" hidden="1">
      <c r="A3653" s="135" t="s">
        <v>5772</v>
      </c>
      <c r="B3653" s="149" t="str">
        <f>IFERROR(VLOOKUP(Proc[[#This Row],[App]],Table2[],3,0),"open")</f>
        <v>ok</v>
      </c>
      <c r="C3653" s="138" t="s">
        <v>369</v>
      </c>
      <c r="D3653" t="s">
        <v>5762</v>
      </c>
      <c r="E3653" t="s">
        <v>5770</v>
      </c>
      <c r="F3653" s="129" t="s">
        <v>5770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4894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80</v>
      </c>
      <c r="R3653" s="130" t="s">
        <v>746</v>
      </c>
      <c r="S3653" s="129"/>
    </row>
    <row r="3654" spans="1:19" hidden="1">
      <c r="A3654" s="135" t="s">
        <v>5772</v>
      </c>
      <c r="B3654" s="149" t="str">
        <f>IFERROR(VLOOKUP(Proc[[#This Row],[App]],Table2[],3,0),"open")</f>
        <v>ok</v>
      </c>
      <c r="C3654" s="138" t="s">
        <v>369</v>
      </c>
      <c r="D3654" t="s">
        <v>5763</v>
      </c>
      <c r="E3654" t="s">
        <v>5770</v>
      </c>
      <c r="F3654" s="129" t="s">
        <v>5770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4894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80</v>
      </c>
      <c r="R3654" s="130" t="s">
        <v>746</v>
      </c>
      <c r="S3654" s="129"/>
    </row>
    <row r="3655" spans="1:19" hidden="1">
      <c r="A3655" s="135" t="s">
        <v>5772</v>
      </c>
      <c r="B3655" s="149" t="str">
        <f>IFERROR(VLOOKUP(Proc[[#This Row],[App]],Table2[],3,0),"open")</f>
        <v>ok</v>
      </c>
      <c r="C3655" s="138" t="s">
        <v>369</v>
      </c>
      <c r="D3655" t="s">
        <v>5764</v>
      </c>
      <c r="E3655" t="s">
        <v>5770</v>
      </c>
      <c r="F3655" s="129" t="s">
        <v>5770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4894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80</v>
      </c>
      <c r="R3655" s="130" t="s">
        <v>746</v>
      </c>
      <c r="S3655" s="129"/>
    </row>
    <row r="3656" spans="1:19" hidden="1">
      <c r="A3656" s="135" t="s">
        <v>5772</v>
      </c>
      <c r="B3656" s="149" t="str">
        <f>IFERROR(VLOOKUP(Proc[[#This Row],[App]],Table2[],3,0),"open")</f>
        <v>ok</v>
      </c>
      <c r="C3656" s="138" t="s">
        <v>369</v>
      </c>
      <c r="D3656" t="s">
        <v>5765</v>
      </c>
      <c r="E3656" t="s">
        <v>5770</v>
      </c>
      <c r="F3656" s="129" t="s">
        <v>5770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4894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80</v>
      </c>
      <c r="R3656" s="130" t="s">
        <v>746</v>
      </c>
      <c r="S3656" s="129"/>
    </row>
    <row r="3657" spans="1:19" hidden="1">
      <c r="A3657" s="135" t="s">
        <v>5772</v>
      </c>
      <c r="B3657" s="149" t="str">
        <f>IFERROR(VLOOKUP(Proc[[#This Row],[App]],Table2[],3,0),"open")</f>
        <v>ok</v>
      </c>
      <c r="C3657" s="138" t="s">
        <v>369</v>
      </c>
      <c r="D3657" t="s">
        <v>5766</v>
      </c>
      <c r="E3657" t="s">
        <v>5770</v>
      </c>
      <c r="F3657" s="129" t="s">
        <v>5770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4894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80</v>
      </c>
      <c r="R3657" s="130" t="s">
        <v>746</v>
      </c>
      <c r="S3657" s="129"/>
    </row>
    <row r="3658" spans="1:19" hidden="1">
      <c r="A3658" s="135" t="s">
        <v>5772</v>
      </c>
      <c r="B3658" s="149" t="str">
        <f>IFERROR(VLOOKUP(Proc[[#This Row],[App]],Table2[],3,0),"open")</f>
        <v>ok</v>
      </c>
      <c r="C3658" s="135" t="s">
        <v>369</v>
      </c>
      <c r="D3658" t="s">
        <v>5767</v>
      </c>
      <c r="E3658" t="s">
        <v>5771</v>
      </c>
      <c r="F3658" s="129" t="s">
        <v>5771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4894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80</v>
      </c>
      <c r="R3658" s="130" t="s">
        <v>746</v>
      </c>
      <c r="S3658" s="129"/>
    </row>
    <row r="3659" spans="1:19" hidden="1">
      <c r="A3659" s="135" t="s">
        <v>5772</v>
      </c>
      <c r="B3659" s="149" t="str">
        <f>IFERROR(VLOOKUP(Proc[[#This Row],[App]],Table2[],3,0),"open")</f>
        <v>ok</v>
      </c>
      <c r="C3659" s="135" t="s">
        <v>369</v>
      </c>
      <c r="D3659" t="s">
        <v>5768</v>
      </c>
      <c r="E3659" t="s">
        <v>5771</v>
      </c>
      <c r="F3659" s="129" t="s">
        <v>5771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4894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80</v>
      </c>
      <c r="R3659" s="130" t="s">
        <v>746</v>
      </c>
      <c r="S3659" s="129"/>
    </row>
    <row r="3660" spans="1:19" hidden="1">
      <c r="A3660" s="135" t="s">
        <v>5772</v>
      </c>
      <c r="B3660" s="149" t="str">
        <f>IFERROR(VLOOKUP(Proc[[#This Row],[App]],Table2[],3,0),"open")</f>
        <v>ok</v>
      </c>
      <c r="C3660" s="135" t="s">
        <v>369</v>
      </c>
      <c r="D3660" t="s">
        <v>5769</v>
      </c>
      <c r="E3660" t="s">
        <v>5771</v>
      </c>
      <c r="F3660" s="129" t="s">
        <v>5771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4894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80</v>
      </c>
      <c r="R3660" s="130" t="s">
        <v>746</v>
      </c>
      <c r="S3660" s="129"/>
    </row>
    <row r="3661" spans="1:19" hidden="1">
      <c r="A3661" t="s">
        <v>5774</v>
      </c>
      <c r="B3661" s="149" t="str">
        <f>IFERROR(VLOOKUP(Proc[[#This Row],[App]],Table2[],3,0),"open")</f>
        <v>ok</v>
      </c>
      <c r="C3661" s="138" t="s">
        <v>369</v>
      </c>
      <c r="D3661" t="s">
        <v>5775</v>
      </c>
      <c r="E3661" t="s">
        <v>5551</v>
      </c>
      <c r="F3661" s="129" t="s">
        <v>5551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4894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79</v>
      </c>
      <c r="R3661" s="130" t="s">
        <v>489</v>
      </c>
      <c r="S3661" s="129"/>
    </row>
    <row r="3662" spans="1:19" hidden="1">
      <c r="A3662" s="135" t="s">
        <v>5774</v>
      </c>
      <c r="B3662" s="149" t="str">
        <f>IFERROR(VLOOKUP(Proc[[#This Row],[App]],Table2[],3,0),"open")</f>
        <v>ok</v>
      </c>
      <c r="C3662" s="138" t="s">
        <v>369</v>
      </c>
      <c r="D3662" t="s">
        <v>5776</v>
      </c>
      <c r="E3662" t="s">
        <v>5802</v>
      </c>
      <c r="F3662" s="129" t="s">
        <v>5802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4894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79</v>
      </c>
      <c r="R3662" s="131" t="s">
        <v>489</v>
      </c>
      <c r="S3662" s="129"/>
    </row>
    <row r="3663" spans="1:19" hidden="1">
      <c r="A3663" s="135" t="s">
        <v>5774</v>
      </c>
      <c r="B3663" s="149" t="str">
        <f>IFERROR(VLOOKUP(Proc[[#This Row],[App]],Table2[],3,0),"open")</f>
        <v>ok</v>
      </c>
      <c r="C3663" s="138" t="s">
        <v>369</v>
      </c>
      <c r="D3663" t="s">
        <v>5777</v>
      </c>
      <c r="E3663" t="s">
        <v>5803</v>
      </c>
      <c r="F3663" s="129" t="s">
        <v>5803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4894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79</v>
      </c>
      <c r="R3663" s="131" t="s">
        <v>489</v>
      </c>
      <c r="S3663" s="129"/>
    </row>
    <row r="3664" spans="1:19" hidden="1">
      <c r="A3664" s="135" t="s">
        <v>5774</v>
      </c>
      <c r="B3664" s="149" t="str">
        <f>IFERROR(VLOOKUP(Proc[[#This Row],[App]],Table2[],3,0),"open")</f>
        <v>ok</v>
      </c>
      <c r="C3664" s="138" t="s">
        <v>369</v>
      </c>
      <c r="D3664" t="s">
        <v>5778</v>
      </c>
      <c r="E3664" t="s">
        <v>5803</v>
      </c>
      <c r="F3664" s="129" t="s">
        <v>5803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4894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79</v>
      </c>
      <c r="R3664" s="131" t="s">
        <v>489</v>
      </c>
      <c r="S3664" s="129"/>
    </row>
    <row r="3665" spans="1:19" hidden="1">
      <c r="A3665" s="135" t="s">
        <v>5774</v>
      </c>
      <c r="B3665" s="149" t="str">
        <f>IFERROR(VLOOKUP(Proc[[#This Row],[App]],Table2[],3,0),"open")</f>
        <v>ok</v>
      </c>
      <c r="C3665" s="138" t="s">
        <v>369</v>
      </c>
      <c r="D3665" t="s">
        <v>5779</v>
      </c>
      <c r="E3665" t="s">
        <v>5803</v>
      </c>
      <c r="F3665" s="129" t="s">
        <v>5803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4894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79</v>
      </c>
      <c r="R3665" s="131" t="s">
        <v>489</v>
      </c>
      <c r="S3665" s="129"/>
    </row>
    <row r="3666" spans="1:19" hidden="1">
      <c r="A3666" s="135" t="s">
        <v>5774</v>
      </c>
      <c r="B3666" s="149" t="str">
        <f>IFERROR(VLOOKUP(Proc[[#This Row],[App]],Table2[],3,0),"open")</f>
        <v>ok</v>
      </c>
      <c r="C3666" s="138" t="s">
        <v>369</v>
      </c>
      <c r="D3666" t="s">
        <v>5780</v>
      </c>
      <c r="E3666" t="s">
        <v>5804</v>
      </c>
      <c r="F3666" s="129" t="s">
        <v>5804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4894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79</v>
      </c>
      <c r="R3666" s="131" t="s">
        <v>489</v>
      </c>
      <c r="S3666" s="129"/>
    </row>
    <row r="3667" spans="1:19" hidden="1">
      <c r="A3667" s="135" t="s">
        <v>5774</v>
      </c>
      <c r="B3667" s="149" t="str">
        <f>IFERROR(VLOOKUP(Proc[[#This Row],[App]],Table2[],3,0),"open")</f>
        <v>ok</v>
      </c>
      <c r="C3667" s="138" t="s">
        <v>369</v>
      </c>
      <c r="D3667" t="s">
        <v>5781</v>
      </c>
      <c r="E3667" t="s">
        <v>5804</v>
      </c>
      <c r="F3667" s="129" t="s">
        <v>5804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4894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79</v>
      </c>
      <c r="R3667" s="131" t="s">
        <v>489</v>
      </c>
      <c r="S3667" s="129"/>
    </row>
    <row r="3668" spans="1:19" hidden="1">
      <c r="A3668" s="135" t="s">
        <v>5774</v>
      </c>
      <c r="B3668" s="149" t="str">
        <f>IFERROR(VLOOKUP(Proc[[#This Row],[App]],Table2[],3,0),"open")</f>
        <v>ok</v>
      </c>
      <c r="C3668" s="138" t="s">
        <v>369</v>
      </c>
      <c r="D3668" t="s">
        <v>5782</v>
      </c>
      <c r="E3668" t="s">
        <v>5805</v>
      </c>
      <c r="F3668" s="129" t="s">
        <v>5805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4894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79</v>
      </c>
      <c r="R3668" s="131" t="s">
        <v>489</v>
      </c>
      <c r="S3668" s="129"/>
    </row>
    <row r="3669" spans="1:19" hidden="1">
      <c r="A3669" s="135" t="s">
        <v>5774</v>
      </c>
      <c r="B3669" s="149" t="str">
        <f>IFERROR(VLOOKUP(Proc[[#This Row],[App]],Table2[],3,0),"open")</f>
        <v>ok</v>
      </c>
      <c r="C3669" s="138" t="s">
        <v>369</v>
      </c>
      <c r="D3669" t="s">
        <v>5783</v>
      </c>
      <c r="E3669" t="s">
        <v>5805</v>
      </c>
      <c r="F3669" s="129" t="s">
        <v>5805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4894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79</v>
      </c>
      <c r="R3669" s="131" t="s">
        <v>489</v>
      </c>
      <c r="S3669" s="129"/>
    </row>
    <row r="3670" spans="1:19" hidden="1">
      <c r="A3670" s="135" t="s">
        <v>5774</v>
      </c>
      <c r="B3670" s="149" t="str">
        <f>IFERROR(VLOOKUP(Proc[[#This Row],[App]],Table2[],3,0),"open")</f>
        <v>ok</v>
      </c>
      <c r="C3670" s="138" t="s">
        <v>369</v>
      </c>
      <c r="D3670" t="s">
        <v>5784</v>
      </c>
      <c r="E3670" t="s">
        <v>5806</v>
      </c>
      <c r="F3670" s="129" t="s">
        <v>5806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4894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79</v>
      </c>
      <c r="R3670" s="131" t="s">
        <v>489</v>
      </c>
      <c r="S3670" s="129"/>
    </row>
    <row r="3671" spans="1:19" hidden="1">
      <c r="A3671" s="135" t="s">
        <v>5774</v>
      </c>
      <c r="B3671" s="149" t="str">
        <f>IFERROR(VLOOKUP(Proc[[#This Row],[App]],Table2[],3,0),"open")</f>
        <v>ok</v>
      </c>
      <c r="C3671" s="138" t="s">
        <v>369</v>
      </c>
      <c r="D3671" t="s">
        <v>5785</v>
      </c>
      <c r="E3671" t="s">
        <v>5807</v>
      </c>
      <c r="F3671" s="129" t="s">
        <v>5807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4894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79</v>
      </c>
      <c r="R3671" s="131" t="s">
        <v>489</v>
      </c>
      <c r="S3671" s="129"/>
    </row>
    <row r="3672" spans="1:19" hidden="1">
      <c r="A3672" s="135" t="s">
        <v>5774</v>
      </c>
      <c r="B3672" s="149" t="str">
        <f>IFERROR(VLOOKUP(Proc[[#This Row],[App]],Table2[],3,0),"open")</f>
        <v>ok</v>
      </c>
      <c r="C3672" s="138" t="s">
        <v>369</v>
      </c>
      <c r="D3672" t="s">
        <v>5786</v>
      </c>
      <c r="E3672" t="s">
        <v>4384</v>
      </c>
      <c r="F3672" s="129" t="s">
        <v>4384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4894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79</v>
      </c>
      <c r="R3672" s="131" t="s">
        <v>489</v>
      </c>
      <c r="S3672" s="129"/>
    </row>
    <row r="3673" spans="1:19" hidden="1">
      <c r="A3673" s="135" t="s">
        <v>5774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5808</v>
      </c>
      <c r="F3673" s="129" t="s">
        <v>5808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4894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79</v>
      </c>
      <c r="R3673" s="131" t="s">
        <v>489</v>
      </c>
      <c r="S3673" s="129"/>
    </row>
    <row r="3674" spans="1:19" hidden="1">
      <c r="A3674" s="135" t="s">
        <v>5774</v>
      </c>
      <c r="B3674" s="149" t="str">
        <f>IFERROR(VLOOKUP(Proc[[#This Row],[App]],Table2[],3,0),"open")</f>
        <v>ok</v>
      </c>
      <c r="C3674" s="138" t="s">
        <v>369</v>
      </c>
      <c r="D3674" t="s">
        <v>5787</v>
      </c>
      <c r="E3674" t="s">
        <v>5809</v>
      </c>
      <c r="F3674" s="129" t="s">
        <v>5809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4894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79</v>
      </c>
      <c r="R3674" s="131" t="s">
        <v>489</v>
      </c>
      <c r="S3674" s="129"/>
    </row>
    <row r="3675" spans="1:19" hidden="1">
      <c r="A3675" s="135" t="s">
        <v>5774</v>
      </c>
      <c r="B3675" s="149" t="str">
        <f>IFERROR(VLOOKUP(Proc[[#This Row],[App]],Table2[],3,0),"open")</f>
        <v>ok</v>
      </c>
      <c r="C3675" s="138" t="s">
        <v>369</v>
      </c>
      <c r="D3675" t="s">
        <v>5788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4894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79</v>
      </c>
      <c r="R3675" s="131" t="s">
        <v>489</v>
      </c>
      <c r="S3675" s="129"/>
    </row>
    <row r="3676" spans="1:19" hidden="1">
      <c r="A3676" s="135" t="s">
        <v>5774</v>
      </c>
      <c r="B3676" s="149" t="str">
        <f>IFERROR(VLOOKUP(Proc[[#This Row],[App]],Table2[],3,0),"open")</f>
        <v>ok</v>
      </c>
      <c r="C3676" s="138" t="s">
        <v>369</v>
      </c>
      <c r="D3676" t="s">
        <v>5789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4894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79</v>
      </c>
      <c r="R3676" s="131" t="s">
        <v>489</v>
      </c>
      <c r="S3676" s="129"/>
    </row>
    <row r="3677" spans="1:19" hidden="1">
      <c r="A3677" s="135" t="s">
        <v>5774</v>
      </c>
      <c r="B3677" s="149" t="str">
        <f>IFERROR(VLOOKUP(Proc[[#This Row],[App]],Table2[],3,0),"open")</f>
        <v>ok</v>
      </c>
      <c r="C3677" s="138" t="s">
        <v>369</v>
      </c>
      <c r="D3677" t="s">
        <v>5790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4894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79</v>
      </c>
      <c r="R3677" s="131" t="s">
        <v>489</v>
      </c>
      <c r="S3677" s="129"/>
    </row>
    <row r="3678" spans="1:19" hidden="1">
      <c r="A3678" s="135" t="s">
        <v>5774</v>
      </c>
      <c r="B3678" s="149" t="str">
        <f>IFERROR(VLOOKUP(Proc[[#This Row],[App]],Table2[],3,0),"open")</f>
        <v>ok</v>
      </c>
      <c r="C3678" s="138" t="s">
        <v>369</v>
      </c>
      <c r="D3678" t="s">
        <v>5791</v>
      </c>
      <c r="E3678" t="s">
        <v>5810</v>
      </c>
      <c r="F3678" s="129" t="s">
        <v>5810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4894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79</v>
      </c>
      <c r="R3678" s="131" t="s">
        <v>489</v>
      </c>
      <c r="S3678" s="129"/>
    </row>
    <row r="3679" spans="1:19" hidden="1">
      <c r="A3679" s="135" t="s">
        <v>5774</v>
      </c>
      <c r="B3679" s="149" t="str">
        <f>IFERROR(VLOOKUP(Proc[[#This Row],[App]],Table2[],3,0),"open")</f>
        <v>ok</v>
      </c>
      <c r="C3679" s="138" t="s">
        <v>369</v>
      </c>
      <c r="D3679" t="s">
        <v>5792</v>
      </c>
      <c r="E3679" t="s">
        <v>5810</v>
      </c>
      <c r="F3679" s="129" t="s">
        <v>5810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4894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79</v>
      </c>
      <c r="R3679" s="131" t="s">
        <v>489</v>
      </c>
      <c r="S3679" s="129"/>
    </row>
    <row r="3680" spans="1:19" hidden="1">
      <c r="A3680" s="135" t="s">
        <v>5774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4894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79</v>
      </c>
      <c r="R3680" s="131" t="s">
        <v>489</v>
      </c>
      <c r="S3680" s="129"/>
    </row>
    <row r="3681" spans="1:19" hidden="1">
      <c r="A3681" s="135" t="s">
        <v>5774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4894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79</v>
      </c>
      <c r="R3681" s="131" t="s">
        <v>489</v>
      </c>
      <c r="S3681" s="129"/>
    </row>
    <row r="3682" spans="1:19" hidden="1">
      <c r="A3682" s="135" t="s">
        <v>5774</v>
      </c>
      <c r="B3682" s="149" t="str">
        <f>IFERROR(VLOOKUP(Proc[[#This Row],[App]],Table2[],3,0),"open")</f>
        <v>ok</v>
      </c>
      <c r="C3682" s="138" t="s">
        <v>369</v>
      </c>
      <c r="D3682" t="s">
        <v>5793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4894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79</v>
      </c>
      <c r="R3682" s="131" t="s">
        <v>489</v>
      </c>
      <c r="S3682" s="129"/>
    </row>
    <row r="3683" spans="1:19" hidden="1">
      <c r="A3683" s="135" t="s">
        <v>5774</v>
      </c>
      <c r="B3683" s="149" t="str">
        <f>IFERROR(VLOOKUP(Proc[[#This Row],[App]],Table2[],3,0),"open")</f>
        <v>ok</v>
      </c>
      <c r="C3683" s="138" t="s">
        <v>369</v>
      </c>
      <c r="D3683" t="s">
        <v>5794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4894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79</v>
      </c>
      <c r="R3683" s="131" t="s">
        <v>489</v>
      </c>
      <c r="S3683" s="129"/>
    </row>
    <row r="3684" spans="1:19" hidden="1">
      <c r="A3684" s="135" t="s">
        <v>5774</v>
      </c>
      <c r="B3684" s="149" t="str">
        <f>IFERROR(VLOOKUP(Proc[[#This Row],[App]],Table2[],3,0),"open")</f>
        <v>ok</v>
      </c>
      <c r="C3684" s="138" t="s">
        <v>369</v>
      </c>
      <c r="D3684" t="s">
        <v>5795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4894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79</v>
      </c>
      <c r="R3684" s="131" t="s">
        <v>489</v>
      </c>
      <c r="S3684" s="129"/>
    </row>
    <row r="3685" spans="1:19" hidden="1">
      <c r="A3685" s="135" t="s">
        <v>5774</v>
      </c>
      <c r="B3685" s="149" t="str">
        <f>IFERROR(VLOOKUP(Proc[[#This Row],[App]],Table2[],3,0),"open")</f>
        <v>ok</v>
      </c>
      <c r="C3685" s="138" t="s">
        <v>369</v>
      </c>
      <c r="D3685" t="s">
        <v>5796</v>
      </c>
      <c r="E3685" t="s">
        <v>5811</v>
      </c>
      <c r="F3685" s="129" t="s">
        <v>5811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4894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79</v>
      </c>
      <c r="R3685" s="131" t="s">
        <v>489</v>
      </c>
      <c r="S3685" s="129"/>
    </row>
    <row r="3686" spans="1:19" hidden="1">
      <c r="A3686" s="135" t="s">
        <v>5774</v>
      </c>
      <c r="B3686" s="149" t="str">
        <f>IFERROR(VLOOKUP(Proc[[#This Row],[App]],Table2[],3,0),"open")</f>
        <v>ok</v>
      </c>
      <c r="C3686" s="138" t="s">
        <v>369</v>
      </c>
      <c r="D3686" t="s">
        <v>5797</v>
      </c>
      <c r="E3686" t="s">
        <v>5812</v>
      </c>
      <c r="F3686" s="129" t="s">
        <v>5812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4894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79</v>
      </c>
      <c r="R3686" s="131" t="s">
        <v>489</v>
      </c>
      <c r="S3686" s="129"/>
    </row>
    <row r="3687" spans="1:19" hidden="1">
      <c r="A3687" s="135" t="s">
        <v>5774</v>
      </c>
      <c r="B3687" s="149" t="str">
        <f>IFERROR(VLOOKUP(Proc[[#This Row],[App]],Table2[],3,0),"open")</f>
        <v>ok</v>
      </c>
      <c r="C3687" s="138" t="s">
        <v>369</v>
      </c>
      <c r="D3687" t="s">
        <v>5798</v>
      </c>
      <c r="E3687" t="s">
        <v>5812</v>
      </c>
      <c r="F3687" s="129" t="s">
        <v>5812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4894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79</v>
      </c>
      <c r="R3687" s="131" t="s">
        <v>489</v>
      </c>
      <c r="S3687" s="129"/>
    </row>
    <row r="3688" spans="1:19" hidden="1">
      <c r="A3688" s="135" t="s">
        <v>5774</v>
      </c>
      <c r="B3688" s="149" t="str">
        <f>IFERROR(VLOOKUP(Proc[[#This Row],[App]],Table2[],3,0),"open")</f>
        <v>ok</v>
      </c>
      <c r="C3688" s="138" t="s">
        <v>369</v>
      </c>
      <c r="D3688" t="s">
        <v>5799</v>
      </c>
      <c r="E3688" t="s">
        <v>5813</v>
      </c>
      <c r="F3688" s="129" t="s">
        <v>5813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4894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79</v>
      </c>
      <c r="R3688" s="131" t="s">
        <v>489</v>
      </c>
      <c r="S3688" s="129"/>
    </row>
    <row r="3689" spans="1:19" hidden="1">
      <c r="A3689" s="135" t="s">
        <v>5774</v>
      </c>
      <c r="B3689" s="149" t="str">
        <f>IFERROR(VLOOKUP(Proc[[#This Row],[App]],Table2[],3,0),"open")</f>
        <v>ok</v>
      </c>
      <c r="C3689" s="138" t="s">
        <v>369</v>
      </c>
      <c r="D3689" t="s">
        <v>5800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4894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79</v>
      </c>
      <c r="R3689" s="131" t="s">
        <v>489</v>
      </c>
      <c r="S3689" s="129"/>
    </row>
    <row r="3690" spans="1:19" hidden="1">
      <c r="A3690" s="135" t="s">
        <v>5774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5814</v>
      </c>
      <c r="F3690" s="129" t="s">
        <v>5814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4894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79</v>
      </c>
      <c r="R3690" s="131" t="s">
        <v>489</v>
      </c>
      <c r="S3690" s="129"/>
    </row>
    <row r="3691" spans="1:19" hidden="1">
      <c r="A3691" s="135" t="s">
        <v>5774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4894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79</v>
      </c>
      <c r="R3691" s="131" t="s">
        <v>489</v>
      </c>
      <c r="S3691" s="129"/>
    </row>
    <row r="3692" spans="1:19" hidden="1">
      <c r="A3692" s="135" t="s">
        <v>5774</v>
      </c>
      <c r="B3692" s="149" t="str">
        <f>IFERROR(VLOOKUP(Proc[[#This Row],[App]],Table2[],3,0),"open")</f>
        <v>ok</v>
      </c>
      <c r="C3692" s="138" t="s">
        <v>369</v>
      </c>
      <c r="D3692" t="s">
        <v>5801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4894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79</v>
      </c>
      <c r="R3692" s="131" t="s">
        <v>489</v>
      </c>
      <c r="S3692" s="129"/>
    </row>
    <row r="3693" spans="1:19" hidden="1">
      <c r="A3693" s="135" t="s">
        <v>5774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4894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79</v>
      </c>
      <c r="R3693" s="131" t="s">
        <v>489</v>
      </c>
      <c r="S3693" s="129"/>
    </row>
    <row r="3694" spans="1:19" hidden="1">
      <c r="A3694" s="135" t="s">
        <v>5774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4894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79</v>
      </c>
      <c r="R3694" s="131" t="s">
        <v>489</v>
      </c>
      <c r="S3694" s="129"/>
    </row>
    <row r="3695" spans="1:19" hidden="1">
      <c r="A3695" s="135" t="s">
        <v>5774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4894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79</v>
      </c>
      <c r="R3695" s="131" t="s">
        <v>489</v>
      </c>
      <c r="S3695" s="129"/>
    </row>
    <row r="3696" spans="1:19" hidden="1">
      <c r="A3696" t="s">
        <v>5815</v>
      </c>
      <c r="B3696" s="149" t="str">
        <f>IFERROR(VLOOKUP(Proc[[#This Row],[App]],Table2[],3,0),"open")</f>
        <v>ok</v>
      </c>
      <c r="C3696" s="138" t="s">
        <v>369</v>
      </c>
      <c r="D3696" t="s">
        <v>5816</v>
      </c>
      <c r="E3696" t="s">
        <v>5848</v>
      </c>
      <c r="F3696" s="129" t="s">
        <v>5848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4894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78</v>
      </c>
      <c r="R3696" s="131" t="s">
        <v>489</v>
      </c>
      <c r="S3696" s="129"/>
    </row>
    <row r="3697" spans="1:19" hidden="1">
      <c r="A3697" s="135" t="s">
        <v>5815</v>
      </c>
      <c r="B3697" s="149" t="str">
        <f>IFERROR(VLOOKUP(Proc[[#This Row],[App]],Table2[],3,0),"open")</f>
        <v>ok</v>
      </c>
      <c r="C3697" s="138" t="s">
        <v>369</v>
      </c>
      <c r="D3697" t="s">
        <v>5817</v>
      </c>
      <c r="E3697" t="s">
        <v>5848</v>
      </c>
      <c r="F3697" s="129" t="s">
        <v>5848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4894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78</v>
      </c>
      <c r="R3697" s="131" t="s">
        <v>489</v>
      </c>
      <c r="S3697" s="129"/>
    </row>
    <row r="3698" spans="1:19" hidden="1">
      <c r="A3698" s="135" t="s">
        <v>5815</v>
      </c>
      <c r="B3698" s="149" t="str">
        <f>IFERROR(VLOOKUP(Proc[[#This Row],[App]],Table2[],3,0),"open")</f>
        <v>ok</v>
      </c>
      <c r="C3698" s="138" t="s">
        <v>369</v>
      </c>
      <c r="D3698" t="s">
        <v>5818</v>
      </c>
      <c r="E3698" t="s">
        <v>5849</v>
      </c>
      <c r="F3698" s="129" t="s">
        <v>5849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4894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78</v>
      </c>
      <c r="R3698" s="131" t="s">
        <v>489</v>
      </c>
      <c r="S3698" s="129"/>
    </row>
    <row r="3699" spans="1:19" hidden="1">
      <c r="A3699" s="135" t="s">
        <v>5815</v>
      </c>
      <c r="B3699" s="149" t="str">
        <f>IFERROR(VLOOKUP(Proc[[#This Row],[App]],Table2[],3,0),"open")</f>
        <v>ok</v>
      </c>
      <c r="C3699" s="138" t="s">
        <v>369</v>
      </c>
      <c r="D3699" t="s">
        <v>5819</v>
      </c>
      <c r="E3699" t="s">
        <v>5850</v>
      </c>
      <c r="F3699" s="129" t="s">
        <v>5850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4894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78</v>
      </c>
      <c r="R3699" s="131" t="s">
        <v>489</v>
      </c>
      <c r="S3699" s="129"/>
    </row>
    <row r="3700" spans="1:19" hidden="1">
      <c r="A3700" s="135" t="s">
        <v>5815</v>
      </c>
      <c r="B3700" s="149" t="str">
        <f>IFERROR(VLOOKUP(Proc[[#This Row],[App]],Table2[],3,0),"open")</f>
        <v>ok</v>
      </c>
      <c r="C3700" s="138" t="s">
        <v>369</v>
      </c>
      <c r="D3700" t="s">
        <v>5820</v>
      </c>
      <c r="E3700" t="s">
        <v>5850</v>
      </c>
      <c r="F3700" s="129" t="s">
        <v>5850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4894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78</v>
      </c>
      <c r="R3700" s="131" t="s">
        <v>489</v>
      </c>
      <c r="S3700" s="129"/>
    </row>
    <row r="3701" spans="1:19" hidden="1">
      <c r="A3701" s="135" t="s">
        <v>5815</v>
      </c>
      <c r="B3701" s="149" t="str">
        <f>IFERROR(VLOOKUP(Proc[[#This Row],[App]],Table2[],3,0),"open")</f>
        <v>ok</v>
      </c>
      <c r="C3701" s="138" t="s">
        <v>369</v>
      </c>
      <c r="D3701" t="s">
        <v>5821</v>
      </c>
      <c r="E3701" t="s">
        <v>5850</v>
      </c>
      <c r="F3701" s="129" t="s">
        <v>5850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4894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78</v>
      </c>
      <c r="R3701" s="131" t="s">
        <v>489</v>
      </c>
      <c r="S3701" s="129"/>
    </row>
    <row r="3702" spans="1:19" hidden="1">
      <c r="A3702" s="135" t="s">
        <v>5815</v>
      </c>
      <c r="B3702" s="149" t="str">
        <f>IFERROR(VLOOKUP(Proc[[#This Row],[App]],Table2[],3,0),"open")</f>
        <v>ok</v>
      </c>
      <c r="C3702" s="138" t="s">
        <v>369</v>
      </c>
      <c r="D3702" t="s">
        <v>5822</v>
      </c>
      <c r="E3702" t="s">
        <v>5850</v>
      </c>
      <c r="F3702" s="129" t="s">
        <v>5850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4894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78</v>
      </c>
      <c r="R3702" s="131" t="s">
        <v>489</v>
      </c>
      <c r="S3702" s="129"/>
    </row>
    <row r="3703" spans="1:19" hidden="1">
      <c r="A3703" s="135" t="s">
        <v>5815</v>
      </c>
      <c r="B3703" s="149" t="str">
        <f>IFERROR(VLOOKUP(Proc[[#This Row],[App]],Table2[],3,0),"open")</f>
        <v>ok</v>
      </c>
      <c r="C3703" s="138" t="s">
        <v>369</v>
      </c>
      <c r="D3703" t="s">
        <v>5823</v>
      </c>
      <c r="E3703" t="s">
        <v>5850</v>
      </c>
      <c r="F3703" s="129" t="s">
        <v>5850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4894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78</v>
      </c>
      <c r="R3703" s="131" t="s">
        <v>489</v>
      </c>
      <c r="S3703" s="129"/>
    </row>
    <row r="3704" spans="1:19" hidden="1">
      <c r="A3704" s="135" t="s">
        <v>5815</v>
      </c>
      <c r="B3704" s="149" t="str">
        <f>IFERROR(VLOOKUP(Proc[[#This Row],[App]],Table2[],3,0),"open")</f>
        <v>ok</v>
      </c>
      <c r="C3704" s="138" t="s">
        <v>369</v>
      </c>
      <c r="D3704" t="s">
        <v>5824</v>
      </c>
      <c r="E3704" t="s">
        <v>5850</v>
      </c>
      <c r="F3704" s="129" t="s">
        <v>5850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4894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78</v>
      </c>
      <c r="R3704" s="131" t="s">
        <v>489</v>
      </c>
      <c r="S3704" s="129"/>
    </row>
    <row r="3705" spans="1:19" hidden="1">
      <c r="A3705" s="135" t="s">
        <v>5815</v>
      </c>
      <c r="B3705" s="149" t="str">
        <f>IFERROR(VLOOKUP(Proc[[#This Row],[App]],Table2[],3,0),"open")</f>
        <v>ok</v>
      </c>
      <c r="C3705" s="138" t="s">
        <v>369</v>
      </c>
      <c r="D3705" t="s">
        <v>5825</v>
      </c>
      <c r="E3705" t="s">
        <v>5850</v>
      </c>
      <c r="F3705" s="129" t="s">
        <v>5850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4894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78</v>
      </c>
      <c r="R3705" s="131" t="s">
        <v>489</v>
      </c>
      <c r="S3705" s="129"/>
    </row>
    <row r="3706" spans="1:19" hidden="1">
      <c r="A3706" s="135" t="s">
        <v>5815</v>
      </c>
      <c r="B3706" s="149" t="str">
        <f>IFERROR(VLOOKUP(Proc[[#This Row],[App]],Table2[],3,0),"open")</f>
        <v>ok</v>
      </c>
      <c r="C3706" s="138" t="s">
        <v>369</v>
      </c>
      <c r="D3706" t="s">
        <v>5826</v>
      </c>
      <c r="E3706" t="s">
        <v>5850</v>
      </c>
      <c r="F3706" s="129" t="s">
        <v>5850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4894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78</v>
      </c>
      <c r="R3706" s="131" t="s">
        <v>489</v>
      </c>
      <c r="S3706" s="129"/>
    </row>
    <row r="3707" spans="1:19" hidden="1">
      <c r="A3707" s="135" t="s">
        <v>5815</v>
      </c>
      <c r="B3707" s="149" t="str">
        <f>IFERROR(VLOOKUP(Proc[[#This Row],[App]],Table2[],3,0),"open")</f>
        <v>ok</v>
      </c>
      <c r="C3707" s="138" t="s">
        <v>369</v>
      </c>
      <c r="D3707" t="s">
        <v>5827</v>
      </c>
      <c r="E3707" t="s">
        <v>5850</v>
      </c>
      <c r="F3707" s="129" t="s">
        <v>5850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4894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78</v>
      </c>
      <c r="R3707" s="131" t="s">
        <v>489</v>
      </c>
      <c r="S3707" s="129"/>
    </row>
    <row r="3708" spans="1:19" hidden="1">
      <c r="A3708" s="135" t="s">
        <v>5815</v>
      </c>
      <c r="B3708" s="149" t="str">
        <f>IFERROR(VLOOKUP(Proc[[#This Row],[App]],Table2[],3,0),"open")</f>
        <v>ok</v>
      </c>
      <c r="C3708" s="138" t="s">
        <v>369</v>
      </c>
      <c r="D3708" t="s">
        <v>5828</v>
      </c>
      <c r="E3708" t="s">
        <v>5850</v>
      </c>
      <c r="F3708" s="129" t="s">
        <v>5850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4894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78</v>
      </c>
      <c r="R3708" s="131" t="s">
        <v>489</v>
      </c>
      <c r="S3708" s="129"/>
    </row>
    <row r="3709" spans="1:19" hidden="1">
      <c r="A3709" s="135" t="s">
        <v>5815</v>
      </c>
      <c r="B3709" s="149" t="str">
        <f>IFERROR(VLOOKUP(Proc[[#This Row],[App]],Table2[],3,0),"open")</f>
        <v>ok</v>
      </c>
      <c r="C3709" s="138" t="s">
        <v>369</v>
      </c>
      <c r="D3709" t="s">
        <v>5829</v>
      </c>
      <c r="E3709" t="s">
        <v>5850</v>
      </c>
      <c r="F3709" s="129" t="s">
        <v>5850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4894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78</v>
      </c>
      <c r="R3709" s="131" t="s">
        <v>489</v>
      </c>
      <c r="S3709" s="129"/>
    </row>
    <row r="3710" spans="1:19" hidden="1">
      <c r="A3710" s="135" t="s">
        <v>5815</v>
      </c>
      <c r="B3710" s="149" t="str">
        <f>IFERROR(VLOOKUP(Proc[[#This Row],[App]],Table2[],3,0),"open")</f>
        <v>ok</v>
      </c>
      <c r="C3710" s="138" t="s">
        <v>369</v>
      </c>
      <c r="D3710" t="s">
        <v>5830</v>
      </c>
      <c r="E3710" t="s">
        <v>5850</v>
      </c>
      <c r="F3710" s="129" t="s">
        <v>5850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4894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78</v>
      </c>
      <c r="R3710" s="131" t="s">
        <v>489</v>
      </c>
      <c r="S3710" s="129"/>
    </row>
    <row r="3711" spans="1:19" hidden="1">
      <c r="A3711" s="135" t="s">
        <v>5815</v>
      </c>
      <c r="B3711" s="149" t="str">
        <f>IFERROR(VLOOKUP(Proc[[#This Row],[App]],Table2[],3,0),"open")</f>
        <v>ok</v>
      </c>
      <c r="C3711" s="138" t="s">
        <v>369</v>
      </c>
      <c r="D3711" t="s">
        <v>5831</v>
      </c>
      <c r="E3711" t="s">
        <v>5850</v>
      </c>
      <c r="F3711" s="129" t="s">
        <v>5850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4894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78</v>
      </c>
      <c r="R3711" s="131" t="s">
        <v>489</v>
      </c>
      <c r="S3711" s="129"/>
    </row>
    <row r="3712" spans="1:19" hidden="1">
      <c r="A3712" s="135" t="s">
        <v>5815</v>
      </c>
      <c r="B3712" s="149" t="str">
        <f>IFERROR(VLOOKUP(Proc[[#This Row],[App]],Table2[],3,0),"open")</f>
        <v>ok</v>
      </c>
      <c r="C3712" s="138" t="s">
        <v>369</v>
      </c>
      <c r="D3712" t="s">
        <v>5832</v>
      </c>
      <c r="E3712" t="s">
        <v>5850</v>
      </c>
      <c r="F3712" s="129" t="s">
        <v>5850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4894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78</v>
      </c>
      <c r="R3712" s="131" t="s">
        <v>489</v>
      </c>
      <c r="S3712" s="129"/>
    </row>
    <row r="3713" spans="1:19" hidden="1">
      <c r="A3713" s="135" t="s">
        <v>5815</v>
      </c>
      <c r="B3713" s="149" t="str">
        <f>IFERROR(VLOOKUP(Proc[[#This Row],[App]],Table2[],3,0),"open")</f>
        <v>ok</v>
      </c>
      <c r="C3713" s="138" t="s">
        <v>369</v>
      </c>
      <c r="D3713" t="s">
        <v>5824</v>
      </c>
      <c r="E3713" t="s">
        <v>5850</v>
      </c>
      <c r="F3713" s="129" t="s">
        <v>5850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4894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78</v>
      </c>
      <c r="R3713" s="131" t="s">
        <v>489</v>
      </c>
      <c r="S3713" s="129"/>
    </row>
    <row r="3714" spans="1:19" hidden="1">
      <c r="A3714" s="135" t="s">
        <v>5815</v>
      </c>
      <c r="B3714" s="149" t="str">
        <f>IFERROR(VLOOKUP(Proc[[#This Row],[App]],Table2[],3,0),"open")</f>
        <v>ok</v>
      </c>
      <c r="C3714" s="138" t="s">
        <v>369</v>
      </c>
      <c r="D3714" t="s">
        <v>5833</v>
      </c>
      <c r="E3714" t="s">
        <v>5850</v>
      </c>
      <c r="F3714" s="129" t="s">
        <v>5850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4894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78</v>
      </c>
      <c r="R3714" s="131" t="s">
        <v>489</v>
      </c>
      <c r="S3714" s="129"/>
    </row>
    <row r="3715" spans="1:19" hidden="1">
      <c r="A3715" s="135" t="s">
        <v>5815</v>
      </c>
      <c r="B3715" s="149" t="str">
        <f>IFERROR(VLOOKUP(Proc[[#This Row],[App]],Table2[],3,0),"open")</f>
        <v>ok</v>
      </c>
      <c r="C3715" s="138" t="s">
        <v>369</v>
      </c>
      <c r="D3715" t="s">
        <v>5834</v>
      </c>
      <c r="E3715" t="s">
        <v>5850</v>
      </c>
      <c r="F3715" s="129" t="s">
        <v>5850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4894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78</v>
      </c>
      <c r="R3715" s="131" t="s">
        <v>489</v>
      </c>
      <c r="S3715" s="129"/>
    </row>
    <row r="3716" spans="1:19" hidden="1">
      <c r="A3716" s="135" t="s">
        <v>5815</v>
      </c>
      <c r="B3716" s="149" t="str">
        <f>IFERROR(VLOOKUP(Proc[[#This Row],[App]],Table2[],3,0),"open")</f>
        <v>ok</v>
      </c>
      <c r="C3716" s="138" t="s">
        <v>369</v>
      </c>
      <c r="D3716" t="s">
        <v>5835</v>
      </c>
      <c r="E3716" t="s">
        <v>5851</v>
      </c>
      <c r="F3716" s="129" t="s">
        <v>5851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4894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78</v>
      </c>
      <c r="R3716" s="131" t="s">
        <v>489</v>
      </c>
      <c r="S3716" s="129"/>
    </row>
    <row r="3717" spans="1:19" hidden="1">
      <c r="A3717" s="135" t="s">
        <v>5815</v>
      </c>
      <c r="B3717" s="149" t="str">
        <f>IFERROR(VLOOKUP(Proc[[#This Row],[App]],Table2[],3,0),"open")</f>
        <v>ok</v>
      </c>
      <c r="C3717" s="138" t="s">
        <v>369</v>
      </c>
      <c r="D3717" t="s">
        <v>5836</v>
      </c>
      <c r="E3717" t="s">
        <v>5852</v>
      </c>
      <c r="F3717" s="129" t="s">
        <v>5852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4894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78</v>
      </c>
      <c r="R3717" s="131" t="s">
        <v>489</v>
      </c>
      <c r="S3717" s="129"/>
    </row>
    <row r="3718" spans="1:19" hidden="1">
      <c r="A3718" s="135" t="s">
        <v>5815</v>
      </c>
      <c r="B3718" s="149" t="str">
        <f>IFERROR(VLOOKUP(Proc[[#This Row],[App]],Table2[],3,0),"open")</f>
        <v>ok</v>
      </c>
      <c r="C3718" s="138" t="s">
        <v>369</v>
      </c>
      <c r="D3718" t="s">
        <v>5837</v>
      </c>
      <c r="E3718" t="s">
        <v>5850</v>
      </c>
      <c r="F3718" s="129" t="s">
        <v>5850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4894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78</v>
      </c>
      <c r="R3718" s="131" t="s">
        <v>489</v>
      </c>
      <c r="S3718" s="129"/>
    </row>
    <row r="3719" spans="1:19" hidden="1">
      <c r="A3719" s="135" t="s">
        <v>5815</v>
      </c>
      <c r="B3719" s="149" t="str">
        <f>IFERROR(VLOOKUP(Proc[[#This Row],[App]],Table2[],3,0),"open")</f>
        <v>ok</v>
      </c>
      <c r="C3719" s="138" t="s">
        <v>369</v>
      </c>
      <c r="D3719" t="s">
        <v>5838</v>
      </c>
      <c r="E3719" t="s">
        <v>5850</v>
      </c>
      <c r="F3719" s="129" t="s">
        <v>5850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4894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78</v>
      </c>
      <c r="R3719" s="131" t="s">
        <v>489</v>
      </c>
      <c r="S3719" s="129"/>
    </row>
    <row r="3720" spans="1:19" hidden="1">
      <c r="A3720" s="135" t="s">
        <v>5815</v>
      </c>
      <c r="B3720" s="149" t="str">
        <f>IFERROR(VLOOKUP(Proc[[#This Row],[App]],Table2[],3,0),"open")</f>
        <v>ok</v>
      </c>
      <c r="C3720" s="138" t="s">
        <v>369</v>
      </c>
      <c r="D3720" t="s">
        <v>5828</v>
      </c>
      <c r="E3720" t="s">
        <v>5850</v>
      </c>
      <c r="F3720" s="129" t="s">
        <v>5850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4894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78</v>
      </c>
      <c r="R3720" s="131" t="s">
        <v>489</v>
      </c>
      <c r="S3720" s="129"/>
    </row>
    <row r="3721" spans="1:19" hidden="1">
      <c r="A3721" s="135" t="s">
        <v>5815</v>
      </c>
      <c r="B3721" s="149" t="str">
        <f>IFERROR(VLOOKUP(Proc[[#This Row],[App]],Table2[],3,0),"open")</f>
        <v>ok</v>
      </c>
      <c r="C3721" s="138" t="s">
        <v>369</v>
      </c>
      <c r="D3721" t="s">
        <v>5839</v>
      </c>
      <c r="E3721" t="s">
        <v>5850</v>
      </c>
      <c r="F3721" s="129" t="s">
        <v>5850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4894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78</v>
      </c>
      <c r="R3721" s="131" t="s">
        <v>489</v>
      </c>
      <c r="S3721" s="129"/>
    </row>
    <row r="3722" spans="1:19" hidden="1">
      <c r="A3722" s="135" t="s">
        <v>5815</v>
      </c>
      <c r="B3722" s="149" t="str">
        <f>IFERROR(VLOOKUP(Proc[[#This Row],[App]],Table2[],3,0),"open")</f>
        <v>ok</v>
      </c>
      <c r="C3722" s="138" t="s">
        <v>369</v>
      </c>
      <c r="D3722" t="s">
        <v>5840</v>
      </c>
      <c r="E3722" t="s">
        <v>5850</v>
      </c>
      <c r="F3722" s="129" t="s">
        <v>5850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4894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78</v>
      </c>
      <c r="R3722" s="131" t="s">
        <v>489</v>
      </c>
      <c r="S3722" s="129"/>
    </row>
    <row r="3723" spans="1:19" hidden="1">
      <c r="A3723" s="135" t="s">
        <v>5815</v>
      </c>
      <c r="B3723" s="149" t="str">
        <f>IFERROR(VLOOKUP(Proc[[#This Row],[App]],Table2[],3,0),"open")</f>
        <v>ok</v>
      </c>
      <c r="C3723" s="138" t="s">
        <v>369</v>
      </c>
      <c r="D3723" t="s">
        <v>5830</v>
      </c>
      <c r="E3723" t="s">
        <v>5850</v>
      </c>
      <c r="F3723" s="129" t="s">
        <v>5850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4894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78</v>
      </c>
      <c r="R3723" s="131" t="s">
        <v>489</v>
      </c>
      <c r="S3723" s="129"/>
    </row>
    <row r="3724" spans="1:19" hidden="1">
      <c r="A3724" s="135" t="s">
        <v>5815</v>
      </c>
      <c r="B3724" s="149" t="str">
        <f>IFERROR(VLOOKUP(Proc[[#This Row],[App]],Table2[],3,0),"open")</f>
        <v>ok</v>
      </c>
      <c r="C3724" s="138" t="s">
        <v>369</v>
      </c>
      <c r="D3724" t="s">
        <v>5841</v>
      </c>
      <c r="E3724" t="s">
        <v>5850</v>
      </c>
      <c r="F3724" s="129" t="s">
        <v>5850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4894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78</v>
      </c>
      <c r="R3724" s="131" t="s">
        <v>489</v>
      </c>
      <c r="S3724" s="129"/>
    </row>
    <row r="3725" spans="1:19" hidden="1">
      <c r="A3725" s="135" t="s">
        <v>5815</v>
      </c>
      <c r="B3725" s="149" t="str">
        <f>IFERROR(VLOOKUP(Proc[[#This Row],[App]],Table2[],3,0),"open")</f>
        <v>ok</v>
      </c>
      <c r="C3725" s="138" t="s">
        <v>369</v>
      </c>
      <c r="D3725" t="s">
        <v>5820</v>
      </c>
      <c r="E3725" t="s">
        <v>5850</v>
      </c>
      <c r="F3725" s="129" t="s">
        <v>5850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4894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78</v>
      </c>
      <c r="R3725" s="131" t="s">
        <v>489</v>
      </c>
      <c r="S3725" s="129"/>
    </row>
    <row r="3726" spans="1:19" hidden="1">
      <c r="A3726" s="135" t="s">
        <v>5815</v>
      </c>
      <c r="B3726" s="149" t="str">
        <f>IFERROR(VLOOKUP(Proc[[#This Row],[App]],Table2[],3,0),"open")</f>
        <v>ok</v>
      </c>
      <c r="C3726" s="138" t="s">
        <v>369</v>
      </c>
      <c r="D3726" t="s">
        <v>5842</v>
      </c>
      <c r="E3726" t="s">
        <v>5850</v>
      </c>
      <c r="F3726" s="129" t="s">
        <v>5850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4894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78</v>
      </c>
      <c r="R3726" s="131" t="s">
        <v>489</v>
      </c>
      <c r="S3726" s="129"/>
    </row>
    <row r="3727" spans="1:19" hidden="1">
      <c r="A3727" s="135" t="s">
        <v>5815</v>
      </c>
      <c r="B3727" s="149" t="str">
        <f>IFERROR(VLOOKUP(Proc[[#This Row],[App]],Table2[],3,0),"open")</f>
        <v>ok</v>
      </c>
      <c r="C3727" s="138" t="s">
        <v>369</v>
      </c>
      <c r="D3727" t="s">
        <v>5843</v>
      </c>
      <c r="E3727" t="s">
        <v>5850</v>
      </c>
      <c r="F3727" s="129" t="s">
        <v>5850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4894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78</v>
      </c>
      <c r="R3727" s="131" t="s">
        <v>489</v>
      </c>
      <c r="S3727" s="129"/>
    </row>
    <row r="3728" spans="1:19" hidden="1">
      <c r="A3728" s="135" t="s">
        <v>5815</v>
      </c>
      <c r="B3728" s="149" t="str">
        <f>IFERROR(VLOOKUP(Proc[[#This Row],[App]],Table2[],3,0),"open")</f>
        <v>ok</v>
      </c>
      <c r="C3728" s="138" t="s">
        <v>369</v>
      </c>
      <c r="D3728" t="s">
        <v>5844</v>
      </c>
      <c r="E3728" t="s">
        <v>5853</v>
      </c>
      <c r="F3728" s="129" t="s">
        <v>5853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4894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78</v>
      </c>
      <c r="R3728" s="131" t="s">
        <v>489</v>
      </c>
      <c r="S3728" s="129"/>
    </row>
    <row r="3729" spans="1:19" hidden="1">
      <c r="A3729" s="135" t="s">
        <v>5815</v>
      </c>
      <c r="B3729" s="149" t="str">
        <f>IFERROR(VLOOKUP(Proc[[#This Row],[App]],Table2[],3,0),"open")</f>
        <v>ok</v>
      </c>
      <c r="C3729" s="138" t="s">
        <v>369</v>
      </c>
      <c r="D3729" t="s">
        <v>5845</v>
      </c>
      <c r="E3729" t="s">
        <v>5850</v>
      </c>
      <c r="F3729" s="129" t="s">
        <v>5850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4894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78</v>
      </c>
      <c r="R3729" s="131" t="s">
        <v>489</v>
      </c>
      <c r="S3729" s="129"/>
    </row>
    <row r="3730" spans="1:19" hidden="1">
      <c r="A3730" s="135" t="s">
        <v>5815</v>
      </c>
      <c r="B3730" s="149" t="str">
        <f>IFERROR(VLOOKUP(Proc[[#This Row],[App]],Table2[],3,0),"open")</f>
        <v>ok</v>
      </c>
      <c r="C3730" s="138" t="s">
        <v>369</v>
      </c>
      <c r="D3730" t="s">
        <v>5846</v>
      </c>
      <c r="E3730" t="s">
        <v>5854</v>
      </c>
      <c r="F3730" s="129" t="s">
        <v>5854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4894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78</v>
      </c>
      <c r="R3730" s="131" t="s">
        <v>489</v>
      </c>
      <c r="S3730" s="129"/>
    </row>
    <row r="3731" spans="1:19" hidden="1">
      <c r="A3731" s="135" t="s">
        <v>5815</v>
      </c>
      <c r="B3731" s="149" t="str">
        <f>IFERROR(VLOOKUP(Proc[[#This Row],[App]],Table2[],3,0),"open")</f>
        <v>ok</v>
      </c>
      <c r="C3731" s="138" t="s">
        <v>369</v>
      </c>
      <c r="D3731" t="s">
        <v>5847</v>
      </c>
      <c r="E3731" t="s">
        <v>5854</v>
      </c>
      <c r="F3731" s="129" t="s">
        <v>5854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4894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78</v>
      </c>
      <c r="R3731" s="131" t="s">
        <v>489</v>
      </c>
      <c r="S3731" s="129"/>
    </row>
    <row r="3732" spans="1:19" hidden="1">
      <c r="A3732" t="s">
        <v>5855</v>
      </c>
      <c r="B3732" s="149" t="str">
        <f>IFERROR(VLOOKUP(Proc[[#This Row],[App]],Table2[],3,0),"open")</f>
        <v>ok</v>
      </c>
      <c r="C3732" s="135" t="s">
        <v>369</v>
      </c>
      <c r="D3732" s="45" t="s">
        <v>5756</v>
      </c>
      <c r="E3732" t="s">
        <v>5270</v>
      </c>
      <c r="F3732" s="129" t="s">
        <v>5270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4894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78</v>
      </c>
      <c r="R3732" s="131" t="s">
        <v>489</v>
      </c>
      <c r="S3732" s="129"/>
    </row>
    <row r="3733" spans="1:19" hidden="1">
      <c r="A3733" s="135" t="s">
        <v>5855</v>
      </c>
      <c r="B3733" s="149" t="str">
        <f>IFERROR(VLOOKUP(Proc[[#This Row],[App]],Table2[],3,0),"open")</f>
        <v>ok</v>
      </c>
      <c r="C3733" s="135" t="s">
        <v>369</v>
      </c>
      <c r="D3733" s="45" t="s">
        <v>5758</v>
      </c>
      <c r="E3733" t="s">
        <v>5270</v>
      </c>
      <c r="F3733" s="129" t="s">
        <v>5270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4894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78</v>
      </c>
      <c r="R3733" s="131" t="s">
        <v>489</v>
      </c>
      <c r="S3733" s="129"/>
    </row>
    <row r="3734" spans="1:19" hidden="1">
      <c r="A3734" t="s">
        <v>5856</v>
      </c>
      <c r="B3734" s="149" t="str">
        <f>IFERROR(VLOOKUP(Proc[[#This Row],[App]],Table2[],3,0),"open")</f>
        <v>ok</v>
      </c>
      <c r="C3734" s="138" t="s">
        <v>369</v>
      </c>
      <c r="D3734" t="s">
        <v>5857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4894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78</v>
      </c>
      <c r="R3734" s="136" t="s">
        <v>1013</v>
      </c>
      <c r="S3734" s="129"/>
    </row>
    <row r="3735" spans="1:19" hidden="1">
      <c r="A3735" s="135" t="s">
        <v>5856</v>
      </c>
      <c r="B3735" s="149" t="str">
        <f>IFERROR(VLOOKUP(Proc[[#This Row],[App]],Table2[],3,0),"open")</f>
        <v>ok</v>
      </c>
      <c r="C3735" s="138" t="s">
        <v>369</v>
      </c>
      <c r="D3735" t="s">
        <v>5858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4894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78</v>
      </c>
      <c r="R3735" s="136" t="s">
        <v>1013</v>
      </c>
      <c r="S3735" s="129"/>
    </row>
    <row r="3736" spans="1:19" hidden="1">
      <c r="A3736" s="135" t="s">
        <v>5856</v>
      </c>
      <c r="B3736" s="149" t="str">
        <f>IFERROR(VLOOKUP(Proc[[#This Row],[App]],Table2[],3,0),"open")</f>
        <v>ok</v>
      </c>
      <c r="C3736" s="138" t="s">
        <v>369</v>
      </c>
      <c r="D3736" t="s">
        <v>5859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4894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78</v>
      </c>
      <c r="R3736" s="136" t="s">
        <v>1013</v>
      </c>
      <c r="S3736" s="129"/>
    </row>
    <row r="3737" spans="1:19" hidden="1">
      <c r="A3737" s="135" t="s">
        <v>5856</v>
      </c>
      <c r="B3737" s="149" t="str">
        <f>IFERROR(VLOOKUP(Proc[[#This Row],[App]],Table2[],3,0),"open")</f>
        <v>ok</v>
      </c>
      <c r="C3737" s="138" t="s">
        <v>369</v>
      </c>
      <c r="D3737" t="s">
        <v>5860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4894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78</v>
      </c>
      <c r="R3737" s="136" t="s">
        <v>1013</v>
      </c>
      <c r="S3737" s="129"/>
    </row>
    <row r="3738" spans="1:19" hidden="1">
      <c r="A3738" s="135" t="s">
        <v>5856</v>
      </c>
      <c r="B3738" s="149" t="str">
        <f>IFERROR(VLOOKUP(Proc[[#This Row],[App]],Table2[],3,0),"open")</f>
        <v>ok</v>
      </c>
      <c r="C3738" s="138" t="s">
        <v>369</v>
      </c>
      <c r="D3738" t="s">
        <v>5861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4894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78</v>
      </c>
      <c r="R3738" s="136" t="s">
        <v>1013</v>
      </c>
      <c r="S3738" s="129"/>
    </row>
    <row r="3739" spans="1:19" hidden="1">
      <c r="A3739" s="135" t="s">
        <v>5856</v>
      </c>
      <c r="B3739" s="149" t="str">
        <f>IFERROR(VLOOKUP(Proc[[#This Row],[App]],Table2[],3,0),"open")</f>
        <v>ok</v>
      </c>
      <c r="C3739" s="138" t="s">
        <v>369</v>
      </c>
      <c r="D3739" t="s">
        <v>5862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4894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78</v>
      </c>
      <c r="R3739" s="136" t="s">
        <v>1013</v>
      </c>
      <c r="S3739" s="129"/>
    </row>
    <row r="3740" spans="1:19" hidden="1">
      <c r="A3740" s="135" t="s">
        <v>5856</v>
      </c>
      <c r="B3740" s="149" t="str">
        <f>IFERROR(VLOOKUP(Proc[[#This Row],[App]],Table2[],3,0),"open")</f>
        <v>ok</v>
      </c>
      <c r="C3740" s="138" t="s">
        <v>369</v>
      </c>
      <c r="D3740" t="s">
        <v>5863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4894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78</v>
      </c>
      <c r="R3740" s="136" t="s">
        <v>1013</v>
      </c>
      <c r="S3740" s="129"/>
    </row>
    <row r="3741" spans="1:19" hidden="1">
      <c r="A3741" s="135" t="s">
        <v>5856</v>
      </c>
      <c r="B3741" s="149" t="str">
        <f>IFERROR(VLOOKUP(Proc[[#This Row],[App]],Table2[],3,0),"open")</f>
        <v>ok</v>
      </c>
      <c r="C3741" s="138" t="s">
        <v>369</v>
      </c>
      <c r="D3741" t="s">
        <v>5864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4894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78</v>
      </c>
      <c r="R3741" s="136" t="s">
        <v>1013</v>
      </c>
      <c r="S3741" s="129"/>
    </row>
    <row r="3742" spans="1:19" hidden="1">
      <c r="A3742" s="135" t="s">
        <v>5856</v>
      </c>
      <c r="B3742" s="149" t="str">
        <f>IFERROR(VLOOKUP(Proc[[#This Row],[App]],Table2[],3,0),"open")</f>
        <v>ok</v>
      </c>
      <c r="C3742" s="138" t="s">
        <v>369</v>
      </c>
      <c r="D3742" t="s">
        <v>5865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4894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78</v>
      </c>
      <c r="R3742" s="136" t="s">
        <v>1013</v>
      </c>
      <c r="S3742" s="129"/>
    </row>
    <row r="3743" spans="1:19" hidden="1">
      <c r="A3743" s="135" t="s">
        <v>5856</v>
      </c>
      <c r="B3743" s="149" t="str">
        <f>IFERROR(VLOOKUP(Proc[[#This Row],[App]],Table2[],3,0),"open")</f>
        <v>ok</v>
      </c>
      <c r="C3743" s="138" t="s">
        <v>369</v>
      </c>
      <c r="D3743" t="s">
        <v>5866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4894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78</v>
      </c>
      <c r="R3743" s="136" t="s">
        <v>1013</v>
      </c>
      <c r="S3743" s="129"/>
    </row>
    <row r="3744" spans="1:19" hidden="1">
      <c r="A3744" s="135" t="s">
        <v>5856</v>
      </c>
      <c r="B3744" s="149" t="str">
        <f>IFERROR(VLOOKUP(Proc[[#This Row],[App]],Table2[],3,0),"open")</f>
        <v>ok</v>
      </c>
      <c r="C3744" s="138" t="s">
        <v>369</v>
      </c>
      <c r="D3744" t="s">
        <v>5867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4894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78</v>
      </c>
      <c r="R3744" s="136" t="s">
        <v>1013</v>
      </c>
      <c r="S3744" s="129"/>
    </row>
    <row r="3745" spans="1:19" hidden="1">
      <c r="A3745" s="135" t="s">
        <v>5856</v>
      </c>
      <c r="B3745" s="149" t="str">
        <f>IFERROR(VLOOKUP(Proc[[#This Row],[App]],Table2[],3,0),"open")</f>
        <v>ok</v>
      </c>
      <c r="C3745" s="138" t="s">
        <v>369</v>
      </c>
      <c r="D3745" t="s">
        <v>5868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4894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78</v>
      </c>
      <c r="R3745" s="136" t="s">
        <v>1013</v>
      </c>
      <c r="S3745" s="129"/>
    </row>
    <row r="3746" spans="1:19" hidden="1">
      <c r="A3746" s="135" t="s">
        <v>5856</v>
      </c>
      <c r="B3746" s="149" t="str">
        <f>IFERROR(VLOOKUP(Proc[[#This Row],[App]],Table2[],3,0),"open")</f>
        <v>ok</v>
      </c>
      <c r="C3746" s="138" t="s">
        <v>369</v>
      </c>
      <c r="D3746" t="s">
        <v>5869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4894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78</v>
      </c>
      <c r="R3746" s="136" t="s">
        <v>1013</v>
      </c>
      <c r="S3746" s="129"/>
    </row>
    <row r="3747" spans="1:19" hidden="1">
      <c r="A3747" s="135" t="s">
        <v>5856</v>
      </c>
      <c r="B3747" s="149" t="str">
        <f>IFERROR(VLOOKUP(Proc[[#This Row],[App]],Table2[],3,0),"open")</f>
        <v>ok</v>
      </c>
      <c r="C3747" s="138" t="s">
        <v>369</v>
      </c>
      <c r="D3747" t="s">
        <v>5870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4894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78</v>
      </c>
      <c r="R3747" s="136" t="s">
        <v>1013</v>
      </c>
      <c r="S3747" s="129"/>
    </row>
    <row r="3748" spans="1:19" hidden="1">
      <c r="A3748" s="135" t="s">
        <v>5856</v>
      </c>
      <c r="B3748" s="149" t="str">
        <f>IFERROR(VLOOKUP(Proc[[#This Row],[App]],Table2[],3,0),"open")</f>
        <v>ok</v>
      </c>
      <c r="C3748" s="138" t="s">
        <v>369</v>
      </c>
      <c r="D3748" t="s">
        <v>5871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4894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78</v>
      </c>
      <c r="R3748" s="136" t="s">
        <v>1013</v>
      </c>
      <c r="S3748" s="129"/>
    </row>
    <row r="3749" spans="1:19" hidden="1">
      <c r="A3749" s="135" t="s">
        <v>5856</v>
      </c>
      <c r="B3749" s="149" t="str">
        <f>IFERROR(VLOOKUP(Proc[[#This Row],[App]],Table2[],3,0),"open")</f>
        <v>ok</v>
      </c>
      <c r="C3749" s="138" t="s">
        <v>369</v>
      </c>
      <c r="D3749" t="s">
        <v>5872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4894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78</v>
      </c>
      <c r="R3749" s="136" t="s">
        <v>1013</v>
      </c>
      <c r="S3749" s="129"/>
    </row>
    <row r="3750" spans="1:19" hidden="1">
      <c r="A3750" s="135" t="s">
        <v>5856</v>
      </c>
      <c r="B3750" s="149" t="str">
        <f>IFERROR(VLOOKUP(Proc[[#This Row],[App]],Table2[],3,0),"open")</f>
        <v>ok</v>
      </c>
      <c r="C3750" s="138" t="s">
        <v>369</v>
      </c>
      <c r="D3750" t="s">
        <v>5873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4894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78</v>
      </c>
      <c r="R3750" s="136" t="s">
        <v>1013</v>
      </c>
      <c r="S3750" s="129"/>
    </row>
    <row r="3751" spans="1:19" hidden="1">
      <c r="A3751" s="135" t="s">
        <v>5856</v>
      </c>
      <c r="B3751" s="149" t="str">
        <f>IFERROR(VLOOKUP(Proc[[#This Row],[App]],Table2[],3,0),"open")</f>
        <v>ok</v>
      </c>
      <c r="C3751" s="138" t="s">
        <v>369</v>
      </c>
      <c r="D3751" t="s">
        <v>5874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4894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78</v>
      </c>
      <c r="R3751" s="136" t="s">
        <v>1013</v>
      </c>
      <c r="S3751" s="129"/>
    </row>
    <row r="3752" spans="1:19" hidden="1">
      <c r="A3752" s="135" t="s">
        <v>5856</v>
      </c>
      <c r="B3752" s="149" t="str">
        <f>IFERROR(VLOOKUP(Proc[[#This Row],[App]],Table2[],3,0),"open")</f>
        <v>ok</v>
      </c>
      <c r="C3752" s="138" t="s">
        <v>369</v>
      </c>
      <c r="D3752" t="s">
        <v>5875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4894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78</v>
      </c>
      <c r="R3752" s="136" t="s">
        <v>1013</v>
      </c>
      <c r="S3752" s="129"/>
    </row>
    <row r="3753" spans="1:19" hidden="1">
      <c r="A3753" s="135" t="s">
        <v>5856</v>
      </c>
      <c r="B3753" s="149" t="str">
        <f>IFERROR(VLOOKUP(Proc[[#This Row],[App]],Table2[],3,0),"open")</f>
        <v>ok</v>
      </c>
      <c r="C3753" s="138" t="s">
        <v>369</v>
      </c>
      <c r="D3753" t="s">
        <v>5876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4894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78</v>
      </c>
      <c r="R3753" s="136" t="s">
        <v>1013</v>
      </c>
      <c r="S3753" s="129"/>
    </row>
    <row r="3754" spans="1:19" hidden="1">
      <c r="A3754" s="135" t="s">
        <v>5856</v>
      </c>
      <c r="B3754" s="149" t="str">
        <f>IFERROR(VLOOKUP(Proc[[#This Row],[App]],Table2[],3,0),"open")</f>
        <v>ok</v>
      </c>
      <c r="C3754" s="138" t="s">
        <v>369</v>
      </c>
      <c r="D3754" t="s">
        <v>5877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4894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78</v>
      </c>
      <c r="R3754" s="136" t="s">
        <v>1013</v>
      </c>
      <c r="S3754" s="129"/>
    </row>
    <row r="3755" spans="1:19" hidden="1">
      <c r="A3755" s="135" t="s">
        <v>5856</v>
      </c>
      <c r="B3755" s="149" t="str">
        <f>IFERROR(VLOOKUP(Proc[[#This Row],[App]],Table2[],3,0),"open")</f>
        <v>ok</v>
      </c>
      <c r="C3755" s="138" t="s">
        <v>369</v>
      </c>
      <c r="D3755" t="s">
        <v>5878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4894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78</v>
      </c>
      <c r="R3755" s="136" t="s">
        <v>1013</v>
      </c>
      <c r="S3755" s="129"/>
    </row>
    <row r="3756" spans="1:19" hidden="1">
      <c r="A3756" s="135" t="s">
        <v>5856</v>
      </c>
      <c r="B3756" s="149" t="str">
        <f>IFERROR(VLOOKUP(Proc[[#This Row],[App]],Table2[],3,0),"open")</f>
        <v>ok</v>
      </c>
      <c r="C3756" s="138" t="s">
        <v>369</v>
      </c>
      <c r="D3756" t="s">
        <v>5879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4894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78</v>
      </c>
      <c r="R3756" s="136" t="s">
        <v>1013</v>
      </c>
      <c r="S3756" s="129"/>
    </row>
    <row r="3757" spans="1:19" hidden="1">
      <c r="A3757" s="135" t="s">
        <v>5856</v>
      </c>
      <c r="B3757" s="149" t="str">
        <f>IFERROR(VLOOKUP(Proc[[#This Row],[App]],Table2[],3,0),"open")</f>
        <v>ok</v>
      </c>
      <c r="C3757" s="138" t="s">
        <v>369</v>
      </c>
      <c r="D3757" t="s">
        <v>5880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4894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78</v>
      </c>
      <c r="R3757" s="136" t="s">
        <v>1013</v>
      </c>
      <c r="S3757" s="129"/>
    </row>
    <row r="3758" spans="1:19" hidden="1">
      <c r="A3758" s="135" t="s">
        <v>5856</v>
      </c>
      <c r="B3758" s="149" t="str">
        <f>IFERROR(VLOOKUP(Proc[[#This Row],[App]],Table2[],3,0),"open")</f>
        <v>ok</v>
      </c>
      <c r="C3758" s="138" t="s">
        <v>369</v>
      </c>
      <c r="D3758" t="s">
        <v>5881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4894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78</v>
      </c>
      <c r="R3758" s="136" t="s">
        <v>1013</v>
      </c>
      <c r="S3758" s="129"/>
    </row>
    <row r="3759" spans="1:19" hidden="1">
      <c r="A3759" s="135" t="s">
        <v>5856</v>
      </c>
      <c r="B3759" s="149" t="str">
        <f>IFERROR(VLOOKUP(Proc[[#This Row],[App]],Table2[],3,0),"open")</f>
        <v>ok</v>
      </c>
      <c r="C3759" s="138" t="s">
        <v>369</v>
      </c>
      <c r="D3759" t="s">
        <v>5882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4894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78</v>
      </c>
      <c r="R3759" s="136" t="s">
        <v>1013</v>
      </c>
      <c r="S3759" s="129"/>
    </row>
    <row r="3760" spans="1:19" hidden="1">
      <c r="A3760" s="135" t="s">
        <v>5856</v>
      </c>
      <c r="B3760" s="149" t="str">
        <f>IFERROR(VLOOKUP(Proc[[#This Row],[App]],Table2[],3,0),"open")</f>
        <v>ok</v>
      </c>
      <c r="C3760" s="138" t="s">
        <v>369</v>
      </c>
      <c r="D3760" t="s">
        <v>5883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4894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78</v>
      </c>
      <c r="R3760" s="136" t="s">
        <v>1013</v>
      </c>
      <c r="S3760" s="129"/>
    </row>
    <row r="3761" spans="1:19" hidden="1">
      <c r="A3761" s="135" t="s">
        <v>5856</v>
      </c>
      <c r="B3761" s="149" t="str">
        <f>IFERROR(VLOOKUP(Proc[[#This Row],[App]],Table2[],3,0),"open")</f>
        <v>ok</v>
      </c>
      <c r="C3761" s="138" t="s">
        <v>369</v>
      </c>
      <c r="D3761" t="s">
        <v>5884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4894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78</v>
      </c>
      <c r="R3761" s="136" t="s">
        <v>1013</v>
      </c>
      <c r="S3761" s="129"/>
    </row>
    <row r="3762" spans="1:19" hidden="1">
      <c r="A3762" s="135" t="s">
        <v>5856</v>
      </c>
      <c r="B3762" s="149" t="str">
        <f>IFERROR(VLOOKUP(Proc[[#This Row],[App]],Table2[],3,0),"open")</f>
        <v>ok</v>
      </c>
      <c r="C3762" s="138" t="s">
        <v>369</v>
      </c>
      <c r="D3762" t="s">
        <v>5885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4894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78</v>
      </c>
      <c r="R3762" s="136" t="s">
        <v>1013</v>
      </c>
      <c r="S3762" s="129"/>
    </row>
    <row r="3763" spans="1:19" hidden="1">
      <c r="A3763" s="135" t="s">
        <v>5856</v>
      </c>
      <c r="B3763" s="149" t="str">
        <f>IFERROR(VLOOKUP(Proc[[#This Row],[App]],Table2[],3,0),"open")</f>
        <v>ok</v>
      </c>
      <c r="C3763" s="138" t="s">
        <v>369</v>
      </c>
      <c r="D3763" t="s">
        <v>5886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4894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78</v>
      </c>
      <c r="R3763" s="136" t="s">
        <v>1013</v>
      </c>
      <c r="S3763" s="129"/>
    </row>
    <row r="3764" spans="1:19" hidden="1">
      <c r="A3764" s="135" t="s">
        <v>5856</v>
      </c>
      <c r="B3764" s="149" t="str">
        <f>IFERROR(VLOOKUP(Proc[[#This Row],[App]],Table2[],3,0),"open")</f>
        <v>ok</v>
      </c>
      <c r="C3764" s="138" t="s">
        <v>369</v>
      </c>
      <c r="D3764" t="s">
        <v>5887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4894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78</v>
      </c>
      <c r="R3764" s="136" t="s">
        <v>1013</v>
      </c>
      <c r="S3764" s="129"/>
    </row>
    <row r="3765" spans="1:19" hidden="1">
      <c r="A3765" s="135" t="s">
        <v>5856</v>
      </c>
      <c r="B3765" s="149" t="str">
        <f>IFERROR(VLOOKUP(Proc[[#This Row],[App]],Table2[],3,0),"open")</f>
        <v>ok</v>
      </c>
      <c r="C3765" s="138" t="s">
        <v>369</v>
      </c>
      <c r="D3765" t="s">
        <v>5888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4894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78</v>
      </c>
      <c r="R3765" s="136" t="s">
        <v>1013</v>
      </c>
      <c r="S3765" s="129"/>
    </row>
    <row r="3766" spans="1:19" hidden="1">
      <c r="A3766" s="135" t="s">
        <v>5856</v>
      </c>
      <c r="B3766" s="149" t="str">
        <f>IFERROR(VLOOKUP(Proc[[#This Row],[App]],Table2[],3,0),"open")</f>
        <v>ok</v>
      </c>
      <c r="C3766" s="138" t="s">
        <v>369</v>
      </c>
      <c r="D3766" t="s">
        <v>5889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4894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78</v>
      </c>
      <c r="R3766" s="136" t="s">
        <v>1013</v>
      </c>
      <c r="S3766" s="129"/>
    </row>
    <row r="3767" spans="1:19" hidden="1">
      <c r="A3767" s="135" t="s">
        <v>5856</v>
      </c>
      <c r="B3767" s="149" t="str">
        <f>IFERROR(VLOOKUP(Proc[[#This Row],[App]],Table2[],3,0),"open")</f>
        <v>ok</v>
      </c>
      <c r="C3767" s="138" t="s">
        <v>369</v>
      </c>
      <c r="D3767" t="s">
        <v>5890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4894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78</v>
      </c>
      <c r="R3767" s="136" t="s">
        <v>1013</v>
      </c>
      <c r="S3767" s="129"/>
    </row>
    <row r="3768" spans="1:19" hidden="1">
      <c r="A3768" s="135" t="s">
        <v>5856</v>
      </c>
      <c r="B3768" s="149" t="str">
        <f>IFERROR(VLOOKUP(Proc[[#This Row],[App]],Table2[],3,0),"open")</f>
        <v>ok</v>
      </c>
      <c r="C3768" s="138" t="s">
        <v>369</v>
      </c>
      <c r="D3768" t="s">
        <v>5891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4894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78</v>
      </c>
      <c r="R3768" s="136" t="s">
        <v>1013</v>
      </c>
      <c r="S3768" s="129"/>
    </row>
    <row r="3769" spans="1:19" hidden="1">
      <c r="A3769" s="135" t="s">
        <v>5856</v>
      </c>
      <c r="B3769" s="149" t="str">
        <f>IFERROR(VLOOKUP(Proc[[#This Row],[App]],Table2[],3,0),"open")</f>
        <v>ok</v>
      </c>
      <c r="C3769" s="138" t="s">
        <v>369</v>
      </c>
      <c r="D3769" t="s">
        <v>5892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4894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78</v>
      </c>
      <c r="R3769" s="136" t="s">
        <v>1013</v>
      </c>
      <c r="S3769" s="129"/>
    </row>
    <row r="3770" spans="1:19" hidden="1">
      <c r="A3770" s="135" t="s">
        <v>5856</v>
      </c>
      <c r="B3770" s="149" t="str">
        <f>IFERROR(VLOOKUP(Proc[[#This Row],[App]],Table2[],3,0),"open")</f>
        <v>ok</v>
      </c>
      <c r="C3770" s="138" t="s">
        <v>369</v>
      </c>
      <c r="D3770" t="s">
        <v>5893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4894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78</v>
      </c>
      <c r="R3770" s="136" t="s">
        <v>1013</v>
      </c>
      <c r="S3770" s="129"/>
    </row>
    <row r="3771" spans="1:19" hidden="1">
      <c r="A3771" s="135" t="s">
        <v>5856</v>
      </c>
      <c r="B3771" s="149" t="str">
        <f>IFERROR(VLOOKUP(Proc[[#This Row],[App]],Table2[],3,0),"open")</f>
        <v>ok</v>
      </c>
      <c r="C3771" s="138" t="s">
        <v>369</v>
      </c>
      <c r="D3771" t="s">
        <v>5894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4894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78</v>
      </c>
      <c r="R3771" s="136" t="s">
        <v>1013</v>
      </c>
      <c r="S3771" s="129"/>
    </row>
    <row r="3772" spans="1:19" hidden="1">
      <c r="A3772" s="135" t="s">
        <v>5856</v>
      </c>
      <c r="B3772" s="149" t="str">
        <f>IFERROR(VLOOKUP(Proc[[#This Row],[App]],Table2[],3,0),"open")</f>
        <v>ok</v>
      </c>
      <c r="C3772" s="138" t="s">
        <v>369</v>
      </c>
      <c r="D3772" t="s">
        <v>5895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4894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78</v>
      </c>
      <c r="R3772" s="136" t="s">
        <v>1013</v>
      </c>
      <c r="S3772" s="129"/>
    </row>
    <row r="3773" spans="1:19" hidden="1">
      <c r="A3773" s="135" t="s">
        <v>5856</v>
      </c>
      <c r="B3773" s="149" t="str">
        <f>IFERROR(VLOOKUP(Proc[[#This Row],[App]],Table2[],3,0),"open")</f>
        <v>ok</v>
      </c>
      <c r="C3773" s="138" t="s">
        <v>369</v>
      </c>
      <c r="D3773" t="s">
        <v>5896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4894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78</v>
      </c>
      <c r="R3773" s="136" t="s">
        <v>1013</v>
      </c>
      <c r="S3773" s="129"/>
    </row>
    <row r="3774" spans="1:19" hidden="1">
      <c r="A3774" s="135" t="s">
        <v>5856</v>
      </c>
      <c r="B3774" s="149" t="str">
        <f>IFERROR(VLOOKUP(Proc[[#This Row],[App]],Table2[],3,0),"open")</f>
        <v>ok</v>
      </c>
      <c r="C3774" s="138" t="s">
        <v>369</v>
      </c>
      <c r="D3774" t="s">
        <v>5897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4894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78</v>
      </c>
      <c r="R3774" s="136" t="s">
        <v>1013</v>
      </c>
      <c r="S3774" s="129"/>
    </row>
    <row r="3775" spans="1:19" hidden="1">
      <c r="A3775" s="135" t="s">
        <v>5856</v>
      </c>
      <c r="B3775" s="149" t="str">
        <f>IFERROR(VLOOKUP(Proc[[#This Row],[App]],Table2[],3,0),"open")</f>
        <v>ok</v>
      </c>
      <c r="C3775" s="138" t="s">
        <v>369</v>
      </c>
      <c r="D3775" t="s">
        <v>5898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4894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78</v>
      </c>
      <c r="R3775" s="136" t="s">
        <v>1013</v>
      </c>
      <c r="S3775" s="129"/>
    </row>
    <row r="3776" spans="1:19" hidden="1">
      <c r="A3776" s="135" t="s">
        <v>5856</v>
      </c>
      <c r="B3776" s="149" t="str">
        <f>IFERROR(VLOOKUP(Proc[[#This Row],[App]],Table2[],3,0),"open")</f>
        <v>ok</v>
      </c>
      <c r="C3776" s="138" t="s">
        <v>369</v>
      </c>
      <c r="D3776" t="s">
        <v>5899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4894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78</v>
      </c>
      <c r="R3776" s="136" t="s">
        <v>1013</v>
      </c>
      <c r="S3776" s="129"/>
    </row>
    <row r="3777" spans="1:19" hidden="1">
      <c r="A3777" s="135" t="s">
        <v>5856</v>
      </c>
      <c r="B3777" s="149" t="str">
        <f>IFERROR(VLOOKUP(Proc[[#This Row],[App]],Table2[],3,0),"open")</f>
        <v>ok</v>
      </c>
      <c r="C3777" s="138" t="s">
        <v>369</v>
      </c>
      <c r="D3777" t="s">
        <v>5900</v>
      </c>
      <c r="E3777" t="s">
        <v>5917</v>
      </c>
      <c r="F3777" s="129" t="s">
        <v>5917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4894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78</v>
      </c>
      <c r="R3777" s="136" t="s">
        <v>1013</v>
      </c>
      <c r="S3777" s="129"/>
    </row>
    <row r="3778" spans="1:19" hidden="1">
      <c r="A3778" s="135" t="s">
        <v>5856</v>
      </c>
      <c r="B3778" s="149" t="str">
        <f>IFERROR(VLOOKUP(Proc[[#This Row],[App]],Table2[],3,0),"open")</f>
        <v>ok</v>
      </c>
      <c r="C3778" s="138" t="s">
        <v>369</v>
      </c>
      <c r="D3778" t="s">
        <v>5901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4894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78</v>
      </c>
      <c r="R3778" s="136" t="s">
        <v>1013</v>
      </c>
      <c r="S3778" s="129"/>
    </row>
    <row r="3779" spans="1:19" hidden="1">
      <c r="A3779" s="135" t="s">
        <v>5856</v>
      </c>
      <c r="B3779" s="149" t="str">
        <f>IFERROR(VLOOKUP(Proc[[#This Row],[App]],Table2[],3,0),"open")</f>
        <v>ok</v>
      </c>
      <c r="C3779" s="138" t="s">
        <v>369</v>
      </c>
      <c r="D3779" t="s">
        <v>5902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4894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78</v>
      </c>
      <c r="R3779" s="136" t="s">
        <v>1013</v>
      </c>
      <c r="S3779" s="129"/>
    </row>
    <row r="3780" spans="1:19" hidden="1">
      <c r="A3780" s="135" t="s">
        <v>5856</v>
      </c>
      <c r="B3780" s="149" t="str">
        <f>IFERROR(VLOOKUP(Proc[[#This Row],[App]],Table2[],3,0),"open")</f>
        <v>ok</v>
      </c>
      <c r="C3780" s="138" t="s">
        <v>369</v>
      </c>
      <c r="D3780" t="s">
        <v>5903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4894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78</v>
      </c>
      <c r="R3780" s="136" t="s">
        <v>1013</v>
      </c>
      <c r="S3780" s="129"/>
    </row>
    <row r="3781" spans="1:19" hidden="1">
      <c r="A3781" s="135" t="s">
        <v>5856</v>
      </c>
      <c r="B3781" s="149" t="str">
        <f>IFERROR(VLOOKUP(Proc[[#This Row],[App]],Table2[],3,0),"open")</f>
        <v>ok</v>
      </c>
      <c r="C3781" s="138" t="s">
        <v>369</v>
      </c>
      <c r="D3781" t="s">
        <v>5904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4894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78</v>
      </c>
      <c r="R3781" s="136" t="s">
        <v>1013</v>
      </c>
      <c r="S3781" s="129"/>
    </row>
    <row r="3782" spans="1:19" hidden="1">
      <c r="A3782" s="135" t="s">
        <v>5856</v>
      </c>
      <c r="B3782" s="149" t="str">
        <f>IFERROR(VLOOKUP(Proc[[#This Row],[App]],Table2[],3,0),"open")</f>
        <v>ok</v>
      </c>
      <c r="C3782" s="138" t="s">
        <v>369</v>
      </c>
      <c r="D3782" t="s">
        <v>5905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4894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78</v>
      </c>
      <c r="R3782" s="136" t="s">
        <v>1013</v>
      </c>
      <c r="S3782" s="129"/>
    </row>
    <row r="3783" spans="1:19" hidden="1">
      <c r="A3783" s="135" t="s">
        <v>5856</v>
      </c>
      <c r="B3783" s="149" t="str">
        <f>IFERROR(VLOOKUP(Proc[[#This Row],[App]],Table2[],3,0),"open")</f>
        <v>ok</v>
      </c>
      <c r="C3783" s="138" t="s">
        <v>369</v>
      </c>
      <c r="D3783" t="s">
        <v>5906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4894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78</v>
      </c>
      <c r="R3783" s="136" t="s">
        <v>1013</v>
      </c>
      <c r="S3783" s="129"/>
    </row>
    <row r="3784" spans="1:19" hidden="1">
      <c r="A3784" s="135" t="s">
        <v>5856</v>
      </c>
      <c r="B3784" s="149" t="str">
        <f>IFERROR(VLOOKUP(Proc[[#This Row],[App]],Table2[],3,0),"open")</f>
        <v>ok</v>
      </c>
      <c r="C3784" s="138" t="s">
        <v>369</v>
      </c>
      <c r="D3784" t="s">
        <v>5907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4894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78</v>
      </c>
      <c r="R3784" s="136" t="s">
        <v>1013</v>
      </c>
      <c r="S3784" s="129"/>
    </row>
    <row r="3785" spans="1:19" hidden="1">
      <c r="A3785" s="135" t="s">
        <v>5856</v>
      </c>
      <c r="B3785" s="149" t="str">
        <f>IFERROR(VLOOKUP(Proc[[#This Row],[App]],Table2[],3,0),"open")</f>
        <v>ok</v>
      </c>
      <c r="C3785" s="138" t="s">
        <v>369</v>
      </c>
      <c r="D3785" t="s">
        <v>5908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4894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78</v>
      </c>
      <c r="R3785" s="136" t="s">
        <v>1013</v>
      </c>
      <c r="S3785" s="129"/>
    </row>
    <row r="3786" spans="1:19" hidden="1">
      <c r="A3786" s="135" t="s">
        <v>5856</v>
      </c>
      <c r="B3786" s="149" t="str">
        <f>IFERROR(VLOOKUP(Proc[[#This Row],[App]],Table2[],3,0),"open")</f>
        <v>ok</v>
      </c>
      <c r="C3786" s="138" t="s">
        <v>369</v>
      </c>
      <c r="D3786" t="s">
        <v>5909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4894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78</v>
      </c>
      <c r="R3786" s="136" t="s">
        <v>1013</v>
      </c>
      <c r="S3786" s="129"/>
    </row>
    <row r="3787" spans="1:19" hidden="1">
      <c r="A3787" s="135" t="s">
        <v>5856</v>
      </c>
      <c r="B3787" s="149" t="str">
        <f>IFERROR(VLOOKUP(Proc[[#This Row],[App]],Table2[],3,0),"open")</f>
        <v>ok</v>
      </c>
      <c r="C3787" s="138" t="s">
        <v>369</v>
      </c>
      <c r="D3787" t="s">
        <v>5910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4894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78</v>
      </c>
      <c r="R3787" s="136" t="s">
        <v>1013</v>
      </c>
      <c r="S3787" s="129"/>
    </row>
    <row r="3788" spans="1:19" hidden="1">
      <c r="A3788" s="135" t="s">
        <v>5856</v>
      </c>
      <c r="B3788" s="149" t="str">
        <f>IFERROR(VLOOKUP(Proc[[#This Row],[App]],Table2[],3,0),"open")</f>
        <v>ok</v>
      </c>
      <c r="C3788" s="138" t="s">
        <v>369</v>
      </c>
      <c r="D3788" t="s">
        <v>5911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4894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78</v>
      </c>
      <c r="R3788" s="136" t="s">
        <v>1013</v>
      </c>
      <c r="S3788" s="129"/>
    </row>
    <row r="3789" spans="1:19" hidden="1">
      <c r="A3789" s="135" t="s">
        <v>5856</v>
      </c>
      <c r="B3789" s="149" t="str">
        <f>IFERROR(VLOOKUP(Proc[[#This Row],[App]],Table2[],3,0),"open")</f>
        <v>ok</v>
      </c>
      <c r="C3789" s="138" t="s">
        <v>369</v>
      </c>
      <c r="D3789" t="s">
        <v>5912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4894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78</v>
      </c>
      <c r="R3789" s="136" t="s">
        <v>1013</v>
      </c>
      <c r="S3789" s="129"/>
    </row>
    <row r="3790" spans="1:19" hidden="1">
      <c r="A3790" s="135" t="s">
        <v>5856</v>
      </c>
      <c r="B3790" s="149" t="str">
        <f>IFERROR(VLOOKUP(Proc[[#This Row],[App]],Table2[],3,0),"open")</f>
        <v>ok</v>
      </c>
      <c r="C3790" s="138" t="s">
        <v>369</v>
      </c>
      <c r="D3790" t="s">
        <v>5913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4894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78</v>
      </c>
      <c r="R3790" s="136" t="s">
        <v>1013</v>
      </c>
      <c r="S3790" s="129"/>
    </row>
    <row r="3791" spans="1:19" hidden="1">
      <c r="A3791" s="135" t="s">
        <v>5856</v>
      </c>
      <c r="B3791" s="149" t="str">
        <f>IFERROR(VLOOKUP(Proc[[#This Row],[App]],Table2[],3,0),"open")</f>
        <v>ok</v>
      </c>
      <c r="C3791" s="138" t="s">
        <v>369</v>
      </c>
      <c r="D3791" t="s">
        <v>5914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4894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78</v>
      </c>
      <c r="R3791" s="136" t="s">
        <v>1013</v>
      </c>
      <c r="S3791" s="129"/>
    </row>
    <row r="3792" spans="1:19" hidden="1">
      <c r="A3792" s="135" t="s">
        <v>5856</v>
      </c>
      <c r="B3792" s="149" t="str">
        <f>IFERROR(VLOOKUP(Proc[[#This Row],[App]],Table2[],3,0),"open")</f>
        <v>ok</v>
      </c>
      <c r="C3792" s="138" t="s">
        <v>369</v>
      </c>
      <c r="D3792" t="s">
        <v>5915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4894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78</v>
      </c>
      <c r="R3792" s="136" t="s">
        <v>1013</v>
      </c>
      <c r="S3792" s="129"/>
    </row>
    <row r="3793" spans="1:19" hidden="1">
      <c r="A3793" s="135" t="s">
        <v>5856</v>
      </c>
      <c r="B3793" s="149" t="str">
        <f>IFERROR(VLOOKUP(Proc[[#This Row],[App]],Table2[],3,0),"open")</f>
        <v>ok</v>
      </c>
      <c r="C3793" s="138" t="s">
        <v>369</v>
      </c>
      <c r="D3793" t="s">
        <v>5916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4894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78</v>
      </c>
      <c r="R3793" s="136" t="s">
        <v>1013</v>
      </c>
      <c r="S3793" s="129"/>
    </row>
    <row r="3794" spans="1:19" hidden="1">
      <c r="A3794" s="135" t="s">
        <v>5918</v>
      </c>
      <c r="B3794" s="149" t="str">
        <f>IFERROR(VLOOKUP(Proc[[#This Row],[App]],Table2[],3,0),"open")</f>
        <v>ok</v>
      </c>
      <c r="C3794" s="138" t="s">
        <v>369</v>
      </c>
      <c r="D3794" s="135" t="s">
        <v>5923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4894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78</v>
      </c>
      <c r="R3794" s="136" t="s">
        <v>452</v>
      </c>
      <c r="S3794" s="129"/>
    </row>
    <row r="3795" spans="1:19" hidden="1">
      <c r="A3795" s="135" t="s">
        <v>5918</v>
      </c>
      <c r="B3795" s="149" t="str">
        <f>IFERROR(VLOOKUP(Proc[[#This Row],[App]],Table2[],3,0),"open")</f>
        <v>ok</v>
      </c>
      <c r="C3795" s="138" t="s">
        <v>369</v>
      </c>
      <c r="D3795" s="135" t="s">
        <v>5924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4894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78</v>
      </c>
      <c r="R3795" s="136" t="s">
        <v>452</v>
      </c>
      <c r="S3795" s="129"/>
    </row>
    <row r="3796" spans="1:19" hidden="1">
      <c r="A3796" s="135" t="s">
        <v>5918</v>
      </c>
      <c r="B3796" s="149" t="str">
        <f>IFERROR(VLOOKUP(Proc[[#This Row],[App]],Table2[],3,0),"open")</f>
        <v>ok</v>
      </c>
      <c r="C3796" s="138" t="s">
        <v>369</v>
      </c>
      <c r="D3796" s="135" t="s">
        <v>5925</v>
      </c>
      <c r="E3796" t="s">
        <v>5919</v>
      </c>
      <c r="F3796" s="129" t="s">
        <v>5919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4894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78</v>
      </c>
      <c r="R3796" s="136" t="s">
        <v>452</v>
      </c>
      <c r="S3796" s="129"/>
    </row>
    <row r="3797" spans="1:19" hidden="1">
      <c r="A3797" s="135" t="s">
        <v>5918</v>
      </c>
      <c r="B3797" s="149" t="str">
        <f>IFERROR(VLOOKUP(Proc[[#This Row],[App]],Table2[],3,0),"open")</f>
        <v>ok</v>
      </c>
      <c r="C3797" s="138" t="s">
        <v>369</v>
      </c>
      <c r="D3797" s="135" t="s">
        <v>5926</v>
      </c>
      <c r="E3797" t="s">
        <v>5919</v>
      </c>
      <c r="F3797" s="129" t="s">
        <v>5919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4894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78</v>
      </c>
      <c r="R3797" s="136" t="s">
        <v>452</v>
      </c>
      <c r="S3797" s="129"/>
    </row>
    <row r="3798" spans="1:19" hidden="1">
      <c r="A3798" s="135" t="s">
        <v>5918</v>
      </c>
      <c r="B3798" s="149" t="str">
        <f>IFERROR(VLOOKUP(Proc[[#This Row],[App]],Table2[],3,0),"open")</f>
        <v>ok</v>
      </c>
      <c r="C3798" s="138" t="s">
        <v>369</v>
      </c>
      <c r="D3798" s="135" t="s">
        <v>5927</v>
      </c>
      <c r="E3798" t="s">
        <v>5919</v>
      </c>
      <c r="F3798" s="129" t="s">
        <v>5919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4894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78</v>
      </c>
      <c r="R3798" s="136" t="s">
        <v>452</v>
      </c>
      <c r="S3798" s="129"/>
    </row>
    <row r="3799" spans="1:19" hidden="1">
      <c r="A3799" t="s">
        <v>5920</v>
      </c>
      <c r="B3799" s="149" t="str">
        <f>IFERROR(VLOOKUP(Proc[[#This Row],[App]],Table2[],3,0),"open")</f>
        <v>ok</v>
      </c>
      <c r="C3799" s="138" t="s">
        <v>369</v>
      </c>
      <c r="D3799" t="s">
        <v>5928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4894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78</v>
      </c>
      <c r="R3799" s="136" t="s">
        <v>1013</v>
      </c>
      <c r="S3799" s="129"/>
    </row>
    <row r="3800" spans="1:19" hidden="1">
      <c r="A3800" s="135" t="s">
        <v>5920</v>
      </c>
      <c r="B3800" s="149" t="str">
        <f>IFERROR(VLOOKUP(Proc[[#This Row],[App]],Table2[],3,0),"open")</f>
        <v>ok</v>
      </c>
      <c r="C3800" s="138" t="s">
        <v>369</v>
      </c>
      <c r="D3800" t="s">
        <v>5929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4894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78</v>
      </c>
      <c r="R3800" s="136" t="s">
        <v>1013</v>
      </c>
      <c r="S3800" s="129"/>
    </row>
    <row r="3801" spans="1:19" hidden="1">
      <c r="A3801" s="135" t="s">
        <v>5920</v>
      </c>
      <c r="B3801" s="149" t="str">
        <f>IFERROR(VLOOKUP(Proc[[#This Row],[App]],Table2[],3,0),"open")</f>
        <v>ok</v>
      </c>
      <c r="C3801" s="138" t="s">
        <v>369</v>
      </c>
      <c r="D3801" t="s">
        <v>5930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4894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78</v>
      </c>
      <c r="R3801" s="136" t="s">
        <v>1013</v>
      </c>
      <c r="S3801" s="129"/>
    </row>
    <row r="3802" spans="1:19" hidden="1">
      <c r="A3802" s="135" t="s">
        <v>5920</v>
      </c>
      <c r="B3802" s="149" t="str">
        <f>IFERROR(VLOOKUP(Proc[[#This Row],[App]],Table2[],3,0),"open")</f>
        <v>ok</v>
      </c>
      <c r="C3802" s="138" t="s">
        <v>369</v>
      </c>
      <c r="D3802" t="s">
        <v>5931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4894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78</v>
      </c>
      <c r="R3802" s="136" t="s">
        <v>1013</v>
      </c>
      <c r="S3802" s="129"/>
    </row>
    <row r="3803" spans="1:19" hidden="1">
      <c r="A3803" s="135" t="s">
        <v>5920</v>
      </c>
      <c r="B3803" s="149" t="str">
        <f>IFERROR(VLOOKUP(Proc[[#This Row],[App]],Table2[],3,0),"open")</f>
        <v>ok</v>
      </c>
      <c r="C3803" s="138" t="s">
        <v>369</v>
      </c>
      <c r="D3803" t="s">
        <v>5932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4894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78</v>
      </c>
      <c r="R3803" s="136" t="s">
        <v>1013</v>
      </c>
      <c r="S3803" s="129"/>
    </row>
    <row r="3804" spans="1:19" hidden="1">
      <c r="A3804" s="135" t="s">
        <v>5920</v>
      </c>
      <c r="B3804" s="149" t="str">
        <f>IFERROR(VLOOKUP(Proc[[#This Row],[App]],Table2[],3,0),"open")</f>
        <v>ok</v>
      </c>
      <c r="C3804" s="138" t="s">
        <v>369</v>
      </c>
      <c r="D3804" t="s">
        <v>5933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4894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78</v>
      </c>
      <c r="R3804" s="136" t="s">
        <v>1013</v>
      </c>
      <c r="S3804" s="129"/>
    </row>
    <row r="3805" spans="1:19" hidden="1">
      <c r="A3805" s="135" t="s">
        <v>5920</v>
      </c>
      <c r="B3805" s="149" t="str">
        <f>IFERROR(VLOOKUP(Proc[[#This Row],[App]],Table2[],3,0),"open")</f>
        <v>ok</v>
      </c>
      <c r="C3805" s="138" t="s">
        <v>369</v>
      </c>
      <c r="D3805" t="s">
        <v>5934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4894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78</v>
      </c>
      <c r="R3805" s="136" t="s">
        <v>1013</v>
      </c>
      <c r="S3805" s="129"/>
    </row>
    <row r="3806" spans="1:19" hidden="1">
      <c r="A3806" s="135" t="s">
        <v>5920</v>
      </c>
      <c r="B3806" s="149" t="str">
        <f>IFERROR(VLOOKUP(Proc[[#This Row],[App]],Table2[],3,0),"open")</f>
        <v>ok</v>
      </c>
      <c r="C3806" s="138" t="s">
        <v>369</v>
      </c>
      <c r="D3806" t="s">
        <v>5935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4894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78</v>
      </c>
      <c r="R3806" s="136" t="s">
        <v>1013</v>
      </c>
      <c r="S3806" s="129"/>
    </row>
    <row r="3807" spans="1:19" hidden="1">
      <c r="A3807" s="135" t="s">
        <v>5920</v>
      </c>
      <c r="B3807" s="149" t="str">
        <f>IFERROR(VLOOKUP(Proc[[#This Row],[App]],Table2[],3,0),"open")</f>
        <v>ok</v>
      </c>
      <c r="C3807" s="138" t="s">
        <v>369</v>
      </c>
      <c r="D3807" t="s">
        <v>5936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4894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78</v>
      </c>
      <c r="R3807" s="136" t="s">
        <v>1013</v>
      </c>
      <c r="S3807" s="129"/>
    </row>
    <row r="3808" spans="1:19" hidden="1">
      <c r="A3808" s="135" t="s">
        <v>5920</v>
      </c>
      <c r="B3808" s="149" t="str">
        <f>IFERROR(VLOOKUP(Proc[[#This Row],[App]],Table2[],3,0),"open")</f>
        <v>ok</v>
      </c>
      <c r="C3808" s="138" t="s">
        <v>369</v>
      </c>
      <c r="D3808" t="s">
        <v>5937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4894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78</v>
      </c>
      <c r="R3808" s="136" t="s">
        <v>1013</v>
      </c>
      <c r="S3808" s="129"/>
    </row>
    <row r="3809" spans="1:19" hidden="1">
      <c r="A3809" s="135" t="s">
        <v>5920</v>
      </c>
      <c r="B3809" s="149" t="str">
        <f>IFERROR(VLOOKUP(Proc[[#This Row],[App]],Table2[],3,0),"open")</f>
        <v>ok</v>
      </c>
      <c r="C3809" s="138" t="s">
        <v>369</v>
      </c>
      <c r="D3809" t="s">
        <v>5938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4894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78</v>
      </c>
      <c r="R3809" s="136" t="s">
        <v>1013</v>
      </c>
      <c r="S3809" s="129"/>
    </row>
    <row r="3810" spans="1:19" hidden="1">
      <c r="A3810" s="135" t="s">
        <v>5920</v>
      </c>
      <c r="B3810" s="149" t="str">
        <f>IFERROR(VLOOKUP(Proc[[#This Row],[App]],Table2[],3,0),"open")</f>
        <v>ok</v>
      </c>
      <c r="C3810" s="138" t="s">
        <v>369</v>
      </c>
      <c r="D3810" t="s">
        <v>5939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4894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78</v>
      </c>
      <c r="R3810" s="136" t="s">
        <v>1013</v>
      </c>
      <c r="S3810" s="129"/>
    </row>
    <row r="3811" spans="1:19" hidden="1">
      <c r="A3811" s="135" t="s">
        <v>5920</v>
      </c>
      <c r="B3811" s="149" t="str">
        <f>IFERROR(VLOOKUP(Proc[[#This Row],[App]],Table2[],3,0),"open")</f>
        <v>ok</v>
      </c>
      <c r="C3811" s="138" t="s">
        <v>369</v>
      </c>
      <c r="D3811" t="s">
        <v>5940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4894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78</v>
      </c>
      <c r="R3811" s="136" t="s">
        <v>1013</v>
      </c>
      <c r="S3811" s="129"/>
    </row>
    <row r="3812" spans="1:19" hidden="1">
      <c r="A3812" s="135" t="s">
        <v>5920</v>
      </c>
      <c r="B3812" s="149" t="str">
        <f>IFERROR(VLOOKUP(Proc[[#This Row],[App]],Table2[],3,0),"open")</f>
        <v>ok</v>
      </c>
      <c r="C3812" s="138" t="s">
        <v>369</v>
      </c>
      <c r="D3812" t="s">
        <v>5941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4894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78</v>
      </c>
      <c r="R3812" s="136" t="s">
        <v>1013</v>
      </c>
      <c r="S3812" s="129"/>
    </row>
    <row r="3813" spans="1:19" hidden="1">
      <c r="A3813" s="135" t="s">
        <v>5920</v>
      </c>
      <c r="B3813" s="149" t="str">
        <f>IFERROR(VLOOKUP(Proc[[#This Row],[App]],Table2[],3,0),"open")</f>
        <v>ok</v>
      </c>
      <c r="C3813" s="138" t="s">
        <v>369</v>
      </c>
      <c r="D3813" t="s">
        <v>5942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4894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78</v>
      </c>
      <c r="R3813" s="136" t="s">
        <v>1013</v>
      </c>
      <c r="S3813" s="129"/>
    </row>
    <row r="3814" spans="1:19" hidden="1">
      <c r="A3814" s="135" t="s">
        <v>5920</v>
      </c>
      <c r="B3814" s="149" t="str">
        <f>IFERROR(VLOOKUP(Proc[[#This Row],[App]],Table2[],3,0),"open")</f>
        <v>ok</v>
      </c>
      <c r="C3814" s="138" t="s">
        <v>369</v>
      </c>
      <c r="D3814" t="s">
        <v>5943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4894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78</v>
      </c>
      <c r="R3814" s="136" t="s">
        <v>1013</v>
      </c>
      <c r="S3814" s="129"/>
    </row>
    <row r="3815" spans="1:19" hidden="1">
      <c r="A3815" s="135" t="s">
        <v>5920</v>
      </c>
      <c r="B3815" s="149" t="str">
        <f>IFERROR(VLOOKUP(Proc[[#This Row],[App]],Table2[],3,0),"open")</f>
        <v>ok</v>
      </c>
      <c r="C3815" s="138" t="s">
        <v>369</v>
      </c>
      <c r="D3815" t="s">
        <v>5944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4894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78</v>
      </c>
      <c r="R3815" s="136" t="s">
        <v>1013</v>
      </c>
      <c r="S3815" s="129"/>
    </row>
    <row r="3816" spans="1:19" hidden="1">
      <c r="A3816" s="135" t="s">
        <v>5920</v>
      </c>
      <c r="B3816" s="149" t="str">
        <f>IFERROR(VLOOKUP(Proc[[#This Row],[App]],Table2[],3,0),"open")</f>
        <v>ok</v>
      </c>
      <c r="C3816" s="138" t="s">
        <v>369</v>
      </c>
      <c r="D3816" t="s">
        <v>5921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4894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78</v>
      </c>
      <c r="R3816" s="136" t="s">
        <v>1013</v>
      </c>
      <c r="S3816" s="129"/>
    </row>
    <row r="3817" spans="1:19" hidden="1">
      <c r="A3817" s="135" t="s">
        <v>5920</v>
      </c>
      <c r="B3817" s="149" t="str">
        <f>IFERROR(VLOOKUP(Proc[[#This Row],[App]],Table2[],3,0),"open")</f>
        <v>ok</v>
      </c>
      <c r="C3817" s="135" t="s">
        <v>369</v>
      </c>
      <c r="D3817" t="s">
        <v>5922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4894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78</v>
      </c>
      <c r="R3817" s="136" t="s">
        <v>1013</v>
      </c>
      <c r="S3817" s="129"/>
    </row>
    <row r="3818" spans="1:19" hidden="1">
      <c r="A3818" s="135" t="s">
        <v>6086</v>
      </c>
      <c r="B3818" s="149" t="str">
        <f>IFERROR(VLOOKUP(Proc[[#This Row],[App]],Table2[],3,0),"open")</f>
        <v>ok</v>
      </c>
      <c r="C3818" s="138" t="s">
        <v>369</v>
      </c>
      <c r="D3818" t="s">
        <v>5945</v>
      </c>
      <c r="E3818" t="s">
        <v>6059</v>
      </c>
      <c r="F3818" s="129" t="s">
        <v>6059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4894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78</v>
      </c>
      <c r="R3818" s="136" t="s">
        <v>6087</v>
      </c>
      <c r="S3818" s="129"/>
    </row>
    <row r="3819" spans="1:19" hidden="1">
      <c r="A3819" s="135" t="s">
        <v>6086</v>
      </c>
      <c r="B3819" s="149" t="str">
        <f>IFERROR(VLOOKUP(Proc[[#This Row],[App]],Table2[],3,0),"open")</f>
        <v>ok</v>
      </c>
      <c r="C3819" s="138" t="s">
        <v>369</v>
      </c>
      <c r="D3819" t="s">
        <v>5946</v>
      </c>
      <c r="E3819" t="s">
        <v>6059</v>
      </c>
      <c r="F3819" s="129" t="s">
        <v>6059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4894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78</v>
      </c>
      <c r="R3819" s="136" t="s">
        <v>6087</v>
      </c>
      <c r="S3819" s="129"/>
    </row>
    <row r="3820" spans="1:19" hidden="1">
      <c r="A3820" s="135" t="s">
        <v>6086</v>
      </c>
      <c r="B3820" s="149" t="str">
        <f>IFERROR(VLOOKUP(Proc[[#This Row],[App]],Table2[],3,0),"open")</f>
        <v>ok</v>
      </c>
      <c r="C3820" s="138" t="s">
        <v>369</v>
      </c>
      <c r="D3820" t="s">
        <v>5947</v>
      </c>
      <c r="E3820" t="s">
        <v>6059</v>
      </c>
      <c r="F3820" s="129" t="s">
        <v>6059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4894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78</v>
      </c>
      <c r="R3820" s="136" t="s">
        <v>6087</v>
      </c>
      <c r="S3820" s="129"/>
    </row>
    <row r="3821" spans="1:19" hidden="1">
      <c r="A3821" s="135" t="s">
        <v>6086</v>
      </c>
      <c r="B3821" s="149" t="str">
        <f>IFERROR(VLOOKUP(Proc[[#This Row],[App]],Table2[],3,0),"open")</f>
        <v>ok</v>
      </c>
      <c r="C3821" s="138" t="s">
        <v>369</v>
      </c>
      <c r="D3821" t="s">
        <v>5948</v>
      </c>
      <c r="E3821" t="s">
        <v>6060</v>
      </c>
      <c r="F3821" s="129" t="s">
        <v>6060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4894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78</v>
      </c>
      <c r="R3821" s="136" t="s">
        <v>6087</v>
      </c>
      <c r="S3821" s="129"/>
    </row>
    <row r="3822" spans="1:19" hidden="1">
      <c r="A3822" s="135" t="s">
        <v>6086</v>
      </c>
      <c r="B3822" s="149" t="str">
        <f>IFERROR(VLOOKUP(Proc[[#This Row],[App]],Table2[],3,0),"open")</f>
        <v>ok</v>
      </c>
      <c r="C3822" s="138" t="s">
        <v>369</v>
      </c>
      <c r="D3822" t="s">
        <v>5949</v>
      </c>
      <c r="E3822" t="s">
        <v>6061</v>
      </c>
      <c r="F3822" s="129" t="s">
        <v>6061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4894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78</v>
      </c>
      <c r="R3822" s="136" t="s">
        <v>6087</v>
      </c>
      <c r="S3822" s="129"/>
    </row>
    <row r="3823" spans="1:19" hidden="1">
      <c r="A3823" s="135" t="s">
        <v>6086</v>
      </c>
      <c r="B3823" s="149" t="str">
        <f>IFERROR(VLOOKUP(Proc[[#This Row],[App]],Table2[],3,0),"open")</f>
        <v>ok</v>
      </c>
      <c r="C3823" s="138" t="s">
        <v>369</v>
      </c>
      <c r="D3823" t="s">
        <v>5950</v>
      </c>
      <c r="E3823" t="s">
        <v>6061</v>
      </c>
      <c r="F3823" s="129" t="s">
        <v>6061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4894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78</v>
      </c>
      <c r="R3823" s="136" t="s">
        <v>6087</v>
      </c>
      <c r="S3823" s="129"/>
    </row>
    <row r="3824" spans="1:19" hidden="1">
      <c r="A3824" s="135" t="s">
        <v>6086</v>
      </c>
      <c r="B3824" s="149" t="str">
        <f>IFERROR(VLOOKUP(Proc[[#This Row],[App]],Table2[],3,0),"open")</f>
        <v>ok</v>
      </c>
      <c r="C3824" s="138" t="s">
        <v>369</v>
      </c>
      <c r="D3824" t="s">
        <v>5951</v>
      </c>
      <c r="E3824" t="s">
        <v>6062</v>
      </c>
      <c r="F3824" s="129" t="s">
        <v>6062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4894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78</v>
      </c>
      <c r="R3824" s="136" t="s">
        <v>6087</v>
      </c>
      <c r="S3824" s="129"/>
    </row>
    <row r="3825" spans="1:19" hidden="1">
      <c r="A3825" s="135" t="s">
        <v>6086</v>
      </c>
      <c r="B3825" s="149" t="str">
        <f>IFERROR(VLOOKUP(Proc[[#This Row],[App]],Table2[],3,0),"open")</f>
        <v>ok</v>
      </c>
      <c r="C3825" s="138" t="s">
        <v>369</v>
      </c>
      <c r="D3825" t="s">
        <v>5952</v>
      </c>
      <c r="E3825" t="s">
        <v>6062</v>
      </c>
      <c r="F3825" s="129" t="s">
        <v>6062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4894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78</v>
      </c>
      <c r="R3825" s="136" t="s">
        <v>6087</v>
      </c>
      <c r="S3825" s="129"/>
    </row>
    <row r="3826" spans="1:19" hidden="1">
      <c r="A3826" s="135" t="s">
        <v>6086</v>
      </c>
      <c r="B3826" s="149" t="str">
        <f>IFERROR(VLOOKUP(Proc[[#This Row],[App]],Table2[],3,0),"open")</f>
        <v>ok</v>
      </c>
      <c r="C3826" s="144" t="s">
        <v>369</v>
      </c>
      <c r="D3826" t="s">
        <v>5953</v>
      </c>
      <c r="E3826" t="s">
        <v>6063</v>
      </c>
      <c r="F3826" s="150" t="s">
        <v>6063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4894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78</v>
      </c>
      <c r="R3826" s="136" t="s">
        <v>6087</v>
      </c>
      <c r="S3826" s="129"/>
    </row>
    <row r="3827" spans="1:19" hidden="1">
      <c r="A3827" s="135" t="s">
        <v>6086</v>
      </c>
      <c r="B3827" s="149" t="str">
        <f>IFERROR(VLOOKUP(Proc[[#This Row],[App]],Table2[],3,0),"open")</f>
        <v>ok</v>
      </c>
      <c r="C3827" s="138" t="s">
        <v>369</v>
      </c>
      <c r="D3827" t="s">
        <v>5954</v>
      </c>
      <c r="E3827" t="s">
        <v>6064</v>
      </c>
      <c r="F3827" s="138" t="s">
        <v>6064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4894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78</v>
      </c>
      <c r="R3827" s="136" t="s">
        <v>6087</v>
      </c>
      <c r="S3827" s="129"/>
    </row>
    <row r="3828" spans="1:19" hidden="1">
      <c r="A3828" s="135" t="s">
        <v>6086</v>
      </c>
      <c r="B3828" s="149" t="str">
        <f>IFERROR(VLOOKUP(Proc[[#This Row],[App]],Table2[],3,0),"open")</f>
        <v>ok</v>
      </c>
      <c r="C3828" s="138" t="s">
        <v>369</v>
      </c>
      <c r="D3828" t="s">
        <v>5955</v>
      </c>
      <c r="E3828" t="s">
        <v>6065</v>
      </c>
      <c r="F3828" s="129" t="s">
        <v>6065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4894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78</v>
      </c>
      <c r="R3828" s="136" t="s">
        <v>6087</v>
      </c>
      <c r="S3828" s="129"/>
    </row>
    <row r="3829" spans="1:19" hidden="1">
      <c r="A3829" s="135" t="s">
        <v>6086</v>
      </c>
      <c r="B3829" s="149" t="str">
        <f>IFERROR(VLOOKUP(Proc[[#This Row],[App]],Table2[],3,0),"open")</f>
        <v>ok</v>
      </c>
      <c r="C3829" s="138" t="s">
        <v>369</v>
      </c>
      <c r="D3829" t="s">
        <v>5956</v>
      </c>
      <c r="E3829" t="s">
        <v>6062</v>
      </c>
      <c r="F3829" s="129" t="s">
        <v>6062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4894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78</v>
      </c>
      <c r="R3829" s="136" t="s">
        <v>6087</v>
      </c>
      <c r="S3829" s="129"/>
    </row>
    <row r="3830" spans="1:19" hidden="1">
      <c r="A3830" s="135" t="s">
        <v>6086</v>
      </c>
      <c r="B3830" s="149" t="str">
        <f>IFERROR(VLOOKUP(Proc[[#This Row],[App]],Table2[],3,0),"open")</f>
        <v>ok</v>
      </c>
      <c r="C3830" s="138" t="s">
        <v>369</v>
      </c>
      <c r="D3830" t="s">
        <v>5957</v>
      </c>
      <c r="E3830" t="s">
        <v>6066</v>
      </c>
      <c r="F3830" s="129" t="s">
        <v>6066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4894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78</v>
      </c>
      <c r="R3830" s="136" t="s">
        <v>6087</v>
      </c>
      <c r="S3830" s="129"/>
    </row>
    <row r="3831" spans="1:19" hidden="1">
      <c r="A3831" s="135" t="s">
        <v>6086</v>
      </c>
      <c r="B3831" s="149" t="str">
        <f>IFERROR(VLOOKUP(Proc[[#This Row],[App]],Table2[],3,0),"open")</f>
        <v>ok</v>
      </c>
      <c r="C3831" s="138" t="s">
        <v>369</v>
      </c>
      <c r="D3831" t="s">
        <v>5958</v>
      </c>
      <c r="E3831" t="s">
        <v>6066</v>
      </c>
      <c r="F3831" s="129" t="s">
        <v>6066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4894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78</v>
      </c>
      <c r="R3831" s="136" t="s">
        <v>6087</v>
      </c>
      <c r="S3831" s="129"/>
    </row>
    <row r="3832" spans="1:19" hidden="1">
      <c r="A3832" s="135" t="s">
        <v>6086</v>
      </c>
      <c r="B3832" s="149" t="str">
        <f>IFERROR(VLOOKUP(Proc[[#This Row],[App]],Table2[],3,0),"open")</f>
        <v>ok</v>
      </c>
      <c r="C3832" s="138" t="s">
        <v>369</v>
      </c>
      <c r="D3832" t="s">
        <v>5959</v>
      </c>
      <c r="E3832" t="s">
        <v>6066</v>
      </c>
      <c r="F3832" s="129" t="s">
        <v>6066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4894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78</v>
      </c>
      <c r="R3832" s="136" t="s">
        <v>6087</v>
      </c>
      <c r="S3832" s="129"/>
    </row>
    <row r="3833" spans="1:19" hidden="1">
      <c r="A3833" s="135" t="s">
        <v>6086</v>
      </c>
      <c r="B3833" s="149" t="str">
        <f>IFERROR(VLOOKUP(Proc[[#This Row],[App]],Table2[],3,0),"open")</f>
        <v>ok</v>
      </c>
      <c r="C3833" s="138" t="s">
        <v>369</v>
      </c>
      <c r="D3833" t="s">
        <v>5960</v>
      </c>
      <c r="E3833" t="s">
        <v>6066</v>
      </c>
      <c r="F3833" s="129" t="s">
        <v>6066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4894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78</v>
      </c>
      <c r="R3833" s="136" t="s">
        <v>6087</v>
      </c>
      <c r="S3833" s="129"/>
    </row>
    <row r="3834" spans="1:19" hidden="1">
      <c r="A3834" s="135" t="s">
        <v>6086</v>
      </c>
      <c r="B3834" s="149" t="str">
        <f>IFERROR(VLOOKUP(Proc[[#This Row],[App]],Table2[],3,0),"open")</f>
        <v>ok</v>
      </c>
      <c r="C3834" s="138" t="s">
        <v>369</v>
      </c>
      <c r="D3834" t="s">
        <v>5961</v>
      </c>
      <c r="E3834" t="s">
        <v>6067</v>
      </c>
      <c r="F3834" s="129" t="s">
        <v>6067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4894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78</v>
      </c>
      <c r="R3834" s="136" t="s">
        <v>6087</v>
      </c>
      <c r="S3834" s="129"/>
    </row>
    <row r="3835" spans="1:19" hidden="1">
      <c r="A3835" s="135" t="s">
        <v>6086</v>
      </c>
      <c r="B3835" s="149" t="str">
        <f>IFERROR(VLOOKUP(Proc[[#This Row],[App]],Table2[],3,0),"open")</f>
        <v>ok</v>
      </c>
      <c r="C3835" s="138" t="s">
        <v>369</v>
      </c>
      <c r="D3835" t="s">
        <v>5962</v>
      </c>
      <c r="E3835" t="s">
        <v>6068</v>
      </c>
      <c r="F3835" s="129" t="s">
        <v>6068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4894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78</v>
      </c>
      <c r="R3835" s="136" t="s">
        <v>6087</v>
      </c>
      <c r="S3835" s="129"/>
    </row>
    <row r="3836" spans="1:19" hidden="1">
      <c r="A3836" s="135" t="s">
        <v>6086</v>
      </c>
      <c r="B3836" s="149" t="str">
        <f>IFERROR(VLOOKUP(Proc[[#This Row],[App]],Table2[],3,0),"open")</f>
        <v>ok</v>
      </c>
      <c r="C3836" s="138" t="s">
        <v>369</v>
      </c>
      <c r="D3836" t="s">
        <v>5963</v>
      </c>
      <c r="E3836" t="s">
        <v>6067</v>
      </c>
      <c r="F3836" s="129" t="s">
        <v>6067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4894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78</v>
      </c>
      <c r="R3836" s="136" t="s">
        <v>6087</v>
      </c>
      <c r="S3836" s="129"/>
    </row>
    <row r="3837" spans="1:19" hidden="1">
      <c r="A3837" s="135" t="s">
        <v>6086</v>
      </c>
      <c r="B3837" s="149" t="str">
        <f>IFERROR(VLOOKUP(Proc[[#This Row],[App]],Table2[],3,0),"open")</f>
        <v>ok</v>
      </c>
      <c r="C3837" s="138" t="s">
        <v>369</v>
      </c>
      <c r="D3837" t="s">
        <v>5964</v>
      </c>
      <c r="E3837" t="s">
        <v>6067</v>
      </c>
      <c r="F3837" s="129" t="s">
        <v>6067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4894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78</v>
      </c>
      <c r="R3837" s="136" t="s">
        <v>6087</v>
      </c>
      <c r="S3837" s="129"/>
    </row>
    <row r="3838" spans="1:19" hidden="1">
      <c r="A3838" s="135" t="s">
        <v>6086</v>
      </c>
      <c r="B3838" s="149" t="str">
        <f>IFERROR(VLOOKUP(Proc[[#This Row],[App]],Table2[],3,0),"open")</f>
        <v>ok</v>
      </c>
      <c r="C3838" s="138" t="s">
        <v>369</v>
      </c>
      <c r="D3838" t="s">
        <v>5965</v>
      </c>
      <c r="E3838" t="s">
        <v>6069</v>
      </c>
      <c r="F3838" s="129" t="s">
        <v>6069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4894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78</v>
      </c>
      <c r="R3838" s="136" t="s">
        <v>6087</v>
      </c>
      <c r="S3838" s="129"/>
    </row>
    <row r="3839" spans="1:19" hidden="1">
      <c r="A3839" s="135" t="s">
        <v>6086</v>
      </c>
      <c r="B3839" s="149" t="str">
        <f>IFERROR(VLOOKUP(Proc[[#This Row],[App]],Table2[],3,0),"open")</f>
        <v>ok</v>
      </c>
      <c r="C3839" s="138" t="s">
        <v>369</v>
      </c>
      <c r="D3839" t="s">
        <v>5966</v>
      </c>
      <c r="E3839" t="s">
        <v>6069</v>
      </c>
      <c r="F3839" s="129" t="s">
        <v>6069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4894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78</v>
      </c>
      <c r="R3839" s="136" t="s">
        <v>6087</v>
      </c>
      <c r="S3839" s="129"/>
    </row>
    <row r="3840" spans="1:19" hidden="1">
      <c r="A3840" s="135" t="s">
        <v>6086</v>
      </c>
      <c r="B3840" s="149" t="str">
        <f>IFERROR(VLOOKUP(Proc[[#This Row],[App]],Table2[],3,0),"open")</f>
        <v>ok</v>
      </c>
      <c r="C3840" s="138" t="s">
        <v>369</v>
      </c>
      <c r="D3840" t="s">
        <v>5967</v>
      </c>
      <c r="E3840" t="s">
        <v>6066</v>
      </c>
      <c r="F3840" s="129" t="s">
        <v>6066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4894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78</v>
      </c>
      <c r="R3840" s="136" t="s">
        <v>6087</v>
      </c>
      <c r="S3840" s="129"/>
    </row>
    <row r="3841" spans="1:19" hidden="1">
      <c r="A3841" s="135" t="s">
        <v>6086</v>
      </c>
      <c r="B3841" s="149" t="str">
        <f>IFERROR(VLOOKUP(Proc[[#This Row],[App]],Table2[],3,0),"open")</f>
        <v>ok</v>
      </c>
      <c r="C3841" s="138" t="s">
        <v>369</v>
      </c>
      <c r="D3841" t="s">
        <v>5968</v>
      </c>
      <c r="E3841" t="s">
        <v>6070</v>
      </c>
      <c r="F3841" s="129" t="s">
        <v>6070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4894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78</v>
      </c>
      <c r="R3841" s="136" t="s">
        <v>6087</v>
      </c>
      <c r="S3841" s="129"/>
    </row>
    <row r="3842" spans="1:19" hidden="1">
      <c r="A3842" s="135" t="s">
        <v>6086</v>
      </c>
      <c r="B3842" s="149" t="str">
        <f>IFERROR(VLOOKUP(Proc[[#This Row],[App]],Table2[],3,0),"open")</f>
        <v>ok</v>
      </c>
      <c r="C3842" s="138" t="s">
        <v>369</v>
      </c>
      <c r="D3842" t="s">
        <v>5969</v>
      </c>
      <c r="E3842" t="s">
        <v>6070</v>
      </c>
      <c r="F3842" s="129" t="s">
        <v>6070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4894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78</v>
      </c>
      <c r="R3842" s="136" t="s">
        <v>6087</v>
      </c>
      <c r="S3842" s="129"/>
    </row>
    <row r="3843" spans="1:19" hidden="1">
      <c r="A3843" s="135" t="s">
        <v>6086</v>
      </c>
      <c r="B3843" s="149" t="str">
        <f>IFERROR(VLOOKUP(Proc[[#This Row],[App]],Table2[],3,0),"open")</f>
        <v>ok</v>
      </c>
      <c r="C3843" s="138" t="s">
        <v>369</v>
      </c>
      <c r="D3843" t="s">
        <v>5970</v>
      </c>
      <c r="E3843" t="s">
        <v>6059</v>
      </c>
      <c r="F3843" s="129" t="s">
        <v>6059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4894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78</v>
      </c>
      <c r="R3843" s="136" t="s">
        <v>6087</v>
      </c>
      <c r="S3843" s="129"/>
    </row>
    <row r="3844" spans="1:19" hidden="1">
      <c r="A3844" s="135" t="s">
        <v>6086</v>
      </c>
      <c r="B3844" s="149" t="str">
        <f>IFERROR(VLOOKUP(Proc[[#This Row],[App]],Table2[],3,0),"open")</f>
        <v>ok</v>
      </c>
      <c r="C3844" s="138" t="s">
        <v>369</v>
      </c>
      <c r="D3844" t="s">
        <v>5971</v>
      </c>
      <c r="E3844" t="s">
        <v>6059</v>
      </c>
      <c r="F3844" s="129" t="s">
        <v>6059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4894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78</v>
      </c>
      <c r="R3844" s="136" t="s">
        <v>6087</v>
      </c>
      <c r="S3844" s="129"/>
    </row>
    <row r="3845" spans="1:19" hidden="1">
      <c r="A3845" s="135" t="s">
        <v>6086</v>
      </c>
      <c r="B3845" s="149" t="str">
        <f>IFERROR(VLOOKUP(Proc[[#This Row],[App]],Table2[],3,0),"open")</f>
        <v>ok</v>
      </c>
      <c r="C3845" s="138" t="s">
        <v>369</v>
      </c>
      <c r="D3845" t="s">
        <v>5972</v>
      </c>
      <c r="E3845" t="s">
        <v>6059</v>
      </c>
      <c r="F3845" s="129" t="s">
        <v>6059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4894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78</v>
      </c>
      <c r="R3845" s="136" t="s">
        <v>6087</v>
      </c>
      <c r="S3845" s="129"/>
    </row>
    <row r="3846" spans="1:19" hidden="1">
      <c r="A3846" s="135" t="s">
        <v>6086</v>
      </c>
      <c r="B3846" s="149" t="str">
        <f>IFERROR(VLOOKUP(Proc[[#This Row],[App]],Table2[],3,0),"open")</f>
        <v>ok</v>
      </c>
      <c r="C3846" s="138" t="s">
        <v>369</v>
      </c>
      <c r="D3846" t="s">
        <v>5973</v>
      </c>
      <c r="E3846" t="s">
        <v>6067</v>
      </c>
      <c r="F3846" s="129" t="s">
        <v>6067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4894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78</v>
      </c>
      <c r="R3846" s="136" t="s">
        <v>6087</v>
      </c>
      <c r="S3846" s="129"/>
    </row>
    <row r="3847" spans="1:19" hidden="1">
      <c r="A3847" s="135" t="s">
        <v>6086</v>
      </c>
      <c r="B3847" s="149" t="str">
        <f>IFERROR(VLOOKUP(Proc[[#This Row],[App]],Table2[],3,0),"open")</f>
        <v>ok</v>
      </c>
      <c r="C3847" s="138" t="s">
        <v>369</v>
      </c>
      <c r="D3847" t="s">
        <v>5974</v>
      </c>
      <c r="E3847" t="s">
        <v>6059</v>
      </c>
      <c r="F3847" s="129" t="s">
        <v>6059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4894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78</v>
      </c>
      <c r="R3847" s="136" t="s">
        <v>6087</v>
      </c>
      <c r="S3847" s="129"/>
    </row>
    <row r="3848" spans="1:19" hidden="1">
      <c r="A3848" s="135" t="s">
        <v>6086</v>
      </c>
      <c r="B3848" s="149" t="str">
        <f>IFERROR(VLOOKUP(Proc[[#This Row],[App]],Table2[],3,0),"open")</f>
        <v>ok</v>
      </c>
      <c r="C3848" s="138" t="s">
        <v>369</v>
      </c>
      <c r="D3848" t="s">
        <v>5975</v>
      </c>
      <c r="E3848" t="s">
        <v>6059</v>
      </c>
      <c r="F3848" s="129" t="s">
        <v>6059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4894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78</v>
      </c>
      <c r="R3848" s="136" t="s">
        <v>6087</v>
      </c>
      <c r="S3848" s="129"/>
    </row>
    <row r="3849" spans="1:19" hidden="1">
      <c r="A3849" s="135" t="s">
        <v>6086</v>
      </c>
      <c r="B3849" s="149" t="str">
        <f>IFERROR(VLOOKUP(Proc[[#This Row],[App]],Table2[],3,0),"open")</f>
        <v>ok</v>
      </c>
      <c r="C3849" s="138" t="s">
        <v>369</v>
      </c>
      <c r="D3849" t="s">
        <v>5976</v>
      </c>
      <c r="E3849" t="s">
        <v>6059</v>
      </c>
      <c r="F3849" s="129" t="s">
        <v>6059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4894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78</v>
      </c>
      <c r="R3849" s="136" t="s">
        <v>6087</v>
      </c>
      <c r="S3849" s="129"/>
    </row>
    <row r="3850" spans="1:19" hidden="1">
      <c r="A3850" s="135" t="s">
        <v>6086</v>
      </c>
      <c r="B3850" s="149" t="str">
        <f>IFERROR(VLOOKUP(Proc[[#This Row],[App]],Table2[],3,0),"open")</f>
        <v>ok</v>
      </c>
      <c r="C3850" s="138" t="s">
        <v>369</v>
      </c>
      <c r="D3850" t="s">
        <v>5977</v>
      </c>
      <c r="E3850" t="s">
        <v>6071</v>
      </c>
      <c r="F3850" s="129" t="s">
        <v>6071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4894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78</v>
      </c>
      <c r="R3850" s="136" t="s">
        <v>6087</v>
      </c>
      <c r="S3850" s="129"/>
    </row>
    <row r="3851" spans="1:19" hidden="1">
      <c r="A3851" s="135" t="s">
        <v>6086</v>
      </c>
      <c r="B3851" s="149" t="str">
        <f>IFERROR(VLOOKUP(Proc[[#This Row],[App]],Table2[],3,0),"open")</f>
        <v>ok</v>
      </c>
      <c r="C3851" s="138" t="s">
        <v>369</v>
      </c>
      <c r="D3851" t="s">
        <v>5978</v>
      </c>
      <c r="E3851" t="s">
        <v>6071</v>
      </c>
      <c r="F3851" s="129" t="s">
        <v>6071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4894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78</v>
      </c>
      <c r="R3851" s="136" t="s">
        <v>6087</v>
      </c>
      <c r="S3851" s="129"/>
    </row>
    <row r="3852" spans="1:19" hidden="1">
      <c r="A3852" s="135" t="s">
        <v>6086</v>
      </c>
      <c r="B3852" s="149" t="str">
        <f>IFERROR(VLOOKUP(Proc[[#This Row],[App]],Table2[],3,0),"open")</f>
        <v>ok</v>
      </c>
      <c r="C3852" s="138" t="s">
        <v>369</v>
      </c>
      <c r="D3852" t="s">
        <v>5979</v>
      </c>
      <c r="E3852" t="s">
        <v>6067</v>
      </c>
      <c r="F3852" s="129" t="s">
        <v>6067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4894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78</v>
      </c>
      <c r="R3852" s="136" t="s">
        <v>6087</v>
      </c>
      <c r="S3852" s="129"/>
    </row>
    <row r="3853" spans="1:19" hidden="1">
      <c r="A3853" s="135" t="s">
        <v>6086</v>
      </c>
      <c r="B3853" s="149" t="str">
        <f>IFERROR(VLOOKUP(Proc[[#This Row],[App]],Table2[],3,0),"open")</f>
        <v>ok</v>
      </c>
      <c r="C3853" s="138" t="s">
        <v>369</v>
      </c>
      <c r="D3853" t="s">
        <v>5980</v>
      </c>
      <c r="E3853" t="s">
        <v>6072</v>
      </c>
      <c r="F3853" s="129" t="s">
        <v>6072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4894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78</v>
      </c>
      <c r="R3853" s="136" t="s">
        <v>6087</v>
      </c>
      <c r="S3853" s="129"/>
    </row>
    <row r="3854" spans="1:19" hidden="1">
      <c r="A3854" s="135" t="s">
        <v>6086</v>
      </c>
      <c r="B3854" s="149" t="str">
        <f>IFERROR(VLOOKUP(Proc[[#This Row],[App]],Table2[],3,0),"open")</f>
        <v>ok</v>
      </c>
      <c r="C3854" s="138" t="s">
        <v>369</v>
      </c>
      <c r="D3854" t="s">
        <v>5981</v>
      </c>
      <c r="E3854" t="s">
        <v>6066</v>
      </c>
      <c r="F3854" s="129" t="s">
        <v>6066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4894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78</v>
      </c>
      <c r="R3854" s="136" t="s">
        <v>6087</v>
      </c>
      <c r="S3854" s="129"/>
    </row>
    <row r="3855" spans="1:19" hidden="1">
      <c r="A3855" s="135" t="s">
        <v>6086</v>
      </c>
      <c r="B3855" s="149" t="str">
        <f>IFERROR(VLOOKUP(Proc[[#This Row],[App]],Table2[],3,0),"open")</f>
        <v>ok</v>
      </c>
      <c r="C3855" s="138" t="s">
        <v>369</v>
      </c>
      <c r="D3855" t="s">
        <v>5982</v>
      </c>
      <c r="E3855" t="s">
        <v>6067</v>
      </c>
      <c r="F3855" s="129" t="s">
        <v>6067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4894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78</v>
      </c>
      <c r="R3855" s="136" t="s">
        <v>6087</v>
      </c>
      <c r="S3855" s="129"/>
    </row>
    <row r="3856" spans="1:19" hidden="1">
      <c r="A3856" s="135" t="s">
        <v>6086</v>
      </c>
      <c r="B3856" s="149" t="str">
        <f>IFERROR(VLOOKUP(Proc[[#This Row],[App]],Table2[],3,0),"open")</f>
        <v>ok</v>
      </c>
      <c r="C3856" s="138" t="s">
        <v>369</v>
      </c>
      <c r="D3856" t="s">
        <v>5983</v>
      </c>
      <c r="E3856" t="s">
        <v>6067</v>
      </c>
      <c r="F3856" s="129" t="s">
        <v>6067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4894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78</v>
      </c>
      <c r="R3856" s="136" t="s">
        <v>6087</v>
      </c>
      <c r="S3856" s="129"/>
    </row>
    <row r="3857" spans="1:19" hidden="1">
      <c r="A3857" s="135" t="s">
        <v>6086</v>
      </c>
      <c r="B3857" s="149" t="str">
        <f>IFERROR(VLOOKUP(Proc[[#This Row],[App]],Table2[],3,0),"open")</f>
        <v>ok</v>
      </c>
      <c r="C3857" s="138" t="s">
        <v>369</v>
      </c>
      <c r="D3857" t="s">
        <v>5984</v>
      </c>
      <c r="E3857" t="s">
        <v>6067</v>
      </c>
      <c r="F3857" s="129" t="s">
        <v>6067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4894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78</v>
      </c>
      <c r="R3857" s="136" t="s">
        <v>6087</v>
      </c>
      <c r="S3857" s="129"/>
    </row>
    <row r="3858" spans="1:19" hidden="1">
      <c r="A3858" s="135" t="s">
        <v>6086</v>
      </c>
      <c r="B3858" s="149" t="str">
        <f>IFERROR(VLOOKUP(Proc[[#This Row],[App]],Table2[],3,0),"open")</f>
        <v>ok</v>
      </c>
      <c r="C3858" s="138" t="s">
        <v>369</v>
      </c>
      <c r="D3858" t="s">
        <v>5985</v>
      </c>
      <c r="E3858" t="s">
        <v>6067</v>
      </c>
      <c r="F3858" s="129" t="s">
        <v>6067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4894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78</v>
      </c>
      <c r="R3858" s="136" t="s">
        <v>6087</v>
      </c>
      <c r="S3858" s="129"/>
    </row>
    <row r="3859" spans="1:19" hidden="1">
      <c r="A3859" s="135" t="s">
        <v>6086</v>
      </c>
      <c r="B3859" s="149" t="str">
        <f>IFERROR(VLOOKUP(Proc[[#This Row],[App]],Table2[],3,0),"open")</f>
        <v>ok</v>
      </c>
      <c r="C3859" s="138" t="s">
        <v>369</v>
      </c>
      <c r="D3859" t="s">
        <v>5986</v>
      </c>
      <c r="E3859" t="s">
        <v>6067</v>
      </c>
      <c r="F3859" s="129" t="s">
        <v>6067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4894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78</v>
      </c>
      <c r="R3859" s="136" t="s">
        <v>6087</v>
      </c>
      <c r="S3859" s="129"/>
    </row>
    <row r="3860" spans="1:19" hidden="1">
      <c r="A3860" s="135" t="s">
        <v>6086</v>
      </c>
      <c r="B3860" s="149" t="str">
        <f>IFERROR(VLOOKUP(Proc[[#This Row],[App]],Table2[],3,0),"open")</f>
        <v>ok</v>
      </c>
      <c r="C3860" s="138" t="s">
        <v>369</v>
      </c>
      <c r="D3860" t="s">
        <v>5987</v>
      </c>
      <c r="E3860" t="s">
        <v>6067</v>
      </c>
      <c r="F3860" s="129" t="s">
        <v>6067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4894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78</v>
      </c>
      <c r="R3860" s="136" t="s">
        <v>6087</v>
      </c>
      <c r="S3860" s="129"/>
    </row>
    <row r="3861" spans="1:19" hidden="1">
      <c r="A3861" s="135" t="s">
        <v>6086</v>
      </c>
      <c r="B3861" s="149" t="str">
        <f>IFERROR(VLOOKUP(Proc[[#This Row],[App]],Table2[],3,0),"open")</f>
        <v>ok</v>
      </c>
      <c r="C3861" s="138" t="s">
        <v>369</v>
      </c>
      <c r="D3861" t="s">
        <v>5988</v>
      </c>
      <c r="E3861" t="s">
        <v>6069</v>
      </c>
      <c r="F3861" s="129" t="s">
        <v>6069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4894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78</v>
      </c>
      <c r="R3861" s="136" t="s">
        <v>6087</v>
      </c>
      <c r="S3861" s="129"/>
    </row>
    <row r="3862" spans="1:19" hidden="1">
      <c r="A3862" s="135" t="s">
        <v>6086</v>
      </c>
      <c r="B3862" s="149" t="str">
        <f>IFERROR(VLOOKUP(Proc[[#This Row],[App]],Table2[],3,0),"open")</f>
        <v>ok</v>
      </c>
      <c r="C3862" s="138" t="s">
        <v>369</v>
      </c>
      <c r="D3862" t="s">
        <v>5989</v>
      </c>
      <c r="E3862" t="s">
        <v>6067</v>
      </c>
      <c r="F3862" s="129" t="s">
        <v>6067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4894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78</v>
      </c>
      <c r="R3862" s="136" t="s">
        <v>6087</v>
      </c>
      <c r="S3862" s="129"/>
    </row>
    <row r="3863" spans="1:19" hidden="1">
      <c r="A3863" s="135" t="s">
        <v>6086</v>
      </c>
      <c r="B3863" s="149" t="str">
        <f>IFERROR(VLOOKUP(Proc[[#This Row],[App]],Table2[],3,0),"open")</f>
        <v>ok</v>
      </c>
      <c r="C3863" s="138" t="s">
        <v>369</v>
      </c>
      <c r="D3863" t="s">
        <v>5990</v>
      </c>
      <c r="E3863" t="s">
        <v>6067</v>
      </c>
      <c r="F3863" s="129" t="s">
        <v>6067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4894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78</v>
      </c>
      <c r="R3863" s="136" t="s">
        <v>6087</v>
      </c>
      <c r="S3863" s="129"/>
    </row>
    <row r="3864" spans="1:19" hidden="1">
      <c r="A3864" s="135" t="s">
        <v>6086</v>
      </c>
      <c r="B3864" s="149" t="str">
        <f>IFERROR(VLOOKUP(Proc[[#This Row],[App]],Table2[],3,0),"open")</f>
        <v>ok</v>
      </c>
      <c r="C3864" s="138" t="s">
        <v>369</v>
      </c>
      <c r="D3864" t="s">
        <v>5991</v>
      </c>
      <c r="E3864" t="s">
        <v>6067</v>
      </c>
      <c r="F3864" s="129" t="s">
        <v>6067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4894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78</v>
      </c>
      <c r="R3864" s="136" t="s">
        <v>6087</v>
      </c>
      <c r="S3864" s="129"/>
    </row>
    <row r="3865" spans="1:19" hidden="1">
      <c r="A3865" s="135" t="s">
        <v>6086</v>
      </c>
      <c r="B3865" s="149" t="str">
        <f>IFERROR(VLOOKUP(Proc[[#This Row],[App]],Table2[],3,0),"open")</f>
        <v>ok</v>
      </c>
      <c r="C3865" s="138" t="s">
        <v>369</v>
      </c>
      <c r="D3865" t="s">
        <v>5992</v>
      </c>
      <c r="E3865" t="s">
        <v>6067</v>
      </c>
      <c r="F3865" s="129" t="s">
        <v>6067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4894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78</v>
      </c>
      <c r="R3865" s="136" t="s">
        <v>6087</v>
      </c>
      <c r="S3865" s="129"/>
    </row>
    <row r="3866" spans="1:19" hidden="1">
      <c r="A3866" s="135" t="s">
        <v>6086</v>
      </c>
      <c r="B3866" s="149" t="str">
        <f>IFERROR(VLOOKUP(Proc[[#This Row],[App]],Table2[],3,0),"open")</f>
        <v>ok</v>
      </c>
      <c r="C3866" s="138" t="s">
        <v>369</v>
      </c>
      <c r="D3866" t="s">
        <v>5993</v>
      </c>
      <c r="E3866" t="s">
        <v>6067</v>
      </c>
      <c r="F3866" s="129" t="s">
        <v>6067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4894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78</v>
      </c>
      <c r="R3866" s="136" t="s">
        <v>6087</v>
      </c>
      <c r="S3866" s="129"/>
    </row>
    <row r="3867" spans="1:19" hidden="1">
      <c r="A3867" s="135" t="s">
        <v>6086</v>
      </c>
      <c r="B3867" s="149" t="str">
        <f>IFERROR(VLOOKUP(Proc[[#This Row],[App]],Table2[],3,0),"open")</f>
        <v>ok</v>
      </c>
      <c r="C3867" s="138" t="s">
        <v>369</v>
      </c>
      <c r="D3867" t="s">
        <v>5994</v>
      </c>
      <c r="E3867" t="s">
        <v>6066</v>
      </c>
      <c r="F3867" s="129" t="s">
        <v>6066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4894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78</v>
      </c>
      <c r="R3867" s="136" t="s">
        <v>6087</v>
      </c>
      <c r="S3867" s="129"/>
    </row>
    <row r="3868" spans="1:19" hidden="1">
      <c r="A3868" s="135" t="s">
        <v>6086</v>
      </c>
      <c r="B3868" s="149" t="str">
        <f>IFERROR(VLOOKUP(Proc[[#This Row],[App]],Table2[],3,0),"open")</f>
        <v>ok</v>
      </c>
      <c r="C3868" s="138" t="s">
        <v>369</v>
      </c>
      <c r="D3868" t="s">
        <v>5995</v>
      </c>
      <c r="E3868" t="s">
        <v>6066</v>
      </c>
      <c r="F3868" s="129" t="s">
        <v>6066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4894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78</v>
      </c>
      <c r="R3868" s="136" t="s">
        <v>6087</v>
      </c>
      <c r="S3868" s="129"/>
    </row>
    <row r="3869" spans="1:19" hidden="1">
      <c r="A3869" s="135" t="s">
        <v>6086</v>
      </c>
      <c r="B3869" s="149" t="str">
        <f>IFERROR(VLOOKUP(Proc[[#This Row],[App]],Table2[],3,0),"open")</f>
        <v>ok</v>
      </c>
      <c r="C3869" s="138" t="s">
        <v>369</v>
      </c>
      <c r="D3869" t="s">
        <v>5996</v>
      </c>
      <c r="E3869" t="s">
        <v>6066</v>
      </c>
      <c r="F3869" s="129" t="s">
        <v>6066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4894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78</v>
      </c>
      <c r="R3869" s="136" t="s">
        <v>6087</v>
      </c>
      <c r="S3869" s="129"/>
    </row>
    <row r="3870" spans="1:19" hidden="1">
      <c r="A3870" s="135" t="s">
        <v>6086</v>
      </c>
      <c r="B3870" s="149" t="str">
        <f>IFERROR(VLOOKUP(Proc[[#This Row],[App]],Table2[],3,0),"open")</f>
        <v>ok</v>
      </c>
      <c r="C3870" s="138" t="s">
        <v>369</v>
      </c>
      <c r="D3870" t="s">
        <v>5997</v>
      </c>
      <c r="E3870" t="s">
        <v>6066</v>
      </c>
      <c r="F3870" s="129" t="s">
        <v>6066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4894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78</v>
      </c>
      <c r="R3870" s="136" t="s">
        <v>6087</v>
      </c>
      <c r="S3870" s="129"/>
    </row>
    <row r="3871" spans="1:19" hidden="1">
      <c r="A3871" s="135" t="s">
        <v>6086</v>
      </c>
      <c r="B3871" s="149" t="str">
        <f>IFERROR(VLOOKUP(Proc[[#This Row],[App]],Table2[],3,0),"open")</f>
        <v>ok</v>
      </c>
      <c r="C3871" s="138" t="s">
        <v>369</v>
      </c>
      <c r="D3871" t="s">
        <v>5998</v>
      </c>
      <c r="E3871" t="s">
        <v>6066</v>
      </c>
      <c r="F3871" s="129" t="s">
        <v>6066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4894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78</v>
      </c>
      <c r="R3871" s="136" t="s">
        <v>6087</v>
      </c>
      <c r="S3871" s="129"/>
    </row>
    <row r="3872" spans="1:19" hidden="1">
      <c r="A3872" s="135" t="s">
        <v>6086</v>
      </c>
      <c r="B3872" s="149" t="str">
        <f>IFERROR(VLOOKUP(Proc[[#This Row],[App]],Table2[],3,0),"open")</f>
        <v>ok</v>
      </c>
      <c r="C3872" s="138" t="s">
        <v>369</v>
      </c>
      <c r="D3872" t="s">
        <v>5999</v>
      </c>
      <c r="E3872" t="s">
        <v>6072</v>
      </c>
      <c r="F3872" s="129" t="s">
        <v>6072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4894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78</v>
      </c>
      <c r="R3872" s="136" t="s">
        <v>6087</v>
      </c>
      <c r="S3872" s="129"/>
    </row>
    <row r="3873" spans="1:19" hidden="1">
      <c r="A3873" s="135" t="s">
        <v>6086</v>
      </c>
      <c r="B3873" s="149" t="str">
        <f>IFERROR(VLOOKUP(Proc[[#This Row],[App]],Table2[],3,0),"open")</f>
        <v>ok</v>
      </c>
      <c r="C3873" s="138" t="s">
        <v>369</v>
      </c>
      <c r="D3873" t="s">
        <v>6000</v>
      </c>
      <c r="E3873" t="s">
        <v>6065</v>
      </c>
      <c r="F3873" s="129" t="s">
        <v>6065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4894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78</v>
      </c>
      <c r="R3873" s="136" t="s">
        <v>6087</v>
      </c>
      <c r="S3873" s="129"/>
    </row>
    <row r="3874" spans="1:19" hidden="1">
      <c r="A3874" s="135" t="s">
        <v>6086</v>
      </c>
      <c r="B3874" s="149" t="str">
        <f>IFERROR(VLOOKUP(Proc[[#This Row],[App]],Table2[],3,0),"open")</f>
        <v>ok</v>
      </c>
      <c r="C3874" s="138" t="s">
        <v>369</v>
      </c>
      <c r="D3874" t="s">
        <v>6001</v>
      </c>
      <c r="E3874" t="s">
        <v>6073</v>
      </c>
      <c r="F3874" s="129" t="s">
        <v>6073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4894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78</v>
      </c>
      <c r="R3874" s="136" t="s">
        <v>6087</v>
      </c>
      <c r="S3874" s="129"/>
    </row>
    <row r="3875" spans="1:19" hidden="1">
      <c r="A3875" s="135" t="s">
        <v>6086</v>
      </c>
      <c r="B3875" s="149" t="str">
        <f>IFERROR(VLOOKUP(Proc[[#This Row],[App]],Table2[],3,0),"open")</f>
        <v>ok</v>
      </c>
      <c r="C3875" s="138" t="s">
        <v>369</v>
      </c>
      <c r="D3875" t="s">
        <v>6002</v>
      </c>
      <c r="E3875" t="s">
        <v>6073</v>
      </c>
      <c r="F3875" s="129" t="s">
        <v>6073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4894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78</v>
      </c>
      <c r="R3875" s="136" t="s">
        <v>6087</v>
      </c>
      <c r="S3875" s="129"/>
    </row>
    <row r="3876" spans="1:19" hidden="1">
      <c r="A3876" s="135" t="s">
        <v>6086</v>
      </c>
      <c r="B3876" s="149" t="str">
        <f>IFERROR(VLOOKUP(Proc[[#This Row],[App]],Table2[],3,0),"open")</f>
        <v>ok</v>
      </c>
      <c r="C3876" s="138" t="s">
        <v>369</v>
      </c>
      <c r="D3876" t="s">
        <v>6003</v>
      </c>
      <c r="E3876" t="s">
        <v>6073</v>
      </c>
      <c r="F3876" s="129" t="s">
        <v>6073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4894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78</v>
      </c>
      <c r="R3876" s="136" t="s">
        <v>6087</v>
      </c>
      <c r="S3876" s="129"/>
    </row>
    <row r="3877" spans="1:19" hidden="1">
      <c r="A3877" s="135" t="s">
        <v>6086</v>
      </c>
      <c r="B3877" s="149" t="str">
        <f>IFERROR(VLOOKUP(Proc[[#This Row],[App]],Table2[],3,0),"open")</f>
        <v>ok</v>
      </c>
      <c r="C3877" s="138" t="s">
        <v>369</v>
      </c>
      <c r="D3877" t="s">
        <v>6004</v>
      </c>
      <c r="E3877" t="s">
        <v>6073</v>
      </c>
      <c r="F3877" s="129" t="s">
        <v>6073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4894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78</v>
      </c>
      <c r="R3877" s="136" t="s">
        <v>6087</v>
      </c>
      <c r="S3877" s="129"/>
    </row>
    <row r="3878" spans="1:19" hidden="1">
      <c r="A3878" s="135" t="s">
        <v>6086</v>
      </c>
      <c r="B3878" s="149" t="str">
        <f>IFERROR(VLOOKUP(Proc[[#This Row],[App]],Table2[],3,0),"open")</f>
        <v>ok</v>
      </c>
      <c r="C3878" s="138" t="s">
        <v>369</v>
      </c>
      <c r="D3878" t="s">
        <v>6005</v>
      </c>
      <c r="E3878" t="s">
        <v>6073</v>
      </c>
      <c r="F3878" s="129" t="s">
        <v>6073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4894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78</v>
      </c>
      <c r="R3878" s="136" t="s">
        <v>6087</v>
      </c>
      <c r="S3878" s="129"/>
    </row>
    <row r="3879" spans="1:19" hidden="1">
      <c r="A3879" s="135" t="s">
        <v>6086</v>
      </c>
      <c r="B3879" s="149" t="str">
        <f>IFERROR(VLOOKUP(Proc[[#This Row],[App]],Table2[],3,0),"open")</f>
        <v>ok</v>
      </c>
      <c r="C3879" s="138" t="s">
        <v>369</v>
      </c>
      <c r="D3879" t="s">
        <v>6006</v>
      </c>
      <c r="E3879" t="s">
        <v>6073</v>
      </c>
      <c r="F3879" s="129" t="s">
        <v>6073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4894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78</v>
      </c>
      <c r="R3879" s="136" t="s">
        <v>6087</v>
      </c>
      <c r="S3879" s="129"/>
    </row>
    <row r="3880" spans="1:19" hidden="1">
      <c r="A3880" s="135" t="s">
        <v>6086</v>
      </c>
      <c r="B3880" s="149" t="str">
        <f>IFERROR(VLOOKUP(Proc[[#This Row],[App]],Table2[],3,0),"open")</f>
        <v>ok</v>
      </c>
      <c r="C3880" s="138" t="s">
        <v>369</v>
      </c>
      <c r="D3880" t="s">
        <v>6007</v>
      </c>
      <c r="E3880" t="s">
        <v>6073</v>
      </c>
      <c r="F3880" s="129" t="s">
        <v>6073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4894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78</v>
      </c>
      <c r="R3880" s="136" t="s">
        <v>6087</v>
      </c>
      <c r="S3880" s="129"/>
    </row>
    <row r="3881" spans="1:19" hidden="1">
      <c r="A3881" s="135" t="s">
        <v>6086</v>
      </c>
      <c r="B3881" s="149" t="str">
        <f>IFERROR(VLOOKUP(Proc[[#This Row],[App]],Table2[],3,0),"open")</f>
        <v>ok</v>
      </c>
      <c r="C3881" s="138" t="s">
        <v>369</v>
      </c>
      <c r="D3881" t="s">
        <v>6008</v>
      </c>
      <c r="E3881" t="s">
        <v>6073</v>
      </c>
      <c r="F3881" s="129" t="s">
        <v>6073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4894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78</v>
      </c>
      <c r="R3881" s="136" t="s">
        <v>6087</v>
      </c>
      <c r="S3881" s="129"/>
    </row>
    <row r="3882" spans="1:19" hidden="1">
      <c r="A3882" s="135" t="s">
        <v>6086</v>
      </c>
      <c r="B3882" s="149" t="str">
        <f>IFERROR(VLOOKUP(Proc[[#This Row],[App]],Table2[],3,0),"open")</f>
        <v>ok</v>
      </c>
      <c r="C3882" s="138" t="s">
        <v>369</v>
      </c>
      <c r="D3882" t="s">
        <v>6009</v>
      </c>
      <c r="E3882" t="s">
        <v>6073</v>
      </c>
      <c r="F3882" s="129" t="s">
        <v>6073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4894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78</v>
      </c>
      <c r="R3882" s="136" t="s">
        <v>6087</v>
      </c>
      <c r="S3882" s="129"/>
    </row>
    <row r="3883" spans="1:19" hidden="1">
      <c r="A3883" s="135" t="s">
        <v>6086</v>
      </c>
      <c r="B3883" s="149" t="str">
        <f>IFERROR(VLOOKUP(Proc[[#This Row],[App]],Table2[],3,0),"open")</f>
        <v>ok</v>
      </c>
      <c r="C3883" s="138" t="s">
        <v>369</v>
      </c>
      <c r="D3883" t="s">
        <v>6010</v>
      </c>
      <c r="E3883" t="s">
        <v>6073</v>
      </c>
      <c r="F3883" s="129" t="s">
        <v>6073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4894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78</v>
      </c>
      <c r="R3883" s="136" t="s">
        <v>6087</v>
      </c>
      <c r="S3883" s="129"/>
    </row>
    <row r="3884" spans="1:19" hidden="1">
      <c r="A3884" s="135" t="s">
        <v>6086</v>
      </c>
      <c r="B3884" s="149" t="str">
        <f>IFERROR(VLOOKUP(Proc[[#This Row],[App]],Table2[],3,0),"open")</f>
        <v>ok</v>
      </c>
      <c r="C3884" s="138" t="s">
        <v>369</v>
      </c>
      <c r="D3884" t="s">
        <v>6011</v>
      </c>
      <c r="E3884" t="s">
        <v>6073</v>
      </c>
      <c r="F3884" s="129" t="s">
        <v>6073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4894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78</v>
      </c>
      <c r="R3884" s="136" t="s">
        <v>6087</v>
      </c>
      <c r="S3884" s="129"/>
    </row>
    <row r="3885" spans="1:19" hidden="1">
      <c r="A3885" s="135" t="s">
        <v>6086</v>
      </c>
      <c r="B3885" s="149" t="str">
        <f>IFERROR(VLOOKUP(Proc[[#This Row],[App]],Table2[],3,0),"open")</f>
        <v>ok</v>
      </c>
      <c r="C3885" s="138" t="s">
        <v>369</v>
      </c>
      <c r="D3885" t="s">
        <v>6012</v>
      </c>
      <c r="E3885" t="s">
        <v>6073</v>
      </c>
      <c r="F3885" s="129" t="s">
        <v>6073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4894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78</v>
      </c>
      <c r="R3885" s="136" t="s">
        <v>6087</v>
      </c>
      <c r="S3885" s="129"/>
    </row>
    <row r="3886" spans="1:19" hidden="1">
      <c r="A3886" s="135" t="s">
        <v>6086</v>
      </c>
      <c r="B3886" s="149" t="str">
        <f>IFERROR(VLOOKUP(Proc[[#This Row],[App]],Table2[],3,0),"open")</f>
        <v>ok</v>
      </c>
      <c r="C3886" s="138" t="s">
        <v>369</v>
      </c>
      <c r="D3886" t="s">
        <v>6013</v>
      </c>
      <c r="E3886" t="s">
        <v>6073</v>
      </c>
      <c r="F3886" s="129" t="s">
        <v>6073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4894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78</v>
      </c>
      <c r="R3886" s="136" t="s">
        <v>6087</v>
      </c>
      <c r="S3886" s="129"/>
    </row>
    <row r="3887" spans="1:19" hidden="1">
      <c r="A3887" s="135" t="s">
        <v>6086</v>
      </c>
      <c r="B3887" s="149" t="str">
        <f>IFERROR(VLOOKUP(Proc[[#This Row],[App]],Table2[],3,0),"open")</f>
        <v>ok</v>
      </c>
      <c r="C3887" s="138" t="s">
        <v>369</v>
      </c>
      <c r="D3887" t="s">
        <v>6014</v>
      </c>
      <c r="E3887" t="s">
        <v>6073</v>
      </c>
      <c r="F3887" s="129" t="s">
        <v>6073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4894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78</v>
      </c>
      <c r="R3887" s="136" t="s">
        <v>6087</v>
      </c>
      <c r="S3887" s="129"/>
    </row>
    <row r="3888" spans="1:19" hidden="1">
      <c r="A3888" s="135" t="s">
        <v>6086</v>
      </c>
      <c r="B3888" s="149" t="str">
        <f>IFERROR(VLOOKUP(Proc[[#This Row],[App]],Table2[],3,0),"open")</f>
        <v>ok</v>
      </c>
      <c r="C3888" s="138" t="s">
        <v>369</v>
      </c>
      <c r="D3888" t="s">
        <v>6015</v>
      </c>
      <c r="E3888" t="s">
        <v>6073</v>
      </c>
      <c r="F3888" s="129" t="s">
        <v>6073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4894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78</v>
      </c>
      <c r="R3888" s="136" t="s">
        <v>6087</v>
      </c>
      <c r="S3888" s="129"/>
    </row>
    <row r="3889" spans="1:19" hidden="1">
      <c r="A3889" s="135" t="s">
        <v>6086</v>
      </c>
      <c r="B3889" s="149" t="str">
        <f>IFERROR(VLOOKUP(Proc[[#This Row],[App]],Table2[],3,0),"open")</f>
        <v>ok</v>
      </c>
      <c r="C3889" s="138" t="s">
        <v>369</v>
      </c>
      <c r="D3889" t="s">
        <v>6016</v>
      </c>
      <c r="E3889" t="s">
        <v>6073</v>
      </c>
      <c r="F3889" s="129" t="s">
        <v>6073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4894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78</v>
      </c>
      <c r="R3889" s="136" t="s">
        <v>6087</v>
      </c>
      <c r="S3889" s="129"/>
    </row>
    <row r="3890" spans="1:19" hidden="1">
      <c r="A3890" s="135" t="s">
        <v>6086</v>
      </c>
      <c r="B3890" s="149" t="str">
        <f>IFERROR(VLOOKUP(Proc[[#This Row],[App]],Table2[],3,0),"open")</f>
        <v>ok</v>
      </c>
      <c r="C3890" s="138" t="s">
        <v>369</v>
      </c>
      <c r="D3890" t="s">
        <v>6017</v>
      </c>
      <c r="E3890" t="s">
        <v>6073</v>
      </c>
      <c r="F3890" s="129" t="s">
        <v>6073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4894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78</v>
      </c>
      <c r="R3890" s="136" t="s">
        <v>6087</v>
      </c>
      <c r="S3890" s="129"/>
    </row>
    <row r="3891" spans="1:19" hidden="1">
      <c r="A3891" s="135" t="s">
        <v>6086</v>
      </c>
      <c r="B3891" s="149" t="str">
        <f>IFERROR(VLOOKUP(Proc[[#This Row],[App]],Table2[],3,0),"open")</f>
        <v>ok</v>
      </c>
      <c r="C3891" s="138" t="s">
        <v>369</v>
      </c>
      <c r="D3891" t="s">
        <v>6018</v>
      </c>
      <c r="E3891" t="s">
        <v>6073</v>
      </c>
      <c r="F3891" s="129" t="s">
        <v>6073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4894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78</v>
      </c>
      <c r="R3891" s="136" t="s">
        <v>6087</v>
      </c>
      <c r="S3891" s="129"/>
    </row>
    <row r="3892" spans="1:19" hidden="1">
      <c r="A3892" s="135" t="s">
        <v>6086</v>
      </c>
      <c r="B3892" s="149" t="str">
        <f>IFERROR(VLOOKUP(Proc[[#This Row],[App]],Table2[],3,0),"open")</f>
        <v>ok</v>
      </c>
      <c r="C3892" s="138" t="s">
        <v>369</v>
      </c>
      <c r="D3892" t="s">
        <v>6019</v>
      </c>
      <c r="E3892" t="s">
        <v>6073</v>
      </c>
      <c r="F3892" s="129" t="s">
        <v>6073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4894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78</v>
      </c>
      <c r="R3892" s="136" t="s">
        <v>6087</v>
      </c>
      <c r="S3892" s="129"/>
    </row>
    <row r="3893" spans="1:19" hidden="1">
      <c r="A3893" s="135" t="s">
        <v>6086</v>
      </c>
      <c r="B3893" s="149" t="str">
        <f>IFERROR(VLOOKUP(Proc[[#This Row],[App]],Table2[],3,0),"open")</f>
        <v>ok</v>
      </c>
      <c r="C3893" s="138" t="s">
        <v>369</v>
      </c>
      <c r="D3893" t="s">
        <v>6020</v>
      </c>
      <c r="E3893" t="s">
        <v>6073</v>
      </c>
      <c r="F3893" s="129" t="s">
        <v>6073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4894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78</v>
      </c>
      <c r="R3893" s="136" t="s">
        <v>6087</v>
      </c>
      <c r="S3893" s="129"/>
    </row>
    <row r="3894" spans="1:19" hidden="1">
      <c r="A3894" s="135" t="s">
        <v>6086</v>
      </c>
      <c r="B3894" s="149" t="str">
        <f>IFERROR(VLOOKUP(Proc[[#This Row],[App]],Table2[],3,0),"open")</f>
        <v>ok</v>
      </c>
      <c r="C3894" s="138" t="s">
        <v>369</v>
      </c>
      <c r="D3894" t="s">
        <v>6021</v>
      </c>
      <c r="E3894" t="s">
        <v>6073</v>
      </c>
      <c r="F3894" s="129" t="s">
        <v>6073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4894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78</v>
      </c>
      <c r="R3894" s="136" t="s">
        <v>6087</v>
      </c>
      <c r="S3894" s="129"/>
    </row>
    <row r="3895" spans="1:19" hidden="1">
      <c r="A3895" s="135" t="s">
        <v>6086</v>
      </c>
      <c r="B3895" s="149" t="str">
        <f>IFERROR(VLOOKUP(Proc[[#This Row],[App]],Table2[],3,0),"open")</f>
        <v>ok</v>
      </c>
      <c r="C3895" s="138" t="s">
        <v>369</v>
      </c>
      <c r="D3895" t="s">
        <v>6022</v>
      </c>
      <c r="E3895" t="s">
        <v>6073</v>
      </c>
      <c r="F3895" s="129" t="s">
        <v>6073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4894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78</v>
      </c>
      <c r="R3895" s="136" t="s">
        <v>6087</v>
      </c>
      <c r="S3895" s="129"/>
    </row>
    <row r="3896" spans="1:19" hidden="1">
      <c r="A3896" s="135" t="s">
        <v>6086</v>
      </c>
      <c r="B3896" s="149" t="str">
        <f>IFERROR(VLOOKUP(Proc[[#This Row],[App]],Table2[],3,0),"open")</f>
        <v>ok</v>
      </c>
      <c r="C3896" s="138" t="s">
        <v>369</v>
      </c>
      <c r="D3896" t="s">
        <v>6023</v>
      </c>
      <c r="E3896" t="s">
        <v>6073</v>
      </c>
      <c r="F3896" s="129" t="s">
        <v>6073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4894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78</v>
      </c>
      <c r="R3896" s="136" t="s">
        <v>6087</v>
      </c>
      <c r="S3896" s="129"/>
    </row>
    <row r="3897" spans="1:19" hidden="1">
      <c r="A3897" s="135" t="s">
        <v>6086</v>
      </c>
      <c r="B3897" s="149" t="str">
        <f>IFERROR(VLOOKUP(Proc[[#This Row],[App]],Table2[],3,0),"open")</f>
        <v>ok</v>
      </c>
      <c r="C3897" s="138" t="s">
        <v>369</v>
      </c>
      <c r="D3897" t="s">
        <v>6024</v>
      </c>
      <c r="E3897" t="s">
        <v>6074</v>
      </c>
      <c r="F3897" s="129" t="s">
        <v>6074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4894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78</v>
      </c>
      <c r="R3897" s="136" t="s">
        <v>6087</v>
      </c>
      <c r="S3897" s="129"/>
    </row>
    <row r="3898" spans="1:19" hidden="1">
      <c r="A3898" s="135" t="s">
        <v>6086</v>
      </c>
      <c r="B3898" s="149" t="str">
        <f>IFERROR(VLOOKUP(Proc[[#This Row],[App]],Table2[],3,0),"open")</f>
        <v>ok</v>
      </c>
      <c r="C3898" s="138" t="s">
        <v>369</v>
      </c>
      <c r="D3898" t="s">
        <v>6025</v>
      </c>
      <c r="E3898" t="s">
        <v>6073</v>
      </c>
      <c r="F3898" s="129" t="s">
        <v>6073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4894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78</v>
      </c>
      <c r="R3898" s="136" t="s">
        <v>6087</v>
      </c>
      <c r="S3898" s="129"/>
    </row>
    <row r="3899" spans="1:19" hidden="1">
      <c r="A3899" s="135" t="s">
        <v>6086</v>
      </c>
      <c r="B3899" s="149" t="str">
        <f>IFERROR(VLOOKUP(Proc[[#This Row],[App]],Table2[],3,0),"open")</f>
        <v>ok</v>
      </c>
      <c r="C3899" s="138" t="s">
        <v>369</v>
      </c>
      <c r="D3899" t="s">
        <v>6026</v>
      </c>
      <c r="E3899" t="s">
        <v>6075</v>
      </c>
      <c r="F3899" s="129" t="s">
        <v>6075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4894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78</v>
      </c>
      <c r="R3899" s="136" t="s">
        <v>6087</v>
      </c>
      <c r="S3899" s="129"/>
    </row>
    <row r="3900" spans="1:19" hidden="1">
      <c r="A3900" s="135" t="s">
        <v>6086</v>
      </c>
      <c r="B3900" s="149" t="str">
        <f>IFERROR(VLOOKUP(Proc[[#This Row],[App]],Table2[],3,0),"open")</f>
        <v>ok</v>
      </c>
      <c r="C3900" s="138" t="s">
        <v>369</v>
      </c>
      <c r="D3900" t="s">
        <v>6027</v>
      </c>
      <c r="E3900" t="s">
        <v>6076</v>
      </c>
      <c r="F3900" s="129" t="s">
        <v>6076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4894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78</v>
      </c>
      <c r="R3900" s="136" t="s">
        <v>6087</v>
      </c>
      <c r="S3900" s="129"/>
    </row>
    <row r="3901" spans="1:19" hidden="1">
      <c r="A3901" s="135" t="s">
        <v>6086</v>
      </c>
      <c r="B3901" s="149" t="str">
        <f>IFERROR(VLOOKUP(Proc[[#This Row],[App]],Table2[],3,0),"open")</f>
        <v>ok</v>
      </c>
      <c r="C3901" s="138" t="s">
        <v>369</v>
      </c>
      <c r="D3901" t="s">
        <v>6028</v>
      </c>
      <c r="E3901" t="s">
        <v>6077</v>
      </c>
      <c r="F3901" s="129" t="s">
        <v>6077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4894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78</v>
      </c>
      <c r="R3901" s="136" t="s">
        <v>6087</v>
      </c>
      <c r="S3901" s="129"/>
    </row>
    <row r="3902" spans="1:19" hidden="1">
      <c r="A3902" s="135" t="s">
        <v>6086</v>
      </c>
      <c r="B3902" s="149" t="str">
        <f>IFERROR(VLOOKUP(Proc[[#This Row],[App]],Table2[],3,0),"open")</f>
        <v>ok</v>
      </c>
      <c r="C3902" s="138" t="s">
        <v>369</v>
      </c>
      <c r="D3902" t="s">
        <v>6029</v>
      </c>
      <c r="E3902" t="s">
        <v>6078</v>
      </c>
      <c r="F3902" s="129" t="s">
        <v>6078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4894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78</v>
      </c>
      <c r="R3902" s="136" t="s">
        <v>6087</v>
      </c>
      <c r="S3902" s="129"/>
    </row>
    <row r="3903" spans="1:19" hidden="1">
      <c r="A3903" s="135" t="s">
        <v>6086</v>
      </c>
      <c r="B3903" s="149" t="str">
        <f>IFERROR(VLOOKUP(Proc[[#This Row],[App]],Table2[],3,0),"open")</f>
        <v>ok</v>
      </c>
      <c r="C3903" s="138" t="s">
        <v>369</v>
      </c>
      <c r="D3903" t="s">
        <v>6030</v>
      </c>
      <c r="E3903" t="s">
        <v>6078</v>
      </c>
      <c r="F3903" s="129" t="s">
        <v>6078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4894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78</v>
      </c>
      <c r="R3903" s="136" t="s">
        <v>6087</v>
      </c>
      <c r="S3903" s="129"/>
    </row>
    <row r="3904" spans="1:19" hidden="1">
      <c r="A3904" s="135" t="s">
        <v>6086</v>
      </c>
      <c r="B3904" s="149" t="str">
        <f>IFERROR(VLOOKUP(Proc[[#This Row],[App]],Table2[],3,0),"open")</f>
        <v>ok</v>
      </c>
      <c r="C3904" s="138" t="s">
        <v>369</v>
      </c>
      <c r="D3904" t="s">
        <v>6031</v>
      </c>
      <c r="E3904" t="s">
        <v>6078</v>
      </c>
      <c r="F3904" s="129" t="s">
        <v>6078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4894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78</v>
      </c>
      <c r="R3904" s="136" t="s">
        <v>6087</v>
      </c>
      <c r="S3904" s="129"/>
    </row>
    <row r="3905" spans="1:19" hidden="1">
      <c r="A3905" s="135" t="s">
        <v>6086</v>
      </c>
      <c r="B3905" s="149" t="str">
        <f>IFERROR(VLOOKUP(Proc[[#This Row],[App]],Table2[],3,0),"open")</f>
        <v>ok</v>
      </c>
      <c r="C3905" s="138" t="s">
        <v>369</v>
      </c>
      <c r="D3905" t="s">
        <v>6032</v>
      </c>
      <c r="E3905" t="s">
        <v>6078</v>
      </c>
      <c r="F3905" s="129" t="s">
        <v>6078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4894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78</v>
      </c>
      <c r="R3905" s="136" t="s">
        <v>6087</v>
      </c>
      <c r="S3905" s="129"/>
    </row>
    <row r="3906" spans="1:19" hidden="1">
      <c r="A3906" s="135" t="s">
        <v>6086</v>
      </c>
      <c r="B3906" s="149" t="str">
        <f>IFERROR(VLOOKUP(Proc[[#This Row],[App]],Table2[],3,0),"open")</f>
        <v>ok</v>
      </c>
      <c r="C3906" s="138" t="s">
        <v>369</v>
      </c>
      <c r="D3906" t="s">
        <v>6033</v>
      </c>
      <c r="E3906" t="s">
        <v>6078</v>
      </c>
      <c r="F3906" s="129" t="s">
        <v>6078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4894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78</v>
      </c>
      <c r="R3906" s="136" t="s">
        <v>6087</v>
      </c>
      <c r="S3906" s="129"/>
    </row>
    <row r="3907" spans="1:19" hidden="1">
      <c r="A3907" s="135" t="s">
        <v>6086</v>
      </c>
      <c r="B3907" s="149" t="str">
        <f>IFERROR(VLOOKUP(Proc[[#This Row],[App]],Table2[],3,0),"open")</f>
        <v>ok</v>
      </c>
      <c r="C3907" s="138" t="s">
        <v>369</v>
      </c>
      <c r="D3907" t="s">
        <v>6034</v>
      </c>
      <c r="E3907" t="s">
        <v>6078</v>
      </c>
      <c r="F3907" s="129" t="s">
        <v>6078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4894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78</v>
      </c>
      <c r="R3907" s="136" t="s">
        <v>6087</v>
      </c>
      <c r="S3907" s="129"/>
    </row>
    <row r="3908" spans="1:19" hidden="1">
      <c r="A3908" s="135" t="s">
        <v>6086</v>
      </c>
      <c r="B3908" s="149" t="str">
        <f>IFERROR(VLOOKUP(Proc[[#This Row],[App]],Table2[],3,0),"open")</f>
        <v>ok</v>
      </c>
      <c r="C3908" s="138" t="s">
        <v>369</v>
      </c>
      <c r="D3908" t="s">
        <v>6035</v>
      </c>
      <c r="E3908" t="s">
        <v>6079</v>
      </c>
      <c r="F3908" s="129" t="s">
        <v>6079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4894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78</v>
      </c>
      <c r="R3908" s="136" t="s">
        <v>6087</v>
      </c>
      <c r="S3908" s="129"/>
    </row>
    <row r="3909" spans="1:19" hidden="1">
      <c r="A3909" s="135" t="s">
        <v>6086</v>
      </c>
      <c r="B3909" s="149" t="str">
        <f>IFERROR(VLOOKUP(Proc[[#This Row],[App]],Table2[],3,0),"open")</f>
        <v>ok</v>
      </c>
      <c r="C3909" s="138" t="s">
        <v>369</v>
      </c>
      <c r="D3909" t="s">
        <v>6036</v>
      </c>
      <c r="E3909" t="s">
        <v>6074</v>
      </c>
      <c r="F3909" s="129" t="s">
        <v>6074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4894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78</v>
      </c>
      <c r="R3909" s="136" t="s">
        <v>6087</v>
      </c>
      <c r="S3909" s="129"/>
    </row>
    <row r="3910" spans="1:19" hidden="1">
      <c r="A3910" s="135" t="s">
        <v>6086</v>
      </c>
      <c r="B3910" s="149" t="str">
        <f>IFERROR(VLOOKUP(Proc[[#This Row],[App]],Table2[],3,0),"open")</f>
        <v>ok</v>
      </c>
      <c r="C3910" s="138" t="s">
        <v>369</v>
      </c>
      <c r="D3910" t="s">
        <v>6037</v>
      </c>
      <c r="E3910" t="s">
        <v>6074</v>
      </c>
      <c r="F3910" s="129" t="s">
        <v>6074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4894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78</v>
      </c>
      <c r="R3910" s="136" t="s">
        <v>6087</v>
      </c>
      <c r="S3910" s="129"/>
    </row>
    <row r="3911" spans="1:19" hidden="1">
      <c r="A3911" s="135" t="s">
        <v>6086</v>
      </c>
      <c r="B3911" s="149" t="str">
        <f>IFERROR(VLOOKUP(Proc[[#This Row],[App]],Table2[],3,0),"open")</f>
        <v>ok</v>
      </c>
      <c r="C3911" s="138" t="s">
        <v>369</v>
      </c>
      <c r="D3911" t="s">
        <v>6038</v>
      </c>
      <c r="E3911" t="s">
        <v>6074</v>
      </c>
      <c r="F3911" s="129" t="s">
        <v>6074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4894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78</v>
      </c>
      <c r="R3911" s="136" t="s">
        <v>6087</v>
      </c>
      <c r="S3911" s="129"/>
    </row>
    <row r="3912" spans="1:19" hidden="1">
      <c r="A3912" s="135" t="s">
        <v>6086</v>
      </c>
      <c r="B3912" s="149" t="str">
        <f>IFERROR(VLOOKUP(Proc[[#This Row],[App]],Table2[],3,0),"open")</f>
        <v>ok</v>
      </c>
      <c r="C3912" s="138" t="s">
        <v>369</v>
      </c>
      <c r="D3912" t="s">
        <v>6039</v>
      </c>
      <c r="E3912" t="s">
        <v>6080</v>
      </c>
      <c r="F3912" s="129" t="s">
        <v>6080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4894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78</v>
      </c>
      <c r="R3912" s="136" t="s">
        <v>6087</v>
      </c>
      <c r="S3912" s="129"/>
    </row>
    <row r="3913" spans="1:19" hidden="1">
      <c r="A3913" s="135" t="s">
        <v>6086</v>
      </c>
      <c r="B3913" s="149" t="str">
        <f>IFERROR(VLOOKUP(Proc[[#This Row],[App]],Table2[],3,0),"open")</f>
        <v>ok</v>
      </c>
      <c r="C3913" s="138" t="s">
        <v>369</v>
      </c>
      <c r="D3913" t="s">
        <v>6040</v>
      </c>
      <c r="E3913" t="s">
        <v>6081</v>
      </c>
      <c r="F3913" s="129" t="s">
        <v>6081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4894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78</v>
      </c>
      <c r="R3913" s="136" t="s">
        <v>6087</v>
      </c>
      <c r="S3913" s="129"/>
    </row>
    <row r="3914" spans="1:19" hidden="1">
      <c r="A3914" s="135" t="s">
        <v>6086</v>
      </c>
      <c r="B3914" s="149" t="str">
        <f>IFERROR(VLOOKUP(Proc[[#This Row],[App]],Table2[],3,0),"open")</f>
        <v>ok</v>
      </c>
      <c r="C3914" s="138" t="s">
        <v>369</v>
      </c>
      <c r="D3914" t="s">
        <v>6041</v>
      </c>
      <c r="E3914" t="s">
        <v>6082</v>
      </c>
      <c r="F3914" s="129" t="s">
        <v>6082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4894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78</v>
      </c>
      <c r="R3914" s="136" t="s">
        <v>6087</v>
      </c>
      <c r="S3914" s="129"/>
    </row>
    <row r="3915" spans="1:19" hidden="1">
      <c r="A3915" s="135" t="s">
        <v>6086</v>
      </c>
      <c r="B3915" s="149" t="str">
        <f>IFERROR(VLOOKUP(Proc[[#This Row],[App]],Table2[],3,0),"open")</f>
        <v>ok</v>
      </c>
      <c r="C3915" s="138" t="s">
        <v>369</v>
      </c>
      <c r="D3915" t="s">
        <v>6042</v>
      </c>
      <c r="E3915" t="s">
        <v>6083</v>
      </c>
      <c r="F3915" s="129" t="s">
        <v>6083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4894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78</v>
      </c>
      <c r="R3915" s="136" t="s">
        <v>6087</v>
      </c>
      <c r="S3915" s="129"/>
    </row>
    <row r="3916" spans="1:19" hidden="1">
      <c r="A3916" s="135" t="s">
        <v>6086</v>
      </c>
      <c r="B3916" s="149" t="str">
        <f>IFERROR(VLOOKUP(Proc[[#This Row],[App]],Table2[],3,0),"open")</f>
        <v>ok</v>
      </c>
      <c r="C3916" s="138" t="s">
        <v>369</v>
      </c>
      <c r="D3916" t="s">
        <v>6043</v>
      </c>
      <c r="E3916" t="s">
        <v>6084</v>
      </c>
      <c r="F3916" s="129" t="s">
        <v>6084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4894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78</v>
      </c>
      <c r="R3916" s="136" t="s">
        <v>6087</v>
      </c>
      <c r="S3916" s="129"/>
    </row>
    <row r="3917" spans="1:19" hidden="1">
      <c r="A3917" s="135" t="s">
        <v>6086</v>
      </c>
      <c r="B3917" s="149" t="str">
        <f>IFERROR(VLOOKUP(Proc[[#This Row],[App]],Table2[],3,0),"open")</f>
        <v>ok</v>
      </c>
      <c r="C3917" s="138" t="s">
        <v>369</v>
      </c>
      <c r="D3917" t="s">
        <v>6044</v>
      </c>
      <c r="E3917" t="s">
        <v>6085</v>
      </c>
      <c r="F3917" s="129" t="s">
        <v>6085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4894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78</v>
      </c>
      <c r="R3917" s="136" t="s">
        <v>6087</v>
      </c>
      <c r="S3917" s="129"/>
    </row>
    <row r="3918" spans="1:19" hidden="1">
      <c r="A3918" s="135" t="s">
        <v>6086</v>
      </c>
      <c r="B3918" s="149" t="str">
        <f>IFERROR(VLOOKUP(Proc[[#This Row],[App]],Table2[],3,0),"open")</f>
        <v>ok</v>
      </c>
      <c r="C3918" s="138" t="s">
        <v>369</v>
      </c>
      <c r="D3918" t="s">
        <v>6045</v>
      </c>
      <c r="E3918" t="s">
        <v>6085</v>
      </c>
      <c r="F3918" s="129" t="s">
        <v>6085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4894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78</v>
      </c>
      <c r="R3918" s="136" t="s">
        <v>6087</v>
      </c>
      <c r="S3918" s="129"/>
    </row>
    <row r="3919" spans="1:19" hidden="1">
      <c r="A3919" s="135" t="s">
        <v>6086</v>
      </c>
      <c r="B3919" s="149" t="str">
        <f>IFERROR(VLOOKUP(Proc[[#This Row],[App]],Table2[],3,0),"open")</f>
        <v>ok</v>
      </c>
      <c r="C3919" s="138" t="s">
        <v>369</v>
      </c>
      <c r="D3919" t="s">
        <v>6046</v>
      </c>
      <c r="E3919" t="s">
        <v>6059</v>
      </c>
      <c r="F3919" s="129" t="s">
        <v>6059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4894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78</v>
      </c>
      <c r="R3919" s="136" t="s">
        <v>6087</v>
      </c>
      <c r="S3919" s="129"/>
    </row>
    <row r="3920" spans="1:19" hidden="1">
      <c r="A3920" s="135" t="s">
        <v>6086</v>
      </c>
      <c r="B3920" s="149" t="str">
        <f>IFERROR(VLOOKUP(Proc[[#This Row],[App]],Table2[],3,0),"open")</f>
        <v>ok</v>
      </c>
      <c r="C3920" s="138" t="s">
        <v>369</v>
      </c>
      <c r="D3920" t="s">
        <v>6047</v>
      </c>
      <c r="E3920" t="s">
        <v>6059</v>
      </c>
      <c r="F3920" s="129" t="s">
        <v>6059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4894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78</v>
      </c>
      <c r="R3920" s="136" t="s">
        <v>6087</v>
      </c>
      <c r="S3920" s="129"/>
    </row>
    <row r="3921" spans="1:19" hidden="1">
      <c r="A3921" s="135" t="s">
        <v>6086</v>
      </c>
      <c r="B3921" s="149" t="str">
        <f>IFERROR(VLOOKUP(Proc[[#This Row],[App]],Table2[],3,0),"open")</f>
        <v>ok</v>
      </c>
      <c r="C3921" s="138" t="s">
        <v>369</v>
      </c>
      <c r="D3921" t="s">
        <v>6048</v>
      </c>
      <c r="E3921" t="s">
        <v>6059</v>
      </c>
      <c r="F3921" s="129" t="s">
        <v>6059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4894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78</v>
      </c>
      <c r="R3921" s="136" t="s">
        <v>6087</v>
      </c>
      <c r="S3921" s="129"/>
    </row>
    <row r="3922" spans="1:19" hidden="1">
      <c r="A3922" s="135" t="s">
        <v>6086</v>
      </c>
      <c r="B3922" s="149" t="str">
        <f>IFERROR(VLOOKUP(Proc[[#This Row],[App]],Table2[],3,0),"open")</f>
        <v>ok</v>
      </c>
      <c r="C3922" s="138" t="s">
        <v>369</v>
      </c>
      <c r="D3922" t="s">
        <v>6049</v>
      </c>
      <c r="E3922" t="s">
        <v>6059</v>
      </c>
      <c r="F3922" s="129" t="s">
        <v>6059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4894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78</v>
      </c>
      <c r="R3922" s="136" t="s">
        <v>6087</v>
      </c>
      <c r="S3922" s="129"/>
    </row>
    <row r="3923" spans="1:19" hidden="1">
      <c r="A3923" s="135" t="s">
        <v>6086</v>
      </c>
      <c r="B3923" s="149" t="str">
        <f>IFERROR(VLOOKUP(Proc[[#This Row],[App]],Table2[],3,0),"open")</f>
        <v>ok</v>
      </c>
      <c r="C3923" s="138" t="s">
        <v>369</v>
      </c>
      <c r="D3923" t="s">
        <v>6050</v>
      </c>
      <c r="E3923" t="s">
        <v>6059</v>
      </c>
      <c r="F3923" s="129" t="s">
        <v>6059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4894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78</v>
      </c>
      <c r="R3923" s="136" t="s">
        <v>6087</v>
      </c>
      <c r="S3923" s="129"/>
    </row>
    <row r="3924" spans="1:19" hidden="1">
      <c r="A3924" s="135" t="s">
        <v>6086</v>
      </c>
      <c r="B3924" s="149" t="str">
        <f>IFERROR(VLOOKUP(Proc[[#This Row],[App]],Table2[],3,0),"open")</f>
        <v>ok</v>
      </c>
      <c r="C3924" s="138" t="s">
        <v>369</v>
      </c>
      <c r="D3924" t="s">
        <v>6051</v>
      </c>
      <c r="E3924" t="s">
        <v>6059</v>
      </c>
      <c r="F3924" s="129" t="s">
        <v>6059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4894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78</v>
      </c>
      <c r="R3924" s="136" t="s">
        <v>6087</v>
      </c>
      <c r="S3924" s="129"/>
    </row>
    <row r="3925" spans="1:19" hidden="1">
      <c r="A3925" s="135" t="s">
        <v>6086</v>
      </c>
      <c r="B3925" s="149" t="str">
        <f>IFERROR(VLOOKUP(Proc[[#This Row],[App]],Table2[],3,0),"open")</f>
        <v>ok</v>
      </c>
      <c r="C3925" s="138" t="s">
        <v>369</v>
      </c>
      <c r="D3925" t="s">
        <v>6052</v>
      </c>
      <c r="E3925" t="s">
        <v>6059</v>
      </c>
      <c r="F3925" s="129" t="s">
        <v>6059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4894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78</v>
      </c>
      <c r="R3925" s="136" t="s">
        <v>6087</v>
      </c>
      <c r="S3925" s="129"/>
    </row>
    <row r="3926" spans="1:19" hidden="1">
      <c r="A3926" s="135" t="s">
        <v>6086</v>
      </c>
      <c r="B3926" s="149" t="str">
        <f>IFERROR(VLOOKUP(Proc[[#This Row],[App]],Table2[],3,0),"open")</f>
        <v>ok</v>
      </c>
      <c r="C3926" s="138" t="s">
        <v>369</v>
      </c>
      <c r="D3926" t="s">
        <v>6053</v>
      </c>
      <c r="E3926" t="s">
        <v>6059</v>
      </c>
      <c r="F3926" s="129" t="s">
        <v>6059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4894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78</v>
      </c>
      <c r="R3926" s="136" t="s">
        <v>6087</v>
      </c>
      <c r="S3926" s="129"/>
    </row>
    <row r="3927" spans="1:19" hidden="1">
      <c r="A3927" s="135" t="s">
        <v>6086</v>
      </c>
      <c r="B3927" s="149" t="str">
        <f>IFERROR(VLOOKUP(Proc[[#This Row],[App]],Table2[],3,0),"open")</f>
        <v>ok</v>
      </c>
      <c r="C3927" s="138" t="s">
        <v>369</v>
      </c>
      <c r="D3927" t="s">
        <v>6054</v>
      </c>
      <c r="E3927" t="s">
        <v>6069</v>
      </c>
      <c r="F3927" s="129" t="s">
        <v>6069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4894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78</v>
      </c>
      <c r="R3927" s="136" t="s">
        <v>6087</v>
      </c>
      <c r="S3927" s="129"/>
    </row>
    <row r="3928" spans="1:19" hidden="1">
      <c r="A3928" s="135" t="s">
        <v>6086</v>
      </c>
      <c r="B3928" s="149" t="str">
        <f>IFERROR(VLOOKUP(Proc[[#This Row],[App]],Table2[],3,0),"open")</f>
        <v>ok</v>
      </c>
      <c r="C3928" s="138" t="s">
        <v>369</v>
      </c>
      <c r="D3928" t="s">
        <v>6055</v>
      </c>
      <c r="E3928" t="s">
        <v>6059</v>
      </c>
      <c r="F3928" s="129" t="s">
        <v>6059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4894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78</v>
      </c>
      <c r="R3928" s="136" t="s">
        <v>6087</v>
      </c>
      <c r="S3928" s="129"/>
    </row>
    <row r="3929" spans="1:19" hidden="1">
      <c r="A3929" s="135" t="s">
        <v>6086</v>
      </c>
      <c r="B3929" s="149" t="str">
        <f>IFERROR(VLOOKUP(Proc[[#This Row],[App]],Table2[],3,0),"open")</f>
        <v>ok</v>
      </c>
      <c r="C3929" s="138" t="s">
        <v>369</v>
      </c>
      <c r="D3929" t="s">
        <v>6056</v>
      </c>
      <c r="E3929" t="s">
        <v>6059</v>
      </c>
      <c r="F3929" s="129" t="s">
        <v>6059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4894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78</v>
      </c>
      <c r="R3929" s="136" t="s">
        <v>6087</v>
      </c>
      <c r="S3929" s="129"/>
    </row>
    <row r="3930" spans="1:19" hidden="1">
      <c r="A3930" s="135" t="s">
        <v>6086</v>
      </c>
      <c r="B3930" s="149" t="str">
        <f>IFERROR(VLOOKUP(Proc[[#This Row],[App]],Table2[],3,0),"open")</f>
        <v>ok</v>
      </c>
      <c r="C3930" s="138" t="s">
        <v>369</v>
      </c>
      <c r="D3930" t="s">
        <v>6057</v>
      </c>
      <c r="E3930" t="s">
        <v>6059</v>
      </c>
      <c r="F3930" s="129" t="s">
        <v>6059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4894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78</v>
      </c>
      <c r="R3930" s="136" t="s">
        <v>6087</v>
      </c>
      <c r="S3930" s="129"/>
    </row>
    <row r="3931" spans="1:19" hidden="1">
      <c r="A3931" s="135" t="s">
        <v>6086</v>
      </c>
      <c r="B3931" s="149" t="str">
        <f>IFERROR(VLOOKUP(Proc[[#This Row],[App]],Table2[],3,0),"open")</f>
        <v>ok</v>
      </c>
      <c r="C3931" s="138" t="s">
        <v>369</v>
      </c>
      <c r="D3931" t="s">
        <v>6058</v>
      </c>
      <c r="E3931" t="s">
        <v>6059</v>
      </c>
      <c r="F3931" s="129" t="s">
        <v>6059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4894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78</v>
      </c>
      <c r="R3931" s="136" t="s">
        <v>6087</v>
      </c>
      <c r="S3931" s="129"/>
    </row>
    <row r="3932" spans="1:19" hidden="1">
      <c r="A3932" t="s">
        <v>6089</v>
      </c>
      <c r="B3932" s="149" t="str">
        <f>IFERROR(VLOOKUP(Proc[[#This Row],[App]],Table2[],3,0),"open")</f>
        <v>ok</v>
      </c>
      <c r="C3932" t="s">
        <v>369</v>
      </c>
      <c r="D3932" t="s">
        <v>5337</v>
      </c>
      <c r="E3932" t="s">
        <v>6088</v>
      </c>
      <c r="F3932" s="129" t="s">
        <v>6088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4894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76</v>
      </c>
      <c r="R3932" s="136" t="s">
        <v>1459</v>
      </c>
      <c r="S3932" s="129"/>
    </row>
    <row r="3933" spans="1:19" hidden="1">
      <c r="A3933" s="135" t="s">
        <v>6089</v>
      </c>
      <c r="B3933" s="149" t="str">
        <f>IFERROR(VLOOKUP(Proc[[#This Row],[App]],Table2[],3,0),"open")</f>
        <v>ok</v>
      </c>
      <c r="C3933" s="138" t="s">
        <v>369</v>
      </c>
      <c r="D3933" t="s">
        <v>5336</v>
      </c>
      <c r="E3933" t="s">
        <v>6088</v>
      </c>
      <c r="F3933" s="129" t="s">
        <v>6088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4894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76</v>
      </c>
      <c r="R3933" s="136" t="s">
        <v>1459</v>
      </c>
      <c r="S3933" s="129"/>
    </row>
    <row r="3934" spans="1:19" hidden="1">
      <c r="A3934" s="135" t="s">
        <v>6089</v>
      </c>
      <c r="B3934" s="149" t="str">
        <f>IFERROR(VLOOKUP(Proc[[#This Row],[App]],Table2[],3,0),"open")</f>
        <v>ok</v>
      </c>
      <c r="C3934" s="138" t="s">
        <v>369</v>
      </c>
      <c r="D3934" t="s">
        <v>5334</v>
      </c>
      <c r="E3934" t="s">
        <v>6088</v>
      </c>
      <c r="F3934" s="129" t="s">
        <v>6088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4894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76</v>
      </c>
      <c r="R3934" s="136" t="s">
        <v>1459</v>
      </c>
      <c r="S3934" s="129"/>
    </row>
    <row r="3935" spans="1:19" hidden="1">
      <c r="A3935" s="135" t="s">
        <v>6089</v>
      </c>
      <c r="B3935" s="149" t="str">
        <f>IFERROR(VLOOKUP(Proc[[#This Row],[App]],Table2[],3,0),"open")</f>
        <v>ok</v>
      </c>
      <c r="C3935" s="138" t="s">
        <v>369</v>
      </c>
      <c r="D3935" t="s">
        <v>5368</v>
      </c>
      <c r="E3935" t="s">
        <v>6088</v>
      </c>
      <c r="F3935" s="129" t="s">
        <v>6088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4894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76</v>
      </c>
      <c r="R3935" s="136" t="s">
        <v>1459</v>
      </c>
      <c r="S3935" s="129"/>
    </row>
    <row r="3936" spans="1:19" hidden="1">
      <c r="A3936" s="135" t="s">
        <v>6089</v>
      </c>
      <c r="B3936" s="149" t="str">
        <f>IFERROR(VLOOKUP(Proc[[#This Row],[App]],Table2[],3,0),"open")</f>
        <v>ok</v>
      </c>
      <c r="C3936" s="138" t="s">
        <v>369</v>
      </c>
      <c r="D3936" t="s">
        <v>5335</v>
      </c>
      <c r="E3936" t="s">
        <v>6088</v>
      </c>
      <c r="F3936" s="129" t="s">
        <v>6088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4894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76</v>
      </c>
      <c r="R3936" s="136" t="s">
        <v>1459</v>
      </c>
      <c r="S3936" s="129"/>
    </row>
    <row r="3937" spans="1:19" hidden="1">
      <c r="A3937" t="s">
        <v>6098</v>
      </c>
      <c r="B3937" s="149" t="str">
        <f>IFERROR(VLOOKUP(Proc[[#This Row],[App]],Table2[],3,0),"open")</f>
        <v>ok</v>
      </c>
      <c r="C3937" s="138" t="s">
        <v>369</v>
      </c>
      <c r="D3937" t="s">
        <v>6090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4894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76</v>
      </c>
      <c r="R3937" s="136" t="s">
        <v>972</v>
      </c>
      <c r="S3937" s="129"/>
    </row>
    <row r="3938" spans="1:19" hidden="1">
      <c r="A3938" s="135" t="s">
        <v>6098</v>
      </c>
      <c r="B3938" s="149" t="str">
        <f>IFERROR(VLOOKUP(Proc[[#This Row],[App]],Table2[],3,0),"open")</f>
        <v>ok</v>
      </c>
      <c r="C3938" s="138" t="s">
        <v>369</v>
      </c>
      <c r="D3938" t="s">
        <v>6091</v>
      </c>
      <c r="E3938" t="s">
        <v>6097</v>
      </c>
      <c r="F3938" s="129" t="s">
        <v>6097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4894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76</v>
      </c>
      <c r="R3938" s="136" t="s">
        <v>972</v>
      </c>
      <c r="S3938" s="129"/>
    </row>
    <row r="3939" spans="1:19" hidden="1">
      <c r="A3939" s="135" t="s">
        <v>6098</v>
      </c>
      <c r="B3939" s="149" t="str">
        <f>IFERROR(VLOOKUP(Proc[[#This Row],[App]],Table2[],3,0),"open")</f>
        <v>ok</v>
      </c>
      <c r="C3939" s="138" t="s">
        <v>369</v>
      </c>
      <c r="D3939" t="s">
        <v>6092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4894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76</v>
      </c>
      <c r="R3939" s="136" t="s">
        <v>972</v>
      </c>
      <c r="S3939" s="129"/>
    </row>
    <row r="3940" spans="1:19" hidden="1">
      <c r="A3940" s="135" t="s">
        <v>6098</v>
      </c>
      <c r="B3940" s="149" t="str">
        <f>IFERROR(VLOOKUP(Proc[[#This Row],[App]],Table2[],3,0),"open")</f>
        <v>ok</v>
      </c>
      <c r="C3940" s="138" t="s">
        <v>369</v>
      </c>
      <c r="D3940" t="s">
        <v>6093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4894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76</v>
      </c>
      <c r="R3940" s="136" t="s">
        <v>972</v>
      </c>
      <c r="S3940" s="129"/>
    </row>
    <row r="3941" spans="1:19" hidden="1">
      <c r="A3941" s="135" t="s">
        <v>6098</v>
      </c>
      <c r="B3941" s="149" t="str">
        <f>IFERROR(VLOOKUP(Proc[[#This Row],[App]],Table2[],3,0),"open")</f>
        <v>ok</v>
      </c>
      <c r="C3941" s="138" t="s">
        <v>369</v>
      </c>
      <c r="D3941" t="s">
        <v>6094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4894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76</v>
      </c>
      <c r="R3941" s="136" t="s">
        <v>972</v>
      </c>
      <c r="S3941" s="129"/>
    </row>
    <row r="3942" spans="1:19" hidden="1">
      <c r="A3942" s="135" t="s">
        <v>6098</v>
      </c>
      <c r="B3942" s="149" t="str">
        <f>IFERROR(VLOOKUP(Proc[[#This Row],[App]],Table2[],3,0),"open")</f>
        <v>ok</v>
      </c>
      <c r="C3942" s="138" t="s">
        <v>369</v>
      </c>
      <c r="D3942" t="s">
        <v>6095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4894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76</v>
      </c>
      <c r="R3942" s="136" t="s">
        <v>972</v>
      </c>
      <c r="S3942" s="129"/>
    </row>
    <row r="3943" spans="1:19" hidden="1">
      <c r="A3943" s="135" t="s">
        <v>6098</v>
      </c>
      <c r="B3943" s="149" t="str">
        <f>IFERROR(VLOOKUP(Proc[[#This Row],[App]],Table2[],3,0),"open")</f>
        <v>ok</v>
      </c>
      <c r="C3943" s="138" t="s">
        <v>369</v>
      </c>
      <c r="D3943" t="s">
        <v>6096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4894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76</v>
      </c>
      <c r="R3943" s="136" t="s">
        <v>972</v>
      </c>
      <c r="S3943" s="129"/>
    </row>
    <row r="3944" spans="1:19" hidden="1">
      <c r="A3944" t="s">
        <v>6099</v>
      </c>
      <c r="B3944" s="149" t="str">
        <f>IFERROR(VLOOKUP(Proc[[#This Row],[App]],Table2[],3,0),"open")</f>
        <v>ok</v>
      </c>
      <c r="C3944" s="138" t="s">
        <v>369</v>
      </c>
      <c r="D3944" t="s">
        <v>6100</v>
      </c>
      <c r="E3944" t="s">
        <v>5668</v>
      </c>
      <c r="F3944" s="142" t="s">
        <v>5668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4894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76</v>
      </c>
      <c r="R3944" s="136" t="s">
        <v>515</v>
      </c>
      <c r="S3944" s="129"/>
    </row>
    <row r="3945" spans="1:19" hidden="1">
      <c r="A3945" s="138" t="s">
        <v>6099</v>
      </c>
      <c r="B3945" s="149" t="str">
        <f>IFERROR(VLOOKUP(Proc[[#This Row],[App]],Table2[],3,0),"open")</f>
        <v>ok</v>
      </c>
      <c r="C3945" s="138" t="s">
        <v>369</v>
      </c>
      <c r="D3945" t="s">
        <v>6101</v>
      </c>
      <c r="E3945" t="s">
        <v>5668</v>
      </c>
      <c r="F3945" s="129" t="s">
        <v>5668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4894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76</v>
      </c>
      <c r="R3945" s="136" t="s">
        <v>515</v>
      </c>
      <c r="S3945" s="129"/>
    </row>
    <row r="3946" spans="1:19" hidden="1">
      <c r="A3946" s="138" t="s">
        <v>6099</v>
      </c>
      <c r="B3946" s="149" t="str">
        <f>IFERROR(VLOOKUP(Proc[[#This Row],[App]],Table2[],3,0),"open")</f>
        <v>ok</v>
      </c>
      <c r="C3946" s="142" t="s">
        <v>369</v>
      </c>
      <c r="D3946" t="s">
        <v>6102</v>
      </c>
      <c r="E3946" t="s">
        <v>5668</v>
      </c>
      <c r="F3946" s="142" t="s">
        <v>5668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4894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76</v>
      </c>
      <c r="R3946" s="136" t="s">
        <v>515</v>
      </c>
      <c r="S3946" s="129"/>
    </row>
    <row r="3947" spans="1:19" hidden="1">
      <c r="A3947" t="s">
        <v>6105</v>
      </c>
      <c r="B3947" s="149" t="str">
        <f>IFERROR(VLOOKUP(Proc[[#This Row],[App]],Table2[],3,0),"open")</f>
        <v>ok</v>
      </c>
      <c r="C3947" s="149" t="s">
        <v>369</v>
      </c>
      <c r="D3947" s="138" t="s">
        <v>5953</v>
      </c>
      <c r="E3947" s="138" t="s">
        <v>6063</v>
      </c>
      <c r="F3947" s="150" t="s">
        <v>6063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4894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76</v>
      </c>
      <c r="R3947" s="136" t="s">
        <v>6087</v>
      </c>
      <c r="S3947" s="129"/>
    </row>
    <row r="3948" spans="1:19" hidden="1">
      <c r="A3948" t="s">
        <v>6106</v>
      </c>
      <c r="B3948" s="149" t="str">
        <f>IFERROR(VLOOKUP(Proc[[#This Row],[App]],Table2[],3,0),"open")</f>
        <v>ok</v>
      </c>
      <c r="C3948" s="138" t="s">
        <v>369</v>
      </c>
      <c r="D3948" t="s">
        <v>6107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4894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75</v>
      </c>
      <c r="R3948" s="136" t="s">
        <v>1013</v>
      </c>
      <c r="S3948" s="129"/>
    </row>
    <row r="3949" spans="1:19" hidden="1">
      <c r="A3949" s="138" t="s">
        <v>6106</v>
      </c>
      <c r="B3949" s="149" t="str">
        <f>IFERROR(VLOOKUP(Proc[[#This Row],[App]],Table2[],3,0),"open")</f>
        <v>ok</v>
      </c>
      <c r="C3949" s="138" t="s">
        <v>369</v>
      </c>
      <c r="D3949" t="s">
        <v>6108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4894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75</v>
      </c>
      <c r="R3949" s="136" t="s">
        <v>1013</v>
      </c>
      <c r="S3949" s="129"/>
    </row>
    <row r="3950" spans="1:19" hidden="1">
      <c r="A3950" s="138" t="s">
        <v>6106</v>
      </c>
      <c r="B3950" s="149" t="str">
        <f>IFERROR(VLOOKUP(Proc[[#This Row],[App]],Table2[],3,0),"open")</f>
        <v>ok</v>
      </c>
      <c r="C3950" s="138" t="s">
        <v>369</v>
      </c>
      <c r="D3950" t="s">
        <v>6109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4894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75</v>
      </c>
      <c r="R3950" s="136" t="s">
        <v>1013</v>
      </c>
      <c r="S3950" s="129"/>
    </row>
    <row r="3951" spans="1:19" hidden="1">
      <c r="A3951" s="138" t="s">
        <v>6106</v>
      </c>
      <c r="B3951" s="149" t="str">
        <f>IFERROR(VLOOKUP(Proc[[#This Row],[App]],Table2[],3,0),"open")</f>
        <v>ok</v>
      </c>
      <c r="C3951" s="138" t="s">
        <v>369</v>
      </c>
      <c r="D3951" t="s">
        <v>6110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4894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75</v>
      </c>
      <c r="R3951" s="136" t="s">
        <v>1013</v>
      </c>
      <c r="S3951" s="129"/>
    </row>
    <row r="3952" spans="1:19" hidden="1">
      <c r="A3952" s="138" t="s">
        <v>6106</v>
      </c>
      <c r="B3952" s="149" t="str">
        <f>IFERROR(VLOOKUP(Proc[[#This Row],[App]],Table2[],3,0),"open")</f>
        <v>ok</v>
      </c>
      <c r="C3952" s="138" t="s">
        <v>369</v>
      </c>
      <c r="D3952" t="s">
        <v>6111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4894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75</v>
      </c>
      <c r="R3952" s="136" t="s">
        <v>1013</v>
      </c>
      <c r="S3952" s="129"/>
    </row>
    <row r="3953" spans="1:19" hidden="1">
      <c r="A3953" s="138" t="s">
        <v>6106</v>
      </c>
      <c r="B3953" s="149" t="str">
        <f>IFERROR(VLOOKUP(Proc[[#This Row],[App]],Table2[],3,0),"open")</f>
        <v>ok</v>
      </c>
      <c r="C3953" s="138" t="s">
        <v>369</v>
      </c>
      <c r="D3953" t="s">
        <v>6112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4894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75</v>
      </c>
      <c r="R3953" s="136" t="s">
        <v>1013</v>
      </c>
      <c r="S3953" s="129"/>
    </row>
    <row r="3954" spans="1:19" hidden="1">
      <c r="A3954" s="138" t="s">
        <v>6106</v>
      </c>
      <c r="B3954" s="149" t="str">
        <f>IFERROR(VLOOKUP(Proc[[#This Row],[App]],Table2[],3,0),"open")</f>
        <v>ok</v>
      </c>
      <c r="C3954" s="138" t="s">
        <v>369</v>
      </c>
      <c r="D3954" t="s">
        <v>6113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4894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75</v>
      </c>
      <c r="R3954" s="136" t="s">
        <v>1013</v>
      </c>
      <c r="S3954" s="129"/>
    </row>
    <row r="3955" spans="1:19" hidden="1">
      <c r="A3955" s="138" t="s">
        <v>6106</v>
      </c>
      <c r="B3955" s="149" t="str">
        <f>IFERROR(VLOOKUP(Proc[[#This Row],[App]],Table2[],3,0),"open")</f>
        <v>ok</v>
      </c>
      <c r="C3955" s="138" t="s">
        <v>369</v>
      </c>
      <c r="D3955" t="s">
        <v>6114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4894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75</v>
      </c>
      <c r="R3955" s="136" t="s">
        <v>1013</v>
      </c>
      <c r="S3955" s="129"/>
    </row>
    <row r="3956" spans="1:19" hidden="1">
      <c r="A3956" s="138" t="s">
        <v>6106</v>
      </c>
      <c r="B3956" s="149" t="str">
        <f>IFERROR(VLOOKUP(Proc[[#This Row],[App]],Table2[],3,0),"open")</f>
        <v>ok</v>
      </c>
      <c r="C3956" s="138" t="s">
        <v>369</v>
      </c>
      <c r="D3956" t="s">
        <v>6115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4894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75</v>
      </c>
      <c r="R3956" s="136" t="s">
        <v>1013</v>
      </c>
      <c r="S3956" s="129"/>
    </row>
    <row r="3957" spans="1:19" hidden="1">
      <c r="A3957" s="138" t="s">
        <v>6106</v>
      </c>
      <c r="B3957" s="149" t="str">
        <f>IFERROR(VLOOKUP(Proc[[#This Row],[App]],Table2[],3,0),"open")</f>
        <v>ok</v>
      </c>
      <c r="C3957" s="138" t="s">
        <v>369</v>
      </c>
      <c r="D3957" t="s">
        <v>6116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4894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75</v>
      </c>
      <c r="R3957" s="136" t="s">
        <v>1013</v>
      </c>
      <c r="S3957" s="129"/>
    </row>
    <row r="3958" spans="1:19" hidden="1">
      <c r="A3958" s="138" t="s">
        <v>6106</v>
      </c>
      <c r="B3958" s="149" t="str">
        <f>IFERROR(VLOOKUP(Proc[[#This Row],[App]],Table2[],3,0),"open")</f>
        <v>ok</v>
      </c>
      <c r="C3958" s="138" t="s">
        <v>369</v>
      </c>
      <c r="D3958" t="s">
        <v>6117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4894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75</v>
      </c>
      <c r="R3958" s="136" t="s">
        <v>1013</v>
      </c>
      <c r="S3958" s="129"/>
    </row>
    <row r="3959" spans="1:19" hidden="1">
      <c r="A3959" s="138" t="s">
        <v>6106</v>
      </c>
      <c r="B3959" s="149" t="str">
        <f>IFERROR(VLOOKUP(Proc[[#This Row],[App]],Table2[],3,0),"open")</f>
        <v>ok</v>
      </c>
      <c r="C3959" s="138" t="s">
        <v>369</v>
      </c>
      <c r="D3959" t="s">
        <v>6118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4894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75</v>
      </c>
      <c r="R3959" s="136" t="s">
        <v>1013</v>
      </c>
      <c r="S3959" s="129"/>
    </row>
    <row r="3960" spans="1:19" hidden="1">
      <c r="A3960" s="138" t="s">
        <v>6106</v>
      </c>
      <c r="B3960" s="149" t="str">
        <f>IFERROR(VLOOKUP(Proc[[#This Row],[App]],Table2[],3,0),"open")</f>
        <v>ok</v>
      </c>
      <c r="C3960" s="138" t="s">
        <v>369</v>
      </c>
      <c r="D3960" t="s">
        <v>6119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4894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75</v>
      </c>
      <c r="R3960" s="136" t="s">
        <v>1013</v>
      </c>
      <c r="S3960" s="129"/>
    </row>
    <row r="3961" spans="1:19" hidden="1">
      <c r="A3961" s="138" t="s">
        <v>6106</v>
      </c>
      <c r="B3961" s="149" t="str">
        <f>IFERROR(VLOOKUP(Proc[[#This Row],[App]],Table2[],3,0),"open")</f>
        <v>ok</v>
      </c>
      <c r="C3961" s="138" t="s">
        <v>369</v>
      </c>
      <c r="D3961" t="s">
        <v>6120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4894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75</v>
      </c>
      <c r="R3961" s="136" t="s">
        <v>1013</v>
      </c>
      <c r="S3961" s="129"/>
    </row>
    <row r="3962" spans="1:19" hidden="1">
      <c r="A3962" s="138" t="s">
        <v>6106</v>
      </c>
      <c r="B3962" s="149" t="str">
        <f>IFERROR(VLOOKUP(Proc[[#This Row],[App]],Table2[],3,0),"open")</f>
        <v>ok</v>
      </c>
      <c r="C3962" s="138" t="s">
        <v>369</v>
      </c>
      <c r="D3962" t="s">
        <v>6121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4894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75</v>
      </c>
      <c r="R3962" s="136" t="s">
        <v>1013</v>
      </c>
      <c r="S3962" s="129"/>
    </row>
    <row r="3963" spans="1:19" hidden="1">
      <c r="A3963" s="138" t="s">
        <v>6106</v>
      </c>
      <c r="B3963" s="149" t="str">
        <f>IFERROR(VLOOKUP(Proc[[#This Row],[App]],Table2[],3,0),"open")</f>
        <v>ok</v>
      </c>
      <c r="C3963" s="138" t="s">
        <v>369</v>
      </c>
      <c r="D3963" t="s">
        <v>6122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4894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75</v>
      </c>
      <c r="R3963" s="136" t="s">
        <v>1013</v>
      </c>
      <c r="S3963" s="129"/>
    </row>
    <row r="3964" spans="1:19" hidden="1">
      <c r="A3964" s="138" t="s">
        <v>6106</v>
      </c>
      <c r="B3964" s="149" t="str">
        <f>IFERROR(VLOOKUP(Proc[[#This Row],[App]],Table2[],3,0),"open")</f>
        <v>ok</v>
      </c>
      <c r="C3964" s="138" t="s">
        <v>369</v>
      </c>
      <c r="D3964" t="s">
        <v>6123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4894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75</v>
      </c>
      <c r="R3964" s="136" t="s">
        <v>1013</v>
      </c>
      <c r="S3964" s="129"/>
    </row>
    <row r="3965" spans="1:19" hidden="1">
      <c r="A3965" s="138" t="s">
        <v>6106</v>
      </c>
      <c r="B3965" s="149" t="str">
        <f>IFERROR(VLOOKUP(Proc[[#This Row],[App]],Table2[],3,0),"open")</f>
        <v>ok</v>
      </c>
      <c r="C3965" s="138" t="s">
        <v>369</v>
      </c>
      <c r="D3965" t="s">
        <v>6124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4894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75</v>
      </c>
      <c r="R3965" s="136" t="s">
        <v>1013</v>
      </c>
      <c r="S3965" s="129"/>
    </row>
    <row r="3966" spans="1:19" hidden="1">
      <c r="A3966" s="138" t="s">
        <v>6106</v>
      </c>
      <c r="B3966" s="149" t="str">
        <f>IFERROR(VLOOKUP(Proc[[#This Row],[App]],Table2[],3,0),"open")</f>
        <v>ok</v>
      </c>
      <c r="C3966" s="138" t="s">
        <v>369</v>
      </c>
      <c r="D3966" t="s">
        <v>6125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4894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75</v>
      </c>
      <c r="R3966" s="136" t="s">
        <v>1013</v>
      </c>
      <c r="S3966" s="129"/>
    </row>
    <row r="3967" spans="1:19" hidden="1">
      <c r="A3967" s="138" t="s">
        <v>6106</v>
      </c>
      <c r="B3967" s="149" t="str">
        <f>IFERROR(VLOOKUP(Proc[[#This Row],[App]],Table2[],3,0),"open")</f>
        <v>ok</v>
      </c>
      <c r="C3967" s="138" t="s">
        <v>369</v>
      </c>
      <c r="D3967" t="s">
        <v>6126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4894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75</v>
      </c>
      <c r="R3967" s="136" t="s">
        <v>1013</v>
      </c>
      <c r="S3967" s="129"/>
    </row>
    <row r="3968" spans="1:19" hidden="1">
      <c r="A3968" s="138" t="s">
        <v>6106</v>
      </c>
      <c r="B3968" s="149" t="str">
        <f>IFERROR(VLOOKUP(Proc[[#This Row],[App]],Table2[],3,0),"open")</f>
        <v>ok</v>
      </c>
      <c r="C3968" s="138" t="s">
        <v>369</v>
      </c>
      <c r="D3968" t="s">
        <v>6127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4894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75</v>
      </c>
      <c r="R3968" s="136" t="s">
        <v>1013</v>
      </c>
      <c r="S3968" s="129"/>
    </row>
    <row r="3969" spans="1:19" hidden="1">
      <c r="A3969" s="138" t="s">
        <v>6106</v>
      </c>
      <c r="B3969" s="149" t="str">
        <f>IFERROR(VLOOKUP(Proc[[#This Row],[App]],Table2[],3,0),"open")</f>
        <v>ok</v>
      </c>
      <c r="C3969" s="138" t="s">
        <v>369</v>
      </c>
      <c r="D3969" t="s">
        <v>6128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4894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75</v>
      </c>
      <c r="R3969" s="136" t="s">
        <v>1013</v>
      </c>
      <c r="S3969" s="129"/>
    </row>
    <row r="3970" spans="1:19" hidden="1">
      <c r="A3970" s="138" t="s">
        <v>6106</v>
      </c>
      <c r="B3970" s="149" t="str">
        <f>IFERROR(VLOOKUP(Proc[[#This Row],[App]],Table2[],3,0),"open")</f>
        <v>ok</v>
      </c>
      <c r="C3970" s="138" t="s">
        <v>369</v>
      </c>
      <c r="D3970" t="s">
        <v>6129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4894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75</v>
      </c>
      <c r="R3970" s="136" t="s">
        <v>1013</v>
      </c>
      <c r="S3970" s="129"/>
    </row>
    <row r="3971" spans="1:19" hidden="1">
      <c r="A3971" s="138" t="s">
        <v>6106</v>
      </c>
      <c r="B3971" s="149" t="str">
        <f>IFERROR(VLOOKUP(Proc[[#This Row],[App]],Table2[],3,0),"open")</f>
        <v>ok</v>
      </c>
      <c r="C3971" s="138" t="s">
        <v>369</v>
      </c>
      <c r="D3971" t="s">
        <v>6130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4894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75</v>
      </c>
      <c r="R3971" s="136" t="s">
        <v>1013</v>
      </c>
      <c r="S3971" s="129"/>
    </row>
    <row r="3972" spans="1:19" hidden="1">
      <c r="A3972" s="138" t="s">
        <v>6106</v>
      </c>
      <c r="B3972" s="149" t="str">
        <f>IFERROR(VLOOKUP(Proc[[#This Row],[App]],Table2[],3,0),"open")</f>
        <v>ok</v>
      </c>
      <c r="C3972" s="138" t="s">
        <v>369</v>
      </c>
      <c r="D3972" t="s">
        <v>6131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4894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75</v>
      </c>
      <c r="R3972" s="136" t="s">
        <v>1013</v>
      </c>
      <c r="S3972" s="129"/>
    </row>
    <row r="3973" spans="1:19" hidden="1">
      <c r="A3973" s="138" t="s">
        <v>6106</v>
      </c>
      <c r="B3973" s="149" t="str">
        <f>IFERROR(VLOOKUP(Proc[[#This Row],[App]],Table2[],3,0),"open")</f>
        <v>ok</v>
      </c>
      <c r="C3973" s="138" t="s">
        <v>369</v>
      </c>
      <c r="D3973" t="s">
        <v>6132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4894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75</v>
      </c>
      <c r="R3973" s="136" t="s">
        <v>1013</v>
      </c>
      <c r="S3973" s="129"/>
    </row>
    <row r="3974" spans="1:19" hidden="1">
      <c r="A3974" s="138" t="s">
        <v>6106</v>
      </c>
      <c r="B3974" s="149" t="str">
        <f>IFERROR(VLOOKUP(Proc[[#This Row],[App]],Table2[],3,0),"open")</f>
        <v>ok</v>
      </c>
      <c r="C3974" s="138" t="s">
        <v>369</v>
      </c>
      <c r="D3974" t="s">
        <v>6133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4894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75</v>
      </c>
      <c r="R3974" s="136" t="s">
        <v>1013</v>
      </c>
      <c r="S3974" s="129"/>
    </row>
    <row r="3975" spans="1:19" hidden="1">
      <c r="A3975" s="138" t="s">
        <v>6106</v>
      </c>
      <c r="B3975" s="149" t="str">
        <f>IFERROR(VLOOKUP(Proc[[#This Row],[App]],Table2[],3,0),"open")</f>
        <v>ok</v>
      </c>
      <c r="C3975" s="138" t="s">
        <v>369</v>
      </c>
      <c r="D3975" t="s">
        <v>6134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4894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75</v>
      </c>
      <c r="R3975" s="136" t="s">
        <v>1013</v>
      </c>
      <c r="S3975" s="129"/>
    </row>
    <row r="3976" spans="1:19" hidden="1">
      <c r="A3976" s="138" t="s">
        <v>6106</v>
      </c>
      <c r="B3976" s="149" t="str">
        <f>IFERROR(VLOOKUP(Proc[[#This Row],[App]],Table2[],3,0),"open")</f>
        <v>ok</v>
      </c>
      <c r="C3976" s="138" t="s">
        <v>369</v>
      </c>
      <c r="D3976" t="s">
        <v>6135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4894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75</v>
      </c>
      <c r="R3976" s="136" t="s">
        <v>1013</v>
      </c>
      <c r="S3976" s="129"/>
    </row>
    <row r="3977" spans="1:19" hidden="1">
      <c r="A3977" s="138" t="s">
        <v>6106</v>
      </c>
      <c r="B3977" s="149" t="str">
        <f>IFERROR(VLOOKUP(Proc[[#This Row],[App]],Table2[],3,0),"open")</f>
        <v>ok</v>
      </c>
      <c r="C3977" s="138" t="s">
        <v>369</v>
      </c>
      <c r="D3977" t="s">
        <v>6136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4894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75</v>
      </c>
      <c r="R3977" s="136" t="s">
        <v>1013</v>
      </c>
      <c r="S3977" s="129"/>
    </row>
    <row r="3978" spans="1:19" hidden="1">
      <c r="A3978" s="138" t="s">
        <v>6106</v>
      </c>
      <c r="B3978" s="149" t="str">
        <f>IFERROR(VLOOKUP(Proc[[#This Row],[App]],Table2[],3,0),"open")</f>
        <v>ok</v>
      </c>
      <c r="C3978" s="138" t="s">
        <v>369</v>
      </c>
      <c r="D3978" t="s">
        <v>6137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4894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75</v>
      </c>
      <c r="R3978" s="136" t="s">
        <v>1013</v>
      </c>
      <c r="S3978" s="129"/>
    </row>
    <row r="3979" spans="1:19" hidden="1">
      <c r="A3979" s="138" t="s">
        <v>6106</v>
      </c>
      <c r="B3979" s="149" t="str">
        <f>IFERROR(VLOOKUP(Proc[[#This Row],[App]],Table2[],3,0),"open")</f>
        <v>ok</v>
      </c>
      <c r="C3979" s="138" t="s">
        <v>369</v>
      </c>
      <c r="D3979" t="s">
        <v>6138</v>
      </c>
      <c r="E3979" t="s">
        <v>6146</v>
      </c>
      <c r="F3979" s="129" t="s">
        <v>6146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4894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75</v>
      </c>
      <c r="R3979" s="136" t="s">
        <v>1013</v>
      </c>
      <c r="S3979" s="129"/>
    </row>
    <row r="3980" spans="1:19" hidden="1">
      <c r="A3980" s="138" t="s">
        <v>6106</v>
      </c>
      <c r="B3980" s="149" t="str">
        <f>IFERROR(VLOOKUP(Proc[[#This Row],[App]],Table2[],3,0),"open")</f>
        <v>ok</v>
      </c>
      <c r="C3980" s="138" t="s">
        <v>369</v>
      </c>
      <c r="D3980" t="s">
        <v>6139</v>
      </c>
      <c r="E3980" t="s">
        <v>6146</v>
      </c>
      <c r="F3980" s="129" t="s">
        <v>6146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4894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75</v>
      </c>
      <c r="R3980" s="136" t="s">
        <v>1013</v>
      </c>
      <c r="S3980" s="129"/>
    </row>
    <row r="3981" spans="1:19" hidden="1">
      <c r="A3981" s="138" t="s">
        <v>6106</v>
      </c>
      <c r="B3981" s="149" t="str">
        <f>IFERROR(VLOOKUP(Proc[[#This Row],[App]],Table2[],3,0),"open")</f>
        <v>ok</v>
      </c>
      <c r="C3981" s="138" t="s">
        <v>369</v>
      </c>
      <c r="D3981" t="s">
        <v>6140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4894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75</v>
      </c>
      <c r="R3981" s="136" t="s">
        <v>1013</v>
      </c>
      <c r="S3981" s="129"/>
    </row>
    <row r="3982" spans="1:19" hidden="1">
      <c r="A3982" s="138" t="s">
        <v>6106</v>
      </c>
      <c r="B3982" s="149" t="str">
        <f>IFERROR(VLOOKUP(Proc[[#This Row],[App]],Table2[],3,0),"open")</f>
        <v>ok</v>
      </c>
      <c r="C3982" s="138" t="s">
        <v>369</v>
      </c>
      <c r="D3982" t="s">
        <v>6141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4894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75</v>
      </c>
      <c r="R3982" s="136" t="s">
        <v>1013</v>
      </c>
      <c r="S3982" s="129"/>
    </row>
    <row r="3983" spans="1:19" hidden="1">
      <c r="A3983" s="138" t="s">
        <v>6106</v>
      </c>
      <c r="B3983" s="149" t="str">
        <f>IFERROR(VLOOKUP(Proc[[#This Row],[App]],Table2[],3,0),"open")</f>
        <v>ok</v>
      </c>
      <c r="C3983" s="138" t="s">
        <v>369</v>
      </c>
      <c r="D3983" t="s">
        <v>6142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4894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75</v>
      </c>
      <c r="R3983" s="136" t="s">
        <v>1013</v>
      </c>
      <c r="S3983" s="129"/>
    </row>
    <row r="3984" spans="1:19" hidden="1">
      <c r="A3984" s="138" t="s">
        <v>6106</v>
      </c>
      <c r="B3984" s="149" t="str">
        <f>IFERROR(VLOOKUP(Proc[[#This Row],[App]],Table2[],3,0),"open")</f>
        <v>ok</v>
      </c>
      <c r="C3984" s="138" t="s">
        <v>369</v>
      </c>
      <c r="D3984" t="s">
        <v>6143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4894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75</v>
      </c>
      <c r="R3984" s="136" t="s">
        <v>1013</v>
      </c>
      <c r="S3984" s="129"/>
    </row>
    <row r="3985" spans="1:19" hidden="1">
      <c r="A3985" s="138" t="s">
        <v>6106</v>
      </c>
      <c r="B3985" s="149" t="str">
        <f>IFERROR(VLOOKUP(Proc[[#This Row],[App]],Table2[],3,0),"open")</f>
        <v>ok</v>
      </c>
      <c r="C3985" s="138" t="s">
        <v>369</v>
      </c>
      <c r="D3985" t="s">
        <v>6144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4894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75</v>
      </c>
      <c r="R3985" s="136" t="s">
        <v>1013</v>
      </c>
      <c r="S3985" s="129"/>
    </row>
    <row r="3986" spans="1:19" hidden="1">
      <c r="A3986" s="138" t="s">
        <v>6106</v>
      </c>
      <c r="B3986" s="149" t="str">
        <f>IFERROR(VLOOKUP(Proc[[#This Row],[App]],Table2[],3,0),"open")</f>
        <v>ok</v>
      </c>
      <c r="C3986" s="138" t="s">
        <v>369</v>
      </c>
      <c r="D3986" t="s">
        <v>6145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4894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75</v>
      </c>
      <c r="R3986" s="136" t="s">
        <v>1013</v>
      </c>
      <c r="S3986" s="129"/>
    </row>
    <row r="3987" spans="1:19" hidden="1">
      <c r="A3987" t="s">
        <v>6147</v>
      </c>
      <c r="B3987" s="149" t="str">
        <f>IFERROR(VLOOKUP(Proc[[#This Row],[App]],Table2[],3,0),"open")</f>
        <v>ok</v>
      </c>
      <c r="C3987" s="139" t="s">
        <v>369</v>
      </c>
      <c r="D3987" t="s">
        <v>6148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4894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74</v>
      </c>
      <c r="R3987" s="136" t="s">
        <v>1262</v>
      </c>
      <c r="S3987" s="129"/>
    </row>
    <row r="3988" spans="1:19" hidden="1">
      <c r="A3988" t="s">
        <v>6160</v>
      </c>
      <c r="B3988" s="149" t="str">
        <f>IFERROR(VLOOKUP(Proc[[#This Row],[App]],Table2[],3,0),"open")</f>
        <v>ok</v>
      </c>
      <c r="C3988" s="142" t="s">
        <v>369</v>
      </c>
      <c r="D3988" t="s">
        <v>5277</v>
      </c>
      <c r="E3988" t="s">
        <v>6158</v>
      </c>
      <c r="F3988" s="140" t="s">
        <v>6158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4894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74</v>
      </c>
      <c r="R3988" s="136" t="s">
        <v>1459</v>
      </c>
      <c r="S3988" s="140"/>
    </row>
    <row r="3989" spans="1:19" hidden="1">
      <c r="A3989" s="139" t="s">
        <v>6160</v>
      </c>
      <c r="B3989" s="149" t="str">
        <f>IFERROR(VLOOKUP(Proc[[#This Row],[App]],Table2[],3,0),"open")</f>
        <v>ok</v>
      </c>
      <c r="C3989" s="142" t="s">
        <v>369</v>
      </c>
      <c r="D3989" t="s">
        <v>6150</v>
      </c>
      <c r="E3989" t="s">
        <v>4411</v>
      </c>
      <c r="F3989" s="140" t="s">
        <v>4411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4894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74</v>
      </c>
      <c r="R3989" s="136" t="s">
        <v>1459</v>
      </c>
      <c r="S3989" s="140"/>
    </row>
    <row r="3990" spans="1:19" hidden="1">
      <c r="A3990" s="139" t="s">
        <v>6160</v>
      </c>
      <c r="B3990" s="149" t="str">
        <f>IFERROR(VLOOKUP(Proc[[#This Row],[App]],Table2[],3,0),"open")</f>
        <v>ok</v>
      </c>
      <c r="C3990" s="142" t="s">
        <v>369</v>
      </c>
      <c r="D3990" t="s">
        <v>6151</v>
      </c>
      <c r="E3990" t="s">
        <v>5452</v>
      </c>
      <c r="F3990" s="140" t="s">
        <v>5452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4894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74</v>
      </c>
      <c r="R3990" s="136" t="s">
        <v>1459</v>
      </c>
      <c r="S3990" s="140"/>
    </row>
    <row r="3991" spans="1:19" hidden="1">
      <c r="A3991" s="139" t="s">
        <v>6160</v>
      </c>
      <c r="B3991" s="149" t="str">
        <f>IFERROR(VLOOKUP(Proc[[#This Row],[App]],Table2[],3,0),"open")</f>
        <v>ok</v>
      </c>
      <c r="C3991" s="149" t="s">
        <v>377</v>
      </c>
      <c r="D3991" t="s">
        <v>2319</v>
      </c>
      <c r="E3991" t="s">
        <v>430</v>
      </c>
      <c r="F3991" s="150" t="s">
        <v>5569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4832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4894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74</v>
      </c>
      <c r="R3991" s="136" t="s">
        <v>1459</v>
      </c>
      <c r="S3991" s="140"/>
    </row>
    <row r="3992" spans="1:19" hidden="1">
      <c r="A3992" s="139" t="s">
        <v>6160</v>
      </c>
      <c r="B3992" s="149" t="str">
        <f>IFERROR(VLOOKUP(Proc[[#This Row],[App]],Table2[],3,0),"open")</f>
        <v>ok</v>
      </c>
      <c r="C3992" s="149" t="s">
        <v>692</v>
      </c>
      <c r="D3992" t="s">
        <v>6152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4832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4894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74</v>
      </c>
      <c r="R3992" s="136" t="s">
        <v>1459</v>
      </c>
      <c r="S3992" s="140"/>
    </row>
    <row r="3993" spans="1:19" hidden="1">
      <c r="A3993" s="139" t="s">
        <v>6160</v>
      </c>
      <c r="B3993" s="149" t="str">
        <f>IFERROR(VLOOKUP(Proc[[#This Row],[App]],Table2[],3,0),"open")</f>
        <v>ok</v>
      </c>
      <c r="C3993" s="142" t="s">
        <v>369</v>
      </c>
      <c r="D3993" t="s">
        <v>5967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4894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74</v>
      </c>
      <c r="R3993" s="136" t="s">
        <v>1459</v>
      </c>
      <c r="S3993" s="140"/>
    </row>
    <row r="3994" spans="1:19" hidden="1">
      <c r="A3994" s="139" t="s">
        <v>6160</v>
      </c>
      <c r="B3994" s="149" t="str">
        <f>IFERROR(VLOOKUP(Proc[[#This Row],[App]],Table2[],3,0),"open")</f>
        <v>ok</v>
      </c>
      <c r="C3994" s="142" t="s">
        <v>369</v>
      </c>
      <c r="D3994" t="s">
        <v>6153</v>
      </c>
      <c r="E3994" t="s">
        <v>5452</v>
      </c>
      <c r="F3994" s="140" t="s">
        <v>5452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4894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74</v>
      </c>
      <c r="R3994" s="136" t="s">
        <v>1459</v>
      </c>
      <c r="S3994" s="140"/>
    </row>
    <row r="3995" spans="1:19" hidden="1">
      <c r="A3995" s="139" t="s">
        <v>6160</v>
      </c>
      <c r="B3995" s="149" t="str">
        <f>IFERROR(VLOOKUP(Proc[[#This Row],[App]],Table2[],3,0),"open")</f>
        <v>ok</v>
      </c>
      <c r="C3995" s="142" t="s">
        <v>369</v>
      </c>
      <c r="D3995" t="s">
        <v>4400</v>
      </c>
      <c r="E3995" t="s">
        <v>4409</v>
      </c>
      <c r="F3995" s="140" t="s">
        <v>4409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4894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74</v>
      </c>
      <c r="R3995" s="136" t="s">
        <v>1459</v>
      </c>
      <c r="S3995" s="140"/>
    </row>
    <row r="3996" spans="1:19" hidden="1">
      <c r="A3996" s="139" t="s">
        <v>6160</v>
      </c>
      <c r="B3996" s="149" t="str">
        <f>IFERROR(VLOOKUP(Proc[[#This Row],[App]],Table2[],3,0),"open")</f>
        <v>ok</v>
      </c>
      <c r="C3996" s="142" t="s">
        <v>369</v>
      </c>
      <c r="D3996" t="s">
        <v>5326</v>
      </c>
      <c r="E3996" t="s">
        <v>4410</v>
      </c>
      <c r="F3996" s="140" t="s">
        <v>4410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4894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74</v>
      </c>
      <c r="R3996" s="136" t="s">
        <v>1459</v>
      </c>
      <c r="S3996" s="140"/>
    </row>
    <row r="3997" spans="1:19" hidden="1">
      <c r="A3997" s="139" t="s">
        <v>6160</v>
      </c>
      <c r="B3997" s="149" t="str">
        <f>IFERROR(VLOOKUP(Proc[[#This Row],[App]],Table2[],3,0),"open")</f>
        <v>ok</v>
      </c>
      <c r="C3997" s="142" t="s">
        <v>369</v>
      </c>
      <c r="D3997" t="s">
        <v>5398</v>
      </c>
      <c r="E3997" t="s">
        <v>6158</v>
      </c>
      <c r="F3997" s="140" t="s">
        <v>6158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4894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74</v>
      </c>
      <c r="R3997" s="136" t="s">
        <v>1459</v>
      </c>
      <c r="S3997" s="140"/>
    </row>
    <row r="3998" spans="1:19" hidden="1">
      <c r="A3998" s="139" t="s">
        <v>6160</v>
      </c>
      <c r="B3998" s="149" t="str">
        <f>IFERROR(VLOOKUP(Proc[[#This Row],[App]],Table2[],3,0),"open")</f>
        <v>ok</v>
      </c>
      <c r="C3998" s="142" t="s">
        <v>369</v>
      </c>
      <c r="D3998" t="s">
        <v>6154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4894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74</v>
      </c>
      <c r="R3998" s="136" t="s">
        <v>1459</v>
      </c>
      <c r="S3998" s="140"/>
    </row>
    <row r="3999" spans="1:19" hidden="1">
      <c r="A3999" s="139" t="s">
        <v>6160</v>
      </c>
      <c r="B3999" s="149" t="str">
        <f>IFERROR(VLOOKUP(Proc[[#This Row],[App]],Table2[],3,0),"open")</f>
        <v>ok</v>
      </c>
      <c r="C3999" s="142" t="s">
        <v>369</v>
      </c>
      <c r="D3999" t="s">
        <v>5399</v>
      </c>
      <c r="E3999" t="s">
        <v>6158</v>
      </c>
      <c r="F3999" s="140" t="s">
        <v>6158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4894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74</v>
      </c>
      <c r="R3999" s="136" t="s">
        <v>1459</v>
      </c>
      <c r="S3999" s="140"/>
    </row>
    <row r="4000" spans="1:19" hidden="1">
      <c r="A4000" s="139" t="s">
        <v>6160</v>
      </c>
      <c r="B4000" s="149" t="str">
        <f>IFERROR(VLOOKUP(Proc[[#This Row],[App]],Table2[],3,0),"open")</f>
        <v>ok</v>
      </c>
      <c r="C4000" s="142" t="s">
        <v>369</v>
      </c>
      <c r="D4000" t="s">
        <v>5418</v>
      </c>
      <c r="E4000" t="s">
        <v>6158</v>
      </c>
      <c r="F4000" s="140" t="s">
        <v>6158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4894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74</v>
      </c>
      <c r="R4000" s="136" t="s">
        <v>1459</v>
      </c>
      <c r="S4000" s="140"/>
    </row>
    <row r="4001" spans="1:19" hidden="1">
      <c r="A4001" s="139" t="s">
        <v>6160</v>
      </c>
      <c r="B4001" s="149" t="str">
        <f>IFERROR(VLOOKUP(Proc[[#This Row],[App]],Table2[],3,0),"open")</f>
        <v>ok</v>
      </c>
      <c r="C4001" s="149" t="s">
        <v>692</v>
      </c>
      <c r="D4001" t="s">
        <v>6155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4832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4894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74</v>
      </c>
      <c r="R4001" s="136" t="s">
        <v>1459</v>
      </c>
      <c r="S4001" s="140"/>
    </row>
    <row r="4002" spans="1:19" hidden="1">
      <c r="A4002" s="139" t="s">
        <v>6160</v>
      </c>
      <c r="B4002" s="149" t="str">
        <f>IFERROR(VLOOKUP(Proc[[#This Row],[App]],Table2[],3,0),"open")</f>
        <v>ok</v>
      </c>
      <c r="C4002" s="142" t="s">
        <v>369</v>
      </c>
      <c r="D4002" t="s">
        <v>5434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4894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74</v>
      </c>
      <c r="R4002" s="136" t="s">
        <v>1459</v>
      </c>
      <c r="S4002" s="140"/>
    </row>
    <row r="4003" spans="1:19" hidden="1">
      <c r="A4003" s="139" t="s">
        <v>6160</v>
      </c>
      <c r="B4003" s="149" t="str">
        <f>IFERROR(VLOOKUP(Proc[[#This Row],[App]],Table2[],3,0),"open")</f>
        <v>ok</v>
      </c>
      <c r="C4003" s="142" t="s">
        <v>369</v>
      </c>
      <c r="D4003" t="s">
        <v>6156</v>
      </c>
      <c r="E4003" t="s">
        <v>6159</v>
      </c>
      <c r="F4003" s="140" t="s">
        <v>6159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4894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74</v>
      </c>
      <c r="R4003" s="136" t="s">
        <v>1459</v>
      </c>
      <c r="S4003" s="140"/>
    </row>
    <row r="4004" spans="1:19" hidden="1">
      <c r="A4004" s="139" t="s">
        <v>6160</v>
      </c>
      <c r="B4004" s="149" t="str">
        <f>IFERROR(VLOOKUP(Proc[[#This Row],[App]],Table2[],3,0),"open")</f>
        <v>ok</v>
      </c>
      <c r="C4004" s="142" t="s">
        <v>369</v>
      </c>
      <c r="D4004" t="s">
        <v>6157</v>
      </c>
      <c r="E4004" t="s">
        <v>5452</v>
      </c>
      <c r="F4004" s="140" t="s">
        <v>5452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4894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74</v>
      </c>
      <c r="R4004" s="136" t="s">
        <v>1459</v>
      </c>
      <c r="S4004" s="140"/>
    </row>
    <row r="4005" spans="1:19" hidden="1">
      <c r="A4005" t="s">
        <v>6161</v>
      </c>
      <c r="B4005" s="149" t="str">
        <f>IFERROR(VLOOKUP(Proc[[#This Row],[App]],Table2[],3,0),"open")</f>
        <v>ok</v>
      </c>
      <c r="C4005" s="142" t="s">
        <v>369</v>
      </c>
      <c r="D4005" s="141" t="s">
        <v>6090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4894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73</v>
      </c>
      <c r="R4005" s="136" t="s">
        <v>972</v>
      </c>
      <c r="S4005" s="140"/>
    </row>
    <row r="4006" spans="1:19" hidden="1">
      <c r="A4006" t="s">
        <v>6201</v>
      </c>
      <c r="B4006" s="149" t="str">
        <f>IFERROR(VLOOKUP(Proc[[#This Row],[App]],Table2[],3,0),"open")</f>
        <v>ok</v>
      </c>
      <c r="C4006" s="142" t="s">
        <v>369</v>
      </c>
      <c r="D4006" t="s">
        <v>5948</v>
      </c>
      <c r="E4006" t="s">
        <v>6162</v>
      </c>
      <c r="F4006" s="140" t="s">
        <v>6162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4894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73</v>
      </c>
      <c r="R4006" s="136" t="s">
        <v>6087</v>
      </c>
      <c r="S4006" s="140"/>
    </row>
    <row r="4007" spans="1:19" hidden="1">
      <c r="A4007" s="142" t="s">
        <v>6201</v>
      </c>
      <c r="B4007" s="149" t="str">
        <f>IFERROR(VLOOKUP(Proc[[#This Row],[App]],Table2[],3,0),"open")</f>
        <v>ok</v>
      </c>
      <c r="C4007" s="142" t="s">
        <v>369</v>
      </c>
      <c r="D4007" t="s">
        <v>6045</v>
      </c>
      <c r="E4007" t="s">
        <v>6163</v>
      </c>
      <c r="F4007" s="140" t="s">
        <v>6163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4894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73</v>
      </c>
      <c r="R4007" s="136" t="s">
        <v>6087</v>
      </c>
      <c r="S4007" s="140"/>
    </row>
    <row r="4008" spans="1:19" hidden="1">
      <c r="A4008" s="142" t="s">
        <v>6201</v>
      </c>
      <c r="B4008" s="149" t="str">
        <f>IFERROR(VLOOKUP(Proc[[#This Row],[App]],Table2[],3,0),"open")</f>
        <v>ok</v>
      </c>
      <c r="C4008" s="142" t="s">
        <v>369</v>
      </c>
      <c r="D4008" t="s">
        <v>5955</v>
      </c>
      <c r="E4008" t="s">
        <v>6164</v>
      </c>
      <c r="F4008" s="140" t="s">
        <v>6164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4894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73</v>
      </c>
      <c r="R4008" s="136" t="s">
        <v>6087</v>
      </c>
      <c r="S4008" s="140"/>
    </row>
    <row r="4009" spans="1:19" hidden="1">
      <c r="A4009" s="142" t="s">
        <v>6201</v>
      </c>
      <c r="B4009" s="149" t="str">
        <f>IFERROR(VLOOKUP(Proc[[#This Row],[App]],Table2[],3,0),"open")</f>
        <v>ok</v>
      </c>
      <c r="C4009" s="142" t="s">
        <v>369</v>
      </c>
      <c r="D4009" t="s">
        <v>6000</v>
      </c>
      <c r="E4009" t="s">
        <v>6164</v>
      </c>
      <c r="F4009" s="140" t="s">
        <v>6164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4894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73</v>
      </c>
      <c r="R4009" s="136" t="s">
        <v>6087</v>
      </c>
      <c r="S4009" s="140"/>
    </row>
    <row r="4010" spans="1:19" hidden="1">
      <c r="A4010" s="142" t="s">
        <v>6201</v>
      </c>
      <c r="B4010" s="149" t="str">
        <f>IFERROR(VLOOKUP(Proc[[#This Row],[App]],Table2[],3,0),"open")</f>
        <v>ok</v>
      </c>
      <c r="C4010" s="142" t="s">
        <v>369</v>
      </c>
      <c r="D4010" t="s">
        <v>5950</v>
      </c>
      <c r="E4010" t="s">
        <v>6165</v>
      </c>
      <c r="F4010" s="140" t="s">
        <v>6165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4894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73</v>
      </c>
      <c r="R4010" s="136" t="s">
        <v>6087</v>
      </c>
      <c r="S4010" s="140"/>
    </row>
    <row r="4011" spans="1:19" hidden="1">
      <c r="A4011" s="142" t="s">
        <v>6201</v>
      </c>
      <c r="B4011" s="149" t="str">
        <f>IFERROR(VLOOKUP(Proc[[#This Row],[App]],Table2[],3,0),"open")</f>
        <v>ok</v>
      </c>
      <c r="C4011" s="142" t="s">
        <v>369</v>
      </c>
      <c r="D4011" t="s">
        <v>5949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4894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73</v>
      </c>
      <c r="R4011" s="136" t="s">
        <v>6087</v>
      </c>
      <c r="S4011" s="140"/>
    </row>
    <row r="4012" spans="1:19" hidden="1">
      <c r="A4012" s="142" t="s">
        <v>6201</v>
      </c>
      <c r="B4012" s="149" t="str">
        <f>IFERROR(VLOOKUP(Proc[[#This Row],[App]],Table2[],3,0),"open")</f>
        <v>ok</v>
      </c>
      <c r="C4012" s="149" t="s">
        <v>369</v>
      </c>
      <c r="D4012" t="s">
        <v>5974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4894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73</v>
      </c>
      <c r="R4012" s="136" t="s">
        <v>6087</v>
      </c>
      <c r="S4012" s="140"/>
    </row>
    <row r="4013" spans="1:19" hidden="1">
      <c r="A4013" s="142" t="s">
        <v>6201</v>
      </c>
      <c r="B4013" s="149" t="str">
        <f>IFERROR(VLOOKUP(Proc[[#This Row],[App]],Table2[],3,0),"open")</f>
        <v>ok</v>
      </c>
      <c r="C4013" s="142" t="s">
        <v>369</v>
      </c>
      <c r="D4013" t="s">
        <v>5964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4894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73</v>
      </c>
      <c r="R4013" s="136" t="s">
        <v>6087</v>
      </c>
      <c r="S4013" s="140"/>
    </row>
    <row r="4014" spans="1:19" hidden="1">
      <c r="A4014" s="142" t="s">
        <v>6201</v>
      </c>
      <c r="B4014" s="149" t="str">
        <f>IFERROR(VLOOKUP(Proc[[#This Row],[App]],Table2[],3,0),"open")</f>
        <v>ok</v>
      </c>
      <c r="C4014" s="142" t="s">
        <v>369</v>
      </c>
      <c r="D4014" t="s">
        <v>5968</v>
      </c>
      <c r="E4014" t="s">
        <v>6166</v>
      </c>
      <c r="F4014" s="140" t="s">
        <v>6166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4894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73</v>
      </c>
      <c r="R4014" s="136" t="s">
        <v>6087</v>
      </c>
      <c r="S4014" s="140"/>
    </row>
    <row r="4015" spans="1:19" hidden="1">
      <c r="A4015" s="142" t="s">
        <v>6201</v>
      </c>
      <c r="B4015" s="149" t="str">
        <f>IFERROR(VLOOKUP(Proc[[#This Row],[App]],Table2[],3,0),"open")</f>
        <v>ok</v>
      </c>
      <c r="C4015" s="142" t="s">
        <v>369</v>
      </c>
      <c r="D4015" t="s">
        <v>5961</v>
      </c>
      <c r="E4015" t="s">
        <v>6167</v>
      </c>
      <c r="F4015" s="140" t="s">
        <v>6167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4894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73</v>
      </c>
      <c r="R4015" s="136" t="s">
        <v>6087</v>
      </c>
      <c r="S4015" s="140"/>
    </row>
    <row r="4016" spans="1:19" hidden="1">
      <c r="A4016" s="142" t="s">
        <v>6201</v>
      </c>
      <c r="B4016" s="149" t="str">
        <f>IFERROR(VLOOKUP(Proc[[#This Row],[App]],Table2[],3,0),"open")</f>
        <v>ok</v>
      </c>
      <c r="C4016" s="142" t="s">
        <v>369</v>
      </c>
      <c r="D4016" t="s">
        <v>5962</v>
      </c>
      <c r="E4016" t="s">
        <v>6168</v>
      </c>
      <c r="F4016" s="140" t="s">
        <v>6168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4894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73</v>
      </c>
      <c r="R4016" s="136" t="s">
        <v>6087</v>
      </c>
      <c r="S4016" s="140"/>
    </row>
    <row r="4017" spans="1:19" hidden="1">
      <c r="A4017" s="142" t="s">
        <v>6201</v>
      </c>
      <c r="B4017" s="149" t="str">
        <f>IFERROR(VLOOKUP(Proc[[#This Row],[App]],Table2[],3,0),"open")</f>
        <v>ok</v>
      </c>
      <c r="C4017" s="142" t="s">
        <v>369</v>
      </c>
      <c r="D4017" t="s">
        <v>5990</v>
      </c>
      <c r="E4017" t="s">
        <v>6169</v>
      </c>
      <c r="F4017" s="140" t="s">
        <v>6169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4894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73</v>
      </c>
      <c r="R4017" s="136" t="s">
        <v>6087</v>
      </c>
      <c r="S4017" s="140"/>
    </row>
    <row r="4018" spans="1:19" hidden="1">
      <c r="A4018" s="142" t="s">
        <v>6201</v>
      </c>
      <c r="B4018" s="149" t="str">
        <f>IFERROR(VLOOKUP(Proc[[#This Row],[App]],Table2[],3,0),"open")</f>
        <v>ok</v>
      </c>
      <c r="C4018" s="142" t="s">
        <v>369</v>
      </c>
      <c r="D4018" t="s">
        <v>5971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4894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73</v>
      </c>
      <c r="R4018" s="136" t="s">
        <v>6087</v>
      </c>
      <c r="S4018" s="140"/>
    </row>
    <row r="4019" spans="1:19" hidden="1">
      <c r="A4019" s="142" t="s">
        <v>6201</v>
      </c>
      <c r="B4019" s="149" t="str">
        <f>IFERROR(VLOOKUP(Proc[[#This Row],[App]],Table2[],3,0),"open")</f>
        <v>ok</v>
      </c>
      <c r="C4019" s="149" t="s">
        <v>369</v>
      </c>
      <c r="D4019" t="s">
        <v>5972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4894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73</v>
      </c>
      <c r="R4019" s="136" t="s">
        <v>6087</v>
      </c>
      <c r="S4019" s="140"/>
    </row>
    <row r="4020" spans="1:19" hidden="1">
      <c r="A4020" s="142" t="s">
        <v>6201</v>
      </c>
      <c r="B4020" s="149" t="str">
        <f>IFERROR(VLOOKUP(Proc[[#This Row],[App]],Table2[],3,0),"open")</f>
        <v>ok</v>
      </c>
      <c r="C4020" s="142" t="s">
        <v>369</v>
      </c>
      <c r="D4020" t="s">
        <v>5988</v>
      </c>
      <c r="E4020" t="s">
        <v>6170</v>
      </c>
      <c r="F4020" s="140" t="s">
        <v>6170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4894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73</v>
      </c>
      <c r="R4020" s="136" t="s">
        <v>6087</v>
      </c>
      <c r="S4020" s="140"/>
    </row>
    <row r="4021" spans="1:19" hidden="1">
      <c r="A4021" s="142" t="s">
        <v>6201</v>
      </c>
      <c r="B4021" s="149" t="str">
        <f>IFERROR(VLOOKUP(Proc[[#This Row],[App]],Table2[],3,0),"open")</f>
        <v>ok</v>
      </c>
      <c r="C4021" s="142" t="s">
        <v>369</v>
      </c>
      <c r="D4021" t="s">
        <v>5995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4894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73</v>
      </c>
      <c r="R4021" s="136" t="s">
        <v>6087</v>
      </c>
      <c r="S4021" s="140"/>
    </row>
    <row r="4022" spans="1:19" hidden="1">
      <c r="A4022" s="142" t="s">
        <v>6201</v>
      </c>
      <c r="B4022" s="149" t="str">
        <f>IFERROR(VLOOKUP(Proc[[#This Row],[App]],Table2[],3,0),"open")</f>
        <v>ok</v>
      </c>
      <c r="C4022" s="142" t="s">
        <v>369</v>
      </c>
      <c r="D4022" t="s">
        <v>5993</v>
      </c>
      <c r="E4022" t="s">
        <v>6171</v>
      </c>
      <c r="F4022" s="140" t="s">
        <v>6171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4894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73</v>
      </c>
      <c r="R4022" s="136" t="s">
        <v>6087</v>
      </c>
      <c r="S4022" s="140"/>
    </row>
    <row r="4023" spans="1:19" hidden="1">
      <c r="A4023" s="142" t="s">
        <v>6201</v>
      </c>
      <c r="B4023" s="149" t="str">
        <f>IFERROR(VLOOKUP(Proc[[#This Row],[App]],Table2[],3,0),"open")</f>
        <v>ok</v>
      </c>
      <c r="C4023" s="142" t="s">
        <v>369</v>
      </c>
      <c r="D4023" t="s">
        <v>6042</v>
      </c>
      <c r="E4023" t="s">
        <v>6163</v>
      </c>
      <c r="F4023" s="140" t="s">
        <v>6163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4894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73</v>
      </c>
      <c r="R4023" s="136" t="s">
        <v>6087</v>
      </c>
      <c r="S4023" s="140"/>
    </row>
    <row r="4024" spans="1:19" hidden="1">
      <c r="A4024" s="142" t="s">
        <v>6201</v>
      </c>
      <c r="B4024" s="149" t="str">
        <f>IFERROR(VLOOKUP(Proc[[#This Row],[App]],Table2[],3,0),"open")</f>
        <v>ok</v>
      </c>
      <c r="C4024" s="142" t="s">
        <v>369</v>
      </c>
      <c r="D4024" t="s">
        <v>6044</v>
      </c>
      <c r="E4024" t="s">
        <v>6163</v>
      </c>
      <c r="F4024" s="140" t="s">
        <v>6163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4894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73</v>
      </c>
      <c r="R4024" s="136" t="s">
        <v>6087</v>
      </c>
      <c r="S4024" s="140"/>
    </row>
    <row r="4025" spans="1:19" hidden="1">
      <c r="A4025" s="142" t="s">
        <v>6201</v>
      </c>
      <c r="B4025" s="149" t="str">
        <f>IFERROR(VLOOKUP(Proc[[#This Row],[App]],Table2[],3,0),"open")</f>
        <v>ok</v>
      </c>
      <c r="C4025" s="142" t="s">
        <v>369</v>
      </c>
      <c r="D4025" t="s">
        <v>5953</v>
      </c>
      <c r="E4025" t="s">
        <v>6103</v>
      </c>
      <c r="F4025" s="140" t="s">
        <v>6103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4894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73</v>
      </c>
      <c r="R4025" s="136" t="s">
        <v>6087</v>
      </c>
      <c r="S4025" s="140"/>
    </row>
    <row r="4026" spans="1:19" hidden="1">
      <c r="A4026" s="142" t="s">
        <v>6201</v>
      </c>
      <c r="B4026" s="149" t="str">
        <f>IFERROR(VLOOKUP(Proc[[#This Row],[App]],Table2[],3,0),"open")</f>
        <v>ok</v>
      </c>
      <c r="C4026" s="142" t="s">
        <v>369</v>
      </c>
      <c r="D4026" t="s">
        <v>6036</v>
      </c>
      <c r="E4026" t="s">
        <v>6172</v>
      </c>
      <c r="F4026" s="140" t="s">
        <v>6172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4894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73</v>
      </c>
      <c r="R4026" s="136" t="s">
        <v>6087</v>
      </c>
      <c r="S4026" s="140"/>
    </row>
    <row r="4027" spans="1:19" hidden="1">
      <c r="A4027" s="142" t="s">
        <v>6201</v>
      </c>
      <c r="B4027" s="149" t="str">
        <f>IFERROR(VLOOKUP(Proc[[#This Row],[App]],Table2[],3,0),"open")</f>
        <v>ok</v>
      </c>
      <c r="C4027" s="142" t="s">
        <v>369</v>
      </c>
      <c r="D4027" t="s">
        <v>6037</v>
      </c>
      <c r="E4027" t="s">
        <v>6172</v>
      </c>
      <c r="F4027" s="140" t="s">
        <v>6172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4894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73</v>
      </c>
      <c r="R4027" s="136" t="s">
        <v>6087</v>
      </c>
      <c r="S4027" s="140"/>
    </row>
    <row r="4028" spans="1:19" hidden="1">
      <c r="A4028" s="142" t="s">
        <v>6201</v>
      </c>
      <c r="B4028" s="149" t="str">
        <f>IFERROR(VLOOKUP(Proc[[#This Row],[App]],Table2[],3,0),"open")</f>
        <v>ok</v>
      </c>
      <c r="C4028" s="142" t="s">
        <v>369</v>
      </c>
      <c r="D4028" t="s">
        <v>6038</v>
      </c>
      <c r="E4028" t="s">
        <v>6172</v>
      </c>
      <c r="F4028" s="140" t="s">
        <v>6172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4894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73</v>
      </c>
      <c r="R4028" s="136" t="s">
        <v>6087</v>
      </c>
      <c r="S4028" s="140"/>
    </row>
    <row r="4029" spans="1:19" hidden="1">
      <c r="A4029" s="142" t="s">
        <v>6201</v>
      </c>
      <c r="B4029" s="149" t="str">
        <f>IFERROR(VLOOKUP(Proc[[#This Row],[App]],Table2[],3,0),"open")</f>
        <v>ok</v>
      </c>
      <c r="C4029" s="142" t="s">
        <v>369</v>
      </c>
      <c r="D4029" t="s">
        <v>6058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4894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73</v>
      </c>
      <c r="R4029" s="136" t="s">
        <v>6087</v>
      </c>
      <c r="S4029" s="140"/>
    </row>
    <row r="4030" spans="1:19" hidden="1">
      <c r="A4030" s="142" t="s">
        <v>6201</v>
      </c>
      <c r="B4030" s="149" t="str">
        <f>IFERROR(VLOOKUP(Proc[[#This Row],[App]],Table2[],3,0),"open")</f>
        <v>ok</v>
      </c>
      <c r="C4030" s="142" t="s">
        <v>369</v>
      </c>
      <c r="D4030" t="s">
        <v>6055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4894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73</v>
      </c>
      <c r="R4030" s="136" t="s">
        <v>6087</v>
      </c>
      <c r="S4030" s="140"/>
    </row>
    <row r="4031" spans="1:19" hidden="1">
      <c r="A4031" s="142" t="s">
        <v>6201</v>
      </c>
      <c r="B4031" s="149" t="str">
        <f>IFERROR(VLOOKUP(Proc[[#This Row],[App]],Table2[],3,0),"open")</f>
        <v>ok</v>
      </c>
      <c r="C4031" s="142" t="s">
        <v>369</v>
      </c>
      <c r="D4031" t="s">
        <v>6056</v>
      </c>
      <c r="E4031" t="s">
        <v>6173</v>
      </c>
      <c r="F4031" s="140" t="s">
        <v>6173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4894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73</v>
      </c>
      <c r="R4031" s="136" t="s">
        <v>6087</v>
      </c>
      <c r="S4031" s="140"/>
    </row>
    <row r="4032" spans="1:19" hidden="1">
      <c r="A4032" s="142" t="s">
        <v>6201</v>
      </c>
      <c r="B4032" s="149" t="str">
        <f>IFERROR(VLOOKUP(Proc[[#This Row],[App]],Table2[],3,0),"open")</f>
        <v>ok</v>
      </c>
      <c r="C4032" s="142" t="s">
        <v>369</v>
      </c>
      <c r="D4032" t="s">
        <v>5945</v>
      </c>
      <c r="E4032" t="s">
        <v>6174</v>
      </c>
      <c r="F4032" s="140" t="s">
        <v>6174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4894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73</v>
      </c>
      <c r="R4032" s="136" t="s">
        <v>6087</v>
      </c>
      <c r="S4032" s="140"/>
    </row>
    <row r="4033" spans="1:19" hidden="1">
      <c r="A4033" s="142" t="s">
        <v>6201</v>
      </c>
      <c r="B4033" s="149" t="str">
        <f>IFERROR(VLOOKUP(Proc[[#This Row],[App]],Table2[],3,0),"open")</f>
        <v>ok</v>
      </c>
      <c r="C4033" s="142" t="s">
        <v>369</v>
      </c>
      <c r="D4033" t="s">
        <v>5946</v>
      </c>
      <c r="E4033" t="s">
        <v>6175</v>
      </c>
      <c r="F4033" s="140" t="s">
        <v>6175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4894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73</v>
      </c>
      <c r="R4033" s="136" t="s">
        <v>6087</v>
      </c>
      <c r="S4033" s="140"/>
    </row>
    <row r="4034" spans="1:19" hidden="1">
      <c r="A4034" s="142" t="s">
        <v>6201</v>
      </c>
      <c r="B4034" s="149" t="str">
        <f>IFERROR(VLOOKUP(Proc[[#This Row],[App]],Table2[],3,0),"open")</f>
        <v>ok</v>
      </c>
      <c r="C4034" s="142" t="s">
        <v>369</v>
      </c>
      <c r="D4034" t="s">
        <v>5947</v>
      </c>
      <c r="E4034" t="s">
        <v>6175</v>
      </c>
      <c r="F4034" s="140" t="s">
        <v>6175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4894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73</v>
      </c>
      <c r="R4034" s="136" t="s">
        <v>6087</v>
      </c>
      <c r="S4034" s="140"/>
    </row>
    <row r="4035" spans="1:19" hidden="1">
      <c r="A4035" s="142" t="s">
        <v>6201</v>
      </c>
      <c r="B4035" s="149" t="str">
        <f>IFERROR(VLOOKUP(Proc[[#This Row],[App]],Table2[],3,0),"open")</f>
        <v>ok</v>
      </c>
      <c r="C4035" s="142" t="s">
        <v>369</v>
      </c>
      <c r="D4035" t="s">
        <v>5976</v>
      </c>
      <c r="E4035" t="s">
        <v>6176</v>
      </c>
      <c r="F4035" s="140" t="s">
        <v>6176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4894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73</v>
      </c>
      <c r="R4035" s="136" t="s">
        <v>6087</v>
      </c>
      <c r="S4035" s="140"/>
    </row>
    <row r="4036" spans="1:19" hidden="1">
      <c r="A4036" s="142" t="s">
        <v>6201</v>
      </c>
      <c r="B4036" s="149" t="str">
        <f>IFERROR(VLOOKUP(Proc[[#This Row],[App]],Table2[],3,0),"open")</f>
        <v>ok</v>
      </c>
      <c r="C4036" s="142" t="s">
        <v>369</v>
      </c>
      <c r="D4036" t="s">
        <v>5994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4894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73</v>
      </c>
      <c r="R4036" s="136" t="s">
        <v>6087</v>
      </c>
      <c r="S4036" s="140"/>
    </row>
    <row r="4037" spans="1:19" hidden="1">
      <c r="A4037" s="142" t="s">
        <v>6201</v>
      </c>
      <c r="B4037" s="149" t="str">
        <f>IFERROR(VLOOKUP(Proc[[#This Row],[App]],Table2[],3,0),"open")</f>
        <v>ok</v>
      </c>
      <c r="C4037" s="142" t="s">
        <v>369</v>
      </c>
      <c r="D4037" t="s">
        <v>5996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4894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73</v>
      </c>
      <c r="R4037" s="136" t="s">
        <v>6087</v>
      </c>
      <c r="S4037" s="140"/>
    </row>
    <row r="4038" spans="1:19" hidden="1">
      <c r="A4038" s="142" t="s">
        <v>6201</v>
      </c>
      <c r="B4038" s="149" t="str">
        <f>IFERROR(VLOOKUP(Proc[[#This Row],[App]],Table2[],3,0),"open")</f>
        <v>ok</v>
      </c>
      <c r="C4038" s="142" t="s">
        <v>369</v>
      </c>
      <c r="D4038" t="s">
        <v>5997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4894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73</v>
      </c>
      <c r="R4038" s="136" t="s">
        <v>6087</v>
      </c>
      <c r="S4038" s="140"/>
    </row>
    <row r="4039" spans="1:19" hidden="1">
      <c r="A4039" s="142" t="s">
        <v>6201</v>
      </c>
      <c r="B4039" s="149" t="str">
        <f>IFERROR(VLOOKUP(Proc[[#This Row],[App]],Table2[],3,0),"open")</f>
        <v>ok</v>
      </c>
      <c r="C4039" s="142" t="s">
        <v>369</v>
      </c>
      <c r="D4039" t="s">
        <v>5998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4894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73</v>
      </c>
      <c r="R4039" s="136" t="s">
        <v>6087</v>
      </c>
      <c r="S4039" s="140"/>
    </row>
    <row r="4040" spans="1:19" hidden="1">
      <c r="A4040" s="142" t="s">
        <v>6201</v>
      </c>
      <c r="B4040" s="149" t="str">
        <f>IFERROR(VLOOKUP(Proc[[#This Row],[App]],Table2[],3,0),"open")</f>
        <v>ok</v>
      </c>
      <c r="C4040" s="149" t="s">
        <v>369</v>
      </c>
      <c r="D4040" t="s">
        <v>6046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4894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73</v>
      </c>
      <c r="R4040" s="136" t="s">
        <v>6087</v>
      </c>
      <c r="S4040" s="140"/>
    </row>
    <row r="4041" spans="1:19" hidden="1">
      <c r="A4041" s="142" t="s">
        <v>6201</v>
      </c>
      <c r="B4041" s="149" t="str">
        <f>IFERROR(VLOOKUP(Proc[[#This Row],[App]],Table2[],3,0),"open")</f>
        <v>ok</v>
      </c>
      <c r="C4041" s="142" t="s">
        <v>369</v>
      </c>
      <c r="D4041" t="s">
        <v>6047</v>
      </c>
      <c r="E4041" t="s">
        <v>6177</v>
      </c>
      <c r="F4041" s="140" t="s">
        <v>6177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4894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73</v>
      </c>
      <c r="R4041" s="136" t="s">
        <v>6087</v>
      </c>
      <c r="S4041" s="140"/>
    </row>
    <row r="4042" spans="1:19" hidden="1">
      <c r="A4042" s="142" t="s">
        <v>6201</v>
      </c>
      <c r="B4042" s="149" t="str">
        <f>IFERROR(VLOOKUP(Proc[[#This Row],[App]],Table2[],3,0),"open")</f>
        <v>ok</v>
      </c>
      <c r="C4042" s="142" t="s">
        <v>369</v>
      </c>
      <c r="D4042" t="s">
        <v>6048</v>
      </c>
      <c r="E4042" t="s">
        <v>6178</v>
      </c>
      <c r="F4042" s="140" t="s">
        <v>6178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4894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73</v>
      </c>
      <c r="R4042" s="136" t="s">
        <v>6087</v>
      </c>
      <c r="S4042" s="140"/>
    </row>
    <row r="4043" spans="1:19" hidden="1">
      <c r="A4043" s="142" t="s">
        <v>6201</v>
      </c>
      <c r="B4043" s="149" t="str">
        <f>IFERROR(VLOOKUP(Proc[[#This Row],[App]],Table2[],3,0),"open")</f>
        <v>ok</v>
      </c>
      <c r="C4043" s="142" t="s">
        <v>369</v>
      </c>
      <c r="D4043" t="s">
        <v>6049</v>
      </c>
      <c r="E4043" t="s">
        <v>6179</v>
      </c>
      <c r="F4043" s="140" t="s">
        <v>6179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4894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73</v>
      </c>
      <c r="R4043" s="136" t="s">
        <v>6087</v>
      </c>
      <c r="S4043" s="140"/>
    </row>
    <row r="4044" spans="1:19" hidden="1">
      <c r="A4044" s="142" t="s">
        <v>6201</v>
      </c>
      <c r="B4044" s="149" t="str">
        <f>IFERROR(VLOOKUP(Proc[[#This Row],[App]],Table2[],3,0),"open")</f>
        <v>ok</v>
      </c>
      <c r="C4044" s="142" t="s">
        <v>369</v>
      </c>
      <c r="D4044" t="s">
        <v>6050</v>
      </c>
      <c r="E4044" t="s">
        <v>6179</v>
      </c>
      <c r="F4044" s="140" t="s">
        <v>6179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4894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73</v>
      </c>
      <c r="R4044" s="136" t="s">
        <v>6087</v>
      </c>
      <c r="S4044" s="140"/>
    </row>
    <row r="4045" spans="1:19" hidden="1">
      <c r="A4045" s="142" t="s">
        <v>6201</v>
      </c>
      <c r="B4045" s="149" t="str">
        <f>IFERROR(VLOOKUP(Proc[[#This Row],[App]],Table2[],3,0),"open")</f>
        <v>ok</v>
      </c>
      <c r="C4045" s="142" t="s">
        <v>369</v>
      </c>
      <c r="D4045" t="s">
        <v>6051</v>
      </c>
      <c r="E4045" t="s">
        <v>6179</v>
      </c>
      <c r="F4045" s="140" t="s">
        <v>6179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4894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73</v>
      </c>
      <c r="R4045" s="136" t="s">
        <v>6087</v>
      </c>
      <c r="S4045" s="140"/>
    </row>
    <row r="4046" spans="1:19" hidden="1">
      <c r="A4046" s="142" t="s">
        <v>6201</v>
      </c>
      <c r="B4046" s="149" t="str">
        <f>IFERROR(VLOOKUP(Proc[[#This Row],[App]],Table2[],3,0),"open")</f>
        <v>ok</v>
      </c>
      <c r="C4046" s="142" t="s">
        <v>369</v>
      </c>
      <c r="D4046" t="s">
        <v>6052</v>
      </c>
      <c r="E4046" t="s">
        <v>6179</v>
      </c>
      <c r="F4046" s="140" t="s">
        <v>6179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4894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73</v>
      </c>
      <c r="R4046" s="136" t="s">
        <v>6087</v>
      </c>
      <c r="S4046" s="140"/>
    </row>
    <row r="4047" spans="1:19" hidden="1">
      <c r="A4047" s="142" t="s">
        <v>6201</v>
      </c>
      <c r="B4047" s="149" t="str">
        <f>IFERROR(VLOOKUP(Proc[[#This Row],[App]],Table2[],3,0),"open")</f>
        <v>ok</v>
      </c>
      <c r="C4047" s="142" t="s">
        <v>369</v>
      </c>
      <c r="D4047" t="s">
        <v>6053</v>
      </c>
      <c r="E4047" t="s">
        <v>6180</v>
      </c>
      <c r="F4047" s="140" t="s">
        <v>6180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4894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73</v>
      </c>
      <c r="R4047" s="136" t="s">
        <v>6087</v>
      </c>
      <c r="S4047" s="140"/>
    </row>
    <row r="4048" spans="1:19" hidden="1">
      <c r="A4048" s="142" t="s">
        <v>6201</v>
      </c>
      <c r="B4048" s="149" t="str">
        <f>IFERROR(VLOOKUP(Proc[[#This Row],[App]],Table2[],3,0),"open")</f>
        <v>ok</v>
      </c>
      <c r="C4048" s="142" t="s">
        <v>369</v>
      </c>
      <c r="D4048" t="s">
        <v>6057</v>
      </c>
      <c r="E4048" t="s">
        <v>6181</v>
      </c>
      <c r="F4048" s="140" t="s">
        <v>6181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4894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73</v>
      </c>
      <c r="R4048" s="136" t="s">
        <v>6087</v>
      </c>
      <c r="S4048" s="140"/>
    </row>
    <row r="4049" spans="1:19" hidden="1">
      <c r="A4049" s="142" t="s">
        <v>6201</v>
      </c>
      <c r="B4049" s="149" t="str">
        <f>IFERROR(VLOOKUP(Proc[[#This Row],[App]],Table2[],3,0),"open")</f>
        <v>ok</v>
      </c>
      <c r="C4049" s="142" t="s">
        <v>369</v>
      </c>
      <c r="D4049" t="s">
        <v>5980</v>
      </c>
      <c r="E4049" t="s">
        <v>6182</v>
      </c>
      <c r="F4049" s="140" t="s">
        <v>6182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4894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73</v>
      </c>
      <c r="R4049" s="136" t="s">
        <v>6087</v>
      </c>
      <c r="S4049" s="140"/>
    </row>
    <row r="4050" spans="1:19" hidden="1">
      <c r="A4050" s="142" t="s">
        <v>6201</v>
      </c>
      <c r="B4050" s="149" t="str">
        <f>IFERROR(VLOOKUP(Proc[[#This Row],[App]],Table2[],3,0),"open")</f>
        <v>ok</v>
      </c>
      <c r="C4050" s="142" t="s">
        <v>369</v>
      </c>
      <c r="D4050" t="s">
        <v>5977</v>
      </c>
      <c r="E4050" t="s">
        <v>6183</v>
      </c>
      <c r="F4050" s="140" t="s">
        <v>6183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4894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73</v>
      </c>
      <c r="R4050" s="136" t="s">
        <v>6087</v>
      </c>
      <c r="S4050" s="140"/>
    </row>
    <row r="4051" spans="1:19" hidden="1">
      <c r="A4051" s="142" t="s">
        <v>6201</v>
      </c>
      <c r="B4051" s="149" t="str">
        <f>IFERROR(VLOOKUP(Proc[[#This Row],[App]],Table2[],3,0),"open")</f>
        <v>ok</v>
      </c>
      <c r="C4051" s="142" t="s">
        <v>369</v>
      </c>
      <c r="D4051" t="s">
        <v>5978</v>
      </c>
      <c r="E4051" t="s">
        <v>6104</v>
      </c>
      <c r="F4051" s="140" t="s">
        <v>6104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4894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73</v>
      </c>
      <c r="R4051" s="136" t="s">
        <v>6087</v>
      </c>
      <c r="S4051" s="140"/>
    </row>
    <row r="4052" spans="1:19" hidden="1">
      <c r="A4052" s="142" t="s">
        <v>6201</v>
      </c>
      <c r="B4052" s="149" t="str">
        <f>IFERROR(VLOOKUP(Proc[[#This Row],[App]],Table2[],3,0),"open")</f>
        <v>ok</v>
      </c>
      <c r="C4052" s="142" t="s">
        <v>369</v>
      </c>
      <c r="D4052" t="s">
        <v>5967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4894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73</v>
      </c>
      <c r="R4052" s="136" t="s">
        <v>6087</v>
      </c>
      <c r="S4052" s="140"/>
    </row>
    <row r="4053" spans="1:19" hidden="1">
      <c r="A4053" s="142" t="s">
        <v>6201</v>
      </c>
      <c r="B4053" s="149" t="str">
        <f>IFERROR(VLOOKUP(Proc[[#This Row],[App]],Table2[],3,0),"open")</f>
        <v>ok</v>
      </c>
      <c r="C4053" s="142" t="s">
        <v>369</v>
      </c>
      <c r="D4053" t="s">
        <v>6021</v>
      </c>
      <c r="E4053" t="s">
        <v>6184</v>
      </c>
      <c r="F4053" s="140" t="s">
        <v>6184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4894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73</v>
      </c>
      <c r="R4053" s="136" t="s">
        <v>6087</v>
      </c>
      <c r="S4053" s="140"/>
    </row>
    <row r="4054" spans="1:19" hidden="1">
      <c r="A4054" s="142" t="s">
        <v>6201</v>
      </c>
      <c r="B4054" s="149" t="str">
        <f>IFERROR(VLOOKUP(Proc[[#This Row],[App]],Table2[],3,0),"open")</f>
        <v>ok</v>
      </c>
      <c r="C4054" s="142" t="s">
        <v>369</v>
      </c>
      <c r="D4054" t="s">
        <v>6024</v>
      </c>
      <c r="E4054" t="s">
        <v>6184</v>
      </c>
      <c r="F4054" s="140" t="s">
        <v>6184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4894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73</v>
      </c>
      <c r="R4054" s="136" t="s">
        <v>6087</v>
      </c>
      <c r="S4054" s="140"/>
    </row>
    <row r="4055" spans="1:19" hidden="1">
      <c r="A4055" s="142" t="s">
        <v>6201</v>
      </c>
      <c r="B4055" s="149" t="str">
        <f>IFERROR(VLOOKUP(Proc[[#This Row],[App]],Table2[],3,0),"open")</f>
        <v>ok</v>
      </c>
      <c r="C4055" s="142" t="s">
        <v>369</v>
      </c>
      <c r="D4055" t="s">
        <v>5966</v>
      </c>
      <c r="E4055" t="s">
        <v>6185</v>
      </c>
      <c r="F4055" s="140" t="s">
        <v>6185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4894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73</v>
      </c>
      <c r="R4055" s="136" t="s">
        <v>6087</v>
      </c>
      <c r="S4055" s="140"/>
    </row>
    <row r="4056" spans="1:19" hidden="1">
      <c r="A4056" s="142" t="s">
        <v>6201</v>
      </c>
      <c r="B4056" s="149" t="str">
        <f>IFERROR(VLOOKUP(Proc[[#This Row],[App]],Table2[],3,0),"open")</f>
        <v>ok</v>
      </c>
      <c r="C4056" s="142" t="s">
        <v>369</v>
      </c>
      <c r="D4056" t="s">
        <v>6054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4894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73</v>
      </c>
      <c r="R4056" s="136" t="s">
        <v>6087</v>
      </c>
      <c r="S4056" s="140"/>
    </row>
    <row r="4057" spans="1:19" hidden="1">
      <c r="A4057" s="142" t="s">
        <v>6201</v>
      </c>
      <c r="B4057" s="149" t="str">
        <f>IFERROR(VLOOKUP(Proc[[#This Row],[App]],Table2[],3,0),"open")</f>
        <v>ok</v>
      </c>
      <c r="C4057" s="142" t="s">
        <v>369</v>
      </c>
      <c r="D4057" t="s">
        <v>6008</v>
      </c>
      <c r="E4057" t="s">
        <v>6184</v>
      </c>
      <c r="F4057" s="140" t="s">
        <v>6184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4894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73</v>
      </c>
      <c r="R4057" s="136" t="s">
        <v>6087</v>
      </c>
      <c r="S4057" s="140"/>
    </row>
    <row r="4058" spans="1:19" hidden="1">
      <c r="A4058" s="142" t="s">
        <v>6201</v>
      </c>
      <c r="B4058" s="149" t="str">
        <f>IFERROR(VLOOKUP(Proc[[#This Row],[App]],Table2[],3,0),"open")</f>
        <v>ok</v>
      </c>
      <c r="C4058" s="142" t="s">
        <v>369</v>
      </c>
      <c r="D4058" t="s">
        <v>6009</v>
      </c>
      <c r="E4058" t="s">
        <v>6184</v>
      </c>
      <c r="F4058" s="140" t="s">
        <v>6184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4894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73</v>
      </c>
      <c r="R4058" s="136" t="s">
        <v>6087</v>
      </c>
      <c r="S4058" s="140"/>
    </row>
    <row r="4059" spans="1:19" hidden="1">
      <c r="A4059" s="142" t="s">
        <v>6201</v>
      </c>
      <c r="B4059" s="149" t="str">
        <f>IFERROR(VLOOKUP(Proc[[#This Row],[App]],Table2[],3,0),"open")</f>
        <v>ok</v>
      </c>
      <c r="C4059" s="142" t="s">
        <v>369</v>
      </c>
      <c r="D4059" t="s">
        <v>6011</v>
      </c>
      <c r="E4059" t="s">
        <v>6184</v>
      </c>
      <c r="F4059" s="140" t="s">
        <v>6184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4894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73</v>
      </c>
      <c r="R4059" s="136" t="s">
        <v>6087</v>
      </c>
      <c r="S4059" s="140"/>
    </row>
    <row r="4060" spans="1:19" hidden="1">
      <c r="A4060" s="142" t="s">
        <v>6201</v>
      </c>
      <c r="B4060" s="149" t="str">
        <f>IFERROR(VLOOKUP(Proc[[#This Row],[App]],Table2[],3,0),"open")</f>
        <v>ok</v>
      </c>
      <c r="C4060" s="142" t="s">
        <v>369</v>
      </c>
      <c r="D4060" t="s">
        <v>6012</v>
      </c>
      <c r="E4060" t="s">
        <v>6184</v>
      </c>
      <c r="F4060" s="140" t="s">
        <v>6184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4894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73</v>
      </c>
      <c r="R4060" s="136" t="s">
        <v>6087</v>
      </c>
      <c r="S4060" s="140"/>
    </row>
    <row r="4061" spans="1:19" hidden="1">
      <c r="A4061" s="142" t="s">
        <v>6201</v>
      </c>
      <c r="B4061" s="149" t="str">
        <f>IFERROR(VLOOKUP(Proc[[#This Row],[App]],Table2[],3,0),"open")</f>
        <v>ok</v>
      </c>
      <c r="C4061" s="142" t="s">
        <v>369</v>
      </c>
      <c r="D4061" t="s">
        <v>6013</v>
      </c>
      <c r="E4061" t="s">
        <v>6184</v>
      </c>
      <c r="F4061" s="140" t="s">
        <v>6184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4894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73</v>
      </c>
      <c r="R4061" s="136" t="s">
        <v>6087</v>
      </c>
      <c r="S4061" s="140"/>
    </row>
    <row r="4062" spans="1:19" hidden="1">
      <c r="A4062" s="142" t="s">
        <v>6201</v>
      </c>
      <c r="B4062" s="149" t="str">
        <f>IFERROR(VLOOKUP(Proc[[#This Row],[App]],Table2[],3,0),"open")</f>
        <v>ok</v>
      </c>
      <c r="C4062" s="142" t="s">
        <v>369</v>
      </c>
      <c r="D4062" t="s">
        <v>6014</v>
      </c>
      <c r="E4062" t="s">
        <v>6184</v>
      </c>
      <c r="F4062" s="140" t="s">
        <v>6184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4894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73</v>
      </c>
      <c r="R4062" s="136" t="s">
        <v>6087</v>
      </c>
      <c r="S4062" s="140"/>
    </row>
    <row r="4063" spans="1:19" hidden="1">
      <c r="A4063" s="142" t="s">
        <v>6201</v>
      </c>
      <c r="B4063" s="149" t="str">
        <f>IFERROR(VLOOKUP(Proc[[#This Row],[App]],Table2[],3,0),"open")</f>
        <v>ok</v>
      </c>
      <c r="C4063" s="142" t="s">
        <v>369</v>
      </c>
      <c r="D4063" t="s">
        <v>6016</v>
      </c>
      <c r="E4063" t="s">
        <v>6184</v>
      </c>
      <c r="F4063" s="140" t="s">
        <v>6184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4894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73</v>
      </c>
      <c r="R4063" s="136" t="s">
        <v>6087</v>
      </c>
      <c r="S4063" s="140"/>
    </row>
    <row r="4064" spans="1:19" hidden="1">
      <c r="A4064" s="142" t="s">
        <v>6201</v>
      </c>
      <c r="B4064" s="149" t="str">
        <f>IFERROR(VLOOKUP(Proc[[#This Row],[App]],Table2[],3,0),"open")</f>
        <v>ok</v>
      </c>
      <c r="C4064" s="142" t="s">
        <v>369</v>
      </c>
      <c r="D4064" t="s">
        <v>6022</v>
      </c>
      <c r="E4064" t="s">
        <v>6184</v>
      </c>
      <c r="F4064" s="140" t="s">
        <v>6184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4894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73</v>
      </c>
      <c r="R4064" s="136" t="s">
        <v>6087</v>
      </c>
      <c r="S4064" s="140"/>
    </row>
    <row r="4065" spans="1:19" hidden="1">
      <c r="A4065" s="142" t="s">
        <v>6201</v>
      </c>
      <c r="B4065" s="149" t="str">
        <f>IFERROR(VLOOKUP(Proc[[#This Row],[App]],Table2[],3,0),"open")</f>
        <v>ok</v>
      </c>
      <c r="C4065" s="142" t="s">
        <v>369</v>
      </c>
      <c r="D4065" t="s">
        <v>6029</v>
      </c>
      <c r="E4065" t="s">
        <v>6186</v>
      </c>
      <c r="F4065" s="140" t="s">
        <v>6186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4894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73</v>
      </c>
      <c r="R4065" s="136" t="s">
        <v>6087</v>
      </c>
      <c r="S4065" s="140"/>
    </row>
    <row r="4066" spans="1:19" hidden="1">
      <c r="A4066" s="142" t="s">
        <v>6201</v>
      </c>
      <c r="B4066" s="149" t="str">
        <f>IFERROR(VLOOKUP(Proc[[#This Row],[App]],Table2[],3,0),"open")</f>
        <v>ok</v>
      </c>
      <c r="C4066" s="142" t="s">
        <v>369</v>
      </c>
      <c r="D4066" t="s">
        <v>6030</v>
      </c>
      <c r="E4066" t="s">
        <v>6186</v>
      </c>
      <c r="F4066" s="140" t="s">
        <v>6186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4894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73</v>
      </c>
      <c r="R4066" s="136" t="s">
        <v>6087</v>
      </c>
      <c r="S4066" s="140"/>
    </row>
    <row r="4067" spans="1:19" hidden="1">
      <c r="A4067" s="142" t="s">
        <v>6201</v>
      </c>
      <c r="B4067" s="149" t="str">
        <f>IFERROR(VLOOKUP(Proc[[#This Row],[App]],Table2[],3,0),"open")</f>
        <v>ok</v>
      </c>
      <c r="C4067" s="142" t="s">
        <v>369</v>
      </c>
      <c r="D4067" t="s">
        <v>6031</v>
      </c>
      <c r="E4067" t="s">
        <v>6186</v>
      </c>
      <c r="F4067" s="140" t="s">
        <v>6186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4894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73</v>
      </c>
      <c r="R4067" s="136" t="s">
        <v>6087</v>
      </c>
      <c r="S4067" s="140"/>
    </row>
    <row r="4068" spans="1:19" hidden="1">
      <c r="A4068" s="142" t="s">
        <v>6201</v>
      </c>
      <c r="B4068" s="149" t="str">
        <f>IFERROR(VLOOKUP(Proc[[#This Row],[App]],Table2[],3,0),"open")</f>
        <v>ok</v>
      </c>
      <c r="C4068" s="142" t="s">
        <v>369</v>
      </c>
      <c r="D4068" t="s">
        <v>6032</v>
      </c>
      <c r="E4068" t="s">
        <v>6186</v>
      </c>
      <c r="F4068" s="140" t="s">
        <v>6186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4894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73</v>
      </c>
      <c r="R4068" s="136" t="s">
        <v>6087</v>
      </c>
      <c r="S4068" s="140"/>
    </row>
    <row r="4069" spans="1:19" hidden="1">
      <c r="A4069" s="142" t="s">
        <v>6201</v>
      </c>
      <c r="B4069" s="149" t="str">
        <f>IFERROR(VLOOKUP(Proc[[#This Row],[App]],Table2[],3,0),"open")</f>
        <v>ok</v>
      </c>
      <c r="C4069" s="142" t="s">
        <v>369</v>
      </c>
      <c r="D4069" t="s">
        <v>6033</v>
      </c>
      <c r="E4069" t="s">
        <v>6186</v>
      </c>
      <c r="F4069" s="140" t="s">
        <v>6186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4894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73</v>
      </c>
      <c r="R4069" s="136" t="s">
        <v>6087</v>
      </c>
      <c r="S4069" s="140"/>
    </row>
    <row r="4070" spans="1:19" hidden="1">
      <c r="A4070" s="142" t="s">
        <v>6201</v>
      </c>
      <c r="B4070" s="149" t="str">
        <f>IFERROR(VLOOKUP(Proc[[#This Row],[App]],Table2[],3,0),"open")</f>
        <v>ok</v>
      </c>
      <c r="C4070" s="142" t="s">
        <v>369</v>
      </c>
      <c r="D4070" t="s">
        <v>6034</v>
      </c>
      <c r="E4070" t="s">
        <v>6186</v>
      </c>
      <c r="F4070" s="140" t="s">
        <v>6186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4894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73</v>
      </c>
      <c r="R4070" s="136" t="s">
        <v>6087</v>
      </c>
      <c r="S4070" s="140"/>
    </row>
    <row r="4071" spans="1:19" hidden="1">
      <c r="A4071" s="142" t="s">
        <v>6201</v>
      </c>
      <c r="B4071" s="149" t="str">
        <f>IFERROR(VLOOKUP(Proc[[#This Row],[App]],Table2[],3,0),"open")</f>
        <v>ok</v>
      </c>
      <c r="C4071" s="142" t="s">
        <v>369</v>
      </c>
      <c r="D4071" t="s">
        <v>6035</v>
      </c>
      <c r="E4071" t="s">
        <v>6187</v>
      </c>
      <c r="F4071" s="140" t="s">
        <v>6187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4894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73</v>
      </c>
      <c r="R4071" s="136" t="s">
        <v>6087</v>
      </c>
      <c r="S4071" s="140"/>
    </row>
    <row r="4072" spans="1:19" hidden="1">
      <c r="A4072" s="142" t="s">
        <v>6201</v>
      </c>
      <c r="B4072" s="149" t="str">
        <f>IFERROR(VLOOKUP(Proc[[#This Row],[App]],Table2[],3,0),"open")</f>
        <v>ok</v>
      </c>
      <c r="C4072" s="142" t="s">
        <v>369</v>
      </c>
      <c r="D4072" t="s">
        <v>6004</v>
      </c>
      <c r="E4072" t="s">
        <v>6184</v>
      </c>
      <c r="F4072" s="140" t="s">
        <v>6184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4894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73</v>
      </c>
      <c r="R4072" s="136" t="s">
        <v>6087</v>
      </c>
      <c r="S4072" s="140"/>
    </row>
    <row r="4073" spans="1:19" hidden="1">
      <c r="A4073" s="142" t="s">
        <v>6201</v>
      </c>
      <c r="B4073" s="149" t="str">
        <f>IFERROR(VLOOKUP(Proc[[#This Row],[App]],Table2[],3,0),"open")</f>
        <v>ok</v>
      </c>
      <c r="C4073" s="142" t="s">
        <v>369</v>
      </c>
      <c r="D4073" t="s">
        <v>6005</v>
      </c>
      <c r="E4073" t="s">
        <v>6184</v>
      </c>
      <c r="F4073" s="140" t="s">
        <v>6184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4894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73</v>
      </c>
      <c r="R4073" s="136" t="s">
        <v>6087</v>
      </c>
      <c r="S4073" s="140"/>
    </row>
    <row r="4074" spans="1:19" hidden="1">
      <c r="A4074" s="142" t="s">
        <v>6201</v>
      </c>
      <c r="B4074" s="149" t="str">
        <f>IFERROR(VLOOKUP(Proc[[#This Row],[App]],Table2[],3,0),"open")</f>
        <v>ok</v>
      </c>
      <c r="C4074" s="142" t="s">
        <v>369</v>
      </c>
      <c r="D4074" t="s">
        <v>6006</v>
      </c>
      <c r="E4074" t="s">
        <v>6184</v>
      </c>
      <c r="F4074" s="140" t="s">
        <v>6184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4894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73</v>
      </c>
      <c r="R4074" s="136" t="s">
        <v>6087</v>
      </c>
      <c r="S4074" s="140"/>
    </row>
    <row r="4075" spans="1:19" hidden="1">
      <c r="A4075" s="142" t="s">
        <v>6201</v>
      </c>
      <c r="B4075" s="149" t="str">
        <f>IFERROR(VLOOKUP(Proc[[#This Row],[App]],Table2[],3,0),"open")</f>
        <v>ok</v>
      </c>
      <c r="C4075" s="142" t="s">
        <v>369</v>
      </c>
      <c r="D4075" t="s">
        <v>6007</v>
      </c>
      <c r="E4075" t="s">
        <v>6184</v>
      </c>
      <c r="F4075" s="140" t="s">
        <v>6184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4894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73</v>
      </c>
      <c r="R4075" s="136" t="s">
        <v>6087</v>
      </c>
      <c r="S4075" s="140"/>
    </row>
    <row r="4076" spans="1:19" hidden="1">
      <c r="A4076" s="142" t="s">
        <v>6201</v>
      </c>
      <c r="B4076" s="149" t="str">
        <f>IFERROR(VLOOKUP(Proc[[#This Row],[App]],Table2[],3,0),"open")</f>
        <v>ok</v>
      </c>
      <c r="C4076" s="142" t="s">
        <v>369</v>
      </c>
      <c r="D4076" t="s">
        <v>6010</v>
      </c>
      <c r="E4076" t="s">
        <v>6184</v>
      </c>
      <c r="F4076" s="140" t="s">
        <v>6184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4894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73</v>
      </c>
      <c r="R4076" s="136" t="s">
        <v>6087</v>
      </c>
      <c r="S4076" s="140"/>
    </row>
    <row r="4077" spans="1:19" hidden="1">
      <c r="A4077" s="142" t="s">
        <v>6201</v>
      </c>
      <c r="B4077" s="149" t="str">
        <f>IFERROR(VLOOKUP(Proc[[#This Row],[App]],Table2[],3,0),"open")</f>
        <v>ok</v>
      </c>
      <c r="C4077" s="142" t="s">
        <v>369</v>
      </c>
      <c r="D4077" t="s">
        <v>6017</v>
      </c>
      <c r="E4077" t="s">
        <v>6184</v>
      </c>
      <c r="F4077" s="140" t="s">
        <v>6184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4894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73</v>
      </c>
      <c r="R4077" s="136" t="s">
        <v>6087</v>
      </c>
      <c r="S4077" s="140"/>
    </row>
    <row r="4078" spans="1:19" hidden="1">
      <c r="A4078" s="142" t="s">
        <v>6201</v>
      </c>
      <c r="B4078" s="149" t="str">
        <f>IFERROR(VLOOKUP(Proc[[#This Row],[App]],Table2[],3,0),"open")</f>
        <v>ok</v>
      </c>
      <c r="C4078" s="142" t="s">
        <v>369</v>
      </c>
      <c r="D4078" t="s">
        <v>6018</v>
      </c>
      <c r="E4078" t="s">
        <v>6184</v>
      </c>
      <c r="F4078" s="140" t="s">
        <v>6184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4894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73</v>
      </c>
      <c r="R4078" s="136" t="s">
        <v>6087</v>
      </c>
      <c r="S4078" s="140"/>
    </row>
    <row r="4079" spans="1:19" hidden="1">
      <c r="A4079" s="142" t="s">
        <v>6201</v>
      </c>
      <c r="B4079" s="149" t="str">
        <f>IFERROR(VLOOKUP(Proc[[#This Row],[App]],Table2[],3,0),"open")</f>
        <v>ok</v>
      </c>
      <c r="C4079" s="142" t="s">
        <v>369</v>
      </c>
      <c r="D4079" t="s">
        <v>6019</v>
      </c>
      <c r="E4079" t="s">
        <v>6184</v>
      </c>
      <c r="F4079" s="140" t="s">
        <v>6184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4894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73</v>
      </c>
      <c r="R4079" s="136" t="s">
        <v>6087</v>
      </c>
      <c r="S4079" s="140"/>
    </row>
    <row r="4080" spans="1:19" hidden="1">
      <c r="A4080" s="142" t="s">
        <v>6201</v>
      </c>
      <c r="B4080" s="149" t="str">
        <f>IFERROR(VLOOKUP(Proc[[#This Row],[App]],Table2[],3,0),"open")</f>
        <v>ok</v>
      </c>
      <c r="C4080" s="142" t="s">
        <v>369</v>
      </c>
      <c r="D4080" t="s">
        <v>6001</v>
      </c>
      <c r="E4080" t="s">
        <v>6184</v>
      </c>
      <c r="F4080" s="140" t="s">
        <v>6184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4894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73</v>
      </c>
      <c r="R4080" s="136" t="s">
        <v>6087</v>
      </c>
      <c r="S4080" s="140"/>
    </row>
    <row r="4081" spans="1:19" hidden="1">
      <c r="A4081" s="142" t="s">
        <v>6201</v>
      </c>
      <c r="B4081" s="149" t="str">
        <f>IFERROR(VLOOKUP(Proc[[#This Row],[App]],Table2[],3,0),"open")</f>
        <v>ok</v>
      </c>
      <c r="C4081" s="142" t="s">
        <v>369</v>
      </c>
      <c r="D4081" t="s">
        <v>6002</v>
      </c>
      <c r="E4081" t="s">
        <v>6184</v>
      </c>
      <c r="F4081" s="140" t="s">
        <v>6184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4894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73</v>
      </c>
      <c r="R4081" s="136" t="s">
        <v>6087</v>
      </c>
      <c r="S4081" s="140"/>
    </row>
    <row r="4082" spans="1:19" hidden="1">
      <c r="A4082" s="142" t="s">
        <v>6201</v>
      </c>
      <c r="B4082" s="149" t="str">
        <f>IFERROR(VLOOKUP(Proc[[#This Row],[App]],Table2[],3,0),"open")</f>
        <v>ok</v>
      </c>
      <c r="C4082" s="142" t="s">
        <v>369</v>
      </c>
      <c r="D4082" t="s">
        <v>6003</v>
      </c>
      <c r="E4082" t="s">
        <v>6184</v>
      </c>
      <c r="F4082" s="140" t="s">
        <v>6184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4894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73</v>
      </c>
      <c r="R4082" s="136" t="s">
        <v>6087</v>
      </c>
      <c r="S4082" s="140"/>
    </row>
    <row r="4083" spans="1:19" hidden="1">
      <c r="A4083" s="142" t="s">
        <v>6201</v>
      </c>
      <c r="B4083" s="149" t="str">
        <f>IFERROR(VLOOKUP(Proc[[#This Row],[App]],Table2[],3,0),"open")</f>
        <v>ok</v>
      </c>
      <c r="C4083" s="142" t="s">
        <v>369</v>
      </c>
      <c r="D4083" t="s">
        <v>6015</v>
      </c>
      <c r="E4083" t="s">
        <v>6184</v>
      </c>
      <c r="F4083" s="140" t="s">
        <v>6184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4894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73</v>
      </c>
      <c r="R4083" s="136" t="s">
        <v>6087</v>
      </c>
      <c r="S4083" s="140"/>
    </row>
    <row r="4084" spans="1:19" hidden="1">
      <c r="A4084" s="142" t="s">
        <v>6201</v>
      </c>
      <c r="B4084" s="149" t="str">
        <f>IFERROR(VLOOKUP(Proc[[#This Row],[App]],Table2[],3,0),"open")</f>
        <v>ok</v>
      </c>
      <c r="C4084" s="142" t="s">
        <v>369</v>
      </c>
      <c r="D4084" t="s">
        <v>6025</v>
      </c>
      <c r="E4084" t="s">
        <v>6184</v>
      </c>
      <c r="F4084" s="140" t="s">
        <v>6184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4894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73</v>
      </c>
      <c r="R4084" s="136" t="s">
        <v>6087</v>
      </c>
      <c r="S4084" s="140"/>
    </row>
    <row r="4085" spans="1:19" hidden="1">
      <c r="A4085" s="142" t="s">
        <v>6201</v>
      </c>
      <c r="B4085" s="149" t="str">
        <f>IFERROR(VLOOKUP(Proc[[#This Row],[App]],Table2[],3,0),"open")</f>
        <v>ok</v>
      </c>
      <c r="C4085" s="142" t="s">
        <v>369</v>
      </c>
      <c r="D4085" t="s">
        <v>5981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4894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73</v>
      </c>
      <c r="R4085" s="136" t="s">
        <v>6087</v>
      </c>
      <c r="S4085" s="140"/>
    </row>
    <row r="4086" spans="1:19" hidden="1">
      <c r="A4086" s="142" t="s">
        <v>6201</v>
      </c>
      <c r="B4086" s="149" t="str">
        <f>IFERROR(VLOOKUP(Proc[[#This Row],[App]],Table2[],3,0),"open")</f>
        <v>ok</v>
      </c>
      <c r="C4086" s="142" t="s">
        <v>369</v>
      </c>
      <c r="D4086" t="s">
        <v>6020</v>
      </c>
      <c r="E4086" t="s">
        <v>6184</v>
      </c>
      <c r="F4086" s="140" t="s">
        <v>6184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4894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73</v>
      </c>
      <c r="R4086" s="136" t="s">
        <v>6087</v>
      </c>
      <c r="S4086" s="140"/>
    </row>
    <row r="4087" spans="1:19" hidden="1">
      <c r="A4087" s="142" t="s">
        <v>6201</v>
      </c>
      <c r="B4087" s="149" t="str">
        <f>IFERROR(VLOOKUP(Proc[[#This Row],[App]],Table2[],3,0),"open")</f>
        <v>ok</v>
      </c>
      <c r="C4087" s="142" t="s">
        <v>369</v>
      </c>
      <c r="D4087" t="s">
        <v>6040</v>
      </c>
      <c r="E4087" t="s">
        <v>6188</v>
      </c>
      <c r="F4087" s="140" t="s">
        <v>6188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4894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73</v>
      </c>
      <c r="R4087" s="136" t="s">
        <v>6087</v>
      </c>
      <c r="S4087" s="140"/>
    </row>
    <row r="4088" spans="1:19" hidden="1">
      <c r="A4088" s="142" t="s">
        <v>6201</v>
      </c>
      <c r="B4088" s="149" t="str">
        <f>IFERROR(VLOOKUP(Proc[[#This Row],[App]],Table2[],3,0),"open")</f>
        <v>ok</v>
      </c>
      <c r="C4088" s="142" t="s">
        <v>369</v>
      </c>
      <c r="D4088" t="s">
        <v>6041</v>
      </c>
      <c r="E4088" t="s">
        <v>6189</v>
      </c>
      <c r="F4088" s="140" t="s">
        <v>6189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4894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73</v>
      </c>
      <c r="R4088" s="136" t="s">
        <v>6087</v>
      </c>
      <c r="S4088" s="140"/>
    </row>
    <row r="4089" spans="1:19" hidden="1">
      <c r="A4089" s="142" t="s">
        <v>6201</v>
      </c>
      <c r="B4089" s="149" t="str">
        <f>IFERROR(VLOOKUP(Proc[[#This Row],[App]],Table2[],3,0),"open")</f>
        <v>ok</v>
      </c>
      <c r="C4089" s="142" t="s">
        <v>369</v>
      </c>
      <c r="D4089" t="s">
        <v>6023</v>
      </c>
      <c r="E4089" t="s">
        <v>6184</v>
      </c>
      <c r="F4089" s="140" t="s">
        <v>6184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4894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73</v>
      </c>
      <c r="R4089" s="136" t="s">
        <v>6087</v>
      </c>
      <c r="S4089" s="140"/>
    </row>
    <row r="4090" spans="1:19" hidden="1">
      <c r="A4090" s="142" t="s">
        <v>6201</v>
      </c>
      <c r="B4090" s="149" t="str">
        <f>IFERROR(VLOOKUP(Proc[[#This Row],[App]],Table2[],3,0),"open")</f>
        <v>ok</v>
      </c>
      <c r="C4090" s="142" t="s">
        <v>369</v>
      </c>
      <c r="D4090" t="s">
        <v>6039</v>
      </c>
      <c r="E4090" t="s">
        <v>6190</v>
      </c>
      <c r="F4090" s="140" t="s">
        <v>6190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4894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73</v>
      </c>
      <c r="R4090" s="136" t="s">
        <v>6087</v>
      </c>
      <c r="S4090" s="140"/>
    </row>
    <row r="4091" spans="1:19" hidden="1">
      <c r="A4091" s="142" t="s">
        <v>6201</v>
      </c>
      <c r="B4091" s="149" t="str">
        <f>IFERROR(VLOOKUP(Proc[[#This Row],[App]],Table2[],3,0),"open")</f>
        <v>ok</v>
      </c>
      <c r="C4091" s="142" t="s">
        <v>369</v>
      </c>
      <c r="D4091" t="s">
        <v>6026</v>
      </c>
      <c r="E4091" t="s">
        <v>6191</v>
      </c>
      <c r="F4091" s="140" t="s">
        <v>6191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4894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73</v>
      </c>
      <c r="R4091" s="136" t="s">
        <v>6087</v>
      </c>
      <c r="S4091" s="140"/>
    </row>
    <row r="4092" spans="1:19" hidden="1">
      <c r="A4092" s="142" t="s">
        <v>6201</v>
      </c>
      <c r="B4092" s="149" t="str">
        <f>IFERROR(VLOOKUP(Proc[[#This Row],[App]],Table2[],3,0),"open")</f>
        <v>ok</v>
      </c>
      <c r="C4092" s="142" t="s">
        <v>369</v>
      </c>
      <c r="D4092" t="s">
        <v>6043</v>
      </c>
      <c r="E4092" t="s">
        <v>6163</v>
      </c>
      <c r="F4092" s="140" t="s">
        <v>6163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4894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73</v>
      </c>
      <c r="R4092" s="136" t="s">
        <v>6087</v>
      </c>
      <c r="S4092" s="140"/>
    </row>
    <row r="4093" spans="1:19" hidden="1">
      <c r="A4093" s="142" t="s">
        <v>6201</v>
      </c>
      <c r="B4093" s="149" t="str">
        <f>IFERROR(VLOOKUP(Proc[[#This Row],[App]],Table2[],3,0),"open")</f>
        <v>ok</v>
      </c>
      <c r="C4093" s="142" t="s">
        <v>369</v>
      </c>
      <c r="D4093" t="s">
        <v>6027</v>
      </c>
      <c r="E4093" t="s">
        <v>6192</v>
      </c>
      <c r="F4093" s="140" t="s">
        <v>6192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4894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73</v>
      </c>
      <c r="R4093" s="136" t="s">
        <v>6087</v>
      </c>
      <c r="S4093" s="140"/>
    </row>
    <row r="4094" spans="1:19" hidden="1">
      <c r="A4094" s="142" t="s">
        <v>6201</v>
      </c>
      <c r="B4094" s="149" t="str">
        <f>IFERROR(VLOOKUP(Proc[[#This Row],[App]],Table2[],3,0),"open")</f>
        <v>ok</v>
      </c>
      <c r="C4094" s="142" t="s">
        <v>369</v>
      </c>
      <c r="D4094" t="s">
        <v>6028</v>
      </c>
      <c r="E4094" t="s">
        <v>6193</v>
      </c>
      <c r="F4094" s="140" t="s">
        <v>6193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4894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73</v>
      </c>
      <c r="R4094" s="136" t="s">
        <v>6087</v>
      </c>
      <c r="S4094" s="140"/>
    </row>
    <row r="4095" spans="1:19" hidden="1">
      <c r="A4095" s="142" t="s">
        <v>6201</v>
      </c>
      <c r="B4095" s="149" t="str">
        <f>IFERROR(VLOOKUP(Proc[[#This Row],[App]],Table2[],3,0),"open")</f>
        <v>ok</v>
      </c>
      <c r="C4095" s="142" t="s">
        <v>369</v>
      </c>
      <c r="D4095" t="s">
        <v>5951</v>
      </c>
      <c r="E4095" t="s">
        <v>6194</v>
      </c>
      <c r="F4095" s="140" t="s">
        <v>6194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4894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73</v>
      </c>
      <c r="R4095" s="136" t="s">
        <v>6087</v>
      </c>
      <c r="S4095" s="140"/>
    </row>
    <row r="4096" spans="1:19" hidden="1">
      <c r="A4096" s="142" t="s">
        <v>6201</v>
      </c>
      <c r="B4096" s="149" t="str">
        <f>IFERROR(VLOOKUP(Proc[[#This Row],[App]],Table2[],3,0),"open")</f>
        <v>ok</v>
      </c>
      <c r="C4096" s="144" t="s">
        <v>369</v>
      </c>
      <c r="D4096" t="s">
        <v>5954</v>
      </c>
      <c r="E4096" t="s">
        <v>6195</v>
      </c>
      <c r="F4096" s="140" t="s">
        <v>6195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4894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73</v>
      </c>
      <c r="R4096" s="136" t="s">
        <v>6087</v>
      </c>
      <c r="S4096" s="140"/>
    </row>
    <row r="4097" spans="1:19" hidden="1">
      <c r="A4097" s="142" t="s">
        <v>6201</v>
      </c>
      <c r="B4097" s="149" t="str">
        <f>IFERROR(VLOOKUP(Proc[[#This Row],[App]],Table2[],3,0),"open")</f>
        <v>ok</v>
      </c>
      <c r="C4097" s="142" t="s">
        <v>369</v>
      </c>
      <c r="D4097" t="s">
        <v>5952</v>
      </c>
      <c r="E4097" t="s">
        <v>6196</v>
      </c>
      <c r="F4097" s="140" t="s">
        <v>6196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4894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73</v>
      </c>
      <c r="R4097" s="136" t="s">
        <v>6087</v>
      </c>
      <c r="S4097" s="140"/>
    </row>
    <row r="4098" spans="1:19" hidden="1">
      <c r="A4098" s="142" t="s">
        <v>6201</v>
      </c>
      <c r="B4098" s="149" t="str">
        <f>IFERROR(VLOOKUP(Proc[[#This Row],[App]],Table2[],3,0),"open")</f>
        <v>ok</v>
      </c>
      <c r="C4098" s="142" t="s">
        <v>369</v>
      </c>
      <c r="D4098" t="s">
        <v>5956</v>
      </c>
      <c r="E4098" t="s">
        <v>6197</v>
      </c>
      <c r="F4098" s="140" t="s">
        <v>6197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4894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73</v>
      </c>
      <c r="R4098" s="136" t="s">
        <v>6087</v>
      </c>
      <c r="S4098" s="140"/>
    </row>
    <row r="4099" spans="1:19" hidden="1">
      <c r="A4099" s="142" t="s">
        <v>6201</v>
      </c>
      <c r="B4099" s="149" t="str">
        <f>IFERROR(VLOOKUP(Proc[[#This Row],[App]],Table2[],3,0),"open")</f>
        <v>ok</v>
      </c>
      <c r="C4099" s="142" t="s">
        <v>369</v>
      </c>
      <c r="D4099" t="s">
        <v>5982</v>
      </c>
      <c r="E4099" t="s">
        <v>6198</v>
      </c>
      <c r="F4099" s="140" t="s">
        <v>6198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4894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73</v>
      </c>
      <c r="R4099" s="136" t="s">
        <v>6087</v>
      </c>
      <c r="S4099" s="140"/>
    </row>
    <row r="4100" spans="1:19" hidden="1">
      <c r="A4100" s="142" t="s">
        <v>6201</v>
      </c>
      <c r="B4100" s="149" t="str">
        <f>IFERROR(VLOOKUP(Proc[[#This Row],[App]],Table2[],3,0),"open")</f>
        <v>ok</v>
      </c>
      <c r="C4100" s="142" t="s">
        <v>369</v>
      </c>
      <c r="D4100" t="s">
        <v>5979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4894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73</v>
      </c>
      <c r="R4100" s="136" t="s">
        <v>6087</v>
      </c>
      <c r="S4100" s="140"/>
    </row>
    <row r="4101" spans="1:19" hidden="1">
      <c r="A4101" s="142" t="s">
        <v>6201</v>
      </c>
      <c r="B4101" s="149" t="str">
        <f>IFERROR(VLOOKUP(Proc[[#This Row],[App]],Table2[],3,0),"open")</f>
        <v>ok</v>
      </c>
      <c r="C4101" s="142" t="s">
        <v>369</v>
      </c>
      <c r="D4101" t="s">
        <v>5983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4894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73</v>
      </c>
      <c r="R4101" s="136" t="s">
        <v>6087</v>
      </c>
      <c r="S4101" s="140"/>
    </row>
    <row r="4102" spans="1:19" hidden="1">
      <c r="A4102" s="142" t="s">
        <v>6201</v>
      </c>
      <c r="B4102" s="149" t="str">
        <f>IFERROR(VLOOKUP(Proc[[#This Row],[App]],Table2[],3,0),"open")</f>
        <v>ok</v>
      </c>
      <c r="C4102" s="142" t="s">
        <v>369</v>
      </c>
      <c r="D4102" t="s">
        <v>5984</v>
      </c>
      <c r="E4102" t="s">
        <v>6171</v>
      </c>
      <c r="F4102" s="140" t="s">
        <v>6171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4894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73</v>
      </c>
      <c r="R4102" s="136" t="s">
        <v>6087</v>
      </c>
      <c r="S4102" s="140"/>
    </row>
    <row r="4103" spans="1:19" hidden="1">
      <c r="A4103" s="142" t="s">
        <v>6201</v>
      </c>
      <c r="B4103" s="149" t="str">
        <f>IFERROR(VLOOKUP(Proc[[#This Row],[App]],Table2[],3,0),"open")</f>
        <v>ok</v>
      </c>
      <c r="C4103" s="142" t="s">
        <v>369</v>
      </c>
      <c r="D4103" t="s">
        <v>5985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4894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73</v>
      </c>
      <c r="R4103" s="136" t="s">
        <v>6087</v>
      </c>
      <c r="S4103" s="140"/>
    </row>
    <row r="4104" spans="1:19" hidden="1">
      <c r="A4104" s="142" t="s">
        <v>6201</v>
      </c>
      <c r="B4104" s="149" t="str">
        <f>IFERROR(VLOOKUP(Proc[[#This Row],[App]],Table2[],3,0),"open")</f>
        <v>ok</v>
      </c>
      <c r="C4104" s="142" t="s">
        <v>369</v>
      </c>
      <c r="D4104" t="s">
        <v>5986</v>
      </c>
      <c r="E4104" t="s">
        <v>6171</v>
      </c>
      <c r="F4104" s="140" t="s">
        <v>6171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4894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73</v>
      </c>
      <c r="R4104" s="136" t="s">
        <v>6087</v>
      </c>
      <c r="S4104" s="140"/>
    </row>
    <row r="4105" spans="1:19" hidden="1">
      <c r="A4105" s="142" t="s">
        <v>6201</v>
      </c>
      <c r="B4105" s="149" t="str">
        <f>IFERROR(VLOOKUP(Proc[[#This Row],[App]],Table2[],3,0),"open")</f>
        <v>ok</v>
      </c>
      <c r="C4105" s="142" t="s">
        <v>369</v>
      </c>
      <c r="D4105" t="s">
        <v>5987</v>
      </c>
      <c r="E4105" t="s">
        <v>6171</v>
      </c>
      <c r="F4105" s="140" t="s">
        <v>6171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4894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73</v>
      </c>
      <c r="R4105" s="136" t="s">
        <v>6087</v>
      </c>
      <c r="S4105" s="140"/>
    </row>
    <row r="4106" spans="1:19" hidden="1">
      <c r="A4106" s="142" t="s">
        <v>6201</v>
      </c>
      <c r="B4106" s="149" t="str">
        <f>IFERROR(VLOOKUP(Proc[[#This Row],[App]],Table2[],3,0),"open")</f>
        <v>ok</v>
      </c>
      <c r="C4106" s="142" t="s">
        <v>369</v>
      </c>
      <c r="D4106" t="s">
        <v>5989</v>
      </c>
      <c r="E4106" t="s">
        <v>6169</v>
      </c>
      <c r="F4106" s="140" t="s">
        <v>6169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4894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73</v>
      </c>
      <c r="R4106" s="136" t="s">
        <v>6087</v>
      </c>
      <c r="S4106" s="140"/>
    </row>
    <row r="4107" spans="1:19" hidden="1">
      <c r="A4107" s="142" t="s">
        <v>6201</v>
      </c>
      <c r="B4107" s="149" t="str">
        <f>IFERROR(VLOOKUP(Proc[[#This Row],[App]],Table2[],3,0),"open")</f>
        <v>ok</v>
      </c>
      <c r="C4107" s="142" t="s">
        <v>369</v>
      </c>
      <c r="D4107" t="s">
        <v>5991</v>
      </c>
      <c r="E4107" t="s">
        <v>6171</v>
      </c>
      <c r="F4107" s="140" t="s">
        <v>6171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4894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73</v>
      </c>
      <c r="R4107" s="136" t="s">
        <v>6087</v>
      </c>
      <c r="S4107" s="140"/>
    </row>
    <row r="4108" spans="1:19" hidden="1">
      <c r="A4108" s="142" t="s">
        <v>6201</v>
      </c>
      <c r="B4108" s="149" t="str">
        <f>IFERROR(VLOOKUP(Proc[[#This Row],[App]],Table2[],3,0),"open")</f>
        <v>ok</v>
      </c>
      <c r="C4108" s="142" t="s">
        <v>369</v>
      </c>
      <c r="D4108" t="s">
        <v>5957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4894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73</v>
      </c>
      <c r="R4108" s="136" t="s">
        <v>6087</v>
      </c>
      <c r="S4108" s="140"/>
    </row>
    <row r="4109" spans="1:19" hidden="1">
      <c r="A4109" s="142" t="s">
        <v>6201</v>
      </c>
      <c r="B4109" s="149" t="str">
        <f>IFERROR(VLOOKUP(Proc[[#This Row],[App]],Table2[],3,0),"open")</f>
        <v>ok</v>
      </c>
      <c r="C4109" s="142" t="s">
        <v>369</v>
      </c>
      <c r="D4109" t="s">
        <v>5958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4894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73</v>
      </c>
      <c r="R4109" s="136" t="s">
        <v>6087</v>
      </c>
      <c r="S4109" s="140"/>
    </row>
    <row r="4110" spans="1:19" hidden="1">
      <c r="A4110" s="142" t="s">
        <v>6201</v>
      </c>
      <c r="B4110" s="149" t="str">
        <f>IFERROR(VLOOKUP(Proc[[#This Row],[App]],Table2[],3,0),"open")</f>
        <v>ok</v>
      </c>
      <c r="C4110" s="142" t="s">
        <v>369</v>
      </c>
      <c r="D4110" t="s">
        <v>5959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4894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73</v>
      </c>
      <c r="R4110" s="136" t="s">
        <v>6087</v>
      </c>
      <c r="S4110" s="140"/>
    </row>
    <row r="4111" spans="1:19" hidden="1">
      <c r="A4111" s="142" t="s">
        <v>6201</v>
      </c>
      <c r="B4111" s="149" t="str">
        <f>IFERROR(VLOOKUP(Proc[[#This Row],[App]],Table2[],3,0),"open")</f>
        <v>ok</v>
      </c>
      <c r="C4111" s="142" t="s">
        <v>369</v>
      </c>
      <c r="D4111" t="s">
        <v>5963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4894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73</v>
      </c>
      <c r="R4111" s="136" t="s">
        <v>6087</v>
      </c>
      <c r="S4111" s="140"/>
    </row>
    <row r="4112" spans="1:19" hidden="1">
      <c r="A4112" s="142" t="s">
        <v>6201</v>
      </c>
      <c r="B4112" s="149" t="str">
        <f>IFERROR(VLOOKUP(Proc[[#This Row],[App]],Table2[],3,0),"open")</f>
        <v>ok</v>
      </c>
      <c r="C4112" s="142" t="s">
        <v>369</v>
      </c>
      <c r="D4112" t="s">
        <v>5969</v>
      </c>
      <c r="E4112" t="s">
        <v>6199</v>
      </c>
      <c r="F4112" s="140" t="s">
        <v>6199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4894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73</v>
      </c>
      <c r="R4112" s="136" t="s">
        <v>6087</v>
      </c>
      <c r="S4112" s="140"/>
    </row>
    <row r="4113" spans="1:19" hidden="1">
      <c r="A4113" s="142" t="s">
        <v>6201</v>
      </c>
      <c r="B4113" s="149" t="str">
        <f>IFERROR(VLOOKUP(Proc[[#This Row],[App]],Table2[],3,0),"open")</f>
        <v>ok</v>
      </c>
      <c r="C4113" s="149" t="s">
        <v>369</v>
      </c>
      <c r="D4113" t="s">
        <v>5970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4894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73</v>
      </c>
      <c r="R4113" s="136" t="s">
        <v>6087</v>
      </c>
      <c r="S4113" s="140"/>
    </row>
    <row r="4114" spans="1:19" hidden="1">
      <c r="A4114" s="142" t="s">
        <v>6201</v>
      </c>
      <c r="B4114" s="149" t="str">
        <f>IFERROR(VLOOKUP(Proc[[#This Row],[App]],Table2[],3,0),"open")</f>
        <v>ok</v>
      </c>
      <c r="C4114" s="142" t="s">
        <v>369</v>
      </c>
      <c r="D4114" t="s">
        <v>5973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4894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73</v>
      </c>
      <c r="R4114" s="136" t="s">
        <v>6087</v>
      </c>
      <c r="S4114" s="140"/>
    </row>
    <row r="4115" spans="1:19" hidden="1">
      <c r="A4115" s="142" t="s">
        <v>6201</v>
      </c>
      <c r="B4115" s="149" t="str">
        <f>IFERROR(VLOOKUP(Proc[[#This Row],[App]],Table2[],3,0),"open")</f>
        <v>ok</v>
      </c>
      <c r="C4115" s="142" t="s">
        <v>369</v>
      </c>
      <c r="D4115" t="s">
        <v>5975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4894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73</v>
      </c>
      <c r="R4115" s="136" t="s">
        <v>6087</v>
      </c>
      <c r="S4115" s="140"/>
    </row>
    <row r="4116" spans="1:19" hidden="1">
      <c r="A4116" s="142" t="s">
        <v>6201</v>
      </c>
      <c r="B4116" s="149" t="str">
        <f>IFERROR(VLOOKUP(Proc[[#This Row],[App]],Table2[],3,0),"open")</f>
        <v>ok</v>
      </c>
      <c r="C4116" s="142" t="s">
        <v>369</v>
      </c>
      <c r="D4116" t="s">
        <v>5992</v>
      </c>
      <c r="E4116" t="s">
        <v>6171</v>
      </c>
      <c r="F4116" s="140" t="s">
        <v>6171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4894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73</v>
      </c>
      <c r="R4116" s="136" t="s">
        <v>6087</v>
      </c>
      <c r="S4116" s="140"/>
    </row>
    <row r="4117" spans="1:19" hidden="1">
      <c r="A4117" s="142" t="s">
        <v>6201</v>
      </c>
      <c r="B4117" s="149" t="str">
        <f>IFERROR(VLOOKUP(Proc[[#This Row],[App]],Table2[],3,0),"open")</f>
        <v>ok</v>
      </c>
      <c r="C4117" s="142" t="s">
        <v>369</v>
      </c>
      <c r="D4117" t="s">
        <v>5999</v>
      </c>
      <c r="E4117" t="s">
        <v>6200</v>
      </c>
      <c r="F4117" s="140" t="s">
        <v>6200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4894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73</v>
      </c>
      <c r="R4117" s="136" t="s">
        <v>6087</v>
      </c>
      <c r="S4117" s="140"/>
    </row>
    <row r="4118" spans="1:19" hidden="1">
      <c r="A4118" s="142" t="s">
        <v>6201</v>
      </c>
      <c r="B4118" s="149" t="str">
        <f>IFERROR(VLOOKUP(Proc[[#This Row],[App]],Table2[],3,0),"open")</f>
        <v>ok</v>
      </c>
      <c r="C4118" s="142" t="s">
        <v>369</v>
      </c>
      <c r="D4118" t="s">
        <v>6203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4894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73</v>
      </c>
      <c r="R4118" s="136" t="s">
        <v>6087</v>
      </c>
      <c r="S4118" s="140"/>
    </row>
    <row r="4119" spans="1:19" hidden="1">
      <c r="A4119" t="s">
        <v>6202</v>
      </c>
      <c r="B4119" s="149" t="str">
        <f>IFERROR(VLOOKUP(Proc[[#This Row],[App]],Table2[],3,0),"open")</f>
        <v>ok</v>
      </c>
      <c r="C4119" s="144" t="s">
        <v>369</v>
      </c>
      <c r="D4119" t="s">
        <v>6276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4894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73</v>
      </c>
      <c r="R4119" s="136" t="s">
        <v>1262</v>
      </c>
      <c r="S4119" s="140"/>
    </row>
    <row r="4120" spans="1:19" hidden="1">
      <c r="A4120" t="s">
        <v>6216</v>
      </c>
      <c r="B4120" s="149" t="str">
        <f>IFERROR(VLOOKUP(Proc[[#This Row],[App]],Table2[],3,0),"open")</f>
        <v>ok</v>
      </c>
      <c r="C4120" s="142" t="s">
        <v>369</v>
      </c>
      <c r="D4120" t="s">
        <v>6205</v>
      </c>
      <c r="E4120" t="s">
        <v>6204</v>
      </c>
      <c r="F4120" s="140" t="s">
        <v>6204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4894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69</v>
      </c>
      <c r="R4120" s="136" t="s">
        <v>6087</v>
      </c>
      <c r="S4120" s="140"/>
    </row>
    <row r="4121" spans="1:19" hidden="1">
      <c r="A4121" s="142" t="s">
        <v>6216</v>
      </c>
      <c r="B4121" s="149" t="str">
        <f>IFERROR(VLOOKUP(Proc[[#This Row],[App]],Table2[],3,0),"open")</f>
        <v>ok</v>
      </c>
      <c r="C4121" s="149" t="s">
        <v>369</v>
      </c>
      <c r="D4121" t="s">
        <v>6206</v>
      </c>
      <c r="E4121" t="s">
        <v>6069</v>
      </c>
      <c r="F4121" s="150" t="s">
        <v>6069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4894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69</v>
      </c>
      <c r="R4121" s="136" t="s">
        <v>6087</v>
      </c>
      <c r="S4121" s="140"/>
    </row>
    <row r="4122" spans="1:19" hidden="1">
      <c r="A4122" s="142" t="s">
        <v>6216</v>
      </c>
      <c r="B4122" s="149" t="str">
        <f>IFERROR(VLOOKUP(Proc[[#This Row],[App]],Table2[],3,0),"open")</f>
        <v>ok</v>
      </c>
      <c r="C4122" s="149" t="s">
        <v>369</v>
      </c>
      <c r="D4122" t="s">
        <v>6207</v>
      </c>
      <c r="E4122" t="s">
        <v>6069</v>
      </c>
      <c r="F4122" s="150" t="s">
        <v>6069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4894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69</v>
      </c>
      <c r="R4122" s="136" t="s">
        <v>6087</v>
      </c>
      <c r="S4122" s="140"/>
    </row>
    <row r="4123" spans="1:19" hidden="1">
      <c r="A4123" s="142" t="s">
        <v>6216</v>
      </c>
      <c r="B4123" s="149" t="str">
        <f>IFERROR(VLOOKUP(Proc[[#This Row],[App]],Table2[],3,0),"open")</f>
        <v>ok</v>
      </c>
      <c r="C4123" s="144" t="s">
        <v>369</v>
      </c>
      <c r="D4123" t="s">
        <v>6208</v>
      </c>
      <c r="E4123" t="s">
        <v>6059</v>
      </c>
      <c r="F4123" s="140" t="s">
        <v>6059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4894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69</v>
      </c>
      <c r="R4123" s="136" t="s">
        <v>6087</v>
      </c>
      <c r="S4123" s="140"/>
    </row>
    <row r="4124" spans="1:19" hidden="1">
      <c r="A4124" s="142" t="s">
        <v>6216</v>
      </c>
      <c r="B4124" s="149" t="str">
        <f>IFERROR(VLOOKUP(Proc[[#This Row],[App]],Table2[],3,0),"open")</f>
        <v>ok</v>
      </c>
      <c r="C4124" s="144" t="s">
        <v>369</v>
      </c>
      <c r="D4124" t="s">
        <v>6209</v>
      </c>
      <c r="E4124" t="s">
        <v>6059</v>
      </c>
      <c r="F4124" s="140" t="s">
        <v>6059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4894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69</v>
      </c>
      <c r="R4124" s="136" t="s">
        <v>6087</v>
      </c>
      <c r="S4124" s="140"/>
    </row>
    <row r="4125" spans="1:19" hidden="1">
      <c r="A4125" s="142" t="s">
        <v>6216</v>
      </c>
      <c r="B4125" s="149" t="str">
        <f>IFERROR(VLOOKUP(Proc[[#This Row],[App]],Table2[],3,0),"open")</f>
        <v>ok</v>
      </c>
      <c r="C4125" s="142" t="s">
        <v>369</v>
      </c>
      <c r="D4125" t="s">
        <v>6210</v>
      </c>
      <c r="E4125" t="s">
        <v>6204</v>
      </c>
      <c r="F4125" s="140" t="s">
        <v>6204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4894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69</v>
      </c>
      <c r="R4125" s="136" t="s">
        <v>6087</v>
      </c>
      <c r="S4125" s="140"/>
    </row>
    <row r="4126" spans="1:19" hidden="1">
      <c r="A4126" s="142" t="s">
        <v>6216</v>
      </c>
      <c r="B4126" s="149" t="str">
        <f>IFERROR(VLOOKUP(Proc[[#This Row],[App]],Table2[],3,0),"open")</f>
        <v>ok</v>
      </c>
      <c r="C4126" s="144" t="s">
        <v>369</v>
      </c>
      <c r="D4126" t="s">
        <v>6211</v>
      </c>
      <c r="E4126" t="s">
        <v>6059</v>
      </c>
      <c r="F4126" s="140" t="s">
        <v>6059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4894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69</v>
      </c>
      <c r="R4126" s="136" t="s">
        <v>6087</v>
      </c>
      <c r="S4126" s="140"/>
    </row>
    <row r="4127" spans="1:19" hidden="1">
      <c r="A4127" s="142" t="s">
        <v>6216</v>
      </c>
      <c r="B4127" s="149" t="str">
        <f>IFERROR(VLOOKUP(Proc[[#This Row],[App]],Table2[],3,0),"open")</f>
        <v>ok</v>
      </c>
      <c r="C4127" s="142" t="s">
        <v>369</v>
      </c>
      <c r="D4127" t="s">
        <v>6212</v>
      </c>
      <c r="E4127" t="s">
        <v>6204</v>
      </c>
      <c r="F4127" s="140" t="s">
        <v>6204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4894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69</v>
      </c>
      <c r="R4127" s="136" t="s">
        <v>6087</v>
      </c>
      <c r="S4127" s="140"/>
    </row>
    <row r="4128" spans="1:19" hidden="1">
      <c r="A4128" s="142" t="s">
        <v>6216</v>
      </c>
      <c r="B4128" s="149" t="str">
        <f>IFERROR(VLOOKUP(Proc[[#This Row],[App]],Table2[],3,0),"open")</f>
        <v>ok</v>
      </c>
      <c r="C4128" s="144" t="s">
        <v>369</v>
      </c>
      <c r="D4128" t="s">
        <v>6213</v>
      </c>
      <c r="E4128" t="s">
        <v>6059</v>
      </c>
      <c r="F4128" s="140" t="s">
        <v>6059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4894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69</v>
      </c>
      <c r="R4128" s="136" t="s">
        <v>6087</v>
      </c>
      <c r="S4128" s="140"/>
    </row>
    <row r="4129" spans="1:19" hidden="1">
      <c r="A4129" s="142" t="s">
        <v>6216</v>
      </c>
      <c r="B4129" s="149" t="str">
        <f>IFERROR(VLOOKUP(Proc[[#This Row],[App]],Table2[],3,0),"open")</f>
        <v>ok</v>
      </c>
      <c r="C4129" s="144" t="s">
        <v>369</v>
      </c>
      <c r="D4129" t="s">
        <v>6214</v>
      </c>
      <c r="E4129" t="s">
        <v>6059</v>
      </c>
      <c r="F4129" s="140" t="s">
        <v>6059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4894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69</v>
      </c>
      <c r="R4129" s="136" t="s">
        <v>6087</v>
      </c>
      <c r="S4129" s="140"/>
    </row>
    <row r="4130" spans="1:19" hidden="1">
      <c r="A4130" s="142" t="s">
        <v>6216</v>
      </c>
      <c r="B4130" s="149" t="str">
        <f>IFERROR(VLOOKUP(Proc[[#This Row],[App]],Table2[],3,0),"open")</f>
        <v>ok</v>
      </c>
      <c r="C4130" s="144" t="s">
        <v>369</v>
      </c>
      <c r="D4130" t="s">
        <v>6215</v>
      </c>
      <c r="E4130" t="s">
        <v>6059</v>
      </c>
      <c r="F4130" s="140" t="s">
        <v>6059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4894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69</v>
      </c>
      <c r="R4130" s="136" t="s">
        <v>6087</v>
      </c>
      <c r="S4130" s="140"/>
    </row>
    <row r="4131" spans="1:19" hidden="1">
      <c r="A4131" t="s">
        <v>6217</v>
      </c>
      <c r="B4131" s="149" t="str">
        <f>IFERROR(VLOOKUP(Proc[[#This Row],[App]],Table2[],3,0),"open")</f>
        <v>ok</v>
      </c>
      <c r="C4131" s="144" t="s">
        <v>369</v>
      </c>
      <c r="D4131" s="143" t="s">
        <v>6218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4894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69</v>
      </c>
      <c r="R4131" s="136" t="s">
        <v>515</v>
      </c>
      <c r="S4131" s="140"/>
    </row>
    <row r="4132" spans="1:19" hidden="1">
      <c r="A4132" t="s">
        <v>6236</v>
      </c>
      <c r="B4132" s="149" t="str">
        <f>IFERROR(VLOOKUP(Proc[[#This Row],[App]],Table2[],3,0),"open")</f>
        <v>ok</v>
      </c>
      <c r="C4132" s="144" t="s">
        <v>369</v>
      </c>
      <c r="D4132" t="s">
        <v>6219</v>
      </c>
      <c r="E4132" t="s">
        <v>4864</v>
      </c>
      <c r="F4132" s="140" t="s">
        <v>4864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4894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68</v>
      </c>
      <c r="R4132" s="137" t="s">
        <v>515</v>
      </c>
      <c r="S4132" s="140"/>
    </row>
    <row r="4133" spans="1:19" hidden="1">
      <c r="A4133" s="144" t="s">
        <v>6236</v>
      </c>
      <c r="B4133" s="149" t="str">
        <f>IFERROR(VLOOKUP(Proc[[#This Row],[App]],Table2[],3,0),"open")</f>
        <v>ok</v>
      </c>
      <c r="C4133" s="144" t="s">
        <v>369</v>
      </c>
      <c r="D4133" t="s">
        <v>6220</v>
      </c>
      <c r="E4133" t="s">
        <v>4864</v>
      </c>
      <c r="F4133" s="140" t="s">
        <v>4864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4894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68</v>
      </c>
      <c r="R4133" s="137" t="s">
        <v>515</v>
      </c>
      <c r="S4133" s="140"/>
    </row>
    <row r="4134" spans="1:19" hidden="1">
      <c r="A4134" s="144" t="s">
        <v>6236</v>
      </c>
      <c r="B4134" s="149" t="str">
        <f>IFERROR(VLOOKUP(Proc[[#This Row],[App]],Table2[],3,0),"open")</f>
        <v>ok</v>
      </c>
      <c r="C4134" s="144" t="s">
        <v>369</v>
      </c>
      <c r="D4134" t="s">
        <v>6221</v>
      </c>
      <c r="E4134" t="s">
        <v>4865</v>
      </c>
      <c r="F4134" s="140" t="s">
        <v>4865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4894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68</v>
      </c>
      <c r="R4134" s="137" t="s">
        <v>515</v>
      </c>
      <c r="S4134" s="140"/>
    </row>
    <row r="4135" spans="1:19" hidden="1">
      <c r="A4135" s="144" t="s">
        <v>6236</v>
      </c>
      <c r="B4135" s="149" t="str">
        <f>IFERROR(VLOOKUP(Proc[[#This Row],[App]],Table2[],3,0),"open")</f>
        <v>ok</v>
      </c>
      <c r="C4135" s="144" t="s">
        <v>369</v>
      </c>
      <c r="D4135" t="s">
        <v>6222</v>
      </c>
      <c r="E4135" t="s">
        <v>4865</v>
      </c>
      <c r="F4135" s="140" t="s">
        <v>4865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4894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68</v>
      </c>
      <c r="R4135" s="137" t="s">
        <v>515</v>
      </c>
      <c r="S4135" s="140"/>
    </row>
    <row r="4136" spans="1:19" hidden="1">
      <c r="A4136" s="144" t="s">
        <v>6236</v>
      </c>
      <c r="B4136" s="149" t="str">
        <f>IFERROR(VLOOKUP(Proc[[#This Row],[App]],Table2[],3,0),"open")</f>
        <v>ok</v>
      </c>
      <c r="C4136" s="144" t="s">
        <v>369</v>
      </c>
      <c r="D4136" t="s">
        <v>6223</v>
      </c>
      <c r="E4136" t="s">
        <v>4864</v>
      </c>
      <c r="F4136" s="140" t="s">
        <v>4864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4894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68</v>
      </c>
      <c r="R4136" s="137" t="s">
        <v>515</v>
      </c>
      <c r="S4136" s="140"/>
    </row>
    <row r="4137" spans="1:19" hidden="1">
      <c r="A4137" s="144" t="s">
        <v>6236</v>
      </c>
      <c r="B4137" s="149" t="str">
        <f>IFERROR(VLOOKUP(Proc[[#This Row],[App]],Table2[],3,0),"open")</f>
        <v>ok</v>
      </c>
      <c r="C4137" s="144" t="s">
        <v>369</v>
      </c>
      <c r="D4137" t="s">
        <v>6224</v>
      </c>
      <c r="E4137" t="s">
        <v>4864</v>
      </c>
      <c r="F4137" s="140" t="s">
        <v>4864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4894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68</v>
      </c>
      <c r="R4137" s="137" t="s">
        <v>515</v>
      </c>
      <c r="S4137" s="140"/>
    </row>
    <row r="4138" spans="1:19" hidden="1">
      <c r="A4138" s="144" t="s">
        <v>6236</v>
      </c>
      <c r="B4138" s="149" t="str">
        <f>IFERROR(VLOOKUP(Proc[[#This Row],[App]],Table2[],3,0),"open")</f>
        <v>ok</v>
      </c>
      <c r="C4138" s="144" t="s">
        <v>369</v>
      </c>
      <c r="D4138" t="s">
        <v>6225</v>
      </c>
      <c r="E4138" t="s">
        <v>4864</v>
      </c>
      <c r="F4138" s="140" t="s">
        <v>4864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4894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68</v>
      </c>
      <c r="R4138" s="137" t="s">
        <v>515</v>
      </c>
      <c r="S4138" s="140"/>
    </row>
    <row r="4139" spans="1:19" hidden="1">
      <c r="A4139" s="144" t="s">
        <v>6236</v>
      </c>
      <c r="B4139" s="149" t="str">
        <f>IFERROR(VLOOKUP(Proc[[#This Row],[App]],Table2[],3,0),"open")</f>
        <v>ok</v>
      </c>
      <c r="C4139" s="144" t="s">
        <v>369</v>
      </c>
      <c r="D4139" t="s">
        <v>6226</v>
      </c>
      <c r="E4139" t="s">
        <v>4864</v>
      </c>
      <c r="F4139" s="140" t="s">
        <v>4864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4894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68</v>
      </c>
      <c r="R4139" s="137" t="s">
        <v>515</v>
      </c>
      <c r="S4139" s="140"/>
    </row>
    <row r="4140" spans="1:19" hidden="1">
      <c r="A4140" s="144" t="s">
        <v>6236</v>
      </c>
      <c r="B4140" s="149" t="str">
        <f>IFERROR(VLOOKUP(Proc[[#This Row],[App]],Table2[],3,0),"open")</f>
        <v>ok</v>
      </c>
      <c r="C4140" s="144" t="s">
        <v>369</v>
      </c>
      <c r="D4140" t="s">
        <v>6227</v>
      </c>
      <c r="E4140" t="s">
        <v>4864</v>
      </c>
      <c r="F4140" s="140" t="s">
        <v>4864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4894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68</v>
      </c>
      <c r="R4140" s="137" t="s">
        <v>515</v>
      </c>
      <c r="S4140" s="140"/>
    </row>
    <row r="4141" spans="1:19" hidden="1">
      <c r="A4141" s="144" t="s">
        <v>6236</v>
      </c>
      <c r="B4141" s="149" t="str">
        <f>IFERROR(VLOOKUP(Proc[[#This Row],[App]],Table2[],3,0),"open")</f>
        <v>ok</v>
      </c>
      <c r="C4141" s="144" t="s">
        <v>369</v>
      </c>
      <c r="D4141" t="s">
        <v>6228</v>
      </c>
      <c r="E4141" t="s">
        <v>4865</v>
      </c>
      <c r="F4141" s="140" t="s">
        <v>4865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4894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68</v>
      </c>
      <c r="R4141" s="137" t="s">
        <v>515</v>
      </c>
      <c r="S4141" s="140"/>
    </row>
    <row r="4142" spans="1:19" hidden="1">
      <c r="A4142" s="144" t="s">
        <v>6236</v>
      </c>
      <c r="B4142" s="149" t="str">
        <f>IFERROR(VLOOKUP(Proc[[#This Row],[App]],Table2[],3,0),"open")</f>
        <v>ok</v>
      </c>
      <c r="C4142" s="144" t="s">
        <v>369</v>
      </c>
      <c r="D4142" t="s">
        <v>6229</v>
      </c>
      <c r="E4142" t="s">
        <v>4864</v>
      </c>
      <c r="F4142" s="140" t="s">
        <v>4864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4894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68</v>
      </c>
      <c r="R4142" s="137" t="s">
        <v>515</v>
      </c>
      <c r="S4142" s="140"/>
    </row>
    <row r="4143" spans="1:19" hidden="1">
      <c r="A4143" s="144" t="s">
        <v>6236</v>
      </c>
      <c r="B4143" s="149" t="str">
        <f>IFERROR(VLOOKUP(Proc[[#This Row],[App]],Table2[],3,0),"open")</f>
        <v>ok</v>
      </c>
      <c r="C4143" s="144" t="s">
        <v>369</v>
      </c>
      <c r="D4143" t="s">
        <v>6230</v>
      </c>
      <c r="E4143" t="s">
        <v>4864</v>
      </c>
      <c r="F4143" s="140" t="s">
        <v>4864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4894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68</v>
      </c>
      <c r="R4143" s="137" t="s">
        <v>515</v>
      </c>
      <c r="S4143" s="140"/>
    </row>
    <row r="4144" spans="1:19" hidden="1">
      <c r="A4144" s="144" t="s">
        <v>6236</v>
      </c>
      <c r="B4144" s="149" t="str">
        <f>IFERROR(VLOOKUP(Proc[[#This Row],[App]],Table2[],3,0),"open")</f>
        <v>ok</v>
      </c>
      <c r="C4144" s="144" t="s">
        <v>369</v>
      </c>
      <c r="D4144" t="s">
        <v>6231</v>
      </c>
      <c r="E4144" t="s">
        <v>4864</v>
      </c>
      <c r="F4144" s="140" t="s">
        <v>4864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4894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68</v>
      </c>
      <c r="R4144" s="137" t="s">
        <v>515</v>
      </c>
      <c r="S4144" s="140"/>
    </row>
    <row r="4145" spans="1:19" hidden="1">
      <c r="A4145" s="144" t="s">
        <v>6236</v>
      </c>
      <c r="B4145" s="149" t="str">
        <f>IFERROR(VLOOKUP(Proc[[#This Row],[App]],Table2[],3,0),"open")</f>
        <v>ok</v>
      </c>
      <c r="C4145" s="144" t="s">
        <v>369</v>
      </c>
      <c r="D4145" t="s">
        <v>6232</v>
      </c>
      <c r="E4145" t="s">
        <v>4864</v>
      </c>
      <c r="F4145" s="140" t="s">
        <v>4864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4894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68</v>
      </c>
      <c r="R4145" s="137" t="s">
        <v>515</v>
      </c>
      <c r="S4145" s="140"/>
    </row>
    <row r="4146" spans="1:19" hidden="1">
      <c r="A4146" s="144" t="s">
        <v>6236</v>
      </c>
      <c r="B4146" s="149" t="str">
        <f>IFERROR(VLOOKUP(Proc[[#This Row],[App]],Table2[],3,0),"open")</f>
        <v>ok</v>
      </c>
      <c r="C4146" s="144" t="s">
        <v>369</v>
      </c>
      <c r="D4146" t="s">
        <v>6233</v>
      </c>
      <c r="E4146" t="s">
        <v>4864</v>
      </c>
      <c r="F4146" s="140" t="s">
        <v>4864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4894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68</v>
      </c>
      <c r="R4146" s="137" t="s">
        <v>515</v>
      </c>
      <c r="S4146" s="140"/>
    </row>
    <row r="4147" spans="1:19" hidden="1">
      <c r="A4147" s="144" t="s">
        <v>6236</v>
      </c>
      <c r="B4147" s="149" t="str">
        <f>IFERROR(VLOOKUP(Proc[[#This Row],[App]],Table2[],3,0),"open")</f>
        <v>ok</v>
      </c>
      <c r="C4147" s="144" t="s">
        <v>369</v>
      </c>
      <c r="D4147" t="s">
        <v>6234</v>
      </c>
      <c r="E4147" t="s">
        <v>6237</v>
      </c>
      <c r="F4147" s="140" t="s">
        <v>6237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4894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68</v>
      </c>
      <c r="R4147" s="137" t="s">
        <v>515</v>
      </c>
      <c r="S4147" s="140"/>
    </row>
    <row r="4148" spans="1:19" hidden="1">
      <c r="A4148" s="144" t="s">
        <v>6236</v>
      </c>
      <c r="B4148" s="149" t="str">
        <f>IFERROR(VLOOKUP(Proc[[#This Row],[App]],Table2[],3,0),"open")</f>
        <v>ok</v>
      </c>
      <c r="C4148" s="144" t="s">
        <v>369</v>
      </c>
      <c r="D4148" t="s">
        <v>6235</v>
      </c>
      <c r="E4148" t="s">
        <v>6237</v>
      </c>
      <c r="F4148" s="140" t="s">
        <v>6237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4894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68</v>
      </c>
      <c r="R4148" s="137" t="s">
        <v>515</v>
      </c>
      <c r="S4148" s="140"/>
    </row>
    <row r="4149" spans="1:19" hidden="1">
      <c r="A4149" t="s">
        <v>6239</v>
      </c>
      <c r="B4149" s="149" t="str">
        <f>IFERROR(VLOOKUP(Proc[[#This Row],[App]],Table2[],3,0),"open")</f>
        <v>ok</v>
      </c>
      <c r="C4149" s="144" t="s">
        <v>369</v>
      </c>
      <c r="D4149" t="s">
        <v>6243</v>
      </c>
      <c r="E4149" s="144" t="s">
        <v>6238</v>
      </c>
      <c r="F4149" s="140" t="s">
        <v>6238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4894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68</v>
      </c>
      <c r="R4149" s="137" t="s">
        <v>452</v>
      </c>
      <c r="S4149" s="140"/>
    </row>
    <row r="4150" spans="1:19" hidden="1">
      <c r="A4150" t="s">
        <v>6240</v>
      </c>
      <c r="B4150" s="149" t="str">
        <f>IFERROR(VLOOKUP(Proc[[#This Row],[App]],Table2[],3,0),"open")</f>
        <v>ok</v>
      </c>
      <c r="C4150" s="149" t="s">
        <v>369</v>
      </c>
      <c r="D4150" t="s">
        <v>6244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4894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68</v>
      </c>
      <c r="R4150" s="145" t="s">
        <v>1459</v>
      </c>
      <c r="S4150" s="140"/>
    </row>
    <row r="4151" spans="1:19" hidden="1">
      <c r="A4151" t="s">
        <v>6241</v>
      </c>
      <c r="B4151" s="149" t="str">
        <f>IFERROR(VLOOKUP(Proc[[#This Row],[App]],Table2[],3,0),"open")</f>
        <v>ok</v>
      </c>
      <c r="C4151" s="144" t="s">
        <v>369</v>
      </c>
      <c r="D4151" t="s">
        <v>6205</v>
      </c>
      <c r="E4151" t="s">
        <v>6242</v>
      </c>
      <c r="F4151" s="140" t="s">
        <v>6242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4894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68</v>
      </c>
      <c r="R4151" s="145" t="s">
        <v>6087</v>
      </c>
      <c r="S4151" s="140"/>
    </row>
    <row r="4152" spans="1:19" hidden="1">
      <c r="A4152" s="144" t="s">
        <v>6241</v>
      </c>
      <c r="B4152" s="149" t="str">
        <f>IFERROR(VLOOKUP(Proc[[#This Row],[App]],Table2[],3,0),"open")</f>
        <v>ok</v>
      </c>
      <c r="C4152" s="144" t="s">
        <v>369</v>
      </c>
      <c r="D4152" t="s">
        <v>6210</v>
      </c>
      <c r="E4152" t="s">
        <v>6242</v>
      </c>
      <c r="F4152" s="140" t="s">
        <v>6242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4894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68</v>
      </c>
      <c r="R4152" s="145" t="s">
        <v>6087</v>
      </c>
      <c r="S4152" s="140"/>
    </row>
    <row r="4153" spans="1:19" hidden="1">
      <c r="A4153" s="144" t="s">
        <v>6241</v>
      </c>
      <c r="B4153" s="149" t="str">
        <f>IFERROR(VLOOKUP(Proc[[#This Row],[App]],Table2[],3,0),"open")</f>
        <v>ok</v>
      </c>
      <c r="C4153" s="144" t="s">
        <v>369</v>
      </c>
      <c r="D4153" t="s">
        <v>6212</v>
      </c>
      <c r="E4153" t="s">
        <v>6242</v>
      </c>
      <c r="F4153" s="140" t="s">
        <v>6242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4894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68</v>
      </c>
      <c r="R4153" s="145" t="s">
        <v>6087</v>
      </c>
      <c r="S4153" s="140"/>
    </row>
    <row r="4154" spans="1:19" hidden="1">
      <c r="A4154" s="144" t="s">
        <v>6241</v>
      </c>
      <c r="B4154" s="149" t="str">
        <f>IFERROR(VLOOKUP(Proc[[#This Row],[App]],Table2[],3,0),"open")</f>
        <v>ok</v>
      </c>
      <c r="C4154" s="144" t="s">
        <v>369</v>
      </c>
      <c r="D4154" t="s">
        <v>6210</v>
      </c>
      <c r="E4154" t="s">
        <v>6242</v>
      </c>
      <c r="F4154" s="140" t="s">
        <v>6242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4894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68</v>
      </c>
      <c r="R4154" s="145" t="s">
        <v>6087</v>
      </c>
      <c r="S4154" s="140"/>
    </row>
    <row r="4155" spans="1:19" hidden="1">
      <c r="A4155" t="s">
        <v>6246</v>
      </c>
      <c r="B4155" s="149" t="str">
        <f>IFERROR(VLOOKUP(Proc[[#This Row],[App]],Table2[],3,0),"open")</f>
        <v>ok</v>
      </c>
      <c r="C4155" s="144" t="s">
        <v>369</v>
      </c>
      <c r="D4155" t="s">
        <v>5534</v>
      </c>
      <c r="E4155" t="s">
        <v>6245</v>
      </c>
      <c r="F4155" s="140" t="s">
        <v>6245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4894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68</v>
      </c>
      <c r="R4155" s="146" t="s">
        <v>6247</v>
      </c>
      <c r="S4155" s="140"/>
    </row>
    <row r="4156" spans="1:19" hidden="1">
      <c r="A4156" t="s">
        <v>6246</v>
      </c>
      <c r="B4156" s="149" t="str">
        <f>IFERROR(VLOOKUP(Proc[[#This Row],[App]],Table2[],3,0),"open")</f>
        <v>ok</v>
      </c>
      <c r="C4156" s="144" t="s">
        <v>369</v>
      </c>
      <c r="D4156" t="s">
        <v>5535</v>
      </c>
      <c r="E4156" t="s">
        <v>6245</v>
      </c>
      <c r="F4156" s="140" t="s">
        <v>6245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4894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68</v>
      </c>
      <c r="R4156" s="146" t="s">
        <v>6247</v>
      </c>
      <c r="S4156" s="140"/>
    </row>
    <row r="4157" spans="1:19" hidden="1">
      <c r="A4157" s="144" t="s">
        <v>6246</v>
      </c>
      <c r="B4157" s="149" t="str">
        <f>IFERROR(VLOOKUP(Proc[[#This Row],[App]],Table2[],3,0),"open")</f>
        <v>ok</v>
      </c>
      <c r="C4157" s="144" t="s">
        <v>369</v>
      </c>
      <c r="D4157" t="s">
        <v>5536</v>
      </c>
      <c r="E4157" t="s">
        <v>6245</v>
      </c>
      <c r="F4157" s="140" t="s">
        <v>6245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4894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68</v>
      </c>
      <c r="R4157" s="146" t="s">
        <v>6247</v>
      </c>
      <c r="S4157" s="140"/>
    </row>
    <row r="4158" spans="1:19" hidden="1">
      <c r="A4158" s="144" t="s">
        <v>6246</v>
      </c>
      <c r="B4158" s="149" t="str">
        <f>IFERROR(VLOOKUP(Proc[[#This Row],[App]],Table2[],3,0),"open")</f>
        <v>ok</v>
      </c>
      <c r="C4158" s="144" t="s">
        <v>369</v>
      </c>
      <c r="D4158" t="s">
        <v>5537</v>
      </c>
      <c r="E4158" t="s">
        <v>6245</v>
      </c>
      <c r="F4158" s="140" t="s">
        <v>6245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4894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68</v>
      </c>
      <c r="R4158" s="146" t="s">
        <v>6247</v>
      </c>
      <c r="S4158" s="140"/>
    </row>
    <row r="4159" spans="1:19" hidden="1">
      <c r="A4159" s="144" t="s">
        <v>6246</v>
      </c>
      <c r="B4159" s="149" t="str">
        <f>IFERROR(VLOOKUP(Proc[[#This Row],[App]],Table2[],3,0),"open")</f>
        <v>ok</v>
      </c>
      <c r="C4159" s="144" t="s">
        <v>369</v>
      </c>
      <c r="D4159" t="s">
        <v>5538</v>
      </c>
      <c r="E4159" t="s">
        <v>6245</v>
      </c>
      <c r="F4159" s="140" t="s">
        <v>6245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4894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68</v>
      </c>
      <c r="R4159" s="146" t="s">
        <v>6247</v>
      </c>
      <c r="S4159" s="140"/>
    </row>
    <row r="4160" spans="1:19" hidden="1">
      <c r="A4160" t="s">
        <v>6250</v>
      </c>
      <c r="B4160" s="149" t="str">
        <f>IFERROR(VLOOKUP(Proc[[#This Row],[App]],Table2[],3,0),"open")</f>
        <v>ok</v>
      </c>
      <c r="C4160" s="144" t="s">
        <v>369</v>
      </c>
      <c r="D4160" s="147" t="s">
        <v>6251</v>
      </c>
      <c r="E4160" t="s">
        <v>6248</v>
      </c>
      <c r="F4160" s="140" t="s">
        <v>6248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4894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68</v>
      </c>
      <c r="R4160" s="146" t="s">
        <v>5709</v>
      </c>
      <c r="S4160" s="140"/>
    </row>
    <row r="4161" spans="1:19" hidden="1">
      <c r="A4161" s="144" t="s">
        <v>6250</v>
      </c>
      <c r="B4161" s="149" t="str">
        <f>IFERROR(VLOOKUP(Proc[[#This Row],[App]],Table2[],3,0),"open")</f>
        <v>ok</v>
      </c>
      <c r="C4161" s="144" t="s">
        <v>369</v>
      </c>
      <c r="D4161" s="147" t="s">
        <v>6252</v>
      </c>
      <c r="E4161" s="144" t="s">
        <v>6249</v>
      </c>
      <c r="F4161" s="140" t="s">
        <v>6249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4894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68</v>
      </c>
      <c r="R4161" s="146" t="s">
        <v>5709</v>
      </c>
      <c r="S4161" s="140"/>
    </row>
    <row r="4162" spans="1:19" hidden="1">
      <c r="A4162" s="144" t="s">
        <v>6250</v>
      </c>
      <c r="B4162" s="149" t="str">
        <f>IFERROR(VLOOKUP(Proc[[#This Row],[App]],Table2[],3,0),"open")</f>
        <v>ok</v>
      </c>
      <c r="C4162" s="144" t="s">
        <v>369</v>
      </c>
      <c r="D4162" s="147" t="s">
        <v>6253</v>
      </c>
      <c r="E4162" s="144" t="s">
        <v>6249</v>
      </c>
      <c r="F4162" s="140" t="s">
        <v>6249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4894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68</v>
      </c>
      <c r="R4162" s="146" t="s">
        <v>5709</v>
      </c>
      <c r="S4162" s="140"/>
    </row>
    <row r="4163" spans="1:19" hidden="1">
      <c r="A4163" t="s">
        <v>6270</v>
      </c>
      <c r="B4163" s="149" t="str">
        <f>IFERROR(VLOOKUP(Proc[[#This Row],[App]],Table2[],3,0),"open")</f>
        <v>ok</v>
      </c>
      <c r="C4163" s="144" t="s">
        <v>369</v>
      </c>
      <c r="D4163" t="s">
        <v>6254</v>
      </c>
      <c r="E4163" t="s">
        <v>6263</v>
      </c>
      <c r="F4163" s="150" t="s">
        <v>6263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4894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65</v>
      </c>
      <c r="R4163" s="146" t="s">
        <v>780</v>
      </c>
      <c r="S4163" s="140"/>
    </row>
    <row r="4164" spans="1:19" hidden="1">
      <c r="A4164" s="144" t="s">
        <v>6270</v>
      </c>
      <c r="B4164" s="149" t="str">
        <f>IFERROR(VLOOKUP(Proc[[#This Row],[App]],Table2[],3,0),"open")</f>
        <v>ok</v>
      </c>
      <c r="C4164" s="149" t="s">
        <v>369</v>
      </c>
      <c r="D4164" t="s">
        <v>6255</v>
      </c>
      <c r="E4164" t="s">
        <v>6264</v>
      </c>
      <c r="F4164" s="150" t="s">
        <v>6264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4894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65</v>
      </c>
      <c r="R4164" s="146" t="s">
        <v>780</v>
      </c>
      <c r="S4164" s="140"/>
    </row>
    <row r="4165" spans="1:19" hidden="1">
      <c r="A4165" s="144" t="s">
        <v>6270</v>
      </c>
      <c r="B4165" s="149" t="str">
        <f>IFERROR(VLOOKUP(Proc[[#This Row],[App]],Table2[],3,0),"open")</f>
        <v>ok</v>
      </c>
      <c r="C4165" s="149" t="s">
        <v>369</v>
      </c>
      <c r="D4165" t="s">
        <v>6256</v>
      </c>
      <c r="E4165" t="s">
        <v>6265</v>
      </c>
      <c r="F4165" s="150" t="s">
        <v>6265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4894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65</v>
      </c>
      <c r="R4165" s="146" t="s">
        <v>780</v>
      </c>
      <c r="S4165" s="140"/>
    </row>
    <row r="4166" spans="1:19" hidden="1">
      <c r="A4166" s="144" t="s">
        <v>6270</v>
      </c>
      <c r="B4166" s="149" t="str">
        <f>IFERROR(VLOOKUP(Proc[[#This Row],[App]],Table2[],3,0),"open")</f>
        <v>ok</v>
      </c>
      <c r="C4166" s="149" t="s">
        <v>369</v>
      </c>
      <c r="D4166" t="s">
        <v>6257</v>
      </c>
      <c r="E4166" t="s">
        <v>6266</v>
      </c>
      <c r="F4166" s="150" t="s">
        <v>6266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4894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65</v>
      </c>
      <c r="R4166" s="146" t="s">
        <v>780</v>
      </c>
      <c r="S4166" s="140"/>
    </row>
    <row r="4167" spans="1:19" hidden="1">
      <c r="A4167" s="144" t="s">
        <v>6270</v>
      </c>
      <c r="B4167" s="149" t="str">
        <f>IFERROR(VLOOKUP(Proc[[#This Row],[App]],Table2[],3,0),"open")</f>
        <v>ok</v>
      </c>
      <c r="C4167" s="149" t="s">
        <v>369</v>
      </c>
      <c r="D4167" t="s">
        <v>6258</v>
      </c>
      <c r="E4167" t="s">
        <v>6266</v>
      </c>
      <c r="F4167" s="150" t="s">
        <v>6266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4894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65</v>
      </c>
      <c r="R4167" s="146" t="s">
        <v>780</v>
      </c>
      <c r="S4167" s="140"/>
    </row>
    <row r="4168" spans="1:19" hidden="1">
      <c r="A4168" s="144" t="s">
        <v>6270</v>
      </c>
      <c r="B4168" s="149" t="str">
        <f>IFERROR(VLOOKUP(Proc[[#This Row],[App]],Table2[],3,0),"open")</f>
        <v>ok</v>
      </c>
      <c r="C4168" s="149" t="s">
        <v>369</v>
      </c>
      <c r="D4168" t="s">
        <v>6259</v>
      </c>
      <c r="E4168" t="s">
        <v>6267</v>
      </c>
      <c r="F4168" s="150" t="s">
        <v>6267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4894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65</v>
      </c>
      <c r="R4168" s="146" t="s">
        <v>780</v>
      </c>
      <c r="S4168" s="140"/>
    </row>
    <row r="4169" spans="1:19" hidden="1">
      <c r="A4169" s="144" t="s">
        <v>6270</v>
      </c>
      <c r="B4169" s="149" t="str">
        <f>IFERROR(VLOOKUP(Proc[[#This Row],[App]],Table2[],3,0),"open")</f>
        <v>ok</v>
      </c>
      <c r="C4169" s="149" t="s">
        <v>369</v>
      </c>
      <c r="D4169" t="s">
        <v>6260</v>
      </c>
      <c r="E4169" t="s">
        <v>6267</v>
      </c>
      <c r="F4169" s="150" t="s">
        <v>6267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4894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65</v>
      </c>
      <c r="R4169" s="146" t="s">
        <v>780</v>
      </c>
      <c r="S4169" s="140"/>
    </row>
    <row r="4170" spans="1:19" hidden="1">
      <c r="A4170" s="144" t="s">
        <v>6270</v>
      </c>
      <c r="B4170" s="149" t="str">
        <f>IFERROR(VLOOKUP(Proc[[#This Row],[App]],Table2[],3,0),"open")</f>
        <v>ok</v>
      </c>
      <c r="C4170" s="149" t="s">
        <v>369</v>
      </c>
      <c r="D4170" t="s">
        <v>6261</v>
      </c>
      <c r="E4170" t="s">
        <v>6268</v>
      </c>
      <c r="F4170" s="150" t="s">
        <v>6268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4894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65</v>
      </c>
      <c r="R4170" s="146" t="s">
        <v>780</v>
      </c>
      <c r="S4170" s="140"/>
    </row>
    <row r="4171" spans="1:19" hidden="1">
      <c r="A4171" s="144" t="s">
        <v>6270</v>
      </c>
      <c r="B4171" s="149" t="str">
        <f>IFERROR(VLOOKUP(Proc[[#This Row],[App]],Table2[],3,0),"open")</f>
        <v>ok</v>
      </c>
      <c r="C4171" s="149" t="s">
        <v>369</v>
      </c>
      <c r="D4171" t="s">
        <v>6262</v>
      </c>
      <c r="E4171" t="s">
        <v>6269</v>
      </c>
      <c r="F4171" s="150" t="s">
        <v>6269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4894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65</v>
      </c>
      <c r="R4171" s="146" t="s">
        <v>780</v>
      </c>
      <c r="S4171" s="140"/>
    </row>
    <row r="4172" spans="1:19" hidden="1">
      <c r="A4172" t="s">
        <v>6274</v>
      </c>
      <c r="B4172" s="149" t="str">
        <f>IFERROR(VLOOKUP(Proc[[#This Row],[App]],Table2[],3,0),"open")</f>
        <v>ok</v>
      </c>
      <c r="C4172" s="149" t="s">
        <v>369</v>
      </c>
      <c r="D4172" t="s">
        <v>6271</v>
      </c>
      <c r="E4172" s="149" t="s">
        <v>6272</v>
      </c>
      <c r="F4172" s="150" t="s">
        <v>6272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4894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64</v>
      </c>
      <c r="R4172" s="146" t="s">
        <v>6273</v>
      </c>
      <c r="S4172" s="140"/>
    </row>
    <row r="4173" spans="1:19" hidden="1">
      <c r="A4173" t="s">
        <v>6287</v>
      </c>
      <c r="B4173" s="150" t="str">
        <f>IFERROR(VLOOKUP(Proc[[#This Row],[App]],Table2[],3,0),"open")</f>
        <v>ok</v>
      </c>
      <c r="C4173" t="s">
        <v>369</v>
      </c>
      <c r="D4173" t="s">
        <v>6277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6285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4894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63</v>
      </c>
      <c r="R4173" s="146" t="s">
        <v>489</v>
      </c>
      <c r="S4173" s="150"/>
    </row>
    <row r="4174" spans="1:19" hidden="1">
      <c r="A4174" s="149" t="s">
        <v>6287</v>
      </c>
      <c r="B4174" s="150" t="str">
        <f>IFERROR(VLOOKUP(Proc[[#This Row],[App]],Table2[],3,0),"open")</f>
        <v>ok</v>
      </c>
      <c r="C4174" s="149" t="s">
        <v>369</v>
      </c>
      <c r="D4174" t="s">
        <v>6278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6286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4894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63</v>
      </c>
      <c r="R4174" s="146" t="s">
        <v>489</v>
      </c>
      <c r="S4174" s="150"/>
    </row>
    <row r="4175" spans="1:19" hidden="1">
      <c r="A4175" s="149" t="s">
        <v>6287</v>
      </c>
      <c r="B4175" s="150" t="str">
        <f>IFERROR(VLOOKUP(Proc[[#This Row],[App]],Table2[],3,0),"open")</f>
        <v>ok</v>
      </c>
      <c r="C4175" s="149" t="s">
        <v>369</v>
      </c>
      <c r="D4175" t="s">
        <v>6279</v>
      </c>
      <c r="E4175" t="s">
        <v>6283</v>
      </c>
      <c r="F4175" s="150" t="s">
        <v>6283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4894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63</v>
      </c>
      <c r="R4175" s="146" t="s">
        <v>489</v>
      </c>
      <c r="S4175" s="150"/>
    </row>
    <row r="4176" spans="1:19" hidden="1">
      <c r="A4176" s="149" t="s">
        <v>6287</v>
      </c>
      <c r="B4176" s="150" t="str">
        <f>IFERROR(VLOOKUP(Proc[[#This Row],[App]],Table2[],3,0),"open")</f>
        <v>ok</v>
      </c>
      <c r="C4176" s="149" t="s">
        <v>369</v>
      </c>
      <c r="D4176" t="s">
        <v>6280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4894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63</v>
      </c>
      <c r="R4176" s="146" t="s">
        <v>489</v>
      </c>
      <c r="S4176" s="150"/>
    </row>
    <row r="4177" spans="1:19" hidden="1">
      <c r="A4177" s="149" t="s">
        <v>6287</v>
      </c>
      <c r="B4177" s="150" t="str">
        <f>IFERROR(VLOOKUP(Proc[[#This Row],[App]],Table2[],3,0),"open")</f>
        <v>ok</v>
      </c>
      <c r="C4177" s="149" t="s">
        <v>369</v>
      </c>
      <c r="D4177" t="s">
        <v>6281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6288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4894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63</v>
      </c>
      <c r="R4177" s="146" t="s">
        <v>489</v>
      </c>
      <c r="S4177" s="150"/>
    </row>
    <row r="4178" spans="1:19" hidden="1">
      <c r="A4178" s="149" t="s">
        <v>6287</v>
      </c>
      <c r="B4178" s="150" t="str">
        <f>IFERROR(VLOOKUP(Proc[[#This Row],[App]],Table2[],3,0),"open")</f>
        <v>ok</v>
      </c>
      <c r="C4178" s="149" t="s">
        <v>369</v>
      </c>
      <c r="D4178" t="s">
        <v>6282</v>
      </c>
      <c r="E4178" t="s">
        <v>6284</v>
      </c>
      <c r="F4178" s="150" t="s">
        <v>6284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4894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63</v>
      </c>
      <c r="R4178" s="146" t="s">
        <v>489</v>
      </c>
      <c r="S4178" s="150"/>
    </row>
    <row r="4179" spans="1:19" hidden="1">
      <c r="A4179" t="s">
        <v>6303</v>
      </c>
      <c r="B4179" s="150" t="str">
        <f>IFERROR(VLOOKUP(Proc[[#This Row],[App]],Table2[],3,0),"open")</f>
        <v>ok</v>
      </c>
      <c r="C4179" t="s">
        <v>369</v>
      </c>
      <c r="D4179" t="s">
        <v>6289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6306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4894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62</v>
      </c>
      <c r="R4179" s="146" t="s">
        <v>410</v>
      </c>
      <c r="S4179" s="150"/>
    </row>
    <row r="4180" spans="1:19" hidden="1">
      <c r="A4180" s="149" t="s">
        <v>6303</v>
      </c>
      <c r="B4180" s="150" t="str">
        <f>IFERROR(VLOOKUP(Proc[[#This Row],[App]],Table2[],3,0),"open")</f>
        <v>ok</v>
      </c>
      <c r="C4180" s="149" t="s">
        <v>369</v>
      </c>
      <c r="D4180" t="s">
        <v>6290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6306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4894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62</v>
      </c>
      <c r="R4180" s="146" t="s">
        <v>410</v>
      </c>
      <c r="S4180" s="150"/>
    </row>
    <row r="4181" spans="1:19" hidden="1">
      <c r="A4181" s="149" t="s">
        <v>6303</v>
      </c>
      <c r="B4181" s="150" t="str">
        <f>IFERROR(VLOOKUP(Proc[[#This Row],[App]],Table2[],3,0),"open")</f>
        <v>ok</v>
      </c>
      <c r="C4181" s="149" t="s">
        <v>369</v>
      </c>
      <c r="D4181" t="s">
        <v>6291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6306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4894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62</v>
      </c>
      <c r="R4181" s="146" t="s">
        <v>410</v>
      </c>
      <c r="S4181" s="150"/>
    </row>
    <row r="4182" spans="1:19" hidden="1">
      <c r="A4182" s="149" t="s">
        <v>6303</v>
      </c>
      <c r="B4182" s="150" t="str">
        <f>IFERROR(VLOOKUP(Proc[[#This Row],[App]],Table2[],3,0),"open")</f>
        <v>ok</v>
      </c>
      <c r="C4182" s="149" t="s">
        <v>369</v>
      </c>
      <c r="D4182" t="s">
        <v>6292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6306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4894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62</v>
      </c>
      <c r="R4182" s="146" t="s">
        <v>410</v>
      </c>
      <c r="S4182" s="150"/>
    </row>
    <row r="4183" spans="1:19" hidden="1">
      <c r="A4183" s="149" t="s">
        <v>6303</v>
      </c>
      <c r="B4183" s="150" t="str">
        <f>IFERROR(VLOOKUP(Proc[[#This Row],[App]],Table2[],3,0),"open")</f>
        <v>ok</v>
      </c>
      <c r="C4183" s="149" t="s">
        <v>369</v>
      </c>
      <c r="D4183" t="s">
        <v>6293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6306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4894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62</v>
      </c>
      <c r="R4183" s="146" t="s">
        <v>410</v>
      </c>
      <c r="S4183" s="150"/>
    </row>
    <row r="4184" spans="1:19" hidden="1">
      <c r="A4184" s="149" t="s">
        <v>6303</v>
      </c>
      <c r="B4184" s="150" t="str">
        <f>IFERROR(VLOOKUP(Proc[[#This Row],[App]],Table2[],3,0),"open")</f>
        <v>ok</v>
      </c>
      <c r="C4184" s="149" t="s">
        <v>369</v>
      </c>
      <c r="D4184" t="s">
        <v>6294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6306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4894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62</v>
      </c>
      <c r="R4184" s="146" t="s">
        <v>410</v>
      </c>
      <c r="S4184" s="150"/>
    </row>
    <row r="4185" spans="1:19" hidden="1">
      <c r="A4185" s="149" t="s">
        <v>6303</v>
      </c>
      <c r="B4185" s="150" t="str">
        <f>IFERROR(VLOOKUP(Proc[[#This Row],[App]],Table2[],3,0),"open")</f>
        <v>ok</v>
      </c>
      <c r="C4185" s="149" t="s">
        <v>369</v>
      </c>
      <c r="D4185" t="s">
        <v>6295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6306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4894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62</v>
      </c>
      <c r="R4185" s="146" t="s">
        <v>410</v>
      </c>
      <c r="S4185" s="150"/>
    </row>
    <row r="4186" spans="1:19" hidden="1">
      <c r="A4186" s="149" t="s">
        <v>6303</v>
      </c>
      <c r="B4186" s="150" t="str">
        <f>IFERROR(VLOOKUP(Proc[[#This Row],[App]],Table2[],3,0),"open")</f>
        <v>ok</v>
      </c>
      <c r="C4186" s="149" t="s">
        <v>369</v>
      </c>
      <c r="D4186" t="s">
        <v>6296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6306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4894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62</v>
      </c>
      <c r="R4186" s="146" t="s">
        <v>410</v>
      </c>
      <c r="S4186" s="150"/>
    </row>
    <row r="4187" spans="1:19" hidden="1">
      <c r="A4187" s="149" t="s">
        <v>6303</v>
      </c>
      <c r="B4187" s="150" t="str">
        <f>IFERROR(VLOOKUP(Proc[[#This Row],[App]],Table2[],3,0),"open")</f>
        <v>ok</v>
      </c>
      <c r="C4187" s="149" t="s">
        <v>369</v>
      </c>
      <c r="D4187" t="s">
        <v>6297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6306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4894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62</v>
      </c>
      <c r="R4187" s="146" t="s">
        <v>410</v>
      </c>
      <c r="S4187" s="150"/>
    </row>
    <row r="4188" spans="1:19" hidden="1">
      <c r="A4188" s="149" t="s">
        <v>6303</v>
      </c>
      <c r="B4188" s="150" t="str">
        <f>IFERROR(VLOOKUP(Proc[[#This Row],[App]],Table2[],3,0),"open")</f>
        <v>ok</v>
      </c>
      <c r="C4188" s="149" t="s">
        <v>369</v>
      </c>
      <c r="D4188" t="s">
        <v>6298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6306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4894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62</v>
      </c>
      <c r="R4188" s="146" t="s">
        <v>410</v>
      </c>
      <c r="S4188" s="150"/>
    </row>
    <row r="4189" spans="1:19" hidden="1">
      <c r="A4189" s="149" t="s">
        <v>6303</v>
      </c>
      <c r="B4189" s="150" t="str">
        <f>IFERROR(VLOOKUP(Proc[[#This Row],[App]],Table2[],3,0),"open")</f>
        <v>ok</v>
      </c>
      <c r="C4189" s="149" t="s">
        <v>369</v>
      </c>
      <c r="D4189" t="s">
        <v>6308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6307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4894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62</v>
      </c>
      <c r="R4189" s="146" t="s">
        <v>410</v>
      </c>
      <c r="S4189" s="150"/>
    </row>
    <row r="4190" spans="1:19" hidden="1">
      <c r="A4190" s="149" t="s">
        <v>6303</v>
      </c>
      <c r="B4190" s="150" t="str">
        <f>IFERROR(VLOOKUP(Proc[[#This Row],[App]],Table2[],3,0),"open")</f>
        <v>ok</v>
      </c>
      <c r="C4190" s="149" t="s">
        <v>369</v>
      </c>
      <c r="D4190" t="s">
        <v>6309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6307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4894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62</v>
      </c>
      <c r="R4190" s="146" t="s">
        <v>410</v>
      </c>
      <c r="S4190" s="150"/>
    </row>
    <row r="4191" spans="1:19" hidden="1">
      <c r="A4191" s="149" t="s">
        <v>6303</v>
      </c>
      <c r="B4191" s="150" t="str">
        <f>IFERROR(VLOOKUP(Proc[[#This Row],[App]],Table2[],3,0),"open")</f>
        <v>ok</v>
      </c>
      <c r="C4191" s="149" t="s">
        <v>369</v>
      </c>
      <c r="D4191" t="s">
        <v>6299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6306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4894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62</v>
      </c>
      <c r="R4191" s="146" t="s">
        <v>410</v>
      </c>
      <c r="S4191" s="150"/>
    </row>
    <row r="4192" spans="1:19" hidden="1">
      <c r="A4192" s="149" t="s">
        <v>6303</v>
      </c>
      <c r="B4192" s="150" t="str">
        <f>IFERROR(VLOOKUP(Proc[[#This Row],[App]],Table2[],3,0),"open")</f>
        <v>ok</v>
      </c>
      <c r="C4192" s="149" t="s">
        <v>369</v>
      </c>
      <c r="D4192" t="s">
        <v>6310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6307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4894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62</v>
      </c>
      <c r="R4192" s="146" t="s">
        <v>410</v>
      </c>
      <c r="S4192" s="150"/>
    </row>
    <row r="4193" spans="1:19" hidden="1">
      <c r="A4193" s="149" t="s">
        <v>6303</v>
      </c>
      <c r="B4193" s="150" t="str">
        <f>IFERROR(VLOOKUP(Proc[[#This Row],[App]],Table2[],3,0),"open")</f>
        <v>ok</v>
      </c>
      <c r="C4193" s="149" t="s">
        <v>369</v>
      </c>
      <c r="D4193" t="s">
        <v>6300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6306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4894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62</v>
      </c>
      <c r="R4193" s="146" t="s">
        <v>410</v>
      </c>
      <c r="S4193" s="150"/>
    </row>
    <row r="4194" spans="1:19" hidden="1">
      <c r="A4194" s="149" t="s">
        <v>6303</v>
      </c>
      <c r="B4194" s="150" t="str">
        <f>IFERROR(VLOOKUP(Proc[[#This Row],[App]],Table2[],3,0),"open")</f>
        <v>ok</v>
      </c>
      <c r="C4194" s="149" t="s">
        <v>369</v>
      </c>
      <c r="D4194" t="s">
        <v>6301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6306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4894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62</v>
      </c>
      <c r="R4194" s="146" t="s">
        <v>410</v>
      </c>
      <c r="S4194" s="150"/>
    </row>
    <row r="4195" spans="1:19" hidden="1">
      <c r="A4195" s="149" t="s">
        <v>6303</v>
      </c>
      <c r="B4195" s="150" t="str">
        <f>IFERROR(VLOOKUP(Proc[[#This Row],[App]],Table2[],3,0),"open")</f>
        <v>ok</v>
      </c>
      <c r="C4195" s="149" t="s">
        <v>369</v>
      </c>
      <c r="D4195" t="s">
        <v>6302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6306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4894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62</v>
      </c>
      <c r="R4195" s="146" t="s">
        <v>410</v>
      </c>
      <c r="S4195" s="150"/>
    </row>
    <row r="4196" spans="1:19" hidden="1">
      <c r="A4196" t="s">
        <v>6304</v>
      </c>
      <c r="B4196" s="150" t="str">
        <f>IFERROR(VLOOKUP(Proc[[#This Row],[App]],Table2[],3,0),"open")</f>
        <v>ok</v>
      </c>
      <c r="C4196" s="149" t="s">
        <v>369</v>
      </c>
      <c r="D4196" t="s">
        <v>5953</v>
      </c>
      <c r="E4196" t="s">
        <v>6103</v>
      </c>
      <c r="F4196" s="150" t="s">
        <v>6103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6307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4894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62</v>
      </c>
      <c r="R4196" s="146" t="s">
        <v>6305</v>
      </c>
      <c r="S4196" s="150"/>
    </row>
    <row r="4197" spans="1:19" hidden="1">
      <c r="A4197" s="149" t="s">
        <v>6304</v>
      </c>
      <c r="B4197" s="150" t="str">
        <f>IFERROR(VLOOKUP(Proc[[#This Row],[App]],Table2[],3,0),"open")</f>
        <v>ok</v>
      </c>
      <c r="C4197" s="149" t="s">
        <v>369</v>
      </c>
      <c r="D4197" t="s">
        <v>5960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6307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4894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62</v>
      </c>
      <c r="R4197" s="146" t="s">
        <v>6305</v>
      </c>
      <c r="S4197" s="150"/>
    </row>
    <row r="4198" spans="1:19" hidden="1">
      <c r="A4198" s="149" t="s">
        <v>6304</v>
      </c>
      <c r="B4198" s="150" t="str">
        <f>IFERROR(VLOOKUP(Proc[[#This Row],[App]],Table2[],3,0),"open")</f>
        <v>ok</v>
      </c>
      <c r="C4198" s="149" t="s">
        <v>369</v>
      </c>
      <c r="D4198" t="s">
        <v>5965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6307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4894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62</v>
      </c>
      <c r="R4198" s="146" t="s">
        <v>6305</v>
      </c>
      <c r="S4198" s="150"/>
    </row>
    <row r="4199" spans="1:19" hidden="1">
      <c r="A4199" t="s">
        <v>6311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6323</v>
      </c>
      <c r="F4199" s="150" t="s">
        <v>6323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4894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61</v>
      </c>
      <c r="R4199" s="146" t="s">
        <v>780</v>
      </c>
      <c r="S4199" s="150"/>
    </row>
    <row r="4200" spans="1:19" hidden="1">
      <c r="A4200" s="149" t="s">
        <v>6311</v>
      </c>
      <c r="B4200" s="150" t="str">
        <f>IFERROR(VLOOKUP(Proc[[#This Row],[App]],Table2[],3,0),"open")</f>
        <v>ok</v>
      </c>
      <c r="C4200" s="149" t="s">
        <v>369</v>
      </c>
      <c r="D4200" t="s">
        <v>6312</v>
      </c>
      <c r="E4200" t="s">
        <v>6323</v>
      </c>
      <c r="F4200" s="150" t="s">
        <v>6323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4894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61</v>
      </c>
      <c r="R4200" s="146" t="s">
        <v>780</v>
      </c>
      <c r="S4200" s="150"/>
    </row>
    <row r="4201" spans="1:19" hidden="1">
      <c r="A4201" s="149" t="s">
        <v>6311</v>
      </c>
      <c r="B4201" s="150" t="str">
        <f>IFERROR(VLOOKUP(Proc[[#This Row],[App]],Table2[],3,0),"open")</f>
        <v>ok</v>
      </c>
      <c r="C4201" s="149" t="s">
        <v>369</v>
      </c>
      <c r="D4201" t="s">
        <v>6313</v>
      </c>
      <c r="E4201" t="s">
        <v>6323</v>
      </c>
      <c r="F4201" s="150" t="s">
        <v>6323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4894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61</v>
      </c>
      <c r="R4201" s="146" t="s">
        <v>780</v>
      </c>
      <c r="S4201" s="150"/>
    </row>
    <row r="4202" spans="1:19" hidden="1">
      <c r="A4202" s="149" t="s">
        <v>6311</v>
      </c>
      <c r="B4202" s="150" t="str">
        <f>IFERROR(VLOOKUP(Proc[[#This Row],[App]],Table2[],3,0),"open")</f>
        <v>ok</v>
      </c>
      <c r="C4202" s="149" t="s">
        <v>369</v>
      </c>
      <c r="D4202" t="s">
        <v>6314</v>
      </c>
      <c r="E4202" t="s">
        <v>6323</v>
      </c>
      <c r="F4202" s="150" t="s">
        <v>6323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4894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61</v>
      </c>
      <c r="R4202" s="146" t="s">
        <v>780</v>
      </c>
      <c r="S4202" s="150"/>
    </row>
    <row r="4203" spans="1:19" hidden="1">
      <c r="A4203" s="149" t="s">
        <v>6311</v>
      </c>
      <c r="B4203" s="150" t="str">
        <f>IFERROR(VLOOKUP(Proc[[#This Row],[App]],Table2[],3,0),"open")</f>
        <v>ok</v>
      </c>
      <c r="C4203" s="149" t="s">
        <v>369</v>
      </c>
      <c r="D4203" t="s">
        <v>6315</v>
      </c>
      <c r="E4203" t="s">
        <v>6248</v>
      </c>
      <c r="F4203" s="150" t="s">
        <v>6248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6351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4894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61</v>
      </c>
      <c r="R4203" s="146" t="s">
        <v>780</v>
      </c>
      <c r="S4203" s="150"/>
    </row>
    <row r="4204" spans="1:19" hidden="1">
      <c r="A4204" s="149" t="s">
        <v>6311</v>
      </c>
      <c r="B4204" s="150" t="str">
        <f>IFERROR(VLOOKUP(Proc[[#This Row],[App]],Table2[],3,0),"open")</f>
        <v>ok</v>
      </c>
      <c r="C4204" s="149" t="s">
        <v>369</v>
      </c>
      <c r="D4204" t="s">
        <v>6316</v>
      </c>
      <c r="E4204" t="s">
        <v>6324</v>
      </c>
      <c r="F4204" s="150" t="s">
        <v>6324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4894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61</v>
      </c>
      <c r="R4204" s="146" t="s">
        <v>780</v>
      </c>
      <c r="S4204" s="150"/>
    </row>
    <row r="4205" spans="1:19" hidden="1">
      <c r="A4205" s="149" t="s">
        <v>6311</v>
      </c>
      <c r="B4205" s="150" t="str">
        <f>IFERROR(VLOOKUP(Proc[[#This Row],[App]],Table2[],3,0),"open")</f>
        <v>ok</v>
      </c>
      <c r="C4205" s="149" t="s">
        <v>369</v>
      </c>
      <c r="D4205" t="s">
        <v>6317</v>
      </c>
      <c r="E4205" t="s">
        <v>6325</v>
      </c>
      <c r="F4205" s="150" t="s">
        <v>6325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4894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61</v>
      </c>
      <c r="R4205" s="146" t="s">
        <v>780</v>
      </c>
      <c r="S4205" s="150"/>
    </row>
    <row r="4206" spans="1:19" hidden="1">
      <c r="A4206" s="149" t="s">
        <v>6311</v>
      </c>
      <c r="B4206" s="150" t="str">
        <f>IFERROR(VLOOKUP(Proc[[#This Row],[App]],Table2[],3,0),"open")</f>
        <v>ok</v>
      </c>
      <c r="C4206" s="149" t="s">
        <v>369</v>
      </c>
      <c r="D4206" s="149" t="s">
        <v>6330</v>
      </c>
      <c r="E4206" t="s">
        <v>6326</v>
      </c>
      <c r="F4206" s="150" t="s">
        <v>6326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6318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4894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61</v>
      </c>
      <c r="R4206" s="146" t="s">
        <v>780</v>
      </c>
      <c r="S4206" s="150"/>
    </row>
    <row r="4207" spans="1:19" hidden="1">
      <c r="A4207" s="149" t="s">
        <v>6311</v>
      </c>
      <c r="B4207" s="150" t="str">
        <f>IFERROR(VLOOKUP(Proc[[#This Row],[App]],Table2[],3,0),"open")</f>
        <v>ok</v>
      </c>
      <c r="C4207" s="149" t="s">
        <v>369</v>
      </c>
      <c r="D4207" s="149" t="s">
        <v>6331</v>
      </c>
      <c r="E4207" t="s">
        <v>6327</v>
      </c>
      <c r="F4207" s="150" t="s">
        <v>6327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6319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4894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61</v>
      </c>
      <c r="R4207" s="146" t="s">
        <v>780</v>
      </c>
      <c r="S4207" s="150"/>
    </row>
    <row r="4208" spans="1:19" hidden="1">
      <c r="A4208" s="149" t="s">
        <v>6311</v>
      </c>
      <c r="B4208" s="150" t="str">
        <f>IFERROR(VLOOKUP(Proc[[#This Row],[App]],Table2[],3,0),"open")</f>
        <v>ok</v>
      </c>
      <c r="C4208" s="149" t="s">
        <v>369</v>
      </c>
      <c r="D4208" s="149" t="s">
        <v>6332</v>
      </c>
      <c r="E4208" t="s">
        <v>6328</v>
      </c>
      <c r="F4208" s="150" t="s">
        <v>6328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6320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4894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61</v>
      </c>
      <c r="R4208" s="146" t="s">
        <v>780</v>
      </c>
      <c r="S4208" s="150"/>
    </row>
    <row r="4209" spans="1:19" hidden="1">
      <c r="A4209" s="149" t="s">
        <v>6311</v>
      </c>
      <c r="B4209" s="150" t="str">
        <f>IFERROR(VLOOKUP(Proc[[#This Row],[App]],Table2[],3,0),"open")</f>
        <v>ok</v>
      </c>
      <c r="C4209" s="149" t="s">
        <v>369</v>
      </c>
      <c r="D4209" t="s">
        <v>6321</v>
      </c>
      <c r="E4209" t="s">
        <v>6329</v>
      </c>
      <c r="F4209" s="150" t="s">
        <v>6329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4894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61</v>
      </c>
      <c r="R4209" s="146" t="s">
        <v>780</v>
      </c>
      <c r="S4209" s="150"/>
    </row>
    <row r="4210" spans="1:19" hidden="1">
      <c r="A4210" s="149" t="s">
        <v>6311</v>
      </c>
      <c r="B4210" s="150" t="str">
        <f>IFERROR(VLOOKUP(Proc[[#This Row],[App]],Table2[],3,0),"open")</f>
        <v>ok</v>
      </c>
      <c r="C4210" s="149" t="s">
        <v>369</v>
      </c>
      <c r="D4210" t="s">
        <v>6322</v>
      </c>
      <c r="E4210" t="s">
        <v>6329</v>
      </c>
      <c r="F4210" s="150" t="s">
        <v>6329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4894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61</v>
      </c>
      <c r="R4210" s="146" t="s">
        <v>780</v>
      </c>
      <c r="S4210" s="150"/>
    </row>
    <row r="4211" spans="1:19" hidden="1">
      <c r="A4211" t="s">
        <v>6344</v>
      </c>
      <c r="B4211" s="150" t="str">
        <f>IFERROR(VLOOKUP(Proc[[#This Row],[App]],Table2[],3,0),"open")</f>
        <v>ok</v>
      </c>
      <c r="C4211" s="149" t="s">
        <v>369</v>
      </c>
      <c r="D4211" t="s">
        <v>6333</v>
      </c>
      <c r="E4211" t="s">
        <v>6345</v>
      </c>
      <c r="F4211" s="150" t="s">
        <v>6345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4894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60</v>
      </c>
      <c r="R4211" s="146" t="s">
        <v>780</v>
      </c>
      <c r="S4211" s="150"/>
    </row>
    <row r="4212" spans="1:19" hidden="1">
      <c r="A4212" s="149" t="s">
        <v>6344</v>
      </c>
      <c r="B4212" s="150" t="str">
        <f>IFERROR(VLOOKUP(Proc[[#This Row],[App]],Table2[],3,0),"open")</f>
        <v>ok</v>
      </c>
      <c r="C4212" s="149" t="s">
        <v>369</v>
      </c>
      <c r="D4212" t="s">
        <v>6334</v>
      </c>
      <c r="E4212" t="s">
        <v>6346</v>
      </c>
      <c r="F4212" s="150" t="s">
        <v>6346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4894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60</v>
      </c>
      <c r="R4212" s="146" t="s">
        <v>780</v>
      </c>
      <c r="S4212" s="150"/>
    </row>
    <row r="4213" spans="1:19" hidden="1">
      <c r="A4213" s="149" t="s">
        <v>6344</v>
      </c>
      <c r="B4213" s="150" t="str">
        <f>IFERROR(VLOOKUP(Proc[[#This Row],[App]],Table2[],3,0),"open")</f>
        <v>ok</v>
      </c>
      <c r="C4213" s="149" t="s">
        <v>369</v>
      </c>
      <c r="D4213" t="s">
        <v>6335</v>
      </c>
      <c r="E4213" t="s">
        <v>6347</v>
      </c>
      <c r="F4213" s="150" t="s">
        <v>6347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4894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60</v>
      </c>
      <c r="R4213" s="146" t="s">
        <v>780</v>
      </c>
      <c r="S4213" s="150"/>
    </row>
    <row r="4214" spans="1:19" hidden="1">
      <c r="A4214" s="149" t="s">
        <v>6344</v>
      </c>
      <c r="B4214" s="150" t="str">
        <f>IFERROR(VLOOKUP(Proc[[#This Row],[App]],Table2[],3,0),"open")</f>
        <v>ok</v>
      </c>
      <c r="C4214" s="149" t="s">
        <v>369</v>
      </c>
      <c r="D4214" t="s">
        <v>6336</v>
      </c>
      <c r="E4214" t="s">
        <v>6177</v>
      </c>
      <c r="F4214" s="150" t="s">
        <v>6177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4894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60</v>
      </c>
      <c r="R4214" s="146" t="s">
        <v>780</v>
      </c>
      <c r="S4214" s="150"/>
    </row>
    <row r="4215" spans="1:19" hidden="1">
      <c r="A4215" s="149" t="s">
        <v>6344</v>
      </c>
      <c r="B4215" s="150" t="str">
        <f>IFERROR(VLOOKUP(Proc[[#This Row],[App]],Table2[],3,0),"open")</f>
        <v>ok</v>
      </c>
      <c r="C4215" s="149" t="s">
        <v>369</v>
      </c>
      <c r="D4215" t="s">
        <v>6337</v>
      </c>
      <c r="E4215" t="s">
        <v>6177</v>
      </c>
      <c r="F4215" s="150" t="s">
        <v>6177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4894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60</v>
      </c>
      <c r="R4215" s="146" t="s">
        <v>780</v>
      </c>
      <c r="S4215" s="150"/>
    </row>
    <row r="4216" spans="1:19" hidden="1">
      <c r="A4216" s="149" t="s">
        <v>6344</v>
      </c>
      <c r="B4216" s="150" t="str">
        <f>IFERROR(VLOOKUP(Proc[[#This Row],[App]],Table2[],3,0),"open")</f>
        <v>ok</v>
      </c>
      <c r="C4216" s="149" t="s">
        <v>369</v>
      </c>
      <c r="D4216" t="s">
        <v>6338</v>
      </c>
      <c r="E4216" t="s">
        <v>6177</v>
      </c>
      <c r="F4216" s="150" t="s">
        <v>6177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4894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60</v>
      </c>
      <c r="R4216" s="146" t="s">
        <v>780</v>
      </c>
      <c r="S4216" s="150"/>
    </row>
    <row r="4217" spans="1:19" hidden="1">
      <c r="A4217" s="149" t="s">
        <v>6344</v>
      </c>
      <c r="B4217" s="150" t="str">
        <f>IFERROR(VLOOKUP(Proc[[#This Row],[App]],Table2[],3,0),"open")</f>
        <v>ok</v>
      </c>
      <c r="C4217" s="149" t="s">
        <v>369</v>
      </c>
      <c r="D4217" t="s">
        <v>6350</v>
      </c>
      <c r="E4217" t="s">
        <v>6348</v>
      </c>
      <c r="F4217" s="150" t="s">
        <v>6348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4894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60</v>
      </c>
      <c r="R4217" s="146" t="s">
        <v>780</v>
      </c>
      <c r="S4217" s="150"/>
    </row>
    <row r="4218" spans="1:19" hidden="1">
      <c r="A4218" s="149" t="s">
        <v>6344</v>
      </c>
      <c r="B4218" s="150" t="str">
        <f>IFERROR(VLOOKUP(Proc[[#This Row],[App]],Table2[],3,0),"open")</f>
        <v>ok</v>
      </c>
      <c r="C4218" s="149" t="s">
        <v>369</v>
      </c>
      <c r="D4218" t="s">
        <v>6339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4894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60</v>
      </c>
      <c r="R4218" s="146" t="s">
        <v>780</v>
      </c>
      <c r="S4218" s="150"/>
    </row>
    <row r="4219" spans="1:19" hidden="1">
      <c r="A4219" s="149" t="s">
        <v>6344</v>
      </c>
      <c r="B4219" s="150" t="str">
        <f>IFERROR(VLOOKUP(Proc[[#This Row],[App]],Table2[],3,0),"open")</f>
        <v>ok</v>
      </c>
      <c r="C4219" s="149" t="s">
        <v>369</v>
      </c>
      <c r="D4219" t="s">
        <v>6340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4894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60</v>
      </c>
      <c r="R4219" s="146" t="s">
        <v>780</v>
      </c>
      <c r="S4219" s="150"/>
    </row>
    <row r="4220" spans="1:19" hidden="1">
      <c r="A4220" s="149" t="s">
        <v>6344</v>
      </c>
      <c r="B4220" s="150" t="str">
        <f>IFERROR(VLOOKUP(Proc[[#This Row],[App]],Table2[],3,0),"open")</f>
        <v>ok</v>
      </c>
      <c r="C4220" s="149" t="s">
        <v>369</v>
      </c>
      <c r="D4220" t="s">
        <v>6341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6349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4894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60</v>
      </c>
      <c r="R4220" s="146" t="s">
        <v>780</v>
      </c>
      <c r="S4220" s="150"/>
    </row>
    <row r="4221" spans="1:19" hidden="1">
      <c r="A4221" s="149" t="s">
        <v>6344</v>
      </c>
      <c r="B4221" s="150" t="str">
        <f>IFERROR(VLOOKUP(Proc[[#This Row],[App]],Table2[],3,0),"open")</f>
        <v>ok</v>
      </c>
      <c r="C4221" s="149" t="s">
        <v>369</v>
      </c>
      <c r="D4221" t="s">
        <v>6342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4894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60</v>
      </c>
      <c r="R4221" s="146" t="s">
        <v>780</v>
      </c>
      <c r="S4221" s="150"/>
    </row>
    <row r="4222" spans="1:19" hidden="1">
      <c r="A4222" s="149" t="s">
        <v>6344</v>
      </c>
      <c r="B4222" s="150" t="str">
        <f>IFERROR(VLOOKUP(Proc[[#This Row],[App]],Table2[],3,0),"open")</f>
        <v>ok</v>
      </c>
      <c r="C4222" s="149" t="s">
        <v>369</v>
      </c>
      <c r="D4222" t="s">
        <v>6343</v>
      </c>
      <c r="E4222" t="s">
        <v>6501</v>
      </c>
      <c r="F4222" s="150" t="s">
        <v>6268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4894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60</v>
      </c>
      <c r="R4222" s="146" t="s">
        <v>780</v>
      </c>
      <c r="S4222" s="150"/>
    </row>
    <row r="4223" spans="1:19" hidden="1">
      <c r="A4223" t="s">
        <v>6352</v>
      </c>
      <c r="B4223" s="150" t="str">
        <f>IFERROR(VLOOKUP(Proc[[#This Row],[App]],Table2[],3,0),"open")</f>
        <v>ok</v>
      </c>
      <c r="C4223" s="149" t="s">
        <v>369</v>
      </c>
      <c r="D4223" t="s">
        <v>6353</v>
      </c>
      <c r="E4223" t="s">
        <v>6354</v>
      </c>
      <c r="F4223" s="150" t="s">
        <v>6354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4894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57</v>
      </c>
      <c r="R4223" s="148" t="s">
        <v>489</v>
      </c>
      <c r="S4223" s="150"/>
    </row>
    <row r="4224" spans="1:19" hidden="1">
      <c r="A4224" t="s">
        <v>6356</v>
      </c>
      <c r="B4224" s="150" t="str">
        <f>IFERROR(VLOOKUP(Proc[[#This Row],[App]],Table2[],3,0),"open")</f>
        <v>ok</v>
      </c>
      <c r="C4224" s="149" t="s">
        <v>369</v>
      </c>
      <c r="D4224" t="s">
        <v>6355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4894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57</v>
      </c>
      <c r="R4224" s="148" t="s">
        <v>489</v>
      </c>
      <c r="S4224" s="150"/>
    </row>
    <row r="4225" spans="1:19" hidden="1">
      <c r="A4225" t="s">
        <v>6402</v>
      </c>
      <c r="B4225" s="150" t="str">
        <f>IFERROR(VLOOKUP(Proc[[#This Row],[App]],Table2[],3,0),"open")</f>
        <v>ok</v>
      </c>
      <c r="C4225" s="149" t="s">
        <v>369</v>
      </c>
      <c r="D4225" t="s">
        <v>6357</v>
      </c>
      <c r="E4225" t="s">
        <v>6403</v>
      </c>
      <c r="F4225" s="150" t="s">
        <v>6403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4894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57</v>
      </c>
      <c r="R4225" s="152" t="s">
        <v>410</v>
      </c>
      <c r="S4225" s="150"/>
    </row>
    <row r="4226" spans="1:19" hidden="1">
      <c r="A4226" s="149" t="s">
        <v>6402</v>
      </c>
      <c r="B4226" s="150" t="str">
        <f>IFERROR(VLOOKUP(Proc[[#This Row],[App]],Table2[],3,0),"open")</f>
        <v>ok</v>
      </c>
      <c r="C4226" s="149" t="s">
        <v>369</v>
      </c>
      <c r="D4226" t="s">
        <v>6358</v>
      </c>
      <c r="E4226" t="s">
        <v>6403</v>
      </c>
      <c r="F4226" s="150" t="s">
        <v>6403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4894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57</v>
      </c>
      <c r="R4226" s="152" t="s">
        <v>410</v>
      </c>
      <c r="S4226" s="150"/>
    </row>
    <row r="4227" spans="1:19" hidden="1">
      <c r="A4227" s="149" t="s">
        <v>6402</v>
      </c>
      <c r="B4227" s="150" t="str">
        <f>IFERROR(VLOOKUP(Proc[[#This Row],[App]],Table2[],3,0),"open")</f>
        <v>ok</v>
      </c>
      <c r="C4227" s="149" t="s">
        <v>369</v>
      </c>
      <c r="D4227" t="s">
        <v>6359</v>
      </c>
      <c r="E4227" t="s">
        <v>6404</v>
      </c>
      <c r="F4227" s="150" t="s">
        <v>6404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4894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57</v>
      </c>
      <c r="R4227" s="152" t="s">
        <v>410</v>
      </c>
      <c r="S4227" s="150"/>
    </row>
    <row r="4228" spans="1:19" hidden="1">
      <c r="A4228" s="149" t="s">
        <v>6402</v>
      </c>
      <c r="B4228" s="150" t="str">
        <f>IFERROR(VLOOKUP(Proc[[#This Row],[App]],Table2[],3,0),"open")</f>
        <v>ok</v>
      </c>
      <c r="C4228" s="149" t="s">
        <v>369</v>
      </c>
      <c r="D4228" t="s">
        <v>6360</v>
      </c>
      <c r="E4228" t="s">
        <v>6403</v>
      </c>
      <c r="F4228" s="150" t="s">
        <v>6403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4894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57</v>
      </c>
      <c r="R4228" s="152" t="s">
        <v>410</v>
      </c>
      <c r="S4228" s="150"/>
    </row>
    <row r="4229" spans="1:19" hidden="1">
      <c r="A4229" s="149" t="s">
        <v>6402</v>
      </c>
      <c r="B4229" s="150" t="str">
        <f>IFERROR(VLOOKUP(Proc[[#This Row],[App]],Table2[],3,0),"open")</f>
        <v>ok</v>
      </c>
      <c r="C4229" s="149" t="s">
        <v>369</v>
      </c>
      <c r="D4229" t="s">
        <v>6361</v>
      </c>
      <c r="E4229" t="s">
        <v>6403</v>
      </c>
      <c r="F4229" s="150" t="s">
        <v>6403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4894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57</v>
      </c>
      <c r="R4229" s="152" t="s">
        <v>410</v>
      </c>
      <c r="S4229" s="150"/>
    </row>
    <row r="4230" spans="1:19" hidden="1">
      <c r="A4230" s="149" t="s">
        <v>6402</v>
      </c>
      <c r="B4230" s="150" t="str">
        <f>IFERROR(VLOOKUP(Proc[[#This Row],[App]],Table2[],3,0),"open")</f>
        <v>ok</v>
      </c>
      <c r="C4230" s="149" t="s">
        <v>369</v>
      </c>
      <c r="D4230" t="s">
        <v>6362</v>
      </c>
      <c r="E4230" t="s">
        <v>6404</v>
      </c>
      <c r="F4230" s="150" t="s">
        <v>6404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4894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57</v>
      </c>
      <c r="R4230" s="152" t="s">
        <v>410</v>
      </c>
      <c r="S4230" s="150"/>
    </row>
    <row r="4231" spans="1:19" hidden="1">
      <c r="A4231" s="149" t="s">
        <v>6402</v>
      </c>
      <c r="B4231" s="150" t="str">
        <f>IFERROR(VLOOKUP(Proc[[#This Row],[App]],Table2[],3,0),"open")</f>
        <v>ok</v>
      </c>
      <c r="C4231" s="149" t="s">
        <v>369</v>
      </c>
      <c r="D4231" t="s">
        <v>6363</v>
      </c>
      <c r="E4231" t="s">
        <v>6404</v>
      </c>
      <c r="F4231" s="150" t="s">
        <v>6404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4894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57</v>
      </c>
      <c r="R4231" s="152" t="s">
        <v>410</v>
      </c>
      <c r="S4231" s="150"/>
    </row>
    <row r="4232" spans="1:19" hidden="1">
      <c r="A4232" s="149" t="s">
        <v>6402</v>
      </c>
      <c r="B4232" s="150" t="str">
        <f>IFERROR(VLOOKUP(Proc[[#This Row],[App]],Table2[],3,0),"open")</f>
        <v>ok</v>
      </c>
      <c r="C4232" s="149" t="s">
        <v>369</v>
      </c>
      <c r="D4232" t="s">
        <v>6364</v>
      </c>
      <c r="E4232" t="s">
        <v>6404</v>
      </c>
      <c r="F4232" s="150" t="s">
        <v>6404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4894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57</v>
      </c>
      <c r="R4232" s="152" t="s">
        <v>410</v>
      </c>
      <c r="S4232" s="150"/>
    </row>
    <row r="4233" spans="1:19" hidden="1">
      <c r="A4233" s="149" t="s">
        <v>6402</v>
      </c>
      <c r="B4233" s="150" t="str">
        <f>IFERROR(VLOOKUP(Proc[[#This Row],[App]],Table2[],3,0),"open")</f>
        <v>ok</v>
      </c>
      <c r="C4233" s="149" t="s">
        <v>369</v>
      </c>
      <c r="D4233" t="s">
        <v>6365</v>
      </c>
      <c r="E4233" t="s">
        <v>6403</v>
      </c>
      <c r="F4233" s="150" t="s">
        <v>6403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4894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57</v>
      </c>
      <c r="R4233" s="152" t="s">
        <v>410</v>
      </c>
      <c r="S4233" s="150"/>
    </row>
    <row r="4234" spans="1:19" hidden="1">
      <c r="A4234" s="149" t="s">
        <v>6402</v>
      </c>
      <c r="B4234" s="150" t="str">
        <f>IFERROR(VLOOKUP(Proc[[#This Row],[App]],Table2[],3,0),"open")</f>
        <v>ok</v>
      </c>
      <c r="C4234" s="149" t="s">
        <v>369</v>
      </c>
      <c r="D4234" t="s">
        <v>6366</v>
      </c>
      <c r="E4234" t="s">
        <v>6404</v>
      </c>
      <c r="F4234" s="150" t="s">
        <v>6404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4894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57</v>
      </c>
      <c r="R4234" s="152" t="s">
        <v>410</v>
      </c>
      <c r="S4234" s="150"/>
    </row>
    <row r="4235" spans="1:19" hidden="1">
      <c r="A4235" s="149" t="s">
        <v>6402</v>
      </c>
      <c r="B4235" s="150" t="str">
        <f>IFERROR(VLOOKUP(Proc[[#This Row],[App]],Table2[],3,0),"open")</f>
        <v>ok</v>
      </c>
      <c r="C4235" s="149" t="s">
        <v>369</v>
      </c>
      <c r="D4235" t="s">
        <v>6367</v>
      </c>
      <c r="E4235" t="s">
        <v>6404</v>
      </c>
      <c r="F4235" s="150" t="s">
        <v>6404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4894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57</v>
      </c>
      <c r="R4235" s="152" t="s">
        <v>410</v>
      </c>
      <c r="S4235" s="150"/>
    </row>
    <row r="4236" spans="1:19" hidden="1">
      <c r="A4236" s="149" t="s">
        <v>6402</v>
      </c>
      <c r="B4236" s="150" t="str">
        <f>IFERROR(VLOOKUP(Proc[[#This Row],[App]],Table2[],3,0),"open")</f>
        <v>ok</v>
      </c>
      <c r="C4236" s="149" t="s">
        <v>369</v>
      </c>
      <c r="D4236" t="s">
        <v>6368</v>
      </c>
      <c r="E4236" t="s">
        <v>6404</v>
      </c>
      <c r="F4236" s="150" t="s">
        <v>6404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4894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57</v>
      </c>
      <c r="R4236" s="152" t="s">
        <v>410</v>
      </c>
      <c r="S4236" s="150"/>
    </row>
    <row r="4237" spans="1:19" hidden="1">
      <c r="A4237" s="149" t="s">
        <v>6402</v>
      </c>
      <c r="B4237" s="150" t="str">
        <f>IFERROR(VLOOKUP(Proc[[#This Row],[App]],Table2[],3,0),"open")</f>
        <v>ok</v>
      </c>
      <c r="C4237" s="149" t="s">
        <v>369</v>
      </c>
      <c r="D4237" t="s">
        <v>6369</v>
      </c>
      <c r="E4237" t="s">
        <v>6404</v>
      </c>
      <c r="F4237" s="150" t="s">
        <v>6404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4894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57</v>
      </c>
      <c r="R4237" s="152" t="s">
        <v>410</v>
      </c>
      <c r="S4237" s="150"/>
    </row>
    <row r="4238" spans="1:19" hidden="1">
      <c r="A4238" s="149" t="s">
        <v>6402</v>
      </c>
      <c r="B4238" s="150" t="str">
        <f>IFERROR(VLOOKUP(Proc[[#This Row],[App]],Table2[],3,0),"open")</f>
        <v>ok</v>
      </c>
      <c r="C4238" s="149" t="s">
        <v>369</v>
      </c>
      <c r="D4238" t="s">
        <v>6370</v>
      </c>
      <c r="E4238" t="s">
        <v>6404</v>
      </c>
      <c r="F4238" s="150" t="s">
        <v>6404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4894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57</v>
      </c>
      <c r="R4238" s="152" t="s">
        <v>410</v>
      </c>
      <c r="S4238" s="150"/>
    </row>
    <row r="4239" spans="1:19" hidden="1">
      <c r="A4239" s="149" t="s">
        <v>6402</v>
      </c>
      <c r="B4239" s="150" t="str">
        <f>IFERROR(VLOOKUP(Proc[[#This Row],[App]],Table2[],3,0),"open")</f>
        <v>ok</v>
      </c>
      <c r="C4239" s="149" t="s">
        <v>369</v>
      </c>
      <c r="D4239" t="s">
        <v>6371</v>
      </c>
      <c r="E4239" t="s">
        <v>6403</v>
      </c>
      <c r="F4239" s="150" t="s">
        <v>6403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4894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57</v>
      </c>
      <c r="R4239" s="152" t="s">
        <v>410</v>
      </c>
      <c r="S4239" s="150"/>
    </row>
    <row r="4240" spans="1:19" hidden="1">
      <c r="A4240" s="149" t="s">
        <v>6402</v>
      </c>
      <c r="B4240" s="150" t="str">
        <f>IFERROR(VLOOKUP(Proc[[#This Row],[App]],Table2[],3,0),"open")</f>
        <v>ok</v>
      </c>
      <c r="C4240" s="149" t="s">
        <v>369</v>
      </c>
      <c r="D4240" t="s">
        <v>6372</v>
      </c>
      <c r="E4240" t="s">
        <v>6403</v>
      </c>
      <c r="F4240" s="150" t="s">
        <v>6403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4894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57</v>
      </c>
      <c r="R4240" s="152" t="s">
        <v>410</v>
      </c>
      <c r="S4240" s="150"/>
    </row>
    <row r="4241" spans="1:19" hidden="1">
      <c r="A4241" s="149" t="s">
        <v>6402</v>
      </c>
      <c r="B4241" s="150" t="str">
        <f>IFERROR(VLOOKUP(Proc[[#This Row],[App]],Table2[],3,0),"open")</f>
        <v>ok</v>
      </c>
      <c r="C4241" s="149" t="s">
        <v>369</v>
      </c>
      <c r="D4241" t="s">
        <v>6373</v>
      </c>
      <c r="E4241" t="s">
        <v>6403</v>
      </c>
      <c r="F4241" s="150" t="s">
        <v>6403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4894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57</v>
      </c>
      <c r="R4241" s="152" t="s">
        <v>410</v>
      </c>
      <c r="S4241" s="150"/>
    </row>
    <row r="4242" spans="1:19" hidden="1">
      <c r="A4242" s="149" t="s">
        <v>6402</v>
      </c>
      <c r="B4242" s="150" t="str">
        <f>IFERROR(VLOOKUP(Proc[[#This Row],[App]],Table2[],3,0),"open")</f>
        <v>ok</v>
      </c>
      <c r="C4242" s="149" t="s">
        <v>369</v>
      </c>
      <c r="D4242" t="s">
        <v>6374</v>
      </c>
      <c r="E4242" t="s">
        <v>6403</v>
      </c>
      <c r="F4242" s="150" t="s">
        <v>6403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4894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57</v>
      </c>
      <c r="R4242" s="152" t="s">
        <v>410</v>
      </c>
      <c r="S4242" s="150"/>
    </row>
    <row r="4243" spans="1:19" hidden="1">
      <c r="A4243" s="149" t="s">
        <v>6402</v>
      </c>
      <c r="B4243" s="150" t="str">
        <f>IFERROR(VLOOKUP(Proc[[#This Row],[App]],Table2[],3,0),"open")</f>
        <v>ok</v>
      </c>
      <c r="C4243" s="149" t="s">
        <v>369</v>
      </c>
      <c r="D4243" t="s">
        <v>6375</v>
      </c>
      <c r="E4243" t="s">
        <v>6403</v>
      </c>
      <c r="F4243" s="150" t="s">
        <v>6403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4894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57</v>
      </c>
      <c r="R4243" s="152" t="s">
        <v>410</v>
      </c>
      <c r="S4243" s="150"/>
    </row>
    <row r="4244" spans="1:19" hidden="1">
      <c r="A4244" s="149" t="s">
        <v>6402</v>
      </c>
      <c r="B4244" s="150" t="str">
        <f>IFERROR(VLOOKUP(Proc[[#This Row],[App]],Table2[],3,0),"open")</f>
        <v>ok</v>
      </c>
      <c r="C4244" s="149" t="s">
        <v>369</v>
      </c>
      <c r="D4244" t="s">
        <v>6376</v>
      </c>
      <c r="E4244" t="s">
        <v>6404</v>
      </c>
      <c r="F4244" s="150" t="s">
        <v>6404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4894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57</v>
      </c>
      <c r="R4244" s="152" t="s">
        <v>410</v>
      </c>
      <c r="S4244" s="150"/>
    </row>
    <row r="4245" spans="1:19" hidden="1">
      <c r="A4245" s="149" t="s">
        <v>6402</v>
      </c>
      <c r="B4245" s="150" t="str">
        <f>IFERROR(VLOOKUP(Proc[[#This Row],[App]],Table2[],3,0),"open")</f>
        <v>ok</v>
      </c>
      <c r="C4245" s="149" t="s">
        <v>369</v>
      </c>
      <c r="D4245" t="s">
        <v>6377</v>
      </c>
      <c r="E4245" t="s">
        <v>6404</v>
      </c>
      <c r="F4245" s="150" t="s">
        <v>6404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4894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57</v>
      </c>
      <c r="R4245" s="152" t="s">
        <v>410</v>
      </c>
      <c r="S4245" s="150"/>
    </row>
    <row r="4246" spans="1:19" hidden="1">
      <c r="A4246" s="149" t="s">
        <v>6402</v>
      </c>
      <c r="B4246" s="150" t="str">
        <f>IFERROR(VLOOKUP(Proc[[#This Row],[App]],Table2[],3,0),"open")</f>
        <v>ok</v>
      </c>
      <c r="C4246" s="149" t="s">
        <v>369</v>
      </c>
      <c r="D4246" t="s">
        <v>6378</v>
      </c>
      <c r="E4246" t="s">
        <v>6404</v>
      </c>
      <c r="F4246" s="150" t="s">
        <v>6404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4894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57</v>
      </c>
      <c r="R4246" s="152" t="s">
        <v>410</v>
      </c>
      <c r="S4246" s="150"/>
    </row>
    <row r="4247" spans="1:19" hidden="1">
      <c r="A4247" s="149" t="s">
        <v>6402</v>
      </c>
      <c r="B4247" s="150" t="str">
        <f>IFERROR(VLOOKUP(Proc[[#This Row],[App]],Table2[],3,0),"open")</f>
        <v>ok</v>
      </c>
      <c r="C4247" s="149" t="s">
        <v>369</v>
      </c>
      <c r="D4247" t="s">
        <v>6379</v>
      </c>
      <c r="E4247" t="s">
        <v>6404</v>
      </c>
      <c r="F4247" s="150" t="s">
        <v>6404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4894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57</v>
      </c>
      <c r="R4247" s="152" t="s">
        <v>410</v>
      </c>
      <c r="S4247" s="150"/>
    </row>
    <row r="4248" spans="1:19" hidden="1">
      <c r="A4248" s="149" t="s">
        <v>6402</v>
      </c>
      <c r="B4248" s="150" t="str">
        <f>IFERROR(VLOOKUP(Proc[[#This Row],[App]],Table2[],3,0),"open")</f>
        <v>ok</v>
      </c>
      <c r="C4248" s="149" t="s">
        <v>369</v>
      </c>
      <c r="D4248" t="s">
        <v>6380</v>
      </c>
      <c r="E4248" t="s">
        <v>6403</v>
      </c>
      <c r="F4248" s="150" t="s">
        <v>6403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4894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57</v>
      </c>
      <c r="R4248" s="152" t="s">
        <v>410</v>
      </c>
      <c r="S4248" s="150"/>
    </row>
    <row r="4249" spans="1:19" hidden="1">
      <c r="A4249" s="149" t="s">
        <v>6402</v>
      </c>
      <c r="B4249" s="150" t="str">
        <f>IFERROR(VLOOKUP(Proc[[#This Row],[App]],Table2[],3,0),"open")</f>
        <v>ok</v>
      </c>
      <c r="C4249" s="149" t="s">
        <v>369</v>
      </c>
      <c r="D4249" t="s">
        <v>6381</v>
      </c>
      <c r="E4249" t="s">
        <v>6403</v>
      </c>
      <c r="F4249" s="150" t="s">
        <v>6403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4894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57</v>
      </c>
      <c r="R4249" s="152" t="s">
        <v>410</v>
      </c>
      <c r="S4249" s="150"/>
    </row>
    <row r="4250" spans="1:19" hidden="1">
      <c r="A4250" s="149" t="s">
        <v>6402</v>
      </c>
      <c r="B4250" s="150" t="str">
        <f>IFERROR(VLOOKUP(Proc[[#This Row],[App]],Table2[],3,0),"open")</f>
        <v>ok</v>
      </c>
      <c r="C4250" s="149" t="s">
        <v>369</v>
      </c>
      <c r="D4250" t="s">
        <v>6382</v>
      </c>
      <c r="E4250" t="s">
        <v>6403</v>
      </c>
      <c r="F4250" s="150" t="s">
        <v>6403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4894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57</v>
      </c>
      <c r="R4250" s="152" t="s">
        <v>410</v>
      </c>
      <c r="S4250" s="150"/>
    </row>
    <row r="4251" spans="1:19" hidden="1">
      <c r="A4251" s="149" t="s">
        <v>6402</v>
      </c>
      <c r="B4251" s="150" t="str">
        <f>IFERROR(VLOOKUP(Proc[[#This Row],[App]],Table2[],3,0),"open")</f>
        <v>ok</v>
      </c>
      <c r="C4251" s="149" t="s">
        <v>369</v>
      </c>
      <c r="D4251" t="s">
        <v>6383</v>
      </c>
      <c r="E4251" t="s">
        <v>6405</v>
      </c>
      <c r="F4251" s="150" t="s">
        <v>6405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4894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57</v>
      </c>
      <c r="R4251" s="152" t="s">
        <v>410</v>
      </c>
      <c r="S4251" s="150"/>
    </row>
    <row r="4252" spans="1:19" hidden="1">
      <c r="A4252" s="149" t="s">
        <v>6402</v>
      </c>
      <c r="B4252" s="150" t="str">
        <f>IFERROR(VLOOKUP(Proc[[#This Row],[App]],Table2[],3,0),"open")</f>
        <v>ok</v>
      </c>
      <c r="C4252" s="149" t="s">
        <v>369</v>
      </c>
      <c r="D4252" t="s">
        <v>6384</v>
      </c>
      <c r="E4252" t="s">
        <v>6405</v>
      </c>
      <c r="F4252" s="150" t="s">
        <v>6405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4894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57</v>
      </c>
      <c r="R4252" s="152" t="s">
        <v>410</v>
      </c>
      <c r="S4252" s="150"/>
    </row>
    <row r="4253" spans="1:19" hidden="1">
      <c r="A4253" s="149" t="s">
        <v>6402</v>
      </c>
      <c r="B4253" s="150" t="str">
        <f>IFERROR(VLOOKUP(Proc[[#This Row],[App]],Table2[],3,0),"open")</f>
        <v>ok</v>
      </c>
      <c r="C4253" s="149" t="s">
        <v>369</v>
      </c>
      <c r="D4253" t="s">
        <v>6385</v>
      </c>
      <c r="E4253" t="s">
        <v>6405</v>
      </c>
      <c r="F4253" s="150" t="s">
        <v>6405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4894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57</v>
      </c>
      <c r="R4253" s="152" t="s">
        <v>410</v>
      </c>
      <c r="S4253" s="150"/>
    </row>
    <row r="4254" spans="1:19" hidden="1">
      <c r="A4254" s="149" t="s">
        <v>6402</v>
      </c>
      <c r="B4254" s="150" t="str">
        <f>IFERROR(VLOOKUP(Proc[[#This Row],[App]],Table2[],3,0),"open")</f>
        <v>ok</v>
      </c>
      <c r="C4254" s="149" t="s">
        <v>369</v>
      </c>
      <c r="D4254" t="s">
        <v>6386</v>
      </c>
      <c r="E4254" t="s">
        <v>6405</v>
      </c>
      <c r="F4254" s="150" t="s">
        <v>6405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4894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57</v>
      </c>
      <c r="R4254" s="152" t="s">
        <v>410</v>
      </c>
      <c r="S4254" s="150"/>
    </row>
    <row r="4255" spans="1:19" hidden="1">
      <c r="A4255" s="149" t="s">
        <v>6402</v>
      </c>
      <c r="B4255" s="150" t="str">
        <f>IFERROR(VLOOKUP(Proc[[#This Row],[App]],Table2[],3,0),"open")</f>
        <v>ok</v>
      </c>
      <c r="C4255" s="149" t="s">
        <v>369</v>
      </c>
      <c r="D4255" t="s">
        <v>6387</v>
      </c>
      <c r="E4255" t="s">
        <v>6404</v>
      </c>
      <c r="F4255" s="150" t="s">
        <v>6404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4894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57</v>
      </c>
      <c r="R4255" s="152" t="s">
        <v>410</v>
      </c>
      <c r="S4255" s="150"/>
    </row>
    <row r="4256" spans="1:19" hidden="1">
      <c r="A4256" s="149" t="s">
        <v>6402</v>
      </c>
      <c r="B4256" s="150" t="str">
        <f>IFERROR(VLOOKUP(Proc[[#This Row],[App]],Table2[],3,0),"open")</f>
        <v>ok</v>
      </c>
      <c r="C4256" s="149" t="s">
        <v>377</v>
      </c>
      <c r="D4256" t="s">
        <v>6388</v>
      </c>
      <c r="E4256" t="s">
        <v>6404</v>
      </c>
      <c r="F4256" s="150" t="s">
        <v>5494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4894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57</v>
      </c>
      <c r="R4256" s="152" t="s">
        <v>410</v>
      </c>
      <c r="S4256" s="150"/>
    </row>
    <row r="4257" spans="1:19" hidden="1">
      <c r="A4257" s="149" t="s">
        <v>6402</v>
      </c>
      <c r="B4257" s="150" t="str">
        <f>IFERROR(VLOOKUP(Proc[[#This Row],[App]],Table2[],3,0),"open")</f>
        <v>ok</v>
      </c>
      <c r="C4257" s="149" t="s">
        <v>369</v>
      </c>
      <c r="D4257" t="s">
        <v>6389</v>
      </c>
      <c r="E4257" t="s">
        <v>6404</v>
      </c>
      <c r="F4257" s="150" t="s">
        <v>6404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4894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57</v>
      </c>
      <c r="R4257" s="152" t="s">
        <v>410</v>
      </c>
      <c r="S4257" s="150"/>
    </row>
    <row r="4258" spans="1:19" hidden="1">
      <c r="A4258" s="149" t="s">
        <v>6402</v>
      </c>
      <c r="B4258" s="150" t="str">
        <f>IFERROR(VLOOKUP(Proc[[#This Row],[App]],Table2[],3,0),"open")</f>
        <v>ok</v>
      </c>
      <c r="C4258" s="149" t="s">
        <v>377</v>
      </c>
      <c r="D4258" t="s">
        <v>6390</v>
      </c>
      <c r="E4258" t="s">
        <v>6404</v>
      </c>
      <c r="F4258" s="150" t="s">
        <v>5494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4894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57</v>
      </c>
      <c r="R4258" s="152" t="s">
        <v>410</v>
      </c>
      <c r="S4258" s="150"/>
    </row>
    <row r="4259" spans="1:19" hidden="1">
      <c r="A4259" s="149" t="s">
        <v>6402</v>
      </c>
      <c r="B4259" s="150" t="str">
        <f>IFERROR(VLOOKUP(Proc[[#This Row],[App]],Table2[],3,0),"open")</f>
        <v>ok</v>
      </c>
      <c r="C4259" s="149" t="s">
        <v>377</v>
      </c>
      <c r="D4259" t="s">
        <v>6391</v>
      </c>
      <c r="E4259" t="s">
        <v>6404</v>
      </c>
      <c r="F4259" s="150" t="s">
        <v>5494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4894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57</v>
      </c>
      <c r="R4259" s="152" t="s">
        <v>410</v>
      </c>
      <c r="S4259" s="150"/>
    </row>
    <row r="4260" spans="1:19" hidden="1">
      <c r="A4260" s="149" t="s">
        <v>6402</v>
      </c>
      <c r="B4260" s="150" t="str">
        <f>IFERROR(VLOOKUP(Proc[[#This Row],[App]],Table2[],3,0),"open")</f>
        <v>ok</v>
      </c>
      <c r="C4260" s="149" t="s">
        <v>369</v>
      </c>
      <c r="D4260" t="s">
        <v>6392</v>
      </c>
      <c r="E4260" t="s">
        <v>6405</v>
      </c>
      <c r="F4260" s="150" t="s">
        <v>6405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4894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57</v>
      </c>
      <c r="R4260" s="152" t="s">
        <v>410</v>
      </c>
      <c r="S4260" s="150"/>
    </row>
    <row r="4261" spans="1:19" hidden="1">
      <c r="A4261" s="149" t="s">
        <v>6402</v>
      </c>
      <c r="B4261" s="150" t="str">
        <f>IFERROR(VLOOKUP(Proc[[#This Row],[App]],Table2[],3,0),"open")</f>
        <v>ok</v>
      </c>
      <c r="C4261" s="149" t="s">
        <v>369</v>
      </c>
      <c r="D4261" t="s">
        <v>6393</v>
      </c>
      <c r="E4261" t="s">
        <v>6404</v>
      </c>
      <c r="F4261" s="150" t="s">
        <v>6404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4894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57</v>
      </c>
      <c r="R4261" s="152" t="s">
        <v>410</v>
      </c>
      <c r="S4261" s="150"/>
    </row>
    <row r="4262" spans="1:19" hidden="1">
      <c r="A4262" s="149" t="s">
        <v>6402</v>
      </c>
      <c r="B4262" s="150" t="str">
        <f>IFERROR(VLOOKUP(Proc[[#This Row],[App]],Table2[],3,0),"open")</f>
        <v>ok</v>
      </c>
      <c r="C4262" s="149" t="s">
        <v>369</v>
      </c>
      <c r="D4262" t="s">
        <v>5480</v>
      </c>
      <c r="E4262" t="s">
        <v>6404</v>
      </c>
      <c r="F4262" s="150" t="s">
        <v>6404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4894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57</v>
      </c>
      <c r="R4262" s="152" t="s">
        <v>410</v>
      </c>
      <c r="S4262" s="150"/>
    </row>
    <row r="4263" spans="1:19" hidden="1">
      <c r="A4263" s="149" t="s">
        <v>6402</v>
      </c>
      <c r="B4263" s="150" t="str">
        <f>IFERROR(VLOOKUP(Proc[[#This Row],[App]],Table2[],3,0),"open")</f>
        <v>ok</v>
      </c>
      <c r="C4263" s="149" t="s">
        <v>369</v>
      </c>
      <c r="D4263" t="s">
        <v>6394</v>
      </c>
      <c r="E4263" t="s">
        <v>6404</v>
      </c>
      <c r="F4263" s="150" t="s">
        <v>6404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4894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57</v>
      </c>
      <c r="R4263" s="152" t="s">
        <v>410</v>
      </c>
      <c r="S4263" s="150"/>
    </row>
    <row r="4264" spans="1:19" hidden="1">
      <c r="A4264" s="149" t="s">
        <v>6402</v>
      </c>
      <c r="B4264" s="150" t="str">
        <f>IFERROR(VLOOKUP(Proc[[#This Row],[App]],Table2[],3,0),"open")</f>
        <v>ok</v>
      </c>
      <c r="C4264" s="149" t="s">
        <v>369</v>
      </c>
      <c r="D4264" t="s">
        <v>6395</v>
      </c>
      <c r="E4264" t="s">
        <v>6405</v>
      </c>
      <c r="F4264" s="150" t="s">
        <v>6405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4894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57</v>
      </c>
      <c r="R4264" s="152" t="s">
        <v>410</v>
      </c>
      <c r="S4264" s="150"/>
    </row>
    <row r="4265" spans="1:19" hidden="1">
      <c r="A4265" s="149" t="s">
        <v>6402</v>
      </c>
      <c r="B4265" s="150" t="str">
        <f>IFERROR(VLOOKUP(Proc[[#This Row],[App]],Table2[],3,0),"open")</f>
        <v>ok</v>
      </c>
      <c r="C4265" s="149" t="s">
        <v>369</v>
      </c>
      <c r="D4265" t="s">
        <v>5485</v>
      </c>
      <c r="E4265" t="s">
        <v>6404</v>
      </c>
      <c r="F4265" s="150" t="s">
        <v>6404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4894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57</v>
      </c>
      <c r="R4265" s="152" t="s">
        <v>410</v>
      </c>
      <c r="S4265" s="150"/>
    </row>
    <row r="4266" spans="1:19" hidden="1">
      <c r="A4266" s="149" t="s">
        <v>6402</v>
      </c>
      <c r="B4266" s="150" t="str">
        <f>IFERROR(VLOOKUP(Proc[[#This Row],[App]],Table2[],3,0),"open")</f>
        <v>ok</v>
      </c>
      <c r="C4266" s="149" t="s">
        <v>369</v>
      </c>
      <c r="D4266" t="s">
        <v>6396</v>
      </c>
      <c r="E4266" t="s">
        <v>6404</v>
      </c>
      <c r="F4266" s="150" t="s">
        <v>6404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4894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57</v>
      </c>
      <c r="R4266" s="152" t="s">
        <v>410</v>
      </c>
      <c r="S4266" s="150"/>
    </row>
    <row r="4267" spans="1:19" hidden="1">
      <c r="A4267" s="149" t="s">
        <v>6402</v>
      </c>
      <c r="B4267" s="150" t="str">
        <f>IFERROR(VLOOKUP(Proc[[#This Row],[App]],Table2[],3,0),"open")</f>
        <v>ok</v>
      </c>
      <c r="C4267" s="149" t="s">
        <v>369</v>
      </c>
      <c r="D4267" t="s">
        <v>6397</v>
      </c>
      <c r="E4267" t="s">
        <v>6405</v>
      </c>
      <c r="F4267" s="150" t="s">
        <v>6405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4894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57</v>
      </c>
      <c r="R4267" s="152" t="s">
        <v>410</v>
      </c>
      <c r="S4267" s="150"/>
    </row>
    <row r="4268" spans="1:19" hidden="1">
      <c r="A4268" s="149" t="s">
        <v>6402</v>
      </c>
      <c r="B4268" s="150" t="str">
        <f>IFERROR(VLOOKUP(Proc[[#This Row],[App]],Table2[],3,0),"open")</f>
        <v>ok</v>
      </c>
      <c r="C4268" s="149" t="s">
        <v>369</v>
      </c>
      <c r="D4268" t="s">
        <v>6398</v>
      </c>
      <c r="E4268" t="s">
        <v>6405</v>
      </c>
      <c r="F4268" s="150" t="s">
        <v>6405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4894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57</v>
      </c>
      <c r="R4268" s="152" t="s">
        <v>410</v>
      </c>
      <c r="S4268" s="150"/>
    </row>
    <row r="4269" spans="1:19" hidden="1">
      <c r="A4269" s="149" t="s">
        <v>6402</v>
      </c>
      <c r="B4269" s="150" t="str">
        <f>IFERROR(VLOOKUP(Proc[[#This Row],[App]],Table2[],3,0),"open")</f>
        <v>ok</v>
      </c>
      <c r="C4269" s="149" t="s">
        <v>369</v>
      </c>
      <c r="D4269" t="s">
        <v>6399</v>
      </c>
      <c r="E4269" t="s">
        <v>6405</v>
      </c>
      <c r="F4269" s="150" t="s">
        <v>6405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4894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57</v>
      </c>
      <c r="R4269" s="152" t="s">
        <v>410</v>
      </c>
      <c r="S4269" s="150"/>
    </row>
    <row r="4270" spans="1:19" hidden="1">
      <c r="A4270" s="149" t="s">
        <v>6402</v>
      </c>
      <c r="B4270" s="150" t="str">
        <f>IFERROR(VLOOKUP(Proc[[#This Row],[App]],Table2[],3,0),"open")</f>
        <v>ok</v>
      </c>
      <c r="C4270" s="149" t="s">
        <v>369</v>
      </c>
      <c r="D4270" t="s">
        <v>6400</v>
      </c>
      <c r="E4270" t="s">
        <v>6405</v>
      </c>
      <c r="F4270" s="150" t="s">
        <v>6405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4894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57</v>
      </c>
      <c r="R4270" s="152" t="s">
        <v>410</v>
      </c>
      <c r="S4270" s="150"/>
    </row>
    <row r="4271" spans="1:19" hidden="1">
      <c r="A4271" s="149" t="s">
        <v>6402</v>
      </c>
      <c r="B4271" s="150" t="str">
        <f>IFERROR(VLOOKUP(Proc[[#This Row],[App]],Table2[],3,0),"open")</f>
        <v>ok</v>
      </c>
      <c r="C4271" s="149" t="s">
        <v>369</v>
      </c>
      <c r="D4271" t="s">
        <v>6406</v>
      </c>
      <c r="E4271" t="s">
        <v>6405</v>
      </c>
      <c r="F4271" s="150" t="s">
        <v>6405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4894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57</v>
      </c>
      <c r="R4271" s="152" t="s">
        <v>410</v>
      </c>
      <c r="S4271" s="150"/>
    </row>
    <row r="4272" spans="1:19" hidden="1">
      <c r="A4272" s="149" t="s">
        <v>6402</v>
      </c>
      <c r="B4272" s="150" t="str">
        <f>IFERROR(VLOOKUP(Proc[[#This Row],[App]],Table2[],3,0),"open")</f>
        <v>ok</v>
      </c>
      <c r="C4272" s="149" t="s">
        <v>369</v>
      </c>
      <c r="D4272" t="s">
        <v>6401</v>
      </c>
      <c r="E4272" t="s">
        <v>6404</v>
      </c>
      <c r="F4272" s="150" t="s">
        <v>6404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4894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57</v>
      </c>
      <c r="R4272" s="152" t="s">
        <v>410</v>
      </c>
      <c r="S4272" s="150"/>
    </row>
    <row r="4273" spans="1:19" hidden="1">
      <c r="A4273" t="s">
        <v>6409</v>
      </c>
      <c r="B4273" s="150" t="str">
        <f>IFERROR(VLOOKUP(Proc[[#This Row],[App]],Table2[],3,0),"open")</f>
        <v>ok</v>
      </c>
      <c r="C4273" s="149" t="s">
        <v>369</v>
      </c>
      <c r="D4273" t="s">
        <v>6407</v>
      </c>
      <c r="E4273" t="s">
        <v>6410</v>
      </c>
      <c r="F4273" s="150" t="s">
        <v>6410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4894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56</v>
      </c>
      <c r="R4273" s="153" t="s">
        <v>489</v>
      </c>
      <c r="S4273" s="150"/>
    </row>
    <row r="4274" spans="1:19" hidden="1">
      <c r="A4274" t="s">
        <v>6409</v>
      </c>
      <c r="B4274" s="150" t="str">
        <f>IFERROR(VLOOKUP(Proc[[#This Row],[App]],Table2[],3,0),"open")</f>
        <v>ok</v>
      </c>
      <c r="C4274" s="149" t="s">
        <v>369</v>
      </c>
      <c r="D4274" t="s">
        <v>6408</v>
      </c>
      <c r="E4274" t="s">
        <v>6411</v>
      </c>
      <c r="F4274" s="150" t="s">
        <v>6411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4894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56</v>
      </c>
      <c r="R4274" s="153" t="s">
        <v>489</v>
      </c>
      <c r="S4274" s="150"/>
    </row>
    <row r="4275" spans="1:19" hidden="1">
      <c r="A4275" t="s">
        <v>6426</v>
      </c>
      <c r="B4275" s="150" t="str">
        <f>IFERROR(VLOOKUP(Proc[[#This Row],[App]],Table2[],3,0),"open")</f>
        <v>ok</v>
      </c>
      <c r="C4275" s="149" t="s">
        <v>369</v>
      </c>
      <c r="D4275" t="s">
        <v>6412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4894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56</v>
      </c>
      <c r="R4275" s="153" t="s">
        <v>780</v>
      </c>
      <c r="S4275" s="150"/>
    </row>
    <row r="4276" spans="1:19" hidden="1">
      <c r="A4276" s="149" t="s">
        <v>6426</v>
      </c>
      <c r="B4276" s="150" t="str">
        <f>IFERROR(VLOOKUP(Proc[[#This Row],[App]],Table2[],3,0),"open")</f>
        <v>ok</v>
      </c>
      <c r="C4276" s="149" t="s">
        <v>369</v>
      </c>
      <c r="D4276" t="s">
        <v>6413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4894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56</v>
      </c>
      <c r="R4276" s="153" t="s">
        <v>780</v>
      </c>
      <c r="S4276" s="150"/>
    </row>
    <row r="4277" spans="1:19" hidden="1">
      <c r="A4277" s="149" t="s">
        <v>6426</v>
      </c>
      <c r="B4277" s="150" t="str">
        <f>IFERROR(VLOOKUP(Proc[[#This Row],[App]],Table2[],3,0),"open")</f>
        <v>ok</v>
      </c>
      <c r="C4277" s="149" t="s">
        <v>369</v>
      </c>
      <c r="D4277" t="s">
        <v>6414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4894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56</v>
      </c>
      <c r="R4277" s="153" t="s">
        <v>780</v>
      </c>
      <c r="S4277" s="150"/>
    </row>
    <row r="4278" spans="1:19" hidden="1">
      <c r="A4278" s="149" t="s">
        <v>6426</v>
      </c>
      <c r="B4278" s="150" t="str">
        <f>IFERROR(VLOOKUP(Proc[[#This Row],[App]],Table2[],3,0),"open")</f>
        <v>ok</v>
      </c>
      <c r="C4278" s="149" t="s">
        <v>369</v>
      </c>
      <c r="D4278" t="s">
        <v>6415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4894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56</v>
      </c>
      <c r="R4278" s="153" t="s">
        <v>780</v>
      </c>
      <c r="S4278" s="150"/>
    </row>
    <row r="4279" spans="1:19" hidden="1">
      <c r="A4279" s="149" t="s">
        <v>6426</v>
      </c>
      <c r="B4279" s="150" t="str">
        <f>IFERROR(VLOOKUP(Proc[[#This Row],[App]],Table2[],3,0),"open")</f>
        <v>ok</v>
      </c>
      <c r="C4279" s="149" t="s">
        <v>369</v>
      </c>
      <c r="D4279" t="s">
        <v>6416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4894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56</v>
      </c>
      <c r="R4279" s="153" t="s">
        <v>780</v>
      </c>
      <c r="S4279" s="150"/>
    </row>
    <row r="4280" spans="1:19" hidden="1">
      <c r="A4280" s="149" t="s">
        <v>6426</v>
      </c>
      <c r="B4280" s="150" t="str">
        <f>IFERROR(VLOOKUP(Proc[[#This Row],[App]],Table2[],3,0),"open")</f>
        <v>ok</v>
      </c>
      <c r="C4280" s="149" t="s">
        <v>369</v>
      </c>
      <c r="D4280" t="s">
        <v>6417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4894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56</v>
      </c>
      <c r="R4280" s="153" t="s">
        <v>780</v>
      </c>
      <c r="S4280" s="150"/>
    </row>
    <row r="4281" spans="1:19" hidden="1">
      <c r="A4281" s="149" t="s">
        <v>6426</v>
      </c>
      <c r="B4281" s="150" t="str">
        <f>IFERROR(VLOOKUP(Proc[[#This Row],[App]],Table2[],3,0),"open")</f>
        <v>ok</v>
      </c>
      <c r="C4281" s="149" t="s">
        <v>369</v>
      </c>
      <c r="D4281" t="s">
        <v>6418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4894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56</v>
      </c>
      <c r="R4281" s="153" t="s">
        <v>780</v>
      </c>
      <c r="S4281" s="150"/>
    </row>
    <row r="4282" spans="1:19" hidden="1">
      <c r="A4282" s="149" t="s">
        <v>6426</v>
      </c>
      <c r="B4282" s="150" t="str">
        <f>IFERROR(VLOOKUP(Proc[[#This Row],[App]],Table2[],3,0),"open")</f>
        <v>ok</v>
      </c>
      <c r="C4282" s="149" t="s">
        <v>369</v>
      </c>
      <c r="D4282" t="s">
        <v>6419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4894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56</v>
      </c>
      <c r="R4282" s="153" t="s">
        <v>780</v>
      </c>
      <c r="S4282" s="150"/>
    </row>
    <row r="4283" spans="1:19" hidden="1">
      <c r="A4283" s="149" t="s">
        <v>6426</v>
      </c>
      <c r="B4283" s="150" t="str">
        <f>IFERROR(VLOOKUP(Proc[[#This Row],[App]],Table2[],3,0),"open")</f>
        <v>ok</v>
      </c>
      <c r="C4283" s="149" t="s">
        <v>369</v>
      </c>
      <c r="D4283" t="s">
        <v>6420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4894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56</v>
      </c>
      <c r="R4283" s="153" t="s">
        <v>780</v>
      </c>
      <c r="S4283" s="150"/>
    </row>
    <row r="4284" spans="1:19" hidden="1">
      <c r="A4284" s="149" t="s">
        <v>6426</v>
      </c>
      <c r="B4284" s="150" t="str">
        <f>IFERROR(VLOOKUP(Proc[[#This Row],[App]],Table2[],3,0),"open")</f>
        <v>ok</v>
      </c>
      <c r="C4284" s="149" t="s">
        <v>369</v>
      </c>
      <c r="D4284" t="s">
        <v>6421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4894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56</v>
      </c>
      <c r="R4284" s="153" t="s">
        <v>780</v>
      </c>
      <c r="S4284" s="150"/>
    </row>
    <row r="4285" spans="1:19" hidden="1">
      <c r="A4285" s="149" t="s">
        <v>6426</v>
      </c>
      <c r="B4285" s="150" t="str">
        <f>IFERROR(VLOOKUP(Proc[[#This Row],[App]],Table2[],3,0),"open")</f>
        <v>ok</v>
      </c>
      <c r="C4285" s="149" t="s">
        <v>369</v>
      </c>
      <c r="D4285" t="s">
        <v>6422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4894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56</v>
      </c>
      <c r="R4285" s="153" t="s">
        <v>780</v>
      </c>
      <c r="S4285" s="150"/>
    </row>
    <row r="4286" spans="1:19" hidden="1">
      <c r="A4286" s="149" t="s">
        <v>6426</v>
      </c>
      <c r="B4286" s="150" t="str">
        <f>IFERROR(VLOOKUP(Proc[[#This Row],[App]],Table2[],3,0),"open")</f>
        <v>ok</v>
      </c>
      <c r="C4286" s="149" t="s">
        <v>369</v>
      </c>
      <c r="D4286" t="s">
        <v>6423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4894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56</v>
      </c>
      <c r="R4286" s="153" t="s">
        <v>780</v>
      </c>
      <c r="S4286" s="150"/>
    </row>
    <row r="4287" spans="1:19" hidden="1">
      <c r="A4287" s="149" t="s">
        <v>6426</v>
      </c>
      <c r="B4287" s="150" t="str">
        <f>IFERROR(VLOOKUP(Proc[[#This Row],[App]],Table2[],3,0),"open")</f>
        <v>ok</v>
      </c>
      <c r="C4287" s="149" t="s">
        <v>369</v>
      </c>
      <c r="D4287" t="s">
        <v>6424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4894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56</v>
      </c>
      <c r="R4287" s="153" t="s">
        <v>780</v>
      </c>
      <c r="S4287" s="150"/>
    </row>
    <row r="4288" spans="1:19" hidden="1">
      <c r="A4288" s="149" t="s">
        <v>6426</v>
      </c>
      <c r="B4288" s="150" t="str">
        <f>IFERROR(VLOOKUP(Proc[[#This Row],[App]],Table2[],3,0),"open")</f>
        <v>ok</v>
      </c>
      <c r="C4288" s="149" t="s">
        <v>369</v>
      </c>
      <c r="D4288" t="s">
        <v>6425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4894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56</v>
      </c>
      <c r="R4288" s="153" t="s">
        <v>780</v>
      </c>
      <c r="S4288" s="150"/>
    </row>
    <row r="4289" spans="1:19" s="149" customFormat="1" hidden="1">
      <c r="A4289" s="149" t="s">
        <v>6427</v>
      </c>
      <c r="B4289" s="150" t="str">
        <f>IFERROR(VLOOKUP(Proc[[#This Row],[App]],Table2[],3,0),"open")</f>
        <v>ok</v>
      </c>
      <c r="C4289" s="149" t="s">
        <v>369</v>
      </c>
      <c r="D4289" s="149" t="s">
        <v>6428</v>
      </c>
      <c r="E4289" s="149" t="s">
        <v>6429</v>
      </c>
      <c r="F4289" s="150" t="s">
        <v>6429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4894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53</v>
      </c>
      <c r="R4289" s="154" t="s">
        <v>515</v>
      </c>
      <c r="S4289" s="150"/>
    </row>
    <row r="4290" spans="1:19" s="149" customFormat="1" hidden="1">
      <c r="A4290" s="149" t="s">
        <v>6430</v>
      </c>
      <c r="B4290" s="150" t="str">
        <f>IFERROR(VLOOKUP(Proc[[#This Row],[App]],Table2[],3,0),"open")</f>
        <v>ok</v>
      </c>
      <c r="C4290" s="149" t="s">
        <v>369</v>
      </c>
      <c r="D4290" s="149" t="s">
        <v>6251</v>
      </c>
      <c r="E4290" s="149" t="s">
        <v>6248</v>
      </c>
      <c r="F4290" s="150" t="s">
        <v>6248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6435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52</v>
      </c>
      <c r="R4290" s="154" t="s">
        <v>780</v>
      </c>
      <c r="S4290" s="150"/>
    </row>
    <row r="4291" spans="1:19" s="149" customFormat="1" hidden="1">
      <c r="A4291" s="149" t="s">
        <v>6430</v>
      </c>
      <c r="B4291" s="150" t="str">
        <f>IFERROR(VLOOKUP(Proc[[#This Row],[App]],Table2[],3,0),"open")</f>
        <v>ok</v>
      </c>
      <c r="C4291" s="149" t="s">
        <v>369</v>
      </c>
      <c r="D4291" s="149" t="s">
        <v>6431</v>
      </c>
      <c r="E4291" s="149" t="s">
        <v>6249</v>
      </c>
      <c r="F4291" s="150" t="s">
        <v>6249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6435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52</v>
      </c>
      <c r="R4291" s="154" t="s">
        <v>780</v>
      </c>
      <c r="S4291" s="150"/>
    </row>
    <row r="4292" spans="1:19" s="149" customFormat="1" hidden="1">
      <c r="A4292" s="149" t="s">
        <v>6430</v>
      </c>
      <c r="B4292" s="150" t="str">
        <f>IFERROR(VLOOKUP(Proc[[#This Row],[App]],Table2[],3,0),"open")</f>
        <v>ok</v>
      </c>
      <c r="C4292" s="149" t="s">
        <v>369</v>
      </c>
      <c r="D4292" s="149" t="s">
        <v>6432</v>
      </c>
      <c r="E4292" s="149" t="s">
        <v>6249</v>
      </c>
      <c r="F4292" s="150" t="s">
        <v>6249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6435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52</v>
      </c>
      <c r="R4292" s="154" t="s">
        <v>780</v>
      </c>
      <c r="S4292" s="150"/>
    </row>
    <row r="4293" spans="1:19" s="149" customFormat="1" hidden="1">
      <c r="A4293" s="149" t="s">
        <v>6430</v>
      </c>
      <c r="B4293" s="150" t="str">
        <f>IFERROR(VLOOKUP(Proc[[#This Row],[App]],Table2[],3,0),"open")</f>
        <v>ok</v>
      </c>
      <c r="C4293" s="149" t="s">
        <v>369</v>
      </c>
      <c r="D4293" s="149" t="s">
        <v>6433</v>
      </c>
      <c r="E4293" s="149" t="s">
        <v>6477</v>
      </c>
      <c r="F4293" s="150" t="s">
        <v>6477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6435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52</v>
      </c>
      <c r="R4293" s="154" t="s">
        <v>780</v>
      </c>
      <c r="S4293" s="150"/>
    </row>
    <row r="4294" spans="1:19" hidden="1">
      <c r="A4294" t="s">
        <v>6434</v>
      </c>
      <c r="B4294" s="150" t="str">
        <f>IFERROR(VLOOKUP(Proc[[#This Row],[App]],Table2[],3,0),"open")</f>
        <v>ok</v>
      </c>
      <c r="C4294" s="149" t="s">
        <v>369</v>
      </c>
      <c r="D4294" t="s">
        <v>6360</v>
      </c>
      <c r="E4294" t="s">
        <v>6403</v>
      </c>
      <c r="F4294" s="150" t="s">
        <v>6403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6435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52</v>
      </c>
      <c r="R4294" s="154" t="s">
        <v>410</v>
      </c>
      <c r="S4294" s="150"/>
    </row>
    <row r="4295" spans="1:19" hidden="1">
      <c r="A4295" t="s">
        <v>6434</v>
      </c>
      <c r="B4295" s="150" t="str">
        <f>IFERROR(VLOOKUP(Proc[[#This Row],[App]],Table2[],3,0),"open")</f>
        <v>ok</v>
      </c>
      <c r="C4295" s="149" t="s">
        <v>369</v>
      </c>
      <c r="D4295" t="s">
        <v>6372</v>
      </c>
      <c r="E4295" t="s">
        <v>6403</v>
      </c>
      <c r="F4295" s="150" t="s">
        <v>6403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6435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52</v>
      </c>
      <c r="R4295" s="154" t="s">
        <v>410</v>
      </c>
      <c r="S4295" s="150"/>
    </row>
    <row r="4296" spans="1:19" hidden="1">
      <c r="A4296" t="s">
        <v>6436</v>
      </c>
      <c r="B4296" s="150" t="str">
        <f>IFERROR(VLOOKUP(Proc[[#This Row],[App]],Table2[],3,0),"open")</f>
        <v>ok</v>
      </c>
      <c r="C4296" s="149" t="s">
        <v>369</v>
      </c>
      <c r="D4296" t="s">
        <v>6244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6435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50</v>
      </c>
      <c r="R4296" s="154" t="s">
        <v>1459</v>
      </c>
      <c r="S4296" s="150"/>
    </row>
    <row r="4297" spans="1:19" hidden="1">
      <c r="A4297" s="149" t="s">
        <v>6436</v>
      </c>
      <c r="B4297" s="150" t="str">
        <f>IFERROR(VLOOKUP(Proc[[#This Row],[App]],Table2[],3,0),"open")</f>
        <v>ok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6435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50</v>
      </c>
      <c r="R4297" s="154" t="s">
        <v>1459</v>
      </c>
      <c r="S4297" s="150"/>
    </row>
    <row r="4298" spans="1:19" hidden="1">
      <c r="A4298" s="149" t="s">
        <v>6436</v>
      </c>
      <c r="B4298" s="150" t="str">
        <f>IFERROR(VLOOKUP(Proc[[#This Row],[App]],Table2[],3,0),"open")</f>
        <v>ok</v>
      </c>
      <c r="C4298" s="149" t="s">
        <v>369</v>
      </c>
      <c r="D4298" t="s">
        <v>4407</v>
      </c>
      <c r="E4298" t="s">
        <v>4411</v>
      </c>
      <c r="F4298" s="150" t="s">
        <v>4411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6435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50</v>
      </c>
      <c r="R4298" s="154" t="s">
        <v>1459</v>
      </c>
      <c r="S4298" s="150"/>
    </row>
    <row r="4299" spans="1:19" hidden="1">
      <c r="A4299" s="149" t="s">
        <v>6436</v>
      </c>
      <c r="B4299" s="150" t="str">
        <f>IFERROR(VLOOKUP(Proc[[#This Row],[App]],Table2[],3,0),"open")</f>
        <v>ok</v>
      </c>
      <c r="C4299" s="149" t="s">
        <v>369</v>
      </c>
      <c r="D4299" t="s">
        <v>6437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6435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50</v>
      </c>
      <c r="R4299" s="154" t="s">
        <v>1459</v>
      </c>
      <c r="S4299" s="150"/>
    </row>
    <row r="4300" spans="1:19" hidden="1">
      <c r="A4300" s="149" t="s">
        <v>6436</v>
      </c>
      <c r="B4300" s="150" t="str">
        <f>IFERROR(VLOOKUP(Proc[[#This Row],[App]],Table2[],3,0),"open")</f>
        <v>ok</v>
      </c>
      <c r="C4300" s="149" t="s">
        <v>369</v>
      </c>
      <c r="D4300" t="s">
        <v>5441</v>
      </c>
      <c r="E4300" t="s">
        <v>6445</v>
      </c>
      <c r="F4300" s="150" t="s">
        <v>6445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6435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50</v>
      </c>
      <c r="R4300" s="154" t="s">
        <v>1459</v>
      </c>
      <c r="S4300" s="150"/>
    </row>
    <row r="4301" spans="1:19" hidden="1">
      <c r="A4301" s="149" t="s">
        <v>6436</v>
      </c>
      <c r="B4301" s="150" t="str">
        <f>IFERROR(VLOOKUP(Proc[[#This Row],[App]],Table2[],3,0),"open")</f>
        <v>ok</v>
      </c>
      <c r="C4301" s="149" t="s">
        <v>369</v>
      </c>
      <c r="D4301" t="s">
        <v>5439</v>
      </c>
      <c r="E4301" t="s">
        <v>6445</v>
      </c>
      <c r="F4301" s="150" t="s">
        <v>6445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6435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50</v>
      </c>
      <c r="R4301" s="154" t="s">
        <v>1459</v>
      </c>
      <c r="S4301" s="150"/>
    </row>
    <row r="4302" spans="1:19" hidden="1">
      <c r="A4302" s="149" t="s">
        <v>6436</v>
      </c>
      <c r="B4302" s="150" t="str">
        <f>IFERROR(VLOOKUP(Proc[[#This Row],[App]],Table2[],3,0),"open")</f>
        <v>ok</v>
      </c>
      <c r="C4302" s="149" t="s">
        <v>369</v>
      </c>
      <c r="D4302" t="s">
        <v>5304</v>
      </c>
      <c r="E4302" t="s">
        <v>6446</v>
      </c>
      <c r="F4302" s="150" t="s">
        <v>6446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6435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50</v>
      </c>
      <c r="R4302" s="154" t="s">
        <v>1459</v>
      </c>
      <c r="S4302" s="150"/>
    </row>
    <row r="4303" spans="1:19" hidden="1">
      <c r="A4303" s="149" t="s">
        <v>6436</v>
      </c>
      <c r="B4303" s="150" t="str">
        <f>IFERROR(VLOOKUP(Proc[[#This Row],[App]],Table2[],3,0),"open")</f>
        <v>ok</v>
      </c>
      <c r="C4303" s="149" t="s">
        <v>369</v>
      </c>
      <c r="D4303" t="s">
        <v>5440</v>
      </c>
      <c r="E4303" t="s">
        <v>6447</v>
      </c>
      <c r="F4303" s="150" t="s">
        <v>6447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6435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50</v>
      </c>
      <c r="R4303" s="154" t="s">
        <v>1459</v>
      </c>
      <c r="S4303" s="150"/>
    </row>
    <row r="4304" spans="1:19" hidden="1">
      <c r="A4304" s="149" t="s">
        <v>6436</v>
      </c>
      <c r="B4304" s="150" t="str">
        <f>IFERROR(VLOOKUP(Proc[[#This Row],[App]],Table2[],3,0),"open")</f>
        <v>ok</v>
      </c>
      <c r="C4304" s="149" t="s">
        <v>377</v>
      </c>
      <c r="D4304" t="s">
        <v>2319</v>
      </c>
      <c r="E4304" t="s">
        <v>430</v>
      </c>
      <c r="F4304" s="150" t="s">
        <v>5569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4832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6435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50</v>
      </c>
      <c r="R4304" s="154" t="s">
        <v>1459</v>
      </c>
      <c r="S4304" s="150"/>
    </row>
    <row r="4305" spans="1:19" hidden="1">
      <c r="A4305" s="149" t="s">
        <v>6436</v>
      </c>
      <c r="B4305" s="150" t="str">
        <f>IFERROR(VLOOKUP(Proc[[#This Row],[App]],Table2[],3,0),"open")</f>
        <v>ok</v>
      </c>
      <c r="C4305" s="149" t="s">
        <v>369</v>
      </c>
      <c r="D4305" t="s">
        <v>6438</v>
      </c>
      <c r="E4305" t="s">
        <v>6158</v>
      </c>
      <c r="F4305" s="150" t="s">
        <v>6158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6435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50</v>
      </c>
      <c r="R4305" s="154" t="s">
        <v>1459</v>
      </c>
      <c r="S4305" s="150"/>
    </row>
    <row r="4306" spans="1:19" hidden="1">
      <c r="A4306" s="149" t="s">
        <v>6436</v>
      </c>
      <c r="B4306" s="150" t="str">
        <f>IFERROR(VLOOKUP(Proc[[#This Row],[App]],Table2[],3,0),"open")</f>
        <v>ok</v>
      </c>
      <c r="C4306" s="149" t="s">
        <v>369</v>
      </c>
      <c r="D4306" t="s">
        <v>5438</v>
      </c>
      <c r="E4306" t="s">
        <v>6447</v>
      </c>
      <c r="F4306" s="150" t="s">
        <v>6447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6435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50</v>
      </c>
      <c r="R4306" s="154" t="s">
        <v>1459</v>
      </c>
      <c r="S4306" s="150"/>
    </row>
    <row r="4307" spans="1:19" hidden="1">
      <c r="A4307" s="149" t="s">
        <v>6436</v>
      </c>
      <c r="B4307" s="150" t="str">
        <f>IFERROR(VLOOKUP(Proc[[#This Row],[App]],Table2[],3,0),"open")</f>
        <v>ok</v>
      </c>
      <c r="C4307" s="149" t="s">
        <v>369</v>
      </c>
      <c r="D4307" t="s">
        <v>5436</v>
      </c>
      <c r="E4307" t="s">
        <v>6445</v>
      </c>
      <c r="F4307" s="150" t="s">
        <v>6445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6435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50</v>
      </c>
      <c r="R4307" s="154" t="s">
        <v>1459</v>
      </c>
      <c r="S4307" s="150"/>
    </row>
    <row r="4308" spans="1:19" hidden="1">
      <c r="A4308" s="149" t="s">
        <v>6436</v>
      </c>
      <c r="B4308" s="150" t="str">
        <f>IFERROR(VLOOKUP(Proc[[#This Row],[App]],Table2[],3,0),"open")</f>
        <v>ok</v>
      </c>
      <c r="C4308" s="149" t="s">
        <v>369</v>
      </c>
      <c r="D4308" t="s">
        <v>6439</v>
      </c>
      <c r="E4308" t="s">
        <v>6448</v>
      </c>
      <c r="F4308" s="150" t="s">
        <v>6448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6435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50</v>
      </c>
      <c r="R4308" s="154" t="s">
        <v>1459</v>
      </c>
      <c r="S4308" s="150"/>
    </row>
    <row r="4309" spans="1:19" hidden="1">
      <c r="A4309" s="149" t="s">
        <v>6436</v>
      </c>
      <c r="B4309" s="150" t="str">
        <f>IFERROR(VLOOKUP(Proc[[#This Row],[App]],Table2[],3,0),"open")</f>
        <v>ok</v>
      </c>
      <c r="C4309" s="149" t="s">
        <v>369</v>
      </c>
      <c r="D4309" t="s">
        <v>6440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6435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50</v>
      </c>
      <c r="R4309" s="154" t="s">
        <v>1459</v>
      </c>
      <c r="S4309" s="150"/>
    </row>
    <row r="4310" spans="1:19" hidden="1">
      <c r="A4310" s="149" t="s">
        <v>6436</v>
      </c>
      <c r="B4310" s="150" t="str">
        <f>IFERROR(VLOOKUP(Proc[[#This Row],[App]],Table2[],3,0),"open")</f>
        <v>ok</v>
      </c>
      <c r="C4310" s="149" t="s">
        <v>369</v>
      </c>
      <c r="D4310" t="s">
        <v>5443</v>
      </c>
      <c r="E4310" t="s">
        <v>6449</v>
      </c>
      <c r="F4310" s="150" t="s">
        <v>6449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6435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50</v>
      </c>
      <c r="R4310" s="154" t="s">
        <v>1459</v>
      </c>
      <c r="S4310" s="150"/>
    </row>
    <row r="4311" spans="1:19" hidden="1">
      <c r="A4311" s="149" t="s">
        <v>6436</v>
      </c>
      <c r="B4311" s="150" t="str">
        <f>IFERROR(VLOOKUP(Proc[[#This Row],[App]],Table2[],3,0),"open")</f>
        <v>ok</v>
      </c>
      <c r="C4311" s="149" t="s">
        <v>369</v>
      </c>
      <c r="D4311" t="s">
        <v>5442</v>
      </c>
      <c r="E4311" t="s">
        <v>6445</v>
      </c>
      <c r="F4311" s="150" t="s">
        <v>6445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6435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50</v>
      </c>
      <c r="R4311" s="154" t="s">
        <v>1459</v>
      </c>
      <c r="S4311" s="150"/>
    </row>
    <row r="4312" spans="1:19" hidden="1">
      <c r="A4312" s="149" t="s">
        <v>6436</v>
      </c>
      <c r="B4312" s="150" t="str">
        <f>IFERROR(VLOOKUP(Proc[[#This Row],[App]],Table2[],3,0),"open")</f>
        <v>ok</v>
      </c>
      <c r="C4312" s="149" t="s">
        <v>369</v>
      </c>
      <c r="D4312" t="s">
        <v>5434</v>
      </c>
      <c r="E4312" t="s">
        <v>6450</v>
      </c>
      <c r="F4312" s="150" t="s">
        <v>6450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6435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50</v>
      </c>
      <c r="R4312" s="154" t="s">
        <v>1459</v>
      </c>
      <c r="S4312" s="150"/>
    </row>
    <row r="4313" spans="1:19" hidden="1">
      <c r="A4313" s="149" t="s">
        <v>6436</v>
      </c>
      <c r="B4313" s="150" t="str">
        <f>IFERROR(VLOOKUP(Proc[[#This Row],[App]],Table2[],3,0),"open")</f>
        <v>ok</v>
      </c>
      <c r="C4313" s="149" t="s">
        <v>369</v>
      </c>
      <c r="D4313" t="s">
        <v>6441</v>
      </c>
      <c r="E4313" t="s">
        <v>4410</v>
      </c>
      <c r="F4313" s="150" t="s">
        <v>4410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6435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50</v>
      </c>
      <c r="R4313" s="154" t="s">
        <v>1459</v>
      </c>
      <c r="S4313" s="150"/>
    </row>
    <row r="4314" spans="1:19" hidden="1">
      <c r="A4314" s="149" t="s">
        <v>6436</v>
      </c>
      <c r="B4314" s="150" t="str">
        <f>IFERROR(VLOOKUP(Proc[[#This Row],[App]],Table2[],3,0),"open")</f>
        <v>ok</v>
      </c>
      <c r="C4314" s="149" t="s">
        <v>369</v>
      </c>
      <c r="D4314" t="s">
        <v>6442</v>
      </c>
      <c r="E4314" t="s">
        <v>6448</v>
      </c>
      <c r="F4314" s="150" t="s">
        <v>6448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6435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50</v>
      </c>
      <c r="R4314" s="154" t="s">
        <v>1459</v>
      </c>
      <c r="S4314" s="150"/>
    </row>
    <row r="4315" spans="1:19" hidden="1">
      <c r="A4315" s="149" t="s">
        <v>6436</v>
      </c>
      <c r="B4315" s="150" t="str">
        <f>IFERROR(VLOOKUP(Proc[[#This Row],[App]],Table2[],3,0),"open")</f>
        <v>ok</v>
      </c>
      <c r="C4315" s="149" t="s">
        <v>369</v>
      </c>
      <c r="D4315" t="s">
        <v>6443</v>
      </c>
      <c r="E4315" t="s">
        <v>6448</v>
      </c>
      <c r="F4315" s="150" t="s">
        <v>6448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6435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50</v>
      </c>
      <c r="R4315" s="154" t="s">
        <v>1459</v>
      </c>
      <c r="S4315" s="150"/>
    </row>
    <row r="4316" spans="1:19" hidden="1">
      <c r="A4316" s="149" t="s">
        <v>6436</v>
      </c>
      <c r="B4316" s="150" t="str">
        <f>IFERROR(VLOOKUP(Proc[[#This Row],[App]],Table2[],3,0),"open")</f>
        <v>ok</v>
      </c>
      <c r="C4316" s="149" t="s">
        <v>369</v>
      </c>
      <c r="D4316" t="s">
        <v>6444</v>
      </c>
      <c r="E4316" t="s">
        <v>6448</v>
      </c>
      <c r="F4316" s="150" t="s">
        <v>6448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6435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50</v>
      </c>
      <c r="R4316" s="154" t="s">
        <v>1459</v>
      </c>
      <c r="S4316" s="150"/>
    </row>
    <row r="4317" spans="1:19" hidden="1">
      <c r="A4317" t="s">
        <v>6451</v>
      </c>
      <c r="B4317" s="150" t="str">
        <f>IFERROR(VLOOKUP(Proc[[#This Row],[App]],Table2[],3,0),"open")</f>
        <v>ok</v>
      </c>
      <c r="C4317" s="149" t="s">
        <v>369</v>
      </c>
      <c r="D4317" t="s">
        <v>6452</v>
      </c>
      <c r="E4317" t="s">
        <v>6468</v>
      </c>
      <c r="F4317" s="150" t="s">
        <v>6468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6435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50</v>
      </c>
      <c r="R4317" s="154" t="s">
        <v>489</v>
      </c>
      <c r="S4317" s="150"/>
    </row>
    <row r="4318" spans="1:19" hidden="1">
      <c r="A4318" s="149" t="s">
        <v>6451</v>
      </c>
      <c r="B4318" s="150" t="str">
        <f>IFERROR(VLOOKUP(Proc[[#This Row],[App]],Table2[],3,0),"open")</f>
        <v>ok</v>
      </c>
      <c r="C4318" s="149" t="s">
        <v>369</v>
      </c>
      <c r="D4318" t="s">
        <v>6453</v>
      </c>
      <c r="E4318" t="s">
        <v>6469</v>
      </c>
      <c r="F4318" s="150" t="s">
        <v>6469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6435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50</v>
      </c>
      <c r="R4318" s="154" t="s">
        <v>489</v>
      </c>
      <c r="S4318" s="150"/>
    </row>
    <row r="4319" spans="1:19" hidden="1">
      <c r="A4319" s="149" t="s">
        <v>6451</v>
      </c>
      <c r="B4319" s="150" t="str">
        <f>IFERROR(VLOOKUP(Proc[[#This Row],[App]],Table2[],3,0),"open")</f>
        <v>ok</v>
      </c>
      <c r="C4319" s="149" t="s">
        <v>369</v>
      </c>
      <c r="D4319" t="s">
        <v>6454</v>
      </c>
      <c r="E4319" t="s">
        <v>6470</v>
      </c>
      <c r="F4319" s="150" t="s">
        <v>6470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6435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50</v>
      </c>
      <c r="R4319" s="154" t="s">
        <v>489</v>
      </c>
      <c r="S4319" s="150"/>
    </row>
    <row r="4320" spans="1:19" hidden="1">
      <c r="A4320" s="149" t="s">
        <v>6451</v>
      </c>
      <c r="B4320" s="150" t="str">
        <f>IFERROR(VLOOKUP(Proc[[#This Row],[App]],Table2[],3,0),"open")</f>
        <v>ok</v>
      </c>
      <c r="C4320" s="149" t="s">
        <v>369</v>
      </c>
      <c r="D4320" t="s">
        <v>6455</v>
      </c>
      <c r="E4320" t="s">
        <v>6468</v>
      </c>
      <c r="F4320" s="150" t="s">
        <v>6468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6435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50</v>
      </c>
      <c r="R4320" s="154" t="s">
        <v>489</v>
      </c>
      <c r="S4320" s="150"/>
    </row>
    <row r="4321" spans="1:19" hidden="1">
      <c r="A4321" s="149" t="s">
        <v>6451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6471</v>
      </c>
      <c r="F4321" s="150" t="s">
        <v>6471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6435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50</v>
      </c>
      <c r="R4321" s="154" t="s">
        <v>489</v>
      </c>
      <c r="S4321" s="150"/>
    </row>
    <row r="4322" spans="1:19" hidden="1">
      <c r="A4322" s="149" t="s">
        <v>6451</v>
      </c>
      <c r="B4322" s="150" t="str">
        <f>IFERROR(VLOOKUP(Proc[[#This Row],[App]],Table2[],3,0),"open")</f>
        <v>ok</v>
      </c>
      <c r="C4322" s="149" t="s">
        <v>369</v>
      </c>
      <c r="D4322" t="s">
        <v>6456</v>
      </c>
      <c r="E4322" t="s">
        <v>6472</v>
      </c>
      <c r="F4322" s="150" t="s">
        <v>6472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6435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50</v>
      </c>
      <c r="R4322" s="154" t="s">
        <v>489</v>
      </c>
      <c r="S4322" s="150"/>
    </row>
    <row r="4323" spans="1:19" hidden="1">
      <c r="A4323" s="149" t="s">
        <v>6451</v>
      </c>
      <c r="B4323" s="150" t="str">
        <f>IFERROR(VLOOKUP(Proc[[#This Row],[App]],Table2[],3,0),"open")</f>
        <v>ok</v>
      </c>
      <c r="C4323" s="149" t="s">
        <v>369</v>
      </c>
      <c r="D4323" t="s">
        <v>6457</v>
      </c>
      <c r="E4323" t="s">
        <v>6472</v>
      </c>
      <c r="F4323" s="150" t="s">
        <v>6472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6435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50</v>
      </c>
      <c r="R4323" s="154" t="s">
        <v>489</v>
      </c>
      <c r="S4323" s="150"/>
    </row>
    <row r="4324" spans="1:19" hidden="1">
      <c r="A4324" s="149" t="s">
        <v>6451</v>
      </c>
      <c r="B4324" s="150" t="str">
        <f>IFERROR(VLOOKUP(Proc[[#This Row],[App]],Table2[],3,0),"open")</f>
        <v>ok</v>
      </c>
      <c r="C4324" s="149" t="s">
        <v>369</v>
      </c>
      <c r="D4324" t="s">
        <v>6458</v>
      </c>
      <c r="E4324" t="s">
        <v>6472</v>
      </c>
      <c r="F4324" s="150" t="s">
        <v>6472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6435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50</v>
      </c>
      <c r="R4324" s="154" t="s">
        <v>489</v>
      </c>
      <c r="S4324" s="150"/>
    </row>
    <row r="4325" spans="1:19" hidden="1">
      <c r="A4325" s="149" t="s">
        <v>6451</v>
      </c>
      <c r="B4325" s="150" t="str">
        <f>IFERROR(VLOOKUP(Proc[[#This Row],[App]],Table2[],3,0),"open")</f>
        <v>ok</v>
      </c>
      <c r="C4325" s="149" t="s">
        <v>369</v>
      </c>
      <c r="D4325" t="s">
        <v>6459</v>
      </c>
      <c r="E4325" t="s">
        <v>6472</v>
      </c>
      <c r="F4325" s="150" t="s">
        <v>6472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6435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50</v>
      </c>
      <c r="R4325" s="154" t="s">
        <v>489</v>
      </c>
      <c r="S4325" s="150"/>
    </row>
    <row r="4326" spans="1:19" hidden="1">
      <c r="A4326" s="149" t="s">
        <v>6451</v>
      </c>
      <c r="B4326" s="150" t="str">
        <f>IFERROR(VLOOKUP(Proc[[#This Row],[App]],Table2[],3,0),"open")</f>
        <v>ok</v>
      </c>
      <c r="C4326" s="149" t="s">
        <v>369</v>
      </c>
      <c r="D4326" t="s">
        <v>6460</v>
      </c>
      <c r="E4326" t="s">
        <v>6472</v>
      </c>
      <c r="F4326" s="150" t="s">
        <v>6472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6435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50</v>
      </c>
      <c r="R4326" s="154" t="s">
        <v>489</v>
      </c>
      <c r="S4326" s="150"/>
    </row>
    <row r="4327" spans="1:19" hidden="1">
      <c r="A4327" s="149" t="s">
        <v>6451</v>
      </c>
      <c r="B4327" s="150" t="str">
        <f>IFERROR(VLOOKUP(Proc[[#This Row],[App]],Table2[],3,0),"open")</f>
        <v>ok</v>
      </c>
      <c r="C4327" s="149" t="s">
        <v>369</v>
      </c>
      <c r="D4327" t="s">
        <v>6461</v>
      </c>
      <c r="E4327" t="s">
        <v>6472</v>
      </c>
      <c r="F4327" s="150" t="s">
        <v>6472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6435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50</v>
      </c>
      <c r="R4327" s="154" t="s">
        <v>489</v>
      </c>
      <c r="S4327" s="150"/>
    </row>
    <row r="4328" spans="1:19" hidden="1">
      <c r="A4328" s="149" t="s">
        <v>6451</v>
      </c>
      <c r="B4328" s="150" t="str">
        <f>IFERROR(VLOOKUP(Proc[[#This Row],[App]],Table2[],3,0),"open")</f>
        <v>ok</v>
      </c>
      <c r="C4328" s="149" t="s">
        <v>369</v>
      </c>
      <c r="D4328" t="s">
        <v>6462</v>
      </c>
      <c r="E4328" t="s">
        <v>6472</v>
      </c>
      <c r="F4328" s="150" t="s">
        <v>6472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6435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50</v>
      </c>
      <c r="R4328" s="154" t="s">
        <v>489</v>
      </c>
      <c r="S4328" s="150"/>
    </row>
    <row r="4329" spans="1:19" hidden="1">
      <c r="A4329" s="149" t="s">
        <v>6451</v>
      </c>
      <c r="B4329" s="150" t="str">
        <f>IFERROR(VLOOKUP(Proc[[#This Row],[App]],Table2[],3,0),"open")</f>
        <v>ok</v>
      </c>
      <c r="C4329" s="149" t="s">
        <v>369</v>
      </c>
      <c r="D4329" t="s">
        <v>6463</v>
      </c>
      <c r="E4329" t="s">
        <v>6472</v>
      </c>
      <c r="F4329" s="150" t="s">
        <v>6472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6435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50</v>
      </c>
      <c r="R4329" s="154" t="s">
        <v>489</v>
      </c>
      <c r="S4329" s="150"/>
    </row>
    <row r="4330" spans="1:19" hidden="1">
      <c r="A4330" s="149" t="s">
        <v>6451</v>
      </c>
      <c r="B4330" s="150" t="str">
        <f>IFERROR(VLOOKUP(Proc[[#This Row],[App]],Table2[],3,0),"open")</f>
        <v>ok</v>
      </c>
      <c r="C4330" s="149" t="s">
        <v>369</v>
      </c>
      <c r="D4330" t="s">
        <v>6458</v>
      </c>
      <c r="E4330" t="s">
        <v>6472</v>
      </c>
      <c r="F4330" s="150" t="s">
        <v>6472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6435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50</v>
      </c>
      <c r="R4330" s="154" t="s">
        <v>489</v>
      </c>
      <c r="S4330" s="150"/>
    </row>
    <row r="4331" spans="1:19" hidden="1">
      <c r="A4331" s="149" t="s">
        <v>6451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6472</v>
      </c>
      <c r="F4331" s="150" t="s">
        <v>6472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6435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50</v>
      </c>
      <c r="R4331" s="154" t="s">
        <v>489</v>
      </c>
      <c r="S4331" s="150"/>
    </row>
    <row r="4332" spans="1:19" hidden="1">
      <c r="A4332" s="149" t="s">
        <v>6451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6472</v>
      </c>
      <c r="F4332" s="150" t="s">
        <v>6472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6435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50</v>
      </c>
      <c r="R4332" s="154" t="s">
        <v>489</v>
      </c>
      <c r="S4332" s="150"/>
    </row>
    <row r="4333" spans="1:19" hidden="1">
      <c r="A4333" s="149" t="s">
        <v>6451</v>
      </c>
      <c r="B4333" s="150" t="str">
        <f>IFERROR(VLOOKUP(Proc[[#This Row],[App]],Table2[],3,0),"open")</f>
        <v>ok</v>
      </c>
      <c r="C4333" s="149" t="s">
        <v>369</v>
      </c>
      <c r="D4333" t="s">
        <v>6464</v>
      </c>
      <c r="E4333" t="s">
        <v>6473</v>
      </c>
      <c r="F4333" s="150" t="s">
        <v>6473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6435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50</v>
      </c>
      <c r="R4333" s="154" t="s">
        <v>489</v>
      </c>
      <c r="S4333" s="150"/>
    </row>
    <row r="4334" spans="1:19" hidden="1">
      <c r="A4334" s="149" t="s">
        <v>6451</v>
      </c>
      <c r="B4334" s="150" t="str">
        <f>IFERROR(VLOOKUP(Proc[[#This Row],[App]],Table2[],3,0),"open")</f>
        <v>ok</v>
      </c>
      <c r="C4334" s="149" t="s">
        <v>369</v>
      </c>
      <c r="D4334" t="s">
        <v>6465</v>
      </c>
      <c r="E4334" t="s">
        <v>6473</v>
      </c>
      <c r="F4334" s="150" t="s">
        <v>6473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6435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50</v>
      </c>
      <c r="R4334" s="154" t="s">
        <v>489</v>
      </c>
      <c r="S4334" s="150"/>
    </row>
    <row r="4335" spans="1:19" hidden="1">
      <c r="A4335" s="149" t="s">
        <v>6451</v>
      </c>
      <c r="B4335" s="150" t="str">
        <f>IFERROR(VLOOKUP(Proc[[#This Row],[App]],Table2[],3,0),"open")</f>
        <v>ok</v>
      </c>
      <c r="C4335" s="149" t="s">
        <v>369</v>
      </c>
      <c r="D4335" t="s">
        <v>6466</v>
      </c>
      <c r="E4335" t="s">
        <v>6473</v>
      </c>
      <c r="F4335" s="150" t="s">
        <v>6473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6435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50</v>
      </c>
      <c r="R4335" s="154" t="s">
        <v>489</v>
      </c>
      <c r="S4335" s="150"/>
    </row>
    <row r="4336" spans="1:19" hidden="1">
      <c r="A4336" s="149" t="s">
        <v>6451</v>
      </c>
      <c r="B4336" s="150" t="str">
        <f>IFERROR(VLOOKUP(Proc[[#This Row],[App]],Table2[],3,0),"open")</f>
        <v>ok</v>
      </c>
      <c r="C4336" s="149" t="s">
        <v>369</v>
      </c>
      <c r="D4336" t="s">
        <v>6467</v>
      </c>
      <c r="E4336" t="s">
        <v>6473</v>
      </c>
      <c r="F4336" s="150" t="s">
        <v>6473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6435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50</v>
      </c>
      <c r="R4336" s="154" t="s">
        <v>489</v>
      </c>
      <c r="S4336" s="150"/>
    </row>
    <row r="4337" spans="1:19" hidden="1">
      <c r="A4337" s="149" t="s">
        <v>6451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6473</v>
      </c>
      <c r="F4337" s="150" t="s">
        <v>6473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6435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50</v>
      </c>
      <c r="R4337" s="154" t="s">
        <v>489</v>
      </c>
      <c r="S4337" s="150"/>
    </row>
    <row r="4338" spans="1:19" hidden="1">
      <c r="A4338" s="149" t="s">
        <v>6451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6471</v>
      </c>
      <c r="F4338" s="150" t="s">
        <v>6471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6435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50</v>
      </c>
      <c r="R4338" s="154" t="s">
        <v>489</v>
      </c>
      <c r="S4338" s="150"/>
    </row>
    <row r="4339" spans="1:19" hidden="1">
      <c r="A4339" t="s">
        <v>6474</v>
      </c>
      <c r="B4339" s="150" t="str">
        <f>IFERROR(VLOOKUP(Proc[[#This Row],[App]],Table2[],3,0),"open")</f>
        <v>ok</v>
      </c>
      <c r="C4339" s="149" t="s">
        <v>369</v>
      </c>
      <c r="D4339" t="s">
        <v>6478</v>
      </c>
      <c r="E4339" t="s">
        <v>6476</v>
      </c>
      <c r="F4339" s="150" t="s">
        <v>6476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6435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50</v>
      </c>
      <c r="R4339" s="154" t="s">
        <v>489</v>
      </c>
      <c r="S4339" s="150"/>
    </row>
    <row r="4340" spans="1:19" hidden="1">
      <c r="A4340" s="149" t="s">
        <v>6474</v>
      </c>
      <c r="B4340" s="150" t="str">
        <f>IFERROR(VLOOKUP(Proc[[#This Row],[App]],Table2[],3,0),"open")</f>
        <v>ok</v>
      </c>
      <c r="C4340" s="149" t="s">
        <v>369</v>
      </c>
      <c r="D4340" t="s">
        <v>6475</v>
      </c>
      <c r="E4340" t="s">
        <v>6472</v>
      </c>
      <c r="F4340" s="150" t="s">
        <v>6472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6435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50</v>
      </c>
      <c r="R4340" s="154" t="s">
        <v>489</v>
      </c>
      <c r="S4340" s="150"/>
    </row>
    <row r="4341" spans="1:19" hidden="1">
      <c r="A4341" t="s">
        <v>6479</v>
      </c>
      <c r="B4341" s="150" t="str">
        <f>IFERROR(VLOOKUP(Proc[[#This Row],[App]],Table2[],3,0),"open")</f>
        <v>ok</v>
      </c>
      <c r="C4341" s="149" t="s">
        <v>369</v>
      </c>
      <c r="D4341" t="s">
        <v>6502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6435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50</v>
      </c>
      <c r="R4341" s="156" t="s">
        <v>1459</v>
      </c>
      <c r="S4341" s="150"/>
    </row>
    <row r="4342" spans="1:19" hidden="1">
      <c r="A4342" t="s">
        <v>6479</v>
      </c>
      <c r="B4342" s="150" t="str">
        <f>IFERROR(VLOOKUP(Proc[[#This Row],[App]],Table2[],3,0),"open")</f>
        <v>ok</v>
      </c>
      <c r="C4342" s="149" t="s">
        <v>369</v>
      </c>
      <c r="D4342" t="s">
        <v>6503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6435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50</v>
      </c>
      <c r="R4342" s="156" t="s">
        <v>1459</v>
      </c>
      <c r="S4342" s="150"/>
    </row>
    <row r="4343" spans="1:19" hidden="1">
      <c r="A4343" t="s">
        <v>6481</v>
      </c>
      <c r="B4343" s="150" t="str">
        <f>IFERROR(VLOOKUP(Proc[[#This Row],[App]],Table2[],3,0),"open")</f>
        <v>ok</v>
      </c>
      <c r="C4343" s="149" t="s">
        <v>369</v>
      </c>
      <c r="D4343" t="s">
        <v>6506</v>
      </c>
      <c r="E4343" t="s">
        <v>4764</v>
      </c>
      <c r="F4343" s="150" t="s">
        <v>4764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6435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48</v>
      </c>
      <c r="R4343" s="156" t="s">
        <v>410</v>
      </c>
      <c r="S4343" s="150"/>
    </row>
    <row r="4344" spans="1:19" hidden="1">
      <c r="A4344" s="149" t="s">
        <v>6481</v>
      </c>
      <c r="B4344" s="150" t="str">
        <f>IFERROR(VLOOKUP(Proc[[#This Row],[App]],Table2[],3,0),"open")</f>
        <v>ok</v>
      </c>
      <c r="C4344" s="149" t="s">
        <v>369</v>
      </c>
      <c r="D4344" t="s">
        <v>6480</v>
      </c>
      <c r="E4344" t="s">
        <v>4764</v>
      </c>
      <c r="F4344" s="150" t="s">
        <v>4764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6435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48</v>
      </c>
      <c r="R4344" s="156" t="s">
        <v>410</v>
      </c>
      <c r="S4344" s="150"/>
    </row>
    <row r="4345" spans="1:19" hidden="1">
      <c r="A4345" t="s">
        <v>6484</v>
      </c>
      <c r="B4345" s="150" t="str">
        <f>IFERROR(VLOOKUP(Proc[[#This Row],[App]],Table2[],3,0),"open")</f>
        <v>ok</v>
      </c>
      <c r="C4345" s="149" t="s">
        <v>369</v>
      </c>
      <c r="D4345" t="s">
        <v>6482</v>
      </c>
      <c r="E4345" t="s">
        <v>6473</v>
      </c>
      <c r="F4345" s="150" t="s">
        <v>6473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6435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48</v>
      </c>
      <c r="R4345" s="156" t="s">
        <v>489</v>
      </c>
      <c r="S4345" s="150"/>
    </row>
    <row r="4346" spans="1:19" hidden="1">
      <c r="A4346" t="s">
        <v>6484</v>
      </c>
      <c r="B4346" s="150" t="str">
        <f>IFERROR(VLOOKUP(Proc[[#This Row],[App]],Table2[],3,0),"open")</f>
        <v>ok</v>
      </c>
      <c r="C4346" s="149" t="s">
        <v>369</v>
      </c>
      <c r="D4346" t="s">
        <v>6483</v>
      </c>
      <c r="E4346" t="s">
        <v>6473</v>
      </c>
      <c r="F4346" s="150" t="s">
        <v>6473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6435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48</v>
      </c>
      <c r="R4346" s="156" t="s">
        <v>489</v>
      </c>
      <c r="S4346" s="150"/>
    </row>
    <row r="4347" spans="1:19" hidden="1">
      <c r="A4347" t="s">
        <v>6485</v>
      </c>
      <c r="B4347" s="150" t="str">
        <f>IFERROR(VLOOKUP(Proc[[#This Row],[App]],Table2[],3,0),"open")</f>
        <v>ok</v>
      </c>
      <c r="C4347" s="149" t="s">
        <v>369</v>
      </c>
      <c r="D4347" t="s">
        <v>6486</v>
      </c>
      <c r="E4347" t="s">
        <v>6476</v>
      </c>
      <c r="F4347" s="150" t="s">
        <v>6476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6435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48</v>
      </c>
      <c r="R4347" s="156" t="s">
        <v>489</v>
      </c>
      <c r="S4347" s="150"/>
    </row>
    <row r="4348" spans="1:19" hidden="1">
      <c r="A4348" t="s">
        <v>6485</v>
      </c>
      <c r="B4348" s="150" t="str">
        <f>IFERROR(VLOOKUP(Proc[[#This Row],[App]],Table2[],3,0),"open")</f>
        <v>ok</v>
      </c>
      <c r="C4348" s="149" t="s">
        <v>369</v>
      </c>
      <c r="D4348" t="s">
        <v>6487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6435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48</v>
      </c>
      <c r="R4348" s="156" t="s">
        <v>489</v>
      </c>
      <c r="S4348" s="150"/>
    </row>
    <row r="4349" spans="1:19" hidden="1">
      <c r="A4349" s="149" t="s">
        <v>6485</v>
      </c>
      <c r="B4349" s="150" t="str">
        <f>IFERROR(VLOOKUP(Proc[[#This Row],[App]],Table2[],3,0),"open")</f>
        <v>ok</v>
      </c>
      <c r="C4349" s="149" t="s">
        <v>369</v>
      </c>
      <c r="D4349" t="s">
        <v>6488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6435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48</v>
      </c>
      <c r="R4349" s="156" t="s">
        <v>489</v>
      </c>
      <c r="S4349" s="150"/>
    </row>
    <row r="4350" spans="1:19" hidden="1">
      <c r="A4350" s="149" t="s">
        <v>6485</v>
      </c>
      <c r="B4350" s="150" t="str">
        <f>IFERROR(VLOOKUP(Proc[[#This Row],[App]],Table2[],3,0),"open")</f>
        <v>ok</v>
      </c>
      <c r="C4350" s="149" t="s">
        <v>369</v>
      </c>
      <c r="D4350" t="s">
        <v>6489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6435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48</v>
      </c>
      <c r="R4350" s="156" t="s">
        <v>489</v>
      </c>
      <c r="S4350" s="150"/>
    </row>
    <row r="4351" spans="1:19" hidden="1">
      <c r="A4351" s="149" t="s">
        <v>6485</v>
      </c>
      <c r="B4351" s="150" t="str">
        <f>IFERROR(VLOOKUP(Proc[[#This Row],[App]],Table2[],3,0),"open")</f>
        <v>ok</v>
      </c>
      <c r="C4351" s="149" t="s">
        <v>369</v>
      </c>
      <c r="D4351" t="s">
        <v>6490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6435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48</v>
      </c>
      <c r="R4351" s="156" t="s">
        <v>489</v>
      </c>
      <c r="S4351" s="150"/>
    </row>
    <row r="4352" spans="1:19" hidden="1">
      <c r="A4352" s="149" t="s">
        <v>6485</v>
      </c>
      <c r="B4352" s="150" t="str">
        <f>IFERROR(VLOOKUP(Proc[[#This Row],[App]],Table2[],3,0),"open")</f>
        <v>ok</v>
      </c>
      <c r="C4352" s="149" t="s">
        <v>369</v>
      </c>
      <c r="D4352" t="s">
        <v>6491</v>
      </c>
      <c r="E4352" t="s">
        <v>6498</v>
      </c>
      <c r="F4352" s="150" t="s">
        <v>6498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6435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48</v>
      </c>
      <c r="R4352" s="156" t="s">
        <v>489</v>
      </c>
      <c r="S4352" s="150"/>
    </row>
    <row r="4353" spans="1:19" hidden="1">
      <c r="A4353" s="149" t="s">
        <v>6485</v>
      </c>
      <c r="B4353" s="150" t="str">
        <f>IFERROR(VLOOKUP(Proc[[#This Row],[App]],Table2[],3,0),"open")</f>
        <v>ok</v>
      </c>
      <c r="C4353" s="149" t="s">
        <v>369</v>
      </c>
      <c r="D4353" t="s">
        <v>6492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6435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48</v>
      </c>
      <c r="R4353" s="156" t="s">
        <v>489</v>
      </c>
      <c r="S4353" s="150"/>
    </row>
    <row r="4354" spans="1:19" hidden="1">
      <c r="A4354" s="149" t="s">
        <v>6485</v>
      </c>
      <c r="B4354" s="150" t="str">
        <f>IFERROR(VLOOKUP(Proc[[#This Row],[App]],Table2[],3,0),"open")</f>
        <v>ok</v>
      </c>
      <c r="C4354" s="149" t="s">
        <v>369</v>
      </c>
      <c r="D4354" t="s">
        <v>6493</v>
      </c>
      <c r="E4354" t="s">
        <v>6499</v>
      </c>
      <c r="F4354" s="150" t="s">
        <v>6499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6435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48</v>
      </c>
      <c r="R4354" s="156" t="s">
        <v>489</v>
      </c>
      <c r="S4354" s="150"/>
    </row>
    <row r="4355" spans="1:19" hidden="1">
      <c r="A4355" s="149" t="s">
        <v>6485</v>
      </c>
      <c r="B4355" s="150" t="str">
        <f>IFERROR(VLOOKUP(Proc[[#This Row],[App]],Table2[],3,0),"open")</f>
        <v>ok</v>
      </c>
      <c r="C4355" s="149" t="s">
        <v>369</v>
      </c>
      <c r="D4355" t="s">
        <v>6494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6435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48</v>
      </c>
      <c r="R4355" s="156" t="s">
        <v>489</v>
      </c>
      <c r="S4355" s="150"/>
    </row>
    <row r="4356" spans="1:19" hidden="1">
      <c r="A4356" s="149" t="s">
        <v>6485</v>
      </c>
      <c r="B4356" s="150" t="str">
        <f>IFERROR(VLOOKUP(Proc[[#This Row],[App]],Table2[],3,0),"open")</f>
        <v>ok</v>
      </c>
      <c r="C4356" s="149" t="s">
        <v>369</v>
      </c>
      <c r="D4356" t="s">
        <v>6495</v>
      </c>
      <c r="E4356" t="s">
        <v>4890</v>
      </c>
      <c r="F4356" s="150" t="s">
        <v>4890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6435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48</v>
      </c>
      <c r="R4356" s="156" t="s">
        <v>489</v>
      </c>
      <c r="S4356" s="150"/>
    </row>
    <row r="4357" spans="1:19" hidden="1">
      <c r="A4357" s="149" t="s">
        <v>6485</v>
      </c>
      <c r="B4357" s="150" t="str">
        <f>IFERROR(VLOOKUP(Proc[[#This Row],[App]],Table2[],3,0),"open")</f>
        <v>ok</v>
      </c>
      <c r="C4357" s="149" t="s">
        <v>369</v>
      </c>
      <c r="D4357" t="s">
        <v>6496</v>
      </c>
      <c r="E4357" t="s">
        <v>6500</v>
      </c>
      <c r="F4357" s="150" t="s">
        <v>6500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6435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48</v>
      </c>
      <c r="R4357" s="157" t="s">
        <v>489</v>
      </c>
      <c r="S4357" s="150"/>
    </row>
    <row r="4358" spans="1:19" hidden="1">
      <c r="A4358" s="149" t="s">
        <v>6485</v>
      </c>
      <c r="B4358" s="150" t="str">
        <f>IFERROR(VLOOKUP(Proc[[#This Row],[App]],Table2[],3,0),"open")</f>
        <v>ok</v>
      </c>
      <c r="C4358" s="149" t="s">
        <v>369</v>
      </c>
      <c r="D4358" t="s">
        <v>6497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6435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48</v>
      </c>
      <c r="R4358" s="157" t="s">
        <v>489</v>
      </c>
      <c r="S4358" s="150"/>
    </row>
    <row r="4359" spans="1:19" hidden="1">
      <c r="A4359" s="149" t="s">
        <v>6344</v>
      </c>
      <c r="B4359" s="150" t="str">
        <f>IFERROR(VLOOKUP(Proc[[#This Row],[App]],Table2[],3,0),"open")</f>
        <v>ok</v>
      </c>
      <c r="C4359" t="s">
        <v>369</v>
      </c>
      <c r="D4359" s="149" t="s">
        <v>6333</v>
      </c>
      <c r="E4359" s="149" t="s">
        <v>6501</v>
      </c>
      <c r="F4359" s="149" t="s">
        <v>6501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4894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48</v>
      </c>
      <c r="R4359" s="156" t="s">
        <v>780</v>
      </c>
      <c r="S4359" s="150"/>
    </row>
    <row r="4360" spans="1:19" hidden="1">
      <c r="A4360" s="149" t="s">
        <v>6344</v>
      </c>
      <c r="B4360" s="150" t="str">
        <f>IFERROR(VLOOKUP(Proc[[#This Row],[App]],Table2[],3,0),"open")</f>
        <v>ok</v>
      </c>
      <c r="C4360" s="149" t="s">
        <v>369</v>
      </c>
      <c r="D4360" s="149" t="s">
        <v>6334</v>
      </c>
      <c r="E4360" s="149" t="s">
        <v>6501</v>
      </c>
      <c r="F4360" s="149" t="s">
        <v>6501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4894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48</v>
      </c>
      <c r="R4360" s="156" t="s">
        <v>780</v>
      </c>
      <c r="S4360" s="150"/>
    </row>
    <row r="4361" spans="1:19" hidden="1">
      <c r="A4361" s="149" t="s">
        <v>6344</v>
      </c>
      <c r="B4361" s="150" t="str">
        <f>IFERROR(VLOOKUP(Proc[[#This Row],[App]],Table2[],3,0),"open")</f>
        <v>ok</v>
      </c>
      <c r="C4361" s="149" t="s">
        <v>369</v>
      </c>
      <c r="D4361" s="149" t="s">
        <v>6335</v>
      </c>
      <c r="E4361" s="149" t="s">
        <v>6501</v>
      </c>
      <c r="F4361" s="149" t="s">
        <v>6501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4894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48</v>
      </c>
      <c r="R4361" s="156" t="s">
        <v>780</v>
      </c>
      <c r="S4361" s="150"/>
    </row>
    <row r="4362" spans="1:19" hidden="1">
      <c r="A4362" s="149" t="s">
        <v>6344</v>
      </c>
      <c r="B4362" s="150" t="str">
        <f>IFERROR(VLOOKUP(Proc[[#This Row],[App]],Table2[],3,0),"open")</f>
        <v>ok</v>
      </c>
      <c r="C4362" s="149" t="s">
        <v>369</v>
      </c>
      <c r="D4362" s="149" t="s">
        <v>6336</v>
      </c>
      <c r="E4362" s="149" t="s">
        <v>6501</v>
      </c>
      <c r="F4362" s="149" t="s">
        <v>6501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4894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48</v>
      </c>
      <c r="R4362" s="156" t="s">
        <v>780</v>
      </c>
      <c r="S4362" s="150"/>
    </row>
    <row r="4363" spans="1:19" hidden="1">
      <c r="A4363" s="149" t="s">
        <v>6344</v>
      </c>
      <c r="B4363" s="150" t="str">
        <f>IFERROR(VLOOKUP(Proc[[#This Row],[App]],Table2[],3,0),"open")</f>
        <v>ok</v>
      </c>
      <c r="C4363" s="149" t="s">
        <v>369</v>
      </c>
      <c r="D4363" s="149" t="s">
        <v>6337</v>
      </c>
      <c r="E4363" s="149" t="s">
        <v>6501</v>
      </c>
      <c r="F4363" s="149" t="s">
        <v>6501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4894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48</v>
      </c>
      <c r="R4363" s="156" t="s">
        <v>780</v>
      </c>
      <c r="S4363" s="150"/>
    </row>
    <row r="4364" spans="1:19" hidden="1">
      <c r="A4364" s="149" t="s">
        <v>6344</v>
      </c>
      <c r="B4364" s="150" t="str">
        <f>IFERROR(VLOOKUP(Proc[[#This Row],[App]],Table2[],3,0),"open")</f>
        <v>ok</v>
      </c>
      <c r="C4364" s="149" t="s">
        <v>369</v>
      </c>
      <c r="D4364" s="149" t="s">
        <v>6338</v>
      </c>
      <c r="E4364" s="149" t="s">
        <v>6501</v>
      </c>
      <c r="F4364" s="149" t="s">
        <v>6501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4894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48</v>
      </c>
      <c r="R4364" s="156" t="s">
        <v>780</v>
      </c>
      <c r="S4364" s="150"/>
    </row>
    <row r="4365" spans="1:19" hidden="1">
      <c r="A4365" s="149" t="s">
        <v>6344</v>
      </c>
      <c r="B4365" s="150" t="str">
        <f>IFERROR(VLOOKUP(Proc[[#This Row],[App]],Table2[],3,0),"open")</f>
        <v>ok</v>
      </c>
      <c r="C4365" s="149" t="s">
        <v>369</v>
      </c>
      <c r="D4365" s="149" t="s">
        <v>6350</v>
      </c>
      <c r="E4365" s="149" t="s">
        <v>6501</v>
      </c>
      <c r="F4365" s="149" t="s">
        <v>6501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4894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48</v>
      </c>
      <c r="R4365" s="156" t="s">
        <v>780</v>
      </c>
      <c r="S4365" s="150"/>
    </row>
    <row r="4366" spans="1:19" hidden="1">
      <c r="A4366" s="149" t="s">
        <v>6344</v>
      </c>
      <c r="B4366" s="150" t="str">
        <f>IFERROR(VLOOKUP(Proc[[#This Row],[App]],Table2[],3,0),"open")</f>
        <v>ok</v>
      </c>
      <c r="C4366" s="149" t="s">
        <v>369</v>
      </c>
      <c r="D4366" s="149" t="s">
        <v>6339</v>
      </c>
      <c r="E4366" s="149" t="s">
        <v>6501</v>
      </c>
      <c r="F4366" s="149" t="s">
        <v>6501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4894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48</v>
      </c>
      <c r="R4366" s="156" t="s">
        <v>780</v>
      </c>
      <c r="S4366" s="150"/>
    </row>
    <row r="4367" spans="1:19" hidden="1">
      <c r="A4367" s="149" t="s">
        <v>6344</v>
      </c>
      <c r="B4367" s="150" t="str">
        <f>IFERROR(VLOOKUP(Proc[[#This Row],[App]],Table2[],3,0),"open")</f>
        <v>ok</v>
      </c>
      <c r="C4367" s="149" t="s">
        <v>369</v>
      </c>
      <c r="D4367" s="149" t="s">
        <v>6340</v>
      </c>
      <c r="E4367" s="149" t="s">
        <v>6501</v>
      </c>
      <c r="F4367" s="149" t="s">
        <v>6501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4894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48</v>
      </c>
      <c r="R4367" s="156" t="s">
        <v>780</v>
      </c>
      <c r="S4367" s="150"/>
    </row>
    <row r="4368" spans="1:19" hidden="1">
      <c r="A4368" s="149" t="s">
        <v>6344</v>
      </c>
      <c r="B4368" s="150" t="str">
        <f>IFERROR(VLOOKUP(Proc[[#This Row],[App]],Table2[],3,0),"open")</f>
        <v>ok</v>
      </c>
      <c r="C4368" s="149" t="s">
        <v>369</v>
      </c>
      <c r="D4368" s="149" t="s">
        <v>6341</v>
      </c>
      <c r="E4368" s="149" t="s">
        <v>6501</v>
      </c>
      <c r="F4368" s="149" t="s">
        <v>6501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4894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48</v>
      </c>
      <c r="R4368" s="156" t="s">
        <v>780</v>
      </c>
      <c r="S4368" s="150"/>
    </row>
    <row r="4369" spans="1:19" hidden="1">
      <c r="A4369" s="149" t="s">
        <v>6344</v>
      </c>
      <c r="B4369" s="150" t="str">
        <f>IFERROR(VLOOKUP(Proc[[#This Row],[App]],Table2[],3,0),"open")</f>
        <v>ok</v>
      </c>
      <c r="C4369" s="149" t="s">
        <v>369</v>
      </c>
      <c r="D4369" s="149" t="s">
        <v>6342</v>
      </c>
      <c r="E4369" s="149" t="s">
        <v>6501</v>
      </c>
      <c r="F4369" s="149" t="s">
        <v>6501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4894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48</v>
      </c>
      <c r="R4369" s="156" t="s">
        <v>780</v>
      </c>
      <c r="S4369" s="150"/>
    </row>
    <row r="4370" spans="1:19" hidden="1">
      <c r="A4370" s="149" t="s">
        <v>6344</v>
      </c>
      <c r="B4370" s="150" t="str">
        <f>IFERROR(VLOOKUP(Proc[[#This Row],[App]],Table2[],3,0),"open")</f>
        <v>ok</v>
      </c>
      <c r="C4370" s="149" t="s">
        <v>369</v>
      </c>
      <c r="D4370" s="149" t="s">
        <v>6343</v>
      </c>
      <c r="E4370" s="149" t="s">
        <v>6501</v>
      </c>
      <c r="F4370" s="149" t="s">
        <v>6501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4894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48</v>
      </c>
      <c r="R4370" s="156" t="s">
        <v>780</v>
      </c>
      <c r="S4370" s="150"/>
    </row>
    <row r="4371" spans="1:19" s="149" customFormat="1" hidden="1">
      <c r="A4371" s="149" t="s">
        <v>6504</v>
      </c>
      <c r="B4371" s="150" t="str">
        <f>IFERROR(VLOOKUP(Proc[[#This Row],[App]],Table2[],3,0),"open")</f>
        <v>ok</v>
      </c>
      <c r="C4371" s="149" t="s">
        <v>369</v>
      </c>
      <c r="D4371" s="149" t="s">
        <v>5780</v>
      </c>
      <c r="E4371" s="149" t="s">
        <v>6505</v>
      </c>
      <c r="F4371" s="150" t="s">
        <v>6505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6435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46</v>
      </c>
      <c r="R4371" s="157" t="s">
        <v>489</v>
      </c>
      <c r="S4371" s="150"/>
    </row>
    <row r="4372" spans="1:19" s="149" customFormat="1" hidden="1">
      <c r="A4372" s="149" t="s">
        <v>6504</v>
      </c>
      <c r="B4372" s="150" t="str">
        <f>IFERROR(VLOOKUP(Proc[[#This Row],[App]],Table2[],3,0),"open")</f>
        <v>ok</v>
      </c>
      <c r="C4372" s="149" t="s">
        <v>369</v>
      </c>
      <c r="D4372" s="149" t="s">
        <v>5781</v>
      </c>
      <c r="E4372" s="149" t="s">
        <v>6505</v>
      </c>
      <c r="F4372" s="150" t="s">
        <v>6505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6435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46</v>
      </c>
      <c r="R4372" s="157" t="s">
        <v>489</v>
      </c>
      <c r="S4372" s="150"/>
    </row>
    <row r="4373" spans="1:19" s="149" customFormat="1" hidden="1">
      <c r="A4373" s="149" t="s">
        <v>6504</v>
      </c>
      <c r="B4373" s="150" t="str">
        <f>IFERROR(VLOOKUP(Proc[[#This Row],[App]],Table2[],3,0),"open")</f>
        <v>ok</v>
      </c>
      <c r="C4373" s="149" t="s">
        <v>369</v>
      </c>
      <c r="D4373" s="149" t="s">
        <v>5782</v>
      </c>
      <c r="E4373" s="149" t="s">
        <v>6505</v>
      </c>
      <c r="F4373" s="150" t="s">
        <v>6505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6435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46</v>
      </c>
      <c r="R4373" s="157" t="s">
        <v>489</v>
      </c>
      <c r="S4373" s="150"/>
    </row>
    <row r="4374" spans="1:19" s="149" customFormat="1" hidden="1">
      <c r="A4374" s="149" t="s">
        <v>6504</v>
      </c>
      <c r="B4374" s="150" t="str">
        <f>IFERROR(VLOOKUP(Proc[[#This Row],[App]],Table2[],3,0),"open")</f>
        <v>ok</v>
      </c>
      <c r="C4374" s="149" t="s">
        <v>369</v>
      </c>
      <c r="D4374" s="149" t="s">
        <v>5783</v>
      </c>
      <c r="E4374" s="149" t="s">
        <v>6505</v>
      </c>
      <c r="F4374" s="150" t="s">
        <v>6505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6435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46</v>
      </c>
      <c r="R4374" s="157" t="s">
        <v>489</v>
      </c>
      <c r="S4374" s="150"/>
    </row>
    <row r="4375" spans="1:19" hidden="1">
      <c r="A4375" t="s">
        <v>6509</v>
      </c>
      <c r="B4375" s="150" t="str">
        <f>IFERROR(VLOOKUP(Proc[[#This Row],[App]],Table2[],3,0),"open")</f>
        <v>ok</v>
      </c>
      <c r="C4375" t="s">
        <v>369</v>
      </c>
      <c r="D4375" t="s">
        <v>6507</v>
      </c>
      <c r="E4375" t="s">
        <v>6508</v>
      </c>
      <c r="F4375" s="150" t="s">
        <v>6508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6435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41</v>
      </c>
      <c r="R4375" s="158" t="s">
        <v>489</v>
      </c>
      <c r="S4375" s="150"/>
    </row>
    <row r="4376" spans="1:19" hidden="1">
      <c r="A4376" t="s">
        <v>6513</v>
      </c>
      <c r="B4376" s="150" t="str">
        <f>IFERROR(VLOOKUP(Proc[[#This Row],[App]],Table2[],3,0),"open")</f>
        <v>ok</v>
      </c>
      <c r="C4376" s="149" t="s">
        <v>369</v>
      </c>
      <c r="D4376" t="s">
        <v>6510</v>
      </c>
      <c r="E4376" t="s">
        <v>4914</v>
      </c>
      <c r="F4376" s="150" t="s">
        <v>4914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6435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41</v>
      </c>
      <c r="R4376" s="159" t="s">
        <v>415</v>
      </c>
      <c r="S4376" s="150"/>
    </row>
    <row r="4377" spans="1:19" hidden="1">
      <c r="A4377" t="s">
        <v>6513</v>
      </c>
      <c r="B4377" s="150" t="str">
        <f>IFERROR(VLOOKUP(Proc[[#This Row],[App]],Table2[],3,0),"open")</f>
        <v>ok</v>
      </c>
      <c r="C4377" s="149" t="s">
        <v>369</v>
      </c>
      <c r="D4377" t="s">
        <v>6511</v>
      </c>
      <c r="E4377" t="s">
        <v>6512</v>
      </c>
      <c r="F4377" s="150" t="s">
        <v>6512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6435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41</v>
      </c>
      <c r="R4377" s="159" t="s">
        <v>415</v>
      </c>
      <c r="S4377" s="150"/>
    </row>
    <row r="4378" spans="1:19" hidden="1">
      <c r="A4378" t="s">
        <v>6514</v>
      </c>
      <c r="B4378" s="150" t="str">
        <f>IFERROR(VLOOKUP(Proc[[#This Row],[App]],Table2[],3,0),"open")</f>
        <v>ok</v>
      </c>
      <c r="C4378" s="149" t="s">
        <v>369</v>
      </c>
      <c r="D4378" t="s">
        <v>6515</v>
      </c>
      <c r="E4378" t="s">
        <v>6531</v>
      </c>
      <c r="F4378" s="150" t="s">
        <v>6531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6435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41</v>
      </c>
      <c r="R4378" s="159" t="s">
        <v>856</v>
      </c>
      <c r="S4378" s="150"/>
    </row>
    <row r="4379" spans="1:19" hidden="1">
      <c r="A4379" t="s">
        <v>6516</v>
      </c>
      <c r="B4379" s="150" t="str">
        <f>IFERROR(VLOOKUP(Proc[[#This Row],[App]],Table2[],3,0),"open")</f>
        <v>ok</v>
      </c>
      <c r="C4379" s="149" t="s">
        <v>369</v>
      </c>
      <c r="D4379" t="s">
        <v>6517</v>
      </c>
      <c r="E4379" t="s">
        <v>6531</v>
      </c>
      <c r="F4379" s="150" t="s">
        <v>6531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6435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41</v>
      </c>
      <c r="R4379" s="159" t="s">
        <v>856</v>
      </c>
      <c r="S4379" s="150"/>
    </row>
    <row r="4380" spans="1:19" hidden="1">
      <c r="A4380" t="s">
        <v>6530</v>
      </c>
      <c r="B4380" s="150" t="str">
        <f>IFERROR(VLOOKUP(Proc[[#This Row],[App]],Table2[],3,0),"open")</f>
        <v>ok</v>
      </c>
      <c r="C4380" s="149" t="s">
        <v>369</v>
      </c>
      <c r="D4380" t="s">
        <v>6518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6435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40</v>
      </c>
      <c r="R4380" s="159" t="s">
        <v>5709</v>
      </c>
      <c r="S4380" s="150"/>
    </row>
    <row r="4381" spans="1:19" hidden="1">
      <c r="A4381" s="149" t="s">
        <v>6530</v>
      </c>
      <c r="B4381" s="150" t="str">
        <f>IFERROR(VLOOKUP(Proc[[#This Row],[App]],Table2[],3,0),"open")</f>
        <v>ok</v>
      </c>
      <c r="C4381" s="149" t="s">
        <v>369</v>
      </c>
      <c r="D4381" t="s">
        <v>6519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6435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40</v>
      </c>
      <c r="R4381" s="159" t="s">
        <v>5709</v>
      </c>
      <c r="S4381" s="150"/>
    </row>
    <row r="4382" spans="1:19" hidden="1">
      <c r="A4382" s="149" t="s">
        <v>6530</v>
      </c>
      <c r="B4382" s="150" t="str">
        <f>IFERROR(VLOOKUP(Proc[[#This Row],[App]],Table2[],3,0),"open")</f>
        <v>ok</v>
      </c>
      <c r="C4382" s="149" t="s">
        <v>369</v>
      </c>
      <c r="D4382" t="s">
        <v>6520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6435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40</v>
      </c>
      <c r="R4382" s="159" t="s">
        <v>5709</v>
      </c>
      <c r="S4382" s="150"/>
    </row>
    <row r="4383" spans="1:19" hidden="1">
      <c r="A4383" s="149" t="s">
        <v>6530</v>
      </c>
      <c r="B4383" s="150" t="str">
        <f>IFERROR(VLOOKUP(Proc[[#This Row],[App]],Table2[],3,0),"open")</f>
        <v>ok</v>
      </c>
      <c r="C4383" s="149" t="s">
        <v>369</v>
      </c>
      <c r="D4383" t="s">
        <v>6521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6435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40</v>
      </c>
      <c r="R4383" s="159" t="s">
        <v>5709</v>
      </c>
      <c r="S4383" s="150"/>
    </row>
    <row r="4384" spans="1:19" hidden="1">
      <c r="A4384" s="149" t="s">
        <v>6530</v>
      </c>
      <c r="B4384" s="150" t="str">
        <f>IFERROR(VLOOKUP(Proc[[#This Row],[App]],Table2[],3,0),"open")</f>
        <v>ok</v>
      </c>
      <c r="C4384" s="149" t="s">
        <v>369</v>
      </c>
      <c r="D4384" t="s">
        <v>6522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6435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40</v>
      </c>
      <c r="R4384" s="159" t="s">
        <v>5709</v>
      </c>
      <c r="S4384" s="150"/>
    </row>
    <row r="4385" spans="1:19" hidden="1">
      <c r="A4385" s="149" t="s">
        <v>6530</v>
      </c>
      <c r="B4385" s="150" t="str">
        <f>IFERROR(VLOOKUP(Proc[[#This Row],[App]],Table2[],3,0),"open")</f>
        <v>ok</v>
      </c>
      <c r="C4385" s="149" t="s">
        <v>369</v>
      </c>
      <c r="D4385" t="s">
        <v>6523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6435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40</v>
      </c>
      <c r="R4385" s="159" t="s">
        <v>5709</v>
      </c>
      <c r="S4385" s="150"/>
    </row>
    <row r="4386" spans="1:19" hidden="1">
      <c r="A4386" s="149" t="s">
        <v>6530</v>
      </c>
      <c r="B4386" s="150" t="str">
        <f>IFERROR(VLOOKUP(Proc[[#This Row],[App]],Table2[],3,0),"open")</f>
        <v>ok</v>
      </c>
      <c r="C4386" s="149" t="s">
        <v>369</v>
      </c>
      <c r="D4386" t="s">
        <v>6524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6435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40</v>
      </c>
      <c r="R4386" s="159" t="s">
        <v>5709</v>
      </c>
      <c r="S4386" s="150"/>
    </row>
    <row r="4387" spans="1:19" hidden="1">
      <c r="A4387" s="149" t="s">
        <v>6530</v>
      </c>
      <c r="B4387" s="150" t="str">
        <f>IFERROR(VLOOKUP(Proc[[#This Row],[App]],Table2[],3,0),"open")</f>
        <v>ok</v>
      </c>
      <c r="C4387" s="149" t="s">
        <v>369</v>
      </c>
      <c r="D4387" t="s">
        <v>6525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6435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40</v>
      </c>
      <c r="R4387" s="159" t="s">
        <v>5709</v>
      </c>
      <c r="S4387" s="150"/>
    </row>
    <row r="4388" spans="1:19" hidden="1">
      <c r="A4388" s="149" t="s">
        <v>6530</v>
      </c>
      <c r="B4388" s="150" t="str">
        <f>IFERROR(VLOOKUP(Proc[[#This Row],[App]],Table2[],3,0),"open")</f>
        <v>ok</v>
      </c>
      <c r="C4388" s="149" t="s">
        <v>369</v>
      </c>
      <c r="D4388" t="s">
        <v>6526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6435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40</v>
      </c>
      <c r="R4388" s="159" t="s">
        <v>5709</v>
      </c>
      <c r="S4388" s="150"/>
    </row>
    <row r="4389" spans="1:19" hidden="1">
      <c r="A4389" s="149" t="s">
        <v>6530</v>
      </c>
      <c r="B4389" s="150" t="str">
        <f>IFERROR(VLOOKUP(Proc[[#This Row],[App]],Table2[],3,0),"open")</f>
        <v>ok</v>
      </c>
      <c r="C4389" s="149" t="s">
        <v>369</v>
      </c>
      <c r="D4389" t="s">
        <v>6527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6435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40</v>
      </c>
      <c r="R4389" s="159" t="s">
        <v>5709</v>
      </c>
      <c r="S4389" s="150"/>
    </row>
    <row r="4390" spans="1:19" hidden="1">
      <c r="A4390" s="149" t="s">
        <v>6530</v>
      </c>
      <c r="B4390" s="150" t="str">
        <f>IFERROR(VLOOKUP(Proc[[#This Row],[App]],Table2[],3,0),"open")</f>
        <v>ok</v>
      </c>
      <c r="C4390" s="149" t="s">
        <v>369</v>
      </c>
      <c r="D4390" t="s">
        <v>6528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6435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40</v>
      </c>
      <c r="R4390" s="159" t="s">
        <v>5709</v>
      </c>
      <c r="S4390" s="150"/>
    </row>
    <row r="4391" spans="1:19" hidden="1">
      <c r="A4391" s="149" t="s">
        <v>6530</v>
      </c>
      <c r="B4391" s="150" t="str">
        <f>IFERROR(VLOOKUP(Proc[[#This Row],[App]],Table2[],3,0),"open")</f>
        <v>ok</v>
      </c>
      <c r="C4391" s="149" t="s">
        <v>369</v>
      </c>
      <c r="D4391" t="s">
        <v>6529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6435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40</v>
      </c>
      <c r="R4391" s="159" t="s">
        <v>5709</v>
      </c>
      <c r="S4391" s="150"/>
    </row>
    <row r="4392" spans="1:19" hidden="1">
      <c r="A4392" t="s">
        <v>6533</v>
      </c>
      <c r="B4392" s="150" t="str">
        <f>IFERROR(VLOOKUP(Proc[[#This Row],[App]],Table2[],3,0),"open")</f>
        <v>ok</v>
      </c>
      <c r="C4392" t="s">
        <v>369</v>
      </c>
      <c r="D4392" t="s">
        <v>6534</v>
      </c>
      <c r="E4392" t="s">
        <v>6538</v>
      </c>
      <c r="F4392" s="150" t="s">
        <v>6538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6435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37</v>
      </c>
      <c r="R4392" s="159" t="s">
        <v>489</v>
      </c>
      <c r="S4392" s="150"/>
    </row>
    <row r="4393" spans="1:19" hidden="1">
      <c r="A4393" s="149" t="s">
        <v>6533</v>
      </c>
      <c r="B4393" s="150" t="str">
        <f>IFERROR(VLOOKUP(Proc[[#This Row],[App]],Table2[],3,0),"open")</f>
        <v>ok</v>
      </c>
      <c r="C4393" s="149" t="s">
        <v>369</v>
      </c>
      <c r="D4393" t="s">
        <v>6535</v>
      </c>
      <c r="E4393" t="s">
        <v>6538</v>
      </c>
      <c r="F4393" s="150" t="s">
        <v>6538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6435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37</v>
      </c>
      <c r="R4393" s="159" t="s">
        <v>489</v>
      </c>
      <c r="S4393" s="150"/>
    </row>
    <row r="4394" spans="1:19" hidden="1">
      <c r="A4394" s="149" t="s">
        <v>6533</v>
      </c>
      <c r="B4394" s="150" t="str">
        <f>IFERROR(VLOOKUP(Proc[[#This Row],[App]],Table2[],3,0),"open")</f>
        <v>ok</v>
      </c>
      <c r="C4394" s="149" t="s">
        <v>369</v>
      </c>
      <c r="D4394" t="s">
        <v>6536</v>
      </c>
      <c r="E4394" t="s">
        <v>6538</v>
      </c>
      <c r="F4394" s="150" t="s">
        <v>6538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6435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37</v>
      </c>
      <c r="R4394" s="159" t="s">
        <v>489</v>
      </c>
      <c r="S4394" s="150"/>
    </row>
    <row r="4395" spans="1:19" hidden="1">
      <c r="A4395" s="149" t="s">
        <v>6533</v>
      </c>
      <c r="B4395" s="150" t="str">
        <f>IFERROR(VLOOKUP(Proc[[#This Row],[App]],Table2[],3,0),"open")</f>
        <v>ok</v>
      </c>
      <c r="C4395" s="149" t="s">
        <v>369</v>
      </c>
      <c r="D4395" t="s">
        <v>6537</v>
      </c>
      <c r="E4395" t="s">
        <v>6538</v>
      </c>
      <c r="F4395" s="150" t="s">
        <v>6538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6435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37</v>
      </c>
      <c r="R4395" s="159" t="s">
        <v>489</v>
      </c>
      <c r="S4395" s="150"/>
    </row>
    <row r="4396" spans="1:19" hidden="1">
      <c r="A4396" t="s">
        <v>6539</v>
      </c>
      <c r="B4396" s="150" t="str">
        <f>IFERROR(VLOOKUP(Proc[[#This Row],[App]],Table2[],3,0),"open")</f>
        <v>ok</v>
      </c>
      <c r="C4396" s="149" t="s">
        <v>369</v>
      </c>
      <c r="D4396" t="s">
        <v>6540</v>
      </c>
      <c r="E4396" t="s">
        <v>6500</v>
      </c>
      <c r="F4396" s="150" t="s">
        <v>6500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6435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37</v>
      </c>
      <c r="R4396" s="159" t="s">
        <v>489</v>
      </c>
      <c r="S4396" s="150"/>
    </row>
    <row r="4397" spans="1:19" hidden="1">
      <c r="A4397" s="149" t="s">
        <v>6539</v>
      </c>
      <c r="B4397" s="150" t="str">
        <f>IFERROR(VLOOKUP(Proc[[#This Row],[App]],Table2[],3,0),"open")</f>
        <v>ok</v>
      </c>
      <c r="C4397" s="149" t="s">
        <v>369</v>
      </c>
      <c r="D4397" t="s">
        <v>6507</v>
      </c>
      <c r="E4397" t="s">
        <v>6508</v>
      </c>
      <c r="F4397" s="150" t="s">
        <v>6508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6435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37</v>
      </c>
      <c r="R4397" s="159" t="s">
        <v>489</v>
      </c>
      <c r="S4397" s="150"/>
    </row>
    <row r="4398" spans="1:19" hidden="1">
      <c r="A4398" t="s">
        <v>6541</v>
      </c>
      <c r="B4398" s="150" t="str">
        <f>IFERROR(VLOOKUP(Proc[[#This Row],[App]],Table2[],3,0),"open")</f>
        <v>ok</v>
      </c>
      <c r="C4398" s="149" t="s">
        <v>369</v>
      </c>
      <c r="D4398" t="s">
        <v>6543</v>
      </c>
      <c r="E4398" t="s">
        <v>6542</v>
      </c>
      <c r="F4398" s="150" t="s">
        <v>6542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6435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37</v>
      </c>
      <c r="R4398" s="159" t="s">
        <v>6563</v>
      </c>
      <c r="S4398" s="150"/>
    </row>
    <row r="4399" spans="1:19" hidden="1">
      <c r="A4399" s="149" t="s">
        <v>6541</v>
      </c>
      <c r="B4399" s="150" t="str">
        <f>IFERROR(VLOOKUP(Proc[[#This Row],[App]],Table2[],3,0),"open")</f>
        <v>ok</v>
      </c>
      <c r="C4399" s="149" t="s">
        <v>369</v>
      </c>
      <c r="D4399" t="s">
        <v>6544</v>
      </c>
      <c r="E4399" t="s">
        <v>6542</v>
      </c>
      <c r="F4399" s="150" t="s">
        <v>6542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6435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37</v>
      </c>
      <c r="R4399" s="159" t="s">
        <v>6563</v>
      </c>
      <c r="S4399" s="150"/>
    </row>
    <row r="4400" spans="1:19" hidden="1">
      <c r="A4400" s="149" t="s">
        <v>6541</v>
      </c>
      <c r="B4400" s="150" t="str">
        <f>IFERROR(VLOOKUP(Proc[[#This Row],[App]],Table2[],3,0),"open")</f>
        <v>ok</v>
      </c>
      <c r="C4400" s="149" t="s">
        <v>369</v>
      </c>
      <c r="D4400" t="s">
        <v>6545</v>
      </c>
      <c r="E4400" t="s">
        <v>6542</v>
      </c>
      <c r="F4400" s="150" t="s">
        <v>6542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6435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37</v>
      </c>
      <c r="R4400" s="159" t="s">
        <v>6563</v>
      </c>
      <c r="S4400" s="150"/>
    </row>
    <row r="4401" spans="1:19" hidden="1">
      <c r="A4401" s="149" t="s">
        <v>6541</v>
      </c>
      <c r="B4401" s="150" t="str">
        <f>IFERROR(VLOOKUP(Proc[[#This Row],[App]],Table2[],3,0),"open")</f>
        <v>ok</v>
      </c>
      <c r="C4401" s="149" t="s">
        <v>369</v>
      </c>
      <c r="D4401" t="s">
        <v>6546</v>
      </c>
      <c r="E4401" t="s">
        <v>6542</v>
      </c>
      <c r="F4401" s="150" t="s">
        <v>6542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6435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37</v>
      </c>
      <c r="R4401" s="159" t="s">
        <v>6563</v>
      </c>
      <c r="S4401" s="150"/>
    </row>
    <row r="4402" spans="1:19" hidden="1">
      <c r="A4402" s="149" t="s">
        <v>6541</v>
      </c>
      <c r="B4402" s="150" t="str">
        <f>IFERROR(VLOOKUP(Proc[[#This Row],[App]],Table2[],3,0),"open")</f>
        <v>ok</v>
      </c>
      <c r="C4402" s="149" t="s">
        <v>369</v>
      </c>
      <c r="D4402" t="s">
        <v>6547</v>
      </c>
      <c r="E4402" t="s">
        <v>6542</v>
      </c>
      <c r="F4402" s="150" t="s">
        <v>6542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6435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37</v>
      </c>
      <c r="R4402" s="159" t="s">
        <v>6563</v>
      </c>
      <c r="S4402" s="150"/>
    </row>
    <row r="4403" spans="1:19" hidden="1">
      <c r="A4403" s="149" t="s">
        <v>6541</v>
      </c>
      <c r="B4403" s="150" t="str">
        <f>IFERROR(VLOOKUP(Proc[[#This Row],[App]],Table2[],3,0),"open")</f>
        <v>ok</v>
      </c>
      <c r="C4403" s="149" t="s">
        <v>369</v>
      </c>
      <c r="D4403" t="s">
        <v>6548</v>
      </c>
      <c r="E4403" t="s">
        <v>6542</v>
      </c>
      <c r="F4403" s="150" t="s">
        <v>6542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6435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37</v>
      </c>
      <c r="R4403" s="159" t="s">
        <v>6563</v>
      </c>
      <c r="S4403" s="150"/>
    </row>
    <row r="4404" spans="1:19" hidden="1">
      <c r="A4404" s="149" t="s">
        <v>6541</v>
      </c>
      <c r="B4404" s="150" t="str">
        <f>IFERROR(VLOOKUP(Proc[[#This Row],[App]],Table2[],3,0),"open")</f>
        <v>ok</v>
      </c>
      <c r="C4404" s="149" t="s">
        <v>369</v>
      </c>
      <c r="D4404" t="s">
        <v>6549</v>
      </c>
      <c r="E4404" t="s">
        <v>6542</v>
      </c>
      <c r="F4404" s="150" t="s">
        <v>6542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6435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37</v>
      </c>
      <c r="R4404" s="159" t="s">
        <v>6563</v>
      </c>
      <c r="S4404" s="150"/>
    </row>
    <row r="4405" spans="1:19" hidden="1">
      <c r="A4405" s="149" t="s">
        <v>6541</v>
      </c>
      <c r="B4405" s="150" t="str">
        <f>IFERROR(VLOOKUP(Proc[[#This Row],[App]],Table2[],3,0),"open")</f>
        <v>ok</v>
      </c>
      <c r="C4405" s="149" t="s">
        <v>369</v>
      </c>
      <c r="D4405" t="s">
        <v>6550</v>
      </c>
      <c r="E4405" t="s">
        <v>6542</v>
      </c>
      <c r="F4405" s="150" t="s">
        <v>6542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6435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37</v>
      </c>
      <c r="R4405" s="159" t="s">
        <v>6563</v>
      </c>
      <c r="S4405" s="150"/>
    </row>
    <row r="4406" spans="1:19" hidden="1">
      <c r="A4406" s="149" t="s">
        <v>6541</v>
      </c>
      <c r="B4406" s="150" t="str">
        <f>IFERROR(VLOOKUP(Proc[[#This Row],[App]],Table2[],3,0),"open")</f>
        <v>ok</v>
      </c>
      <c r="C4406" s="149" t="s">
        <v>369</v>
      </c>
      <c r="D4406" t="s">
        <v>6551</v>
      </c>
      <c r="E4406" t="s">
        <v>6542</v>
      </c>
      <c r="F4406" s="150" t="s">
        <v>6542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6435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37</v>
      </c>
      <c r="R4406" s="159" t="s">
        <v>6563</v>
      </c>
      <c r="S4406" s="150"/>
    </row>
    <row r="4407" spans="1:19" hidden="1">
      <c r="A4407" s="149" t="s">
        <v>6541</v>
      </c>
      <c r="B4407" s="150" t="str">
        <f>IFERROR(VLOOKUP(Proc[[#This Row],[App]],Table2[],3,0),"open")</f>
        <v>ok</v>
      </c>
      <c r="C4407" s="149" t="s">
        <v>369</v>
      </c>
      <c r="D4407" t="s">
        <v>6552</v>
      </c>
      <c r="E4407" t="s">
        <v>6542</v>
      </c>
      <c r="F4407" s="150" t="s">
        <v>6542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6435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37</v>
      </c>
      <c r="R4407" s="159" t="s">
        <v>6563</v>
      </c>
      <c r="S4407" s="150"/>
    </row>
    <row r="4408" spans="1:19" hidden="1">
      <c r="A4408" s="149" t="s">
        <v>6541</v>
      </c>
      <c r="B4408" s="150" t="str">
        <f>IFERROR(VLOOKUP(Proc[[#This Row],[App]],Table2[],3,0),"open")</f>
        <v>ok</v>
      </c>
      <c r="C4408" s="149" t="s">
        <v>369</v>
      </c>
      <c r="D4408" t="s">
        <v>6553</v>
      </c>
      <c r="E4408" t="s">
        <v>6542</v>
      </c>
      <c r="F4408" s="150" t="s">
        <v>6542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6435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37</v>
      </c>
      <c r="R4408" s="159" t="s">
        <v>6563</v>
      </c>
      <c r="S4408" s="150"/>
    </row>
    <row r="4409" spans="1:19" hidden="1">
      <c r="A4409" s="149" t="s">
        <v>6541</v>
      </c>
      <c r="B4409" s="150" t="str">
        <f>IFERROR(VLOOKUP(Proc[[#This Row],[App]],Table2[],3,0),"open")</f>
        <v>ok</v>
      </c>
      <c r="C4409" s="149" t="s">
        <v>369</v>
      </c>
      <c r="D4409" t="s">
        <v>6554</v>
      </c>
      <c r="E4409" t="s">
        <v>6542</v>
      </c>
      <c r="F4409" s="150" t="s">
        <v>6542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6435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37</v>
      </c>
      <c r="R4409" s="159" t="s">
        <v>6563</v>
      </c>
      <c r="S4409" s="150"/>
    </row>
    <row r="4410" spans="1:19" hidden="1">
      <c r="A4410" s="149" t="s">
        <v>6541</v>
      </c>
      <c r="B4410" s="150" t="str">
        <f>IFERROR(VLOOKUP(Proc[[#This Row],[App]],Table2[],3,0),"open")</f>
        <v>ok</v>
      </c>
      <c r="C4410" s="149" t="s">
        <v>369</v>
      </c>
      <c r="D4410" t="s">
        <v>6555</v>
      </c>
      <c r="E4410" t="s">
        <v>6542</v>
      </c>
      <c r="F4410" s="150" t="s">
        <v>6542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6435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37</v>
      </c>
      <c r="R4410" s="159" t="s">
        <v>6563</v>
      </c>
      <c r="S4410" s="150"/>
    </row>
    <row r="4411" spans="1:19" hidden="1">
      <c r="A4411" s="149" t="s">
        <v>6541</v>
      </c>
      <c r="B4411" s="150" t="str">
        <f>IFERROR(VLOOKUP(Proc[[#This Row],[App]],Table2[],3,0),"open")</f>
        <v>ok</v>
      </c>
      <c r="C4411" s="149" t="s">
        <v>369</v>
      </c>
      <c r="D4411" t="s">
        <v>6556</v>
      </c>
      <c r="E4411" t="s">
        <v>6542</v>
      </c>
      <c r="F4411" s="150" t="s">
        <v>6542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6435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37</v>
      </c>
      <c r="R4411" s="159" t="s">
        <v>6563</v>
      </c>
      <c r="S4411" s="150"/>
    </row>
    <row r="4412" spans="1:19" hidden="1">
      <c r="A4412" s="149" t="s">
        <v>6541</v>
      </c>
      <c r="B4412" s="150" t="str">
        <f>IFERROR(VLOOKUP(Proc[[#This Row],[App]],Table2[],3,0),"open")</f>
        <v>ok</v>
      </c>
      <c r="C4412" s="149" t="s">
        <v>369</v>
      </c>
      <c r="D4412" t="s">
        <v>6557</v>
      </c>
      <c r="E4412" t="s">
        <v>6542</v>
      </c>
      <c r="F4412" s="150" t="s">
        <v>6542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6435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37</v>
      </c>
      <c r="R4412" s="159" t="s">
        <v>6563</v>
      </c>
      <c r="S4412" s="150"/>
    </row>
    <row r="4413" spans="1:19" hidden="1">
      <c r="A4413" s="149" t="s">
        <v>6541</v>
      </c>
      <c r="B4413" s="150" t="str">
        <f>IFERROR(VLOOKUP(Proc[[#This Row],[App]],Table2[],3,0),"open")</f>
        <v>ok</v>
      </c>
      <c r="C4413" s="149" t="s">
        <v>369</v>
      </c>
      <c r="D4413" t="s">
        <v>6558</v>
      </c>
      <c r="E4413" t="s">
        <v>6542</v>
      </c>
      <c r="F4413" s="150" t="s">
        <v>6542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6435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37</v>
      </c>
      <c r="R4413" s="159" t="s">
        <v>6563</v>
      </c>
      <c r="S4413" s="150"/>
    </row>
    <row r="4414" spans="1:19" hidden="1">
      <c r="A4414" s="149" t="s">
        <v>6541</v>
      </c>
      <c r="B4414" s="150" t="str">
        <f>IFERROR(VLOOKUP(Proc[[#This Row],[App]],Table2[],3,0),"open")</f>
        <v>ok</v>
      </c>
      <c r="C4414" s="149" t="s">
        <v>369</v>
      </c>
      <c r="D4414" t="s">
        <v>6559</v>
      </c>
      <c r="E4414" t="s">
        <v>6542</v>
      </c>
      <c r="F4414" s="150" t="s">
        <v>6542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6435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37</v>
      </c>
      <c r="R4414" s="159" t="s">
        <v>6563</v>
      </c>
      <c r="S4414" s="150"/>
    </row>
    <row r="4415" spans="1:19" hidden="1">
      <c r="A4415" s="149" t="s">
        <v>6541</v>
      </c>
      <c r="B4415" s="150" t="str">
        <f>IFERROR(VLOOKUP(Proc[[#This Row],[App]],Table2[],3,0),"open")</f>
        <v>ok</v>
      </c>
      <c r="C4415" s="149" t="s">
        <v>369</v>
      </c>
      <c r="D4415" t="s">
        <v>6560</v>
      </c>
      <c r="E4415" t="s">
        <v>6542</v>
      </c>
      <c r="F4415" s="150" t="s">
        <v>6542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6435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37</v>
      </c>
      <c r="R4415" s="159" t="s">
        <v>6563</v>
      </c>
      <c r="S4415" s="150"/>
    </row>
    <row r="4416" spans="1:19" hidden="1">
      <c r="A4416" s="149" t="s">
        <v>6541</v>
      </c>
      <c r="B4416" s="150" t="str">
        <f>IFERROR(VLOOKUP(Proc[[#This Row],[App]],Table2[],3,0),"open")</f>
        <v>ok</v>
      </c>
      <c r="C4416" s="149" t="s">
        <v>369</v>
      </c>
      <c r="D4416" t="s">
        <v>6561</v>
      </c>
      <c r="E4416" t="s">
        <v>6542</v>
      </c>
      <c r="F4416" s="150" t="s">
        <v>6542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6435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37</v>
      </c>
      <c r="R4416" s="159" t="s">
        <v>6563</v>
      </c>
      <c r="S4416" s="150"/>
    </row>
    <row r="4417" spans="1:19" hidden="1">
      <c r="A4417" s="149" t="s">
        <v>6541</v>
      </c>
      <c r="B4417" s="150" t="str">
        <f>IFERROR(VLOOKUP(Proc[[#This Row],[App]],Table2[],3,0),"open")</f>
        <v>ok</v>
      </c>
      <c r="C4417" s="149" t="s">
        <v>369</v>
      </c>
      <c r="D4417" t="s">
        <v>6562</v>
      </c>
      <c r="E4417" t="s">
        <v>6542</v>
      </c>
      <c r="F4417" s="150" t="s">
        <v>6542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6435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37</v>
      </c>
      <c r="R4417" s="159" t="s">
        <v>6563</v>
      </c>
      <c r="S4417" s="150"/>
    </row>
    <row r="4418" spans="1:19" hidden="1">
      <c r="A4418" t="s">
        <v>6564</v>
      </c>
      <c r="B4418" s="150" t="str">
        <f>IFERROR(VLOOKUP(Proc[[#This Row],[App]],Table2[],3,0),"open")</f>
        <v>ok</v>
      </c>
      <c r="C4418" s="149" t="s">
        <v>369</v>
      </c>
      <c r="D4418" t="s">
        <v>6568</v>
      </c>
      <c r="E4418" t="s">
        <v>6565</v>
      </c>
      <c r="F4418" s="150" t="s">
        <v>6565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6435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37</v>
      </c>
      <c r="R4418" s="159" t="s">
        <v>498</v>
      </c>
      <c r="S4418" s="150"/>
    </row>
    <row r="4419" spans="1:19" hidden="1">
      <c r="A4419" s="149" t="s">
        <v>6564</v>
      </c>
      <c r="B4419" s="150" t="str">
        <f>IFERROR(VLOOKUP(Proc[[#This Row],[App]],Table2[],3,0),"open")</f>
        <v>ok</v>
      </c>
      <c r="C4419" s="149" t="s">
        <v>369</v>
      </c>
      <c r="D4419" t="s">
        <v>6569</v>
      </c>
      <c r="E4419" t="s">
        <v>6566</v>
      </c>
      <c r="F4419" s="150" t="s">
        <v>6566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6435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37</v>
      </c>
      <c r="R4419" s="159" t="s">
        <v>498</v>
      </c>
      <c r="S4419" s="150"/>
    </row>
    <row r="4420" spans="1:19" hidden="1">
      <c r="A4420" s="149" t="s">
        <v>6564</v>
      </c>
      <c r="B4420" s="150" t="str">
        <f>IFERROR(VLOOKUP(Proc[[#This Row],[App]],Table2[],3,0),"open")</f>
        <v>ok</v>
      </c>
      <c r="C4420" s="149" t="s">
        <v>369</v>
      </c>
      <c r="D4420" t="s">
        <v>6570</v>
      </c>
      <c r="E4420" t="s">
        <v>6567</v>
      </c>
      <c r="F4420" s="150" t="s">
        <v>6567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6435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37</v>
      </c>
      <c r="R4420" s="159" t="s">
        <v>498</v>
      </c>
      <c r="S4420" s="150"/>
    </row>
    <row r="4421" spans="1:19" hidden="1">
      <c r="A4421" t="s">
        <v>6572</v>
      </c>
      <c r="B4421" s="150" t="str">
        <f>IFERROR(VLOOKUP(Proc[[#This Row],[App]],Table2[],3,0),"open")</f>
        <v>ok</v>
      </c>
      <c r="C4421" t="s">
        <v>369</v>
      </c>
      <c r="D4421" t="s">
        <v>6571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6435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36</v>
      </c>
      <c r="R4421" s="159" t="s">
        <v>6573</v>
      </c>
      <c r="S4421" s="150"/>
    </row>
    <row r="4422" spans="1:19" hidden="1">
      <c r="A4422" t="s">
        <v>6574</v>
      </c>
      <c r="B4422" s="150" t="str">
        <f>IFERROR(VLOOKUP(Proc[[#This Row],[App]],Table2[],3,0),"open")</f>
        <v>ok</v>
      </c>
      <c r="C4422" t="s">
        <v>369</v>
      </c>
      <c r="D4422" t="s">
        <v>6600</v>
      </c>
      <c r="E4422" t="s">
        <v>4914</v>
      </c>
      <c r="F4422" s="150" t="s">
        <v>4914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6435</v>
      </c>
      <c r="M4422" s="160">
        <v>45954</v>
      </c>
      <c r="N4422" s="160"/>
      <c r="O4422" s="160"/>
      <c r="P4422" s="161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35</v>
      </c>
      <c r="R4422" s="161" t="s">
        <v>764</v>
      </c>
      <c r="S4422" s="150"/>
    </row>
    <row r="4423" spans="1:19" hidden="1">
      <c r="A4423" t="s">
        <v>6599</v>
      </c>
      <c r="B4423" s="150" t="str">
        <f>IFERROR(VLOOKUP(Proc[[#This Row],[App]],Table2[],3,0),"open")</f>
        <v>ok</v>
      </c>
      <c r="C4423" t="s">
        <v>369</v>
      </c>
      <c r="D4423" t="s">
        <v>6575</v>
      </c>
      <c r="E4423" t="s">
        <v>6601</v>
      </c>
      <c r="F4423" s="150" t="s">
        <v>6601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6435</v>
      </c>
      <c r="M4423" s="160">
        <v>45957</v>
      </c>
      <c r="N4423" s="160"/>
      <c r="O4423" s="160"/>
      <c r="P4423" s="161" t="str">
        <f ca="1">IF(Proc[[#This Row],[DaysAgeing]]&gt;5,"yep","on track")</f>
        <v>yep</v>
      </c>
      <c r="Q4423" s="3">
        <f ca="1">IF(Proc[[#This Row],[DateClosed]]="",ABS(NETWORKDAYS(Proc[[#This Row],[DateOpened]],TODAY()))-1,ABS(NETWORKDAYS(Proc[[#This Row],[DateOpened]],Proc[[#This Row],[DateClosed]]))-1)</f>
        <v>34</v>
      </c>
      <c r="R4423" s="161" t="s">
        <v>5709</v>
      </c>
      <c r="S4423" s="150"/>
    </row>
    <row r="4424" spans="1:19" hidden="1">
      <c r="A4424" t="s">
        <v>6599</v>
      </c>
      <c r="B4424" s="150" t="str">
        <f>IFERROR(VLOOKUP(Proc[[#This Row],[App]],Table2[],3,0),"open")</f>
        <v>ok</v>
      </c>
      <c r="C4424" s="149" t="s">
        <v>369</v>
      </c>
      <c r="D4424" t="s">
        <v>6576</v>
      </c>
      <c r="E4424" t="s">
        <v>6601</v>
      </c>
      <c r="F4424" s="150" t="s">
        <v>6601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6435</v>
      </c>
      <c r="M4424" s="160">
        <v>45957</v>
      </c>
      <c r="N4424" s="160"/>
      <c r="O4424" s="160"/>
      <c r="P4424" s="161" t="str">
        <f ca="1">IF(Proc[[#This Row],[DaysAgeing]]&gt;5,"yep","on track")</f>
        <v>yep</v>
      </c>
      <c r="Q4424" s="3">
        <f ca="1">IF(Proc[[#This Row],[DateClosed]]="",ABS(NETWORKDAYS(Proc[[#This Row],[DateOpened]],TODAY()))-1,ABS(NETWORKDAYS(Proc[[#This Row],[DateOpened]],Proc[[#This Row],[DateClosed]]))-1)</f>
        <v>34</v>
      </c>
      <c r="R4424" s="161" t="s">
        <v>5709</v>
      </c>
      <c r="S4424" s="150"/>
    </row>
    <row r="4425" spans="1:19" hidden="1">
      <c r="A4425" s="149" t="s">
        <v>6599</v>
      </c>
      <c r="B4425" s="150" t="str">
        <f>IFERROR(VLOOKUP(Proc[[#This Row],[App]],Table2[],3,0),"open")</f>
        <v>ok</v>
      </c>
      <c r="C4425" s="149" t="s">
        <v>369</v>
      </c>
      <c r="D4425" t="s">
        <v>6577</v>
      </c>
      <c r="E4425" t="s">
        <v>6601</v>
      </c>
      <c r="F4425" s="150" t="s">
        <v>6601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6435</v>
      </c>
      <c r="M4425" s="160">
        <v>45957</v>
      </c>
      <c r="N4425" s="160"/>
      <c r="O4425" s="160"/>
      <c r="P4425" s="161" t="str">
        <f ca="1">IF(Proc[[#This Row],[DaysAgeing]]&gt;5,"yep","on track")</f>
        <v>yep</v>
      </c>
      <c r="Q4425" s="3">
        <f ca="1">IF(Proc[[#This Row],[DateClosed]]="",ABS(NETWORKDAYS(Proc[[#This Row],[DateOpened]],TODAY()))-1,ABS(NETWORKDAYS(Proc[[#This Row],[DateOpened]],Proc[[#This Row],[DateClosed]]))-1)</f>
        <v>34</v>
      </c>
      <c r="R4425" s="161" t="s">
        <v>5709</v>
      </c>
      <c r="S4425" s="150"/>
    </row>
    <row r="4426" spans="1:19" hidden="1">
      <c r="A4426" s="149" t="s">
        <v>6599</v>
      </c>
      <c r="B4426" s="150" t="str">
        <f>IFERROR(VLOOKUP(Proc[[#This Row],[App]],Table2[],3,0),"open")</f>
        <v>ok</v>
      </c>
      <c r="C4426" s="149" t="s">
        <v>377</v>
      </c>
      <c r="D4426" t="s">
        <v>6578</v>
      </c>
      <c r="E4426" t="s">
        <v>6601</v>
      </c>
      <c r="F4426" s="150" t="s">
        <v>6275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6435</v>
      </c>
      <c r="M4426" s="160">
        <v>45957</v>
      </c>
      <c r="N4426" s="160"/>
      <c r="O4426" s="160"/>
      <c r="P4426" s="161" t="str">
        <f ca="1">IF(Proc[[#This Row],[DaysAgeing]]&gt;5,"yep","on track")</f>
        <v>yep</v>
      </c>
      <c r="Q4426" s="3">
        <f ca="1">IF(Proc[[#This Row],[DateClosed]]="",ABS(NETWORKDAYS(Proc[[#This Row],[DateOpened]],TODAY()))-1,ABS(NETWORKDAYS(Proc[[#This Row],[DateOpened]],Proc[[#This Row],[DateClosed]]))-1)</f>
        <v>34</v>
      </c>
      <c r="R4426" s="161" t="s">
        <v>5709</v>
      </c>
      <c r="S4426" s="150"/>
    </row>
    <row r="4427" spans="1:19" hidden="1">
      <c r="A4427" s="149" t="s">
        <v>6599</v>
      </c>
      <c r="B4427" s="150" t="str">
        <f>IFERROR(VLOOKUP(Proc[[#This Row],[App]],Table2[],3,0),"open")</f>
        <v>ok</v>
      </c>
      <c r="C4427" s="149" t="s">
        <v>369</v>
      </c>
      <c r="D4427" t="s">
        <v>6579</v>
      </c>
      <c r="E4427" t="s">
        <v>6601</v>
      </c>
      <c r="F4427" s="150" t="s">
        <v>6601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6435</v>
      </c>
      <c r="M4427" s="160">
        <v>45957</v>
      </c>
      <c r="N4427" s="160"/>
      <c r="O4427" s="160"/>
      <c r="P4427" s="161" t="str">
        <f ca="1">IF(Proc[[#This Row],[DaysAgeing]]&gt;5,"yep","on track")</f>
        <v>yep</v>
      </c>
      <c r="Q4427" s="3">
        <f ca="1">IF(Proc[[#This Row],[DateClosed]]="",ABS(NETWORKDAYS(Proc[[#This Row],[DateOpened]],TODAY()))-1,ABS(NETWORKDAYS(Proc[[#This Row],[DateOpened]],Proc[[#This Row],[DateClosed]]))-1)</f>
        <v>34</v>
      </c>
      <c r="R4427" s="161" t="s">
        <v>5709</v>
      </c>
      <c r="S4427" s="150"/>
    </row>
    <row r="4428" spans="1:19" hidden="1">
      <c r="A4428" s="149" t="s">
        <v>6599</v>
      </c>
      <c r="B4428" s="150" t="str">
        <f>IFERROR(VLOOKUP(Proc[[#This Row],[App]],Table2[],3,0),"open")</f>
        <v>ok</v>
      </c>
      <c r="C4428" s="149" t="s">
        <v>369</v>
      </c>
      <c r="D4428" t="s">
        <v>6580</v>
      </c>
      <c r="E4428" t="s">
        <v>6601</v>
      </c>
      <c r="F4428" s="150" t="s">
        <v>6601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6435</v>
      </c>
      <c r="M4428" s="160">
        <v>45957</v>
      </c>
      <c r="N4428" s="160"/>
      <c r="O4428" s="160"/>
      <c r="P4428" s="161" t="str">
        <f ca="1">IF(Proc[[#This Row],[DaysAgeing]]&gt;5,"yep","on track")</f>
        <v>yep</v>
      </c>
      <c r="Q4428" s="3">
        <f ca="1">IF(Proc[[#This Row],[DateClosed]]="",ABS(NETWORKDAYS(Proc[[#This Row],[DateOpened]],TODAY()))-1,ABS(NETWORKDAYS(Proc[[#This Row],[DateOpened]],Proc[[#This Row],[DateClosed]]))-1)</f>
        <v>34</v>
      </c>
      <c r="R4428" s="161" t="s">
        <v>5709</v>
      </c>
      <c r="S4428" s="150"/>
    </row>
    <row r="4429" spans="1:19" hidden="1">
      <c r="A4429" s="149" t="s">
        <v>6599</v>
      </c>
      <c r="B4429" s="150" t="str">
        <f>IFERROR(VLOOKUP(Proc[[#This Row],[App]],Table2[],3,0),"open")</f>
        <v>ok</v>
      </c>
      <c r="C4429" s="149" t="s">
        <v>369</v>
      </c>
      <c r="D4429" t="s">
        <v>6581</v>
      </c>
      <c r="E4429" t="s">
        <v>6601</v>
      </c>
      <c r="F4429" s="150" t="s">
        <v>6601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6435</v>
      </c>
      <c r="M4429" s="160">
        <v>45957</v>
      </c>
      <c r="N4429" s="160"/>
      <c r="O4429" s="160"/>
      <c r="P4429" s="161" t="str">
        <f ca="1">IF(Proc[[#This Row],[DaysAgeing]]&gt;5,"yep","on track")</f>
        <v>yep</v>
      </c>
      <c r="Q4429" s="3">
        <f ca="1">IF(Proc[[#This Row],[DateClosed]]="",ABS(NETWORKDAYS(Proc[[#This Row],[DateOpened]],TODAY()))-1,ABS(NETWORKDAYS(Proc[[#This Row],[DateOpened]],Proc[[#This Row],[DateClosed]]))-1)</f>
        <v>34</v>
      </c>
      <c r="R4429" s="161" t="s">
        <v>5709</v>
      </c>
      <c r="S4429" s="150"/>
    </row>
    <row r="4430" spans="1:19" hidden="1">
      <c r="A4430" s="149" t="s">
        <v>6599</v>
      </c>
      <c r="B4430" s="150" t="str">
        <f>IFERROR(VLOOKUP(Proc[[#This Row],[App]],Table2[],3,0),"open")</f>
        <v>ok</v>
      </c>
      <c r="C4430" s="149" t="s">
        <v>369</v>
      </c>
      <c r="D4430" t="s">
        <v>6582</v>
      </c>
      <c r="E4430" t="s">
        <v>6601</v>
      </c>
      <c r="F4430" s="150" t="s">
        <v>6601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6435</v>
      </c>
      <c r="M4430" s="160">
        <v>45957</v>
      </c>
      <c r="N4430" s="160"/>
      <c r="O4430" s="160"/>
      <c r="P4430" s="161" t="str">
        <f ca="1">IF(Proc[[#This Row],[DaysAgeing]]&gt;5,"yep","on track")</f>
        <v>yep</v>
      </c>
      <c r="Q4430" s="3">
        <f ca="1">IF(Proc[[#This Row],[DateClosed]]="",ABS(NETWORKDAYS(Proc[[#This Row],[DateOpened]],TODAY()))-1,ABS(NETWORKDAYS(Proc[[#This Row],[DateOpened]],Proc[[#This Row],[DateClosed]]))-1)</f>
        <v>34</v>
      </c>
      <c r="R4430" s="161" t="s">
        <v>5709</v>
      </c>
      <c r="S4430" s="150"/>
    </row>
    <row r="4431" spans="1:19" hidden="1">
      <c r="A4431" s="149" t="s">
        <v>6599</v>
      </c>
      <c r="B4431" s="150" t="str">
        <f>IFERROR(VLOOKUP(Proc[[#This Row],[App]],Table2[],3,0),"open")</f>
        <v>ok</v>
      </c>
      <c r="C4431" s="149" t="s">
        <v>369</v>
      </c>
      <c r="D4431" t="s">
        <v>6583</v>
      </c>
      <c r="E4431" t="s">
        <v>6601</v>
      </c>
      <c r="F4431" s="150" t="s">
        <v>6601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6435</v>
      </c>
      <c r="M4431" s="160">
        <v>45957</v>
      </c>
      <c r="N4431" s="160"/>
      <c r="O4431" s="160"/>
      <c r="P4431" s="161" t="str">
        <f ca="1">IF(Proc[[#This Row],[DaysAgeing]]&gt;5,"yep","on track")</f>
        <v>yep</v>
      </c>
      <c r="Q4431" s="3">
        <f ca="1">IF(Proc[[#This Row],[DateClosed]]="",ABS(NETWORKDAYS(Proc[[#This Row],[DateOpened]],TODAY()))-1,ABS(NETWORKDAYS(Proc[[#This Row],[DateOpened]],Proc[[#This Row],[DateClosed]]))-1)</f>
        <v>34</v>
      </c>
      <c r="R4431" s="161" t="s">
        <v>5709</v>
      </c>
      <c r="S4431" s="150"/>
    </row>
    <row r="4432" spans="1:19" hidden="1">
      <c r="A4432" s="149" t="s">
        <v>6599</v>
      </c>
      <c r="B4432" s="150" t="str">
        <f>IFERROR(VLOOKUP(Proc[[#This Row],[App]],Table2[],3,0),"open")</f>
        <v>ok</v>
      </c>
      <c r="C4432" s="149" t="s">
        <v>369</v>
      </c>
      <c r="D4432" t="s">
        <v>6584</v>
      </c>
      <c r="E4432" t="s">
        <v>6601</v>
      </c>
      <c r="F4432" s="150" t="s">
        <v>6601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6435</v>
      </c>
      <c r="M4432" s="160">
        <v>45957</v>
      </c>
      <c r="N4432" s="160"/>
      <c r="O4432" s="160"/>
      <c r="P4432" s="161" t="str">
        <f ca="1">IF(Proc[[#This Row],[DaysAgeing]]&gt;5,"yep","on track")</f>
        <v>yep</v>
      </c>
      <c r="Q4432" s="3">
        <f ca="1">IF(Proc[[#This Row],[DateClosed]]="",ABS(NETWORKDAYS(Proc[[#This Row],[DateOpened]],TODAY()))-1,ABS(NETWORKDAYS(Proc[[#This Row],[DateOpened]],Proc[[#This Row],[DateClosed]]))-1)</f>
        <v>34</v>
      </c>
      <c r="R4432" s="161" t="s">
        <v>5709</v>
      </c>
      <c r="S4432" s="150"/>
    </row>
    <row r="4433" spans="1:19" hidden="1">
      <c r="A4433" s="149" t="s">
        <v>6599</v>
      </c>
      <c r="B4433" s="150" t="str">
        <f>IFERROR(VLOOKUP(Proc[[#This Row],[App]],Table2[],3,0),"open")</f>
        <v>ok</v>
      </c>
      <c r="C4433" s="149" t="s">
        <v>377</v>
      </c>
      <c r="D4433" t="s">
        <v>6585</v>
      </c>
      <c r="E4433" t="s">
        <v>5770</v>
      </c>
      <c r="F4433" s="150" t="s">
        <v>6275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6435</v>
      </c>
      <c r="M4433" s="160">
        <v>45957</v>
      </c>
      <c r="N4433" s="160"/>
      <c r="O4433" s="160"/>
      <c r="P4433" s="161" t="str">
        <f ca="1">IF(Proc[[#This Row],[DaysAgeing]]&gt;5,"yep","on track")</f>
        <v>yep</v>
      </c>
      <c r="Q4433" s="3">
        <f ca="1">IF(Proc[[#This Row],[DateClosed]]="",ABS(NETWORKDAYS(Proc[[#This Row],[DateOpened]],TODAY()))-1,ABS(NETWORKDAYS(Proc[[#This Row],[DateOpened]],Proc[[#This Row],[DateClosed]]))-1)</f>
        <v>34</v>
      </c>
      <c r="R4433" s="161" t="s">
        <v>5709</v>
      </c>
      <c r="S4433" s="150"/>
    </row>
    <row r="4434" spans="1:19" hidden="1">
      <c r="A4434" s="149" t="s">
        <v>6599</v>
      </c>
      <c r="B4434" s="150" t="str">
        <f>IFERROR(VLOOKUP(Proc[[#This Row],[App]],Table2[],3,0),"open")</f>
        <v>ok</v>
      </c>
      <c r="C4434" s="149" t="s">
        <v>369</v>
      </c>
      <c r="D4434" t="s">
        <v>6586</v>
      </c>
      <c r="E4434" t="s">
        <v>6602</v>
      </c>
      <c r="F4434" s="150" t="s">
        <v>6602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6435</v>
      </c>
      <c r="M4434" s="160">
        <v>45957</v>
      </c>
      <c r="N4434" s="160"/>
      <c r="O4434" s="160"/>
      <c r="P4434" s="161" t="str">
        <f ca="1">IF(Proc[[#This Row],[DaysAgeing]]&gt;5,"yep","on track")</f>
        <v>yep</v>
      </c>
      <c r="Q4434" s="3">
        <f ca="1">IF(Proc[[#This Row],[DateClosed]]="",ABS(NETWORKDAYS(Proc[[#This Row],[DateOpened]],TODAY()))-1,ABS(NETWORKDAYS(Proc[[#This Row],[DateOpened]],Proc[[#This Row],[DateClosed]]))-1)</f>
        <v>34</v>
      </c>
      <c r="R4434" s="161" t="s">
        <v>5709</v>
      </c>
      <c r="S4434" s="150"/>
    </row>
    <row r="4435" spans="1:19" hidden="1">
      <c r="A4435" s="149" t="s">
        <v>6599</v>
      </c>
      <c r="B4435" s="150" t="str">
        <f>IFERROR(VLOOKUP(Proc[[#This Row],[App]],Table2[],3,0),"open")</f>
        <v>ok</v>
      </c>
      <c r="C4435" s="149" t="s">
        <v>369</v>
      </c>
      <c r="D4435" t="s">
        <v>6587</v>
      </c>
      <c r="E4435" t="s">
        <v>6602</v>
      </c>
      <c r="F4435" s="150" t="s">
        <v>6602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6435</v>
      </c>
      <c r="M4435" s="160">
        <v>45957</v>
      </c>
      <c r="N4435" s="160"/>
      <c r="O4435" s="160"/>
      <c r="P4435" s="161" t="str">
        <f ca="1">IF(Proc[[#This Row],[DaysAgeing]]&gt;5,"yep","on track")</f>
        <v>yep</v>
      </c>
      <c r="Q4435" s="3">
        <f ca="1">IF(Proc[[#This Row],[DateClosed]]="",ABS(NETWORKDAYS(Proc[[#This Row],[DateOpened]],TODAY()))-1,ABS(NETWORKDAYS(Proc[[#This Row],[DateOpened]],Proc[[#This Row],[DateClosed]]))-1)</f>
        <v>34</v>
      </c>
      <c r="R4435" s="161" t="s">
        <v>5709</v>
      </c>
      <c r="S4435" s="150"/>
    </row>
    <row r="4436" spans="1:19" hidden="1">
      <c r="A4436" s="149" t="s">
        <v>6599</v>
      </c>
      <c r="B4436" s="150" t="str">
        <f>IFERROR(VLOOKUP(Proc[[#This Row],[App]],Table2[],3,0),"open")</f>
        <v>ok</v>
      </c>
      <c r="C4436" s="149" t="s">
        <v>377</v>
      </c>
      <c r="D4436" t="s">
        <v>6588</v>
      </c>
      <c r="E4436" t="s">
        <v>6602</v>
      </c>
      <c r="F4436" s="150" t="s">
        <v>6275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6435</v>
      </c>
      <c r="M4436" s="160">
        <v>45957</v>
      </c>
      <c r="N4436" s="160"/>
      <c r="O4436" s="160"/>
      <c r="P4436" s="161" t="str">
        <f ca="1">IF(Proc[[#This Row],[DaysAgeing]]&gt;5,"yep","on track")</f>
        <v>yep</v>
      </c>
      <c r="Q4436" s="3">
        <f ca="1">IF(Proc[[#This Row],[DateClosed]]="",ABS(NETWORKDAYS(Proc[[#This Row],[DateOpened]],TODAY()))-1,ABS(NETWORKDAYS(Proc[[#This Row],[DateOpened]],Proc[[#This Row],[DateClosed]]))-1)</f>
        <v>34</v>
      </c>
      <c r="R4436" s="161" t="s">
        <v>5709</v>
      </c>
      <c r="S4436" s="150"/>
    </row>
    <row r="4437" spans="1:19" hidden="1">
      <c r="A4437" s="149" t="s">
        <v>6599</v>
      </c>
      <c r="B4437" s="150" t="str">
        <f>IFERROR(VLOOKUP(Proc[[#This Row],[App]],Table2[],3,0),"open")</f>
        <v>ok</v>
      </c>
      <c r="C4437" s="149" t="s">
        <v>377</v>
      </c>
      <c r="D4437" t="s">
        <v>6589</v>
      </c>
      <c r="E4437" t="s">
        <v>6602</v>
      </c>
      <c r="F4437" s="150" t="s">
        <v>6275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6435</v>
      </c>
      <c r="M4437" s="160">
        <v>45957</v>
      </c>
      <c r="N4437" s="160"/>
      <c r="O4437" s="160"/>
      <c r="P4437" s="161" t="str">
        <f ca="1">IF(Proc[[#This Row],[DaysAgeing]]&gt;5,"yep","on track")</f>
        <v>yep</v>
      </c>
      <c r="Q4437" s="3">
        <f ca="1">IF(Proc[[#This Row],[DateClosed]]="",ABS(NETWORKDAYS(Proc[[#This Row],[DateOpened]],TODAY()))-1,ABS(NETWORKDAYS(Proc[[#This Row],[DateOpened]],Proc[[#This Row],[DateClosed]]))-1)</f>
        <v>34</v>
      </c>
      <c r="R4437" s="161" t="s">
        <v>5709</v>
      </c>
      <c r="S4437" s="150"/>
    </row>
    <row r="4438" spans="1:19" hidden="1">
      <c r="A4438" s="149" t="s">
        <v>6599</v>
      </c>
      <c r="B4438" s="150" t="str">
        <f>IFERROR(VLOOKUP(Proc[[#This Row],[App]],Table2[],3,0),"open")</f>
        <v>ok</v>
      </c>
      <c r="C4438" s="149" t="s">
        <v>377</v>
      </c>
      <c r="D4438" t="s">
        <v>6590</v>
      </c>
      <c r="E4438" t="s">
        <v>6602</v>
      </c>
      <c r="F4438" s="150" t="s">
        <v>6275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6435</v>
      </c>
      <c r="M4438" s="160">
        <v>45957</v>
      </c>
      <c r="N4438" s="160"/>
      <c r="O4438" s="160"/>
      <c r="P4438" s="161" t="str">
        <f ca="1">IF(Proc[[#This Row],[DaysAgeing]]&gt;5,"yep","on track")</f>
        <v>yep</v>
      </c>
      <c r="Q4438" s="3">
        <f ca="1">IF(Proc[[#This Row],[DateClosed]]="",ABS(NETWORKDAYS(Proc[[#This Row],[DateOpened]],TODAY()))-1,ABS(NETWORKDAYS(Proc[[#This Row],[DateOpened]],Proc[[#This Row],[DateClosed]]))-1)</f>
        <v>34</v>
      </c>
      <c r="R4438" s="161" t="s">
        <v>5709</v>
      </c>
      <c r="S4438" s="150"/>
    </row>
    <row r="4439" spans="1:19" hidden="1">
      <c r="A4439" s="149" t="s">
        <v>6599</v>
      </c>
      <c r="B4439" s="150" t="str">
        <f>IFERROR(VLOOKUP(Proc[[#This Row],[App]],Table2[],3,0),"open")</f>
        <v>ok</v>
      </c>
      <c r="C4439" s="149" t="s">
        <v>377</v>
      </c>
      <c r="D4439" t="s">
        <v>6591</v>
      </c>
      <c r="E4439" t="s">
        <v>6602</v>
      </c>
      <c r="F4439" s="150" t="s">
        <v>6275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6435</v>
      </c>
      <c r="M4439" s="160">
        <v>45957</v>
      </c>
      <c r="N4439" s="160"/>
      <c r="O4439" s="160"/>
      <c r="P4439" s="161" t="str">
        <f ca="1">IF(Proc[[#This Row],[DaysAgeing]]&gt;5,"yep","on track")</f>
        <v>yep</v>
      </c>
      <c r="Q4439" s="3">
        <f ca="1">IF(Proc[[#This Row],[DateClosed]]="",ABS(NETWORKDAYS(Proc[[#This Row],[DateOpened]],TODAY()))-1,ABS(NETWORKDAYS(Proc[[#This Row],[DateOpened]],Proc[[#This Row],[DateClosed]]))-1)</f>
        <v>34</v>
      </c>
      <c r="R4439" s="161" t="s">
        <v>5709</v>
      </c>
      <c r="S4439" s="150"/>
    </row>
    <row r="4440" spans="1:19" hidden="1">
      <c r="A4440" s="149" t="s">
        <v>6599</v>
      </c>
      <c r="B4440" s="150" t="str">
        <f>IFERROR(VLOOKUP(Proc[[#This Row],[App]],Table2[],3,0),"open")</f>
        <v>ok</v>
      </c>
      <c r="C4440" s="149" t="s">
        <v>369</v>
      </c>
      <c r="D4440" t="s">
        <v>6592</v>
      </c>
      <c r="E4440" t="s">
        <v>6602</v>
      </c>
      <c r="F4440" s="150" t="s">
        <v>6602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6435</v>
      </c>
      <c r="M4440" s="160">
        <v>45957</v>
      </c>
      <c r="N4440" s="160"/>
      <c r="O4440" s="160"/>
      <c r="P4440" s="161" t="str">
        <f ca="1">IF(Proc[[#This Row],[DaysAgeing]]&gt;5,"yep","on track")</f>
        <v>yep</v>
      </c>
      <c r="Q4440" s="3">
        <f ca="1">IF(Proc[[#This Row],[DateClosed]]="",ABS(NETWORKDAYS(Proc[[#This Row],[DateOpened]],TODAY()))-1,ABS(NETWORKDAYS(Proc[[#This Row],[DateOpened]],Proc[[#This Row],[DateClosed]]))-1)</f>
        <v>34</v>
      </c>
      <c r="R4440" s="161" t="s">
        <v>5709</v>
      </c>
      <c r="S4440" s="150"/>
    </row>
    <row r="4441" spans="1:19" hidden="1">
      <c r="A4441" s="149" t="s">
        <v>6599</v>
      </c>
      <c r="B4441" s="150" t="str">
        <f>IFERROR(VLOOKUP(Proc[[#This Row],[App]],Table2[],3,0),"open")</f>
        <v>ok</v>
      </c>
      <c r="C4441" s="149" t="s">
        <v>369</v>
      </c>
      <c r="D4441" t="s">
        <v>6593</v>
      </c>
      <c r="E4441" t="s">
        <v>6602</v>
      </c>
      <c r="F4441" s="150" t="s">
        <v>6602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6435</v>
      </c>
      <c r="M4441" s="160">
        <v>45957</v>
      </c>
      <c r="N4441" s="160"/>
      <c r="O4441" s="160"/>
      <c r="P4441" s="161" t="str">
        <f ca="1">IF(Proc[[#This Row],[DaysAgeing]]&gt;5,"yep","on track")</f>
        <v>yep</v>
      </c>
      <c r="Q4441" s="3">
        <f ca="1">IF(Proc[[#This Row],[DateClosed]]="",ABS(NETWORKDAYS(Proc[[#This Row],[DateOpened]],TODAY()))-1,ABS(NETWORKDAYS(Proc[[#This Row],[DateOpened]],Proc[[#This Row],[DateClosed]]))-1)</f>
        <v>34</v>
      </c>
      <c r="R4441" s="161" t="s">
        <v>5709</v>
      </c>
      <c r="S4441" s="150"/>
    </row>
    <row r="4442" spans="1:19" hidden="1">
      <c r="A4442" s="149" t="s">
        <v>6599</v>
      </c>
      <c r="B4442" s="150" t="str">
        <f>IFERROR(VLOOKUP(Proc[[#This Row],[App]],Table2[],3,0),"open")</f>
        <v>ok</v>
      </c>
      <c r="C4442" s="149" t="s">
        <v>369</v>
      </c>
      <c r="D4442" t="s">
        <v>6594</v>
      </c>
      <c r="E4442" t="s">
        <v>6602</v>
      </c>
      <c r="F4442" s="150" t="s">
        <v>6602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6435</v>
      </c>
      <c r="M4442" s="160">
        <v>45957</v>
      </c>
      <c r="N4442" s="160"/>
      <c r="O4442" s="160"/>
      <c r="P4442" s="161" t="str">
        <f ca="1">IF(Proc[[#This Row],[DaysAgeing]]&gt;5,"yep","on track")</f>
        <v>yep</v>
      </c>
      <c r="Q4442" s="3">
        <f ca="1">IF(Proc[[#This Row],[DateClosed]]="",ABS(NETWORKDAYS(Proc[[#This Row],[DateOpened]],TODAY()))-1,ABS(NETWORKDAYS(Proc[[#This Row],[DateOpened]],Proc[[#This Row],[DateClosed]]))-1)</f>
        <v>34</v>
      </c>
      <c r="R4442" s="161" t="s">
        <v>5709</v>
      </c>
      <c r="S4442" s="150"/>
    </row>
    <row r="4443" spans="1:19" hidden="1">
      <c r="A4443" s="149" t="s">
        <v>6599</v>
      </c>
      <c r="B4443" s="150" t="str">
        <f>IFERROR(VLOOKUP(Proc[[#This Row],[App]],Table2[],3,0),"open")</f>
        <v>ok</v>
      </c>
      <c r="C4443" s="149" t="s">
        <v>369</v>
      </c>
      <c r="D4443" t="s">
        <v>6595</v>
      </c>
      <c r="E4443" t="s">
        <v>6602</v>
      </c>
      <c r="F4443" s="150" t="s">
        <v>6602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6435</v>
      </c>
      <c r="M4443" s="160">
        <v>45957</v>
      </c>
      <c r="N4443" s="160"/>
      <c r="O4443" s="160"/>
      <c r="P4443" s="161" t="str">
        <f ca="1">IF(Proc[[#This Row],[DaysAgeing]]&gt;5,"yep","on track")</f>
        <v>yep</v>
      </c>
      <c r="Q4443" s="3">
        <f ca="1">IF(Proc[[#This Row],[DateClosed]]="",ABS(NETWORKDAYS(Proc[[#This Row],[DateOpened]],TODAY()))-1,ABS(NETWORKDAYS(Proc[[#This Row],[DateOpened]],Proc[[#This Row],[DateClosed]]))-1)</f>
        <v>34</v>
      </c>
      <c r="R4443" s="161" t="s">
        <v>5709</v>
      </c>
      <c r="S4443" s="150"/>
    </row>
    <row r="4444" spans="1:19" hidden="1">
      <c r="A4444" s="149" t="s">
        <v>6599</v>
      </c>
      <c r="B4444" s="150" t="str">
        <f>IFERROR(VLOOKUP(Proc[[#This Row],[App]],Table2[],3,0),"open")</f>
        <v>ok</v>
      </c>
      <c r="C4444" s="149" t="s">
        <v>369</v>
      </c>
      <c r="D4444" t="s">
        <v>6596</v>
      </c>
      <c r="E4444" t="s">
        <v>6603</v>
      </c>
      <c r="F4444" s="150" t="s">
        <v>6603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6435</v>
      </c>
      <c r="M4444" s="160">
        <v>45957</v>
      </c>
      <c r="N4444" s="160"/>
      <c r="O4444" s="160"/>
      <c r="P4444" s="161" t="str">
        <f ca="1">IF(Proc[[#This Row],[DaysAgeing]]&gt;5,"yep","on track")</f>
        <v>yep</v>
      </c>
      <c r="Q4444" s="3">
        <f ca="1">IF(Proc[[#This Row],[DateClosed]]="",ABS(NETWORKDAYS(Proc[[#This Row],[DateOpened]],TODAY()))-1,ABS(NETWORKDAYS(Proc[[#This Row],[DateOpened]],Proc[[#This Row],[DateClosed]]))-1)</f>
        <v>34</v>
      </c>
      <c r="R4444" s="161" t="s">
        <v>5709</v>
      </c>
      <c r="S4444" s="150"/>
    </row>
    <row r="4445" spans="1:19" hidden="1">
      <c r="A4445" s="149" t="s">
        <v>6599</v>
      </c>
      <c r="B4445" s="150" t="str">
        <f>IFERROR(VLOOKUP(Proc[[#This Row],[App]],Table2[],3,0),"open")</f>
        <v>ok</v>
      </c>
      <c r="C4445" s="149" t="s">
        <v>369</v>
      </c>
      <c r="D4445" t="s">
        <v>6597</v>
      </c>
      <c r="E4445" t="s">
        <v>6603</v>
      </c>
      <c r="F4445" s="150" t="s">
        <v>6603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6435</v>
      </c>
      <c r="M4445" s="160">
        <v>45957</v>
      </c>
      <c r="N4445" s="160"/>
      <c r="O4445" s="160"/>
      <c r="P4445" s="161" t="str">
        <f ca="1">IF(Proc[[#This Row],[DaysAgeing]]&gt;5,"yep","on track")</f>
        <v>yep</v>
      </c>
      <c r="Q4445" s="3">
        <f ca="1">IF(Proc[[#This Row],[DateClosed]]="",ABS(NETWORKDAYS(Proc[[#This Row],[DateOpened]],TODAY()))-1,ABS(NETWORKDAYS(Proc[[#This Row],[DateOpened]],Proc[[#This Row],[DateClosed]]))-1)</f>
        <v>34</v>
      </c>
      <c r="R4445" s="161" t="s">
        <v>5709</v>
      </c>
      <c r="S4445" s="150"/>
    </row>
    <row r="4446" spans="1:19" hidden="1">
      <c r="A4446" s="149" t="s">
        <v>6599</v>
      </c>
      <c r="B4446" s="150" t="str">
        <f>IFERROR(VLOOKUP(Proc[[#This Row],[App]],Table2[],3,0),"open")</f>
        <v>ok</v>
      </c>
      <c r="C4446" s="149" t="s">
        <v>369</v>
      </c>
      <c r="D4446" t="s">
        <v>6598</v>
      </c>
      <c r="E4446" t="s">
        <v>6603</v>
      </c>
      <c r="F4446" s="150" t="s">
        <v>6603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6435</v>
      </c>
      <c r="M4446" s="160">
        <v>45957</v>
      </c>
      <c r="N4446" s="160"/>
      <c r="O4446" s="160"/>
      <c r="P4446" s="161" t="str">
        <f ca="1">IF(Proc[[#This Row],[DaysAgeing]]&gt;5,"yep","on track")</f>
        <v>yep</v>
      </c>
      <c r="Q4446" s="3">
        <f ca="1">IF(Proc[[#This Row],[DateClosed]]="",ABS(NETWORKDAYS(Proc[[#This Row],[DateOpened]],TODAY()))-1,ABS(NETWORKDAYS(Proc[[#This Row],[DateOpened]],Proc[[#This Row],[DateClosed]]))-1)</f>
        <v>34</v>
      </c>
      <c r="R4446" s="161" t="s">
        <v>5709</v>
      </c>
      <c r="S4446" s="150"/>
    </row>
    <row r="4447" spans="1:19" hidden="1">
      <c r="A4447" t="s">
        <v>6606</v>
      </c>
      <c r="B4447" s="150" t="str">
        <f>IFERROR(VLOOKUP(Proc[[#This Row],[App]],Table2[],3,0),"open")</f>
        <v>ok</v>
      </c>
      <c r="C4447" s="149" t="s">
        <v>369</v>
      </c>
      <c r="D4447" t="s">
        <v>6607</v>
      </c>
      <c r="E4447" t="s">
        <v>2467</v>
      </c>
      <c r="F4447" s="150" t="s">
        <v>2467</v>
      </c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6435</v>
      </c>
      <c r="M4447" s="161">
        <v>45957</v>
      </c>
      <c r="N4447" s="162"/>
      <c r="O4447" s="162"/>
      <c r="P4447" s="161" t="str">
        <f ca="1">IF(Proc[[#This Row],[DaysAgeing]]&gt;5,"yep","on track")</f>
        <v>yep</v>
      </c>
      <c r="Q4447" s="3">
        <f ca="1">IF(Proc[[#This Row],[DateClosed]]="",ABS(NETWORKDAYS(Proc[[#This Row],[DateOpened]],TODAY()))-1,ABS(NETWORKDAYS(Proc[[#This Row],[DateOpened]],Proc[[#This Row],[DateClosed]]))-1)</f>
        <v>34</v>
      </c>
      <c r="R4447" s="161" t="s">
        <v>780</v>
      </c>
      <c r="S4447" s="150"/>
    </row>
    <row r="4448" spans="1:19" hidden="1">
      <c r="A4448" t="s">
        <v>6608</v>
      </c>
      <c r="B4448" s="150" t="str">
        <f>IFERROR(VLOOKUP(Proc[[#This Row],[App]],Table2[],3,0),"open")</f>
        <v>ok</v>
      </c>
      <c r="C4448" s="149" t="s">
        <v>369</v>
      </c>
      <c r="D4448" t="s">
        <v>6634</v>
      </c>
      <c r="E4448" t="s">
        <v>6609</v>
      </c>
      <c r="F4448" s="149" t="s">
        <v>6609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6435</v>
      </c>
      <c r="M4448" s="161">
        <v>45957</v>
      </c>
      <c r="N4448" s="162"/>
      <c r="O4448" s="162"/>
      <c r="P4448" s="161" t="str">
        <f ca="1">IF(Proc[[#This Row],[DaysAgeing]]&gt;5,"yep","on track")</f>
        <v>yep</v>
      </c>
      <c r="Q4448" s="3">
        <f ca="1">IF(Proc[[#This Row],[DateClosed]]="",ABS(NETWORKDAYS(Proc[[#This Row],[DateOpened]],TODAY()))-1,ABS(NETWORKDAYS(Proc[[#This Row],[DateOpened]],Proc[[#This Row],[DateClosed]]))-1)</f>
        <v>34</v>
      </c>
      <c r="R4448" s="161" t="s">
        <v>542</v>
      </c>
      <c r="S4448" s="150"/>
    </row>
    <row r="4449" spans="1:19" hidden="1">
      <c r="A4449" s="149" t="s">
        <v>6608</v>
      </c>
      <c r="B4449" s="150" t="str">
        <f>IFERROR(VLOOKUP(Proc[[#This Row],[App]],Table2[],3,0),"open")</f>
        <v>ok</v>
      </c>
      <c r="C4449" s="149" t="s">
        <v>369</v>
      </c>
      <c r="D4449" t="s">
        <v>6635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6638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6435</v>
      </c>
      <c r="M4449" s="161">
        <v>45957</v>
      </c>
      <c r="N4449" s="162"/>
      <c r="O4449" s="162"/>
      <c r="P4449" s="161" t="str">
        <f ca="1">IF(Proc[[#This Row],[DaysAgeing]]&gt;5,"yep","on track")</f>
        <v>yep</v>
      </c>
      <c r="Q4449" s="3">
        <f ca="1">IF(Proc[[#This Row],[DateClosed]]="",ABS(NETWORKDAYS(Proc[[#This Row],[DateOpened]],TODAY()))-1,ABS(NETWORKDAYS(Proc[[#This Row],[DateOpened]],Proc[[#This Row],[DateClosed]]))-1)</f>
        <v>34</v>
      </c>
      <c r="R4449" s="161" t="s">
        <v>542</v>
      </c>
      <c r="S4449" s="150"/>
    </row>
    <row r="4450" spans="1:19" hidden="1">
      <c r="A4450" t="s">
        <v>6628</v>
      </c>
      <c r="B4450" s="150" t="str">
        <f>IFERROR(VLOOKUP(Proc[[#This Row],[App]],Table2[],3,0),"open")</f>
        <v>ok</v>
      </c>
      <c r="C4450" s="149" t="s">
        <v>369</v>
      </c>
      <c r="D4450" t="s">
        <v>5292</v>
      </c>
      <c r="E4450" t="s">
        <v>6623</v>
      </c>
      <c r="F4450" s="150" t="s">
        <v>6623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6435</v>
      </c>
      <c r="M4450" s="162">
        <v>45958</v>
      </c>
      <c r="N4450" s="162"/>
      <c r="O4450" s="162"/>
      <c r="P4450" s="163" t="str">
        <f ca="1">IF(Proc[[#This Row],[DaysAgeing]]&gt;5,"yep","on track")</f>
        <v>yep</v>
      </c>
      <c r="Q4450" s="3">
        <f ca="1">IF(Proc[[#This Row],[DateClosed]]="",ABS(NETWORKDAYS(Proc[[#This Row],[DateOpened]],TODAY()))-1,ABS(NETWORKDAYS(Proc[[#This Row],[DateOpened]],Proc[[#This Row],[DateClosed]]))-1)</f>
        <v>33</v>
      </c>
      <c r="R4450" s="163" t="s">
        <v>1459</v>
      </c>
      <c r="S4450" s="150"/>
    </row>
    <row r="4451" spans="1:19" hidden="1">
      <c r="A4451" t="s">
        <v>6628</v>
      </c>
      <c r="B4451" s="150" t="str">
        <f>IFERROR(VLOOKUP(Proc[[#This Row],[App]],Table2[],3,0),"open")</f>
        <v>ok</v>
      </c>
      <c r="C4451" s="149" t="s">
        <v>369</v>
      </c>
      <c r="D4451" t="s">
        <v>5441</v>
      </c>
      <c r="E4451" t="s">
        <v>6624</v>
      </c>
      <c r="F4451" s="150" t="s">
        <v>6624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6435</v>
      </c>
      <c r="M4451" s="162">
        <v>45958</v>
      </c>
      <c r="N4451" s="162"/>
      <c r="O4451" s="162"/>
      <c r="P4451" s="163" t="str">
        <f ca="1">IF(Proc[[#This Row],[DaysAgeing]]&gt;5,"yep","on track")</f>
        <v>yep</v>
      </c>
      <c r="Q4451" s="3">
        <f ca="1">IF(Proc[[#This Row],[DateClosed]]="",ABS(NETWORKDAYS(Proc[[#This Row],[DateOpened]],TODAY()))-1,ABS(NETWORKDAYS(Proc[[#This Row],[DateOpened]],Proc[[#This Row],[DateClosed]]))-1)</f>
        <v>33</v>
      </c>
      <c r="R4451" s="163" t="s">
        <v>1459</v>
      </c>
      <c r="S4451" s="150"/>
    </row>
    <row r="4452" spans="1:19" hidden="1">
      <c r="A4452" s="149" t="s">
        <v>6628</v>
      </c>
      <c r="B4452" s="150" t="str">
        <f>IFERROR(VLOOKUP(Proc[[#This Row],[App]],Table2[],3,0),"open")</f>
        <v>ok</v>
      </c>
      <c r="C4452" s="149" t="s">
        <v>369</v>
      </c>
      <c r="D4452" t="s">
        <v>5294</v>
      </c>
      <c r="E4452" t="s">
        <v>6623</v>
      </c>
      <c r="F4452" s="150" t="s">
        <v>6623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6435</v>
      </c>
      <c r="M4452" s="162">
        <v>45958</v>
      </c>
      <c r="N4452" s="162"/>
      <c r="O4452" s="162"/>
      <c r="P4452" s="163" t="str">
        <f ca="1">IF(Proc[[#This Row],[DaysAgeing]]&gt;5,"yep","on track")</f>
        <v>yep</v>
      </c>
      <c r="Q4452" s="3">
        <f ca="1">IF(Proc[[#This Row],[DateClosed]]="",ABS(NETWORKDAYS(Proc[[#This Row],[DateOpened]],TODAY()))-1,ABS(NETWORKDAYS(Proc[[#This Row],[DateOpened]],Proc[[#This Row],[DateClosed]]))-1)</f>
        <v>33</v>
      </c>
      <c r="R4452" s="163" t="s">
        <v>1459</v>
      </c>
      <c r="S4452" s="150"/>
    </row>
    <row r="4453" spans="1:19" hidden="1">
      <c r="A4453" s="149" t="s">
        <v>6628</v>
      </c>
      <c r="B4453" s="150" t="str">
        <f>IFERROR(VLOOKUP(Proc[[#This Row],[App]],Table2[],3,0),"open")</f>
        <v>ok</v>
      </c>
      <c r="C4453" s="149" t="s">
        <v>369</v>
      </c>
      <c r="D4453" t="s">
        <v>5307</v>
      </c>
      <c r="E4453" t="s">
        <v>6623</v>
      </c>
      <c r="F4453" s="150" t="s">
        <v>6623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6435</v>
      </c>
      <c r="M4453" s="162">
        <v>45958</v>
      </c>
      <c r="N4453" s="162"/>
      <c r="O4453" s="162"/>
      <c r="P4453" s="163" t="str">
        <f ca="1">IF(Proc[[#This Row],[DaysAgeing]]&gt;5,"yep","on track")</f>
        <v>yep</v>
      </c>
      <c r="Q4453" s="3">
        <f ca="1">IF(Proc[[#This Row],[DateClosed]]="",ABS(NETWORKDAYS(Proc[[#This Row],[DateOpened]],TODAY()))-1,ABS(NETWORKDAYS(Proc[[#This Row],[DateOpened]],Proc[[#This Row],[DateClosed]]))-1)</f>
        <v>33</v>
      </c>
      <c r="R4453" s="163" t="s">
        <v>1459</v>
      </c>
      <c r="S4453" s="150"/>
    </row>
    <row r="4454" spans="1:19" hidden="1">
      <c r="A4454" s="149" t="s">
        <v>6628</v>
      </c>
      <c r="B4454" s="150" t="str">
        <f>IFERROR(VLOOKUP(Proc[[#This Row],[App]],Table2[],3,0),"open")</f>
        <v>ok</v>
      </c>
      <c r="C4454" s="149" t="s">
        <v>369</v>
      </c>
      <c r="D4454" t="s">
        <v>5439</v>
      </c>
      <c r="E4454" t="s">
        <v>6624</v>
      </c>
      <c r="F4454" s="150" t="s">
        <v>6624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6435</v>
      </c>
      <c r="M4454" s="162">
        <v>45958</v>
      </c>
      <c r="N4454" s="162"/>
      <c r="O4454" s="162"/>
      <c r="P4454" s="163" t="str">
        <f ca="1">IF(Proc[[#This Row],[DaysAgeing]]&gt;5,"yep","on track")</f>
        <v>yep</v>
      </c>
      <c r="Q4454" s="3">
        <f ca="1">IF(Proc[[#This Row],[DateClosed]]="",ABS(NETWORKDAYS(Proc[[#This Row],[DateOpened]],TODAY()))-1,ABS(NETWORKDAYS(Proc[[#This Row],[DateOpened]],Proc[[#This Row],[DateClosed]]))-1)</f>
        <v>33</v>
      </c>
      <c r="R4454" s="163" t="s">
        <v>1459</v>
      </c>
      <c r="S4454" s="150"/>
    </row>
    <row r="4455" spans="1:19" hidden="1">
      <c r="A4455" s="149" t="s">
        <v>6628</v>
      </c>
      <c r="B4455" s="150" t="str">
        <f>IFERROR(VLOOKUP(Proc[[#This Row],[App]],Table2[],3,0),"open")</f>
        <v>ok</v>
      </c>
      <c r="C4455" s="149" t="s">
        <v>369</v>
      </c>
      <c r="D4455" t="s">
        <v>5306</v>
      </c>
      <c r="E4455" t="s">
        <v>6623</v>
      </c>
      <c r="F4455" s="150" t="s">
        <v>6623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6435</v>
      </c>
      <c r="M4455" s="162">
        <v>45958</v>
      </c>
      <c r="N4455" s="162"/>
      <c r="O4455" s="162"/>
      <c r="P4455" s="163" t="str">
        <f ca="1">IF(Proc[[#This Row],[DaysAgeing]]&gt;5,"yep","on track")</f>
        <v>yep</v>
      </c>
      <c r="Q4455" s="3">
        <f ca="1">IF(Proc[[#This Row],[DateClosed]]="",ABS(NETWORKDAYS(Proc[[#This Row],[DateOpened]],TODAY()))-1,ABS(NETWORKDAYS(Proc[[#This Row],[DateOpened]],Proc[[#This Row],[DateClosed]]))-1)</f>
        <v>33</v>
      </c>
      <c r="R4455" s="163" t="s">
        <v>1459</v>
      </c>
      <c r="S4455" s="150"/>
    </row>
    <row r="4456" spans="1:19" hidden="1">
      <c r="A4456" s="149" t="s">
        <v>6628</v>
      </c>
      <c r="B4456" s="150" t="str">
        <f>IFERROR(VLOOKUP(Proc[[#This Row],[App]],Table2[],3,0),"open")</f>
        <v>ok</v>
      </c>
      <c r="C4456" s="149" t="s">
        <v>369</v>
      </c>
      <c r="D4456" t="s">
        <v>5311</v>
      </c>
      <c r="E4456" t="s">
        <v>6623</v>
      </c>
      <c r="F4456" s="150" t="s">
        <v>6623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6435</v>
      </c>
      <c r="M4456" s="162">
        <v>45958</v>
      </c>
      <c r="N4456" s="162"/>
      <c r="O4456" s="162"/>
      <c r="P4456" s="163" t="str">
        <f ca="1">IF(Proc[[#This Row],[DaysAgeing]]&gt;5,"yep","on track")</f>
        <v>yep</v>
      </c>
      <c r="Q4456" s="3">
        <f ca="1">IF(Proc[[#This Row],[DateClosed]]="",ABS(NETWORKDAYS(Proc[[#This Row],[DateOpened]],TODAY()))-1,ABS(NETWORKDAYS(Proc[[#This Row],[DateOpened]],Proc[[#This Row],[DateClosed]]))-1)</f>
        <v>33</v>
      </c>
      <c r="R4456" s="163" t="s">
        <v>1459</v>
      </c>
      <c r="S4456" s="150"/>
    </row>
    <row r="4457" spans="1:19" hidden="1">
      <c r="A4457" s="149" t="s">
        <v>6628</v>
      </c>
      <c r="B4457" s="150" t="str">
        <f>IFERROR(VLOOKUP(Proc[[#This Row],[App]],Table2[],3,0),"open")</f>
        <v>ok</v>
      </c>
      <c r="C4457" s="149" t="s">
        <v>369</v>
      </c>
      <c r="D4457" t="s">
        <v>6610</v>
      </c>
      <c r="E4457" t="s">
        <v>6604</v>
      </c>
      <c r="F4457" s="150" t="s">
        <v>6604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6435</v>
      </c>
      <c r="M4457" s="162">
        <v>45958</v>
      </c>
      <c r="N4457" s="162"/>
      <c r="O4457" s="162"/>
      <c r="P4457" s="163" t="str">
        <f ca="1">IF(Proc[[#This Row],[DaysAgeing]]&gt;5,"yep","on track")</f>
        <v>yep</v>
      </c>
      <c r="Q4457" s="3">
        <f ca="1">IF(Proc[[#This Row],[DateClosed]]="",ABS(NETWORKDAYS(Proc[[#This Row],[DateOpened]],TODAY()))-1,ABS(NETWORKDAYS(Proc[[#This Row],[DateOpened]],Proc[[#This Row],[DateClosed]]))-1)</f>
        <v>33</v>
      </c>
      <c r="R4457" s="163" t="s">
        <v>1459</v>
      </c>
      <c r="S4457" s="150"/>
    </row>
    <row r="4458" spans="1:19" hidden="1">
      <c r="A4458" s="149" t="s">
        <v>6628</v>
      </c>
      <c r="B4458" s="150" t="str">
        <f>IFERROR(VLOOKUP(Proc[[#This Row],[App]],Table2[],3,0),"open")</f>
        <v>ok</v>
      </c>
      <c r="C4458" s="149" t="s">
        <v>369</v>
      </c>
      <c r="D4458" t="s">
        <v>6611</v>
      </c>
      <c r="E4458" t="s">
        <v>6625</v>
      </c>
      <c r="F4458" s="150" t="s">
        <v>6625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6435</v>
      </c>
      <c r="M4458" s="162">
        <v>45958</v>
      </c>
      <c r="N4458" s="162"/>
      <c r="O4458" s="162"/>
      <c r="P4458" s="163" t="str">
        <f ca="1">IF(Proc[[#This Row],[DaysAgeing]]&gt;5,"yep","on track")</f>
        <v>yep</v>
      </c>
      <c r="Q4458" s="3">
        <f ca="1">IF(Proc[[#This Row],[DateClosed]]="",ABS(NETWORKDAYS(Proc[[#This Row],[DateOpened]],TODAY()))-1,ABS(NETWORKDAYS(Proc[[#This Row],[DateOpened]],Proc[[#This Row],[DateClosed]]))-1)</f>
        <v>33</v>
      </c>
      <c r="R4458" s="163" t="s">
        <v>1459</v>
      </c>
      <c r="S4458" s="150"/>
    </row>
    <row r="4459" spans="1:19" hidden="1">
      <c r="A4459" s="149" t="s">
        <v>6628</v>
      </c>
      <c r="B4459" s="150" t="str">
        <f>IFERROR(VLOOKUP(Proc[[#This Row],[App]],Table2[],3,0),"open")</f>
        <v>ok</v>
      </c>
      <c r="C4459" s="149" t="s">
        <v>369</v>
      </c>
      <c r="D4459" t="s">
        <v>1827</v>
      </c>
      <c r="E4459" t="s">
        <v>6626</v>
      </c>
      <c r="F4459" s="150" t="s">
        <v>6626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6435</v>
      </c>
      <c r="M4459" s="162">
        <v>45958</v>
      </c>
      <c r="N4459" s="162"/>
      <c r="O4459" s="162"/>
      <c r="P4459" s="163" t="str">
        <f ca="1">IF(Proc[[#This Row],[DaysAgeing]]&gt;5,"yep","on track")</f>
        <v>yep</v>
      </c>
      <c r="Q4459" s="3">
        <f ca="1">IF(Proc[[#This Row],[DateClosed]]="",ABS(NETWORKDAYS(Proc[[#This Row],[DateOpened]],TODAY()))-1,ABS(NETWORKDAYS(Proc[[#This Row],[DateOpened]],Proc[[#This Row],[DateClosed]]))-1)</f>
        <v>33</v>
      </c>
      <c r="R4459" s="163" t="s">
        <v>1459</v>
      </c>
      <c r="S4459" s="150"/>
    </row>
    <row r="4460" spans="1:19" hidden="1">
      <c r="A4460" s="149" t="s">
        <v>6628</v>
      </c>
      <c r="B4460" s="150" t="str">
        <f>IFERROR(VLOOKUP(Proc[[#This Row],[App]],Table2[],3,0),"open")</f>
        <v>ok</v>
      </c>
      <c r="C4460" s="149" t="s">
        <v>369</v>
      </c>
      <c r="D4460" t="s">
        <v>6612</v>
      </c>
      <c r="E4460" t="s">
        <v>6625</v>
      </c>
      <c r="F4460" s="150" t="s">
        <v>6625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6435</v>
      </c>
      <c r="M4460" s="162">
        <v>45958</v>
      </c>
      <c r="N4460" s="162"/>
      <c r="O4460" s="162"/>
      <c r="P4460" s="163" t="str">
        <f ca="1">IF(Proc[[#This Row],[DaysAgeing]]&gt;5,"yep","on track")</f>
        <v>yep</v>
      </c>
      <c r="Q4460" s="3">
        <f ca="1">IF(Proc[[#This Row],[DateClosed]]="",ABS(NETWORKDAYS(Proc[[#This Row],[DateOpened]],TODAY()))-1,ABS(NETWORKDAYS(Proc[[#This Row],[DateOpened]],Proc[[#This Row],[DateClosed]]))-1)</f>
        <v>33</v>
      </c>
      <c r="R4460" s="163" t="s">
        <v>1459</v>
      </c>
      <c r="S4460" s="150"/>
    </row>
    <row r="4461" spans="1:19" hidden="1">
      <c r="A4461" s="149" t="s">
        <v>6628</v>
      </c>
      <c r="B4461" s="150" t="str">
        <f>IFERROR(VLOOKUP(Proc[[#This Row],[App]],Table2[],3,0),"open")</f>
        <v>ok</v>
      </c>
      <c r="C4461" s="149" t="s">
        <v>369</v>
      </c>
      <c r="D4461" t="s">
        <v>6613</v>
      </c>
      <c r="E4461" t="s">
        <v>6626</v>
      </c>
      <c r="F4461" s="150" t="s">
        <v>6626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1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6435</v>
      </c>
      <c r="M4461" s="162">
        <v>45958</v>
      </c>
      <c r="N4461" s="162"/>
      <c r="O4461" s="162"/>
      <c r="P4461" s="163" t="str">
        <f ca="1">IF(Proc[[#This Row],[DaysAgeing]]&gt;5,"yep","on track")</f>
        <v>yep</v>
      </c>
      <c r="Q4461" s="3">
        <f ca="1">IF(Proc[[#This Row],[DateClosed]]="",ABS(NETWORKDAYS(Proc[[#This Row],[DateOpened]],TODAY()))-1,ABS(NETWORKDAYS(Proc[[#This Row],[DateOpened]],Proc[[#This Row],[DateClosed]]))-1)</f>
        <v>33</v>
      </c>
      <c r="R4461" s="163" t="s">
        <v>1459</v>
      </c>
      <c r="S4461" s="150"/>
    </row>
    <row r="4462" spans="1:19" hidden="1">
      <c r="A4462" s="149" t="s">
        <v>6628</v>
      </c>
      <c r="B4462" s="150" t="str">
        <f>IFERROR(VLOOKUP(Proc[[#This Row],[App]],Table2[],3,0),"open")</f>
        <v>ok</v>
      </c>
      <c r="C4462" s="149" t="s">
        <v>369</v>
      </c>
      <c r="D4462" t="s">
        <v>6614</v>
      </c>
      <c r="E4462" t="s">
        <v>6626</v>
      </c>
      <c r="F4462" s="150" t="s">
        <v>6626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6435</v>
      </c>
      <c r="M4462" s="162">
        <v>45958</v>
      </c>
      <c r="N4462" s="162"/>
      <c r="O4462" s="162"/>
      <c r="P4462" s="163" t="str">
        <f ca="1">IF(Proc[[#This Row],[DaysAgeing]]&gt;5,"yep","on track")</f>
        <v>yep</v>
      </c>
      <c r="Q4462" s="3">
        <f ca="1">IF(Proc[[#This Row],[DateClosed]]="",ABS(NETWORKDAYS(Proc[[#This Row],[DateOpened]],TODAY()))-1,ABS(NETWORKDAYS(Proc[[#This Row],[DateOpened]],Proc[[#This Row],[DateClosed]]))-1)</f>
        <v>33</v>
      </c>
      <c r="R4462" s="163" t="s">
        <v>1459</v>
      </c>
      <c r="S4462" s="150"/>
    </row>
    <row r="4463" spans="1:19" hidden="1">
      <c r="A4463" s="149" t="s">
        <v>6628</v>
      </c>
      <c r="B4463" s="150" t="str">
        <f>IFERROR(VLOOKUP(Proc[[#This Row],[App]],Table2[],3,0),"open")</f>
        <v>ok</v>
      </c>
      <c r="C4463" s="149" t="s">
        <v>369</v>
      </c>
      <c r="D4463" t="s">
        <v>5436</v>
      </c>
      <c r="E4463" t="s">
        <v>6624</v>
      </c>
      <c r="F4463" s="150" t="s">
        <v>6624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6435</v>
      </c>
      <c r="M4463" s="162">
        <v>45958</v>
      </c>
      <c r="N4463" s="162"/>
      <c r="O4463" s="162"/>
      <c r="P4463" s="163" t="str">
        <f ca="1">IF(Proc[[#This Row],[DaysAgeing]]&gt;5,"yep","on track")</f>
        <v>yep</v>
      </c>
      <c r="Q4463" s="3">
        <f ca="1">IF(Proc[[#This Row],[DateClosed]]="",ABS(NETWORKDAYS(Proc[[#This Row],[DateOpened]],TODAY()))-1,ABS(NETWORKDAYS(Proc[[#This Row],[DateOpened]],Proc[[#This Row],[DateClosed]]))-1)</f>
        <v>33</v>
      </c>
      <c r="R4463" s="163" t="s">
        <v>1459</v>
      </c>
      <c r="S4463" s="150"/>
    </row>
    <row r="4464" spans="1:19" hidden="1">
      <c r="A4464" s="149" t="s">
        <v>6628</v>
      </c>
      <c r="B4464" s="150" t="str">
        <f>IFERROR(VLOOKUP(Proc[[#This Row],[App]],Table2[],3,0),"open")</f>
        <v>ok</v>
      </c>
      <c r="C4464" s="149" t="s">
        <v>369</v>
      </c>
      <c r="D4464" t="s">
        <v>5328</v>
      </c>
      <c r="E4464" t="s">
        <v>6623</v>
      </c>
      <c r="F4464" s="150" t="s">
        <v>6623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6435</v>
      </c>
      <c r="M4464" s="162">
        <v>45958</v>
      </c>
      <c r="N4464" s="162"/>
      <c r="O4464" s="162"/>
      <c r="P4464" s="163" t="str">
        <f ca="1">IF(Proc[[#This Row],[DaysAgeing]]&gt;5,"yep","on track")</f>
        <v>yep</v>
      </c>
      <c r="Q4464" s="3">
        <f ca="1">IF(Proc[[#This Row],[DateClosed]]="",ABS(NETWORKDAYS(Proc[[#This Row],[DateOpened]],TODAY()))-1,ABS(NETWORKDAYS(Proc[[#This Row],[DateOpened]],Proc[[#This Row],[DateClosed]]))-1)</f>
        <v>33</v>
      </c>
      <c r="R4464" s="163" t="s">
        <v>1459</v>
      </c>
      <c r="S4464" s="150"/>
    </row>
    <row r="4465" spans="1:19" hidden="1">
      <c r="A4465" s="149" t="s">
        <v>6628</v>
      </c>
      <c r="B4465" s="150" t="str">
        <f>IFERROR(VLOOKUP(Proc[[#This Row],[App]],Table2[],3,0),"open")</f>
        <v>ok</v>
      </c>
      <c r="C4465" s="149" t="s">
        <v>369</v>
      </c>
      <c r="D4465" t="s">
        <v>5366</v>
      </c>
      <c r="E4465" t="s">
        <v>6623</v>
      </c>
      <c r="F4465" s="150" t="s">
        <v>6623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6435</v>
      </c>
      <c r="M4465" s="162">
        <v>45958</v>
      </c>
      <c r="N4465" s="162"/>
      <c r="O4465" s="162"/>
      <c r="P4465" s="163" t="str">
        <f ca="1">IF(Proc[[#This Row],[DaysAgeing]]&gt;5,"yep","on track")</f>
        <v>yep</v>
      </c>
      <c r="Q4465" s="3">
        <f ca="1">IF(Proc[[#This Row],[DateClosed]]="",ABS(NETWORKDAYS(Proc[[#This Row],[DateOpened]],TODAY()))-1,ABS(NETWORKDAYS(Proc[[#This Row],[DateOpened]],Proc[[#This Row],[DateClosed]]))-1)</f>
        <v>33</v>
      </c>
      <c r="R4465" s="163" t="s">
        <v>1459</v>
      </c>
      <c r="S4465" s="150"/>
    </row>
    <row r="4466" spans="1:19" hidden="1">
      <c r="A4466" s="149" t="s">
        <v>6628</v>
      </c>
      <c r="B4466" s="150" t="str">
        <f>IFERROR(VLOOKUP(Proc[[#This Row],[App]],Table2[],3,0),"open")</f>
        <v>ok</v>
      </c>
      <c r="C4466" s="149" t="s">
        <v>369</v>
      </c>
      <c r="D4466" t="s">
        <v>6615</v>
      </c>
      <c r="E4466" t="s">
        <v>6604</v>
      </c>
      <c r="F4466" s="150" t="s">
        <v>6604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6435</v>
      </c>
      <c r="M4466" s="162">
        <v>45958</v>
      </c>
      <c r="N4466" s="162"/>
      <c r="O4466" s="162"/>
      <c r="P4466" s="163" t="str">
        <f ca="1">IF(Proc[[#This Row],[DaysAgeing]]&gt;5,"yep","on track")</f>
        <v>yep</v>
      </c>
      <c r="Q4466" s="3">
        <f ca="1">IF(Proc[[#This Row],[DateClosed]]="",ABS(NETWORKDAYS(Proc[[#This Row],[DateOpened]],TODAY()))-1,ABS(NETWORKDAYS(Proc[[#This Row],[DateOpened]],Proc[[#This Row],[DateClosed]]))-1)</f>
        <v>33</v>
      </c>
      <c r="R4466" s="163" t="s">
        <v>1459</v>
      </c>
      <c r="S4466" s="150"/>
    </row>
    <row r="4467" spans="1:19" hidden="1">
      <c r="A4467" s="149" t="s">
        <v>6628</v>
      </c>
      <c r="B4467" s="150" t="str">
        <f>IFERROR(VLOOKUP(Proc[[#This Row],[App]],Table2[],3,0),"open")</f>
        <v>ok</v>
      </c>
      <c r="C4467" s="149" t="s">
        <v>369</v>
      </c>
      <c r="D4467" t="s">
        <v>6616</v>
      </c>
      <c r="E4467" t="s">
        <v>6626</v>
      </c>
      <c r="F4467" s="150" t="s">
        <v>6626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6435</v>
      </c>
      <c r="M4467" s="162">
        <v>45958</v>
      </c>
      <c r="N4467" s="162"/>
      <c r="O4467" s="162"/>
      <c r="P4467" s="163" t="str">
        <f ca="1">IF(Proc[[#This Row],[DaysAgeing]]&gt;5,"yep","on track")</f>
        <v>yep</v>
      </c>
      <c r="Q4467" s="3">
        <f ca="1">IF(Proc[[#This Row],[DateClosed]]="",ABS(NETWORKDAYS(Proc[[#This Row],[DateOpened]],TODAY()))-1,ABS(NETWORKDAYS(Proc[[#This Row],[DateOpened]],Proc[[#This Row],[DateClosed]]))-1)</f>
        <v>33</v>
      </c>
      <c r="R4467" s="163" t="s">
        <v>1459</v>
      </c>
      <c r="S4467" s="150"/>
    </row>
    <row r="4468" spans="1:19" hidden="1">
      <c r="A4468" s="149" t="s">
        <v>6628</v>
      </c>
      <c r="B4468" s="150" t="str">
        <f>IFERROR(VLOOKUP(Proc[[#This Row],[App]],Table2[],3,0),"open")</f>
        <v>ok</v>
      </c>
      <c r="C4468" s="149" t="s">
        <v>369</v>
      </c>
      <c r="D4468" t="s">
        <v>6444</v>
      </c>
      <c r="E4468" t="s">
        <v>5446</v>
      </c>
      <c r="F4468" s="150" t="s">
        <v>5446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6435</v>
      </c>
      <c r="M4468" s="162">
        <v>45958</v>
      </c>
      <c r="N4468" s="162"/>
      <c r="O4468" s="162"/>
      <c r="P4468" s="163" t="str">
        <f ca="1">IF(Proc[[#This Row],[DaysAgeing]]&gt;5,"yep","on track")</f>
        <v>yep</v>
      </c>
      <c r="Q4468" s="3">
        <f ca="1">IF(Proc[[#This Row],[DateClosed]]="",ABS(NETWORKDAYS(Proc[[#This Row],[DateOpened]],TODAY()))-1,ABS(NETWORKDAYS(Proc[[#This Row],[DateOpened]],Proc[[#This Row],[DateClosed]]))-1)</f>
        <v>33</v>
      </c>
      <c r="R4468" s="163" t="s">
        <v>1459</v>
      </c>
      <c r="S4468" s="150"/>
    </row>
    <row r="4469" spans="1:19" hidden="1">
      <c r="A4469" s="149" t="s">
        <v>6628</v>
      </c>
      <c r="B4469" s="150" t="str">
        <f>IFERROR(VLOOKUP(Proc[[#This Row],[App]],Table2[],3,0),"open")</f>
        <v>ok</v>
      </c>
      <c r="C4469" s="149" t="s">
        <v>369</v>
      </c>
      <c r="D4469" t="s">
        <v>5417</v>
      </c>
      <c r="E4469" t="s">
        <v>6623</v>
      </c>
      <c r="F4469" s="150" t="s">
        <v>6623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6435</v>
      </c>
      <c r="M4469" s="162">
        <v>45958</v>
      </c>
      <c r="N4469" s="162"/>
      <c r="O4469" s="162"/>
      <c r="P4469" s="163" t="str">
        <f ca="1">IF(Proc[[#This Row],[DaysAgeing]]&gt;5,"yep","on track")</f>
        <v>yep</v>
      </c>
      <c r="Q4469" s="3">
        <f ca="1">IF(Proc[[#This Row],[DateClosed]]="",ABS(NETWORKDAYS(Proc[[#This Row],[DateOpened]],TODAY()))-1,ABS(NETWORKDAYS(Proc[[#This Row],[DateOpened]],Proc[[#This Row],[DateClosed]]))-1)</f>
        <v>33</v>
      </c>
      <c r="R4469" s="163" t="s">
        <v>1459</v>
      </c>
      <c r="S4469" s="150"/>
    </row>
    <row r="4470" spans="1:19" hidden="1">
      <c r="A4470" s="149" t="s">
        <v>6628</v>
      </c>
      <c r="B4470" s="150" t="str">
        <f>IFERROR(VLOOKUP(Proc[[#This Row],[App]],Table2[],3,0),"open")</f>
        <v>ok</v>
      </c>
      <c r="C4470" s="149" t="s">
        <v>369</v>
      </c>
      <c r="D4470" t="s">
        <v>5410</v>
      </c>
      <c r="E4470" t="s">
        <v>6623</v>
      </c>
      <c r="F4470" s="150" t="s">
        <v>6623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6435</v>
      </c>
      <c r="M4470" s="162">
        <v>45958</v>
      </c>
      <c r="N4470" s="162"/>
      <c r="O4470" s="162"/>
      <c r="P4470" s="163" t="str">
        <f ca="1">IF(Proc[[#This Row],[DaysAgeing]]&gt;5,"yep","on track")</f>
        <v>yep</v>
      </c>
      <c r="Q4470" s="3">
        <f ca="1">IF(Proc[[#This Row],[DateClosed]]="",ABS(NETWORKDAYS(Proc[[#This Row],[DateOpened]],TODAY()))-1,ABS(NETWORKDAYS(Proc[[#This Row],[DateOpened]],Proc[[#This Row],[DateClosed]]))-1)</f>
        <v>33</v>
      </c>
      <c r="R4470" s="163" t="s">
        <v>1459</v>
      </c>
      <c r="S4470" s="150"/>
    </row>
    <row r="4471" spans="1:19" hidden="1">
      <c r="A4471" s="149" t="s">
        <v>6628</v>
      </c>
      <c r="B4471" s="150" t="str">
        <f>IFERROR(VLOOKUP(Proc[[#This Row],[App]],Table2[],3,0),"open")</f>
        <v>ok</v>
      </c>
      <c r="C4471" s="149" t="s">
        <v>369</v>
      </c>
      <c r="D4471" t="s">
        <v>5442</v>
      </c>
      <c r="E4471" t="s">
        <v>6624</v>
      </c>
      <c r="F4471" s="150" t="s">
        <v>6624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6435</v>
      </c>
      <c r="M4471" s="162">
        <v>45958</v>
      </c>
      <c r="N4471" s="162"/>
      <c r="O4471" s="162"/>
      <c r="P4471" s="163" t="str">
        <f ca="1">IF(Proc[[#This Row],[DaysAgeing]]&gt;5,"yep","on track")</f>
        <v>yep</v>
      </c>
      <c r="Q4471" s="3">
        <f ca="1">IF(Proc[[#This Row],[DateClosed]]="",ABS(NETWORKDAYS(Proc[[#This Row],[DateOpened]],TODAY()))-1,ABS(NETWORKDAYS(Proc[[#This Row],[DateOpened]],Proc[[#This Row],[DateClosed]]))-1)</f>
        <v>33</v>
      </c>
      <c r="R4471" s="163" t="s">
        <v>1459</v>
      </c>
      <c r="S4471" s="150"/>
    </row>
    <row r="4472" spans="1:19" hidden="1">
      <c r="A4472" s="149" t="s">
        <v>6628</v>
      </c>
      <c r="B4472" s="150" t="str">
        <f>IFERROR(VLOOKUP(Proc[[#This Row],[App]],Table2[],3,0),"open")</f>
        <v>ok</v>
      </c>
      <c r="C4472" s="149" t="s">
        <v>369</v>
      </c>
      <c r="D4472" t="s">
        <v>5443</v>
      </c>
      <c r="E4472" t="s">
        <v>6624</v>
      </c>
      <c r="F4472" s="150" t="s">
        <v>6624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6435</v>
      </c>
      <c r="M4472" s="162">
        <v>45958</v>
      </c>
      <c r="N4472" s="162"/>
      <c r="O4472" s="162"/>
      <c r="P4472" s="163" t="str">
        <f ca="1">IF(Proc[[#This Row],[DaysAgeing]]&gt;5,"yep","on track")</f>
        <v>yep</v>
      </c>
      <c r="Q4472" s="3">
        <f ca="1">IF(Proc[[#This Row],[DateClosed]]="",ABS(NETWORKDAYS(Proc[[#This Row],[DateOpened]],TODAY()))-1,ABS(NETWORKDAYS(Proc[[#This Row],[DateOpened]],Proc[[#This Row],[DateClosed]]))-1)</f>
        <v>33</v>
      </c>
      <c r="R4472" s="163" t="s">
        <v>1459</v>
      </c>
      <c r="S4472" s="150"/>
    </row>
    <row r="4473" spans="1:19" hidden="1">
      <c r="A4473" s="149" t="s">
        <v>6628</v>
      </c>
      <c r="B4473" s="150" t="str">
        <f>IFERROR(VLOOKUP(Proc[[#This Row],[App]],Table2[],3,0),"open")</f>
        <v>ok</v>
      </c>
      <c r="C4473" s="149" t="s">
        <v>369</v>
      </c>
      <c r="D4473" t="s">
        <v>5412</v>
      </c>
      <c r="E4473" t="s">
        <v>6623</v>
      </c>
      <c r="F4473" s="150" t="s">
        <v>6623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6435</v>
      </c>
      <c r="M4473" s="162">
        <v>45958</v>
      </c>
      <c r="N4473" s="162"/>
      <c r="O4473" s="162"/>
      <c r="P4473" s="163" t="str">
        <f ca="1">IF(Proc[[#This Row],[DaysAgeing]]&gt;5,"yep","on track")</f>
        <v>yep</v>
      </c>
      <c r="Q4473" s="3">
        <f ca="1">IF(Proc[[#This Row],[DateClosed]]="",ABS(NETWORKDAYS(Proc[[#This Row],[DateOpened]],TODAY()))-1,ABS(NETWORKDAYS(Proc[[#This Row],[DateOpened]],Proc[[#This Row],[DateClosed]]))-1)</f>
        <v>33</v>
      </c>
      <c r="R4473" s="163" t="s">
        <v>1459</v>
      </c>
      <c r="S4473" s="150"/>
    </row>
    <row r="4474" spans="1:19" hidden="1">
      <c r="A4474" s="149" t="s">
        <v>6628</v>
      </c>
      <c r="B4474" s="150" t="str">
        <f>IFERROR(VLOOKUP(Proc[[#This Row],[App]],Table2[],3,0),"open")</f>
        <v>ok</v>
      </c>
      <c r="C4474" s="149" t="s">
        <v>369</v>
      </c>
      <c r="D4474" t="s">
        <v>5409</v>
      </c>
      <c r="E4474" t="s">
        <v>6623</v>
      </c>
      <c r="F4474" s="150" t="s">
        <v>6623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6435</v>
      </c>
      <c r="M4474" s="162">
        <v>45958</v>
      </c>
      <c r="N4474" s="162"/>
      <c r="O4474" s="162"/>
      <c r="P4474" s="163" t="str">
        <f ca="1">IF(Proc[[#This Row],[DaysAgeing]]&gt;5,"yep","on track")</f>
        <v>yep</v>
      </c>
      <c r="Q4474" s="3">
        <f ca="1">IF(Proc[[#This Row],[DateClosed]]="",ABS(NETWORKDAYS(Proc[[#This Row],[DateOpened]],TODAY()))-1,ABS(NETWORKDAYS(Proc[[#This Row],[DateOpened]],Proc[[#This Row],[DateClosed]]))-1)</f>
        <v>33</v>
      </c>
      <c r="R4474" s="163" t="s">
        <v>1459</v>
      </c>
      <c r="S4474" s="150"/>
    </row>
    <row r="4475" spans="1:19" hidden="1">
      <c r="A4475" s="149" t="s">
        <v>6628</v>
      </c>
      <c r="B4475" s="150" t="str">
        <f>IFERROR(VLOOKUP(Proc[[#This Row],[App]],Table2[],3,0),"open")</f>
        <v>ok</v>
      </c>
      <c r="C4475" s="149" t="s">
        <v>369</v>
      </c>
      <c r="D4475" t="s">
        <v>5416</v>
      </c>
      <c r="E4475" t="s">
        <v>6623</v>
      </c>
      <c r="F4475" s="150" t="s">
        <v>6623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6435</v>
      </c>
      <c r="M4475" s="162">
        <v>45958</v>
      </c>
      <c r="N4475" s="162"/>
      <c r="O4475" s="162"/>
      <c r="P4475" s="163" t="str">
        <f ca="1">IF(Proc[[#This Row],[DaysAgeing]]&gt;5,"yep","on track")</f>
        <v>yep</v>
      </c>
      <c r="Q4475" s="3">
        <f ca="1">IF(Proc[[#This Row],[DateClosed]]="",ABS(NETWORKDAYS(Proc[[#This Row],[DateOpened]],TODAY()))-1,ABS(NETWORKDAYS(Proc[[#This Row],[DateOpened]],Proc[[#This Row],[DateClosed]]))-1)</f>
        <v>33</v>
      </c>
      <c r="R4475" s="163" t="s">
        <v>1459</v>
      </c>
      <c r="S4475" s="150"/>
    </row>
    <row r="4476" spans="1:19" hidden="1">
      <c r="A4476" s="149" t="s">
        <v>6628</v>
      </c>
      <c r="B4476" s="150" t="str">
        <f>IFERROR(VLOOKUP(Proc[[#This Row],[App]],Table2[],3,0),"open")</f>
        <v>ok</v>
      </c>
      <c r="C4476" s="149" t="s">
        <v>369</v>
      </c>
      <c r="D4476" t="s">
        <v>5400</v>
      </c>
      <c r="E4476" t="s">
        <v>6623</v>
      </c>
      <c r="F4476" s="150" t="s">
        <v>6623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6435</v>
      </c>
      <c r="M4476" s="162">
        <v>45958</v>
      </c>
      <c r="N4476" s="162"/>
      <c r="O4476" s="162"/>
      <c r="P4476" s="163" t="str">
        <f ca="1">IF(Proc[[#This Row],[DaysAgeing]]&gt;5,"yep","on track")</f>
        <v>yep</v>
      </c>
      <c r="Q4476" s="3">
        <f ca="1">IF(Proc[[#This Row],[DateClosed]]="",ABS(NETWORKDAYS(Proc[[#This Row],[DateOpened]],TODAY()))-1,ABS(NETWORKDAYS(Proc[[#This Row],[DateOpened]],Proc[[#This Row],[DateClosed]]))-1)</f>
        <v>33</v>
      </c>
      <c r="R4476" s="163" t="s">
        <v>1459</v>
      </c>
      <c r="S4476" s="150"/>
    </row>
    <row r="4477" spans="1:19" hidden="1">
      <c r="A4477" s="149" t="s">
        <v>6628</v>
      </c>
      <c r="B4477" s="150" t="str">
        <f>IFERROR(VLOOKUP(Proc[[#This Row],[App]],Table2[],3,0),"open")</f>
        <v>ok</v>
      </c>
      <c r="C4477" s="149" t="s">
        <v>369</v>
      </c>
      <c r="D4477" t="s">
        <v>6617</v>
      </c>
      <c r="E4477" t="s">
        <v>6626</v>
      </c>
      <c r="F4477" s="150" t="s">
        <v>6626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6435</v>
      </c>
      <c r="M4477" s="162">
        <v>45958</v>
      </c>
      <c r="N4477" s="162"/>
      <c r="O4477" s="162"/>
      <c r="P4477" s="163" t="str">
        <f ca="1">IF(Proc[[#This Row],[DaysAgeing]]&gt;5,"yep","on track")</f>
        <v>yep</v>
      </c>
      <c r="Q4477" s="3">
        <f ca="1">IF(Proc[[#This Row],[DateClosed]]="",ABS(NETWORKDAYS(Proc[[#This Row],[DateOpened]],TODAY()))-1,ABS(NETWORKDAYS(Proc[[#This Row],[DateOpened]],Proc[[#This Row],[DateClosed]]))-1)</f>
        <v>33</v>
      </c>
      <c r="R4477" s="163" t="s">
        <v>1459</v>
      </c>
      <c r="S4477" s="150"/>
    </row>
    <row r="4478" spans="1:19" hidden="1">
      <c r="A4478" s="149" t="s">
        <v>6628</v>
      </c>
      <c r="B4478" s="150" t="str">
        <f>IFERROR(VLOOKUP(Proc[[#This Row],[App]],Table2[],3,0),"open")</f>
        <v>ok</v>
      </c>
      <c r="C4478" s="149" t="s">
        <v>369</v>
      </c>
      <c r="D4478" t="s">
        <v>5414</v>
      </c>
      <c r="E4478" t="s">
        <v>6623</v>
      </c>
      <c r="F4478" s="150" t="s">
        <v>6623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6435</v>
      </c>
      <c r="M4478" s="162">
        <v>45958</v>
      </c>
      <c r="N4478" s="162"/>
      <c r="O4478" s="162"/>
      <c r="P4478" s="163" t="str">
        <f ca="1">IF(Proc[[#This Row],[DaysAgeing]]&gt;5,"yep","on track")</f>
        <v>yep</v>
      </c>
      <c r="Q4478" s="3">
        <f ca="1">IF(Proc[[#This Row],[DateClosed]]="",ABS(NETWORKDAYS(Proc[[#This Row],[DateOpened]],TODAY()))-1,ABS(NETWORKDAYS(Proc[[#This Row],[DateOpened]],Proc[[#This Row],[DateClosed]]))-1)</f>
        <v>33</v>
      </c>
      <c r="R4478" s="163" t="s">
        <v>1459</v>
      </c>
      <c r="S4478" s="150"/>
    </row>
    <row r="4479" spans="1:19" hidden="1">
      <c r="A4479" s="149" t="s">
        <v>6628</v>
      </c>
      <c r="B4479" s="150" t="str">
        <f>IFERROR(VLOOKUP(Proc[[#This Row],[App]],Table2[],3,0),"open")</f>
        <v>ok</v>
      </c>
      <c r="C4479" s="149" t="s">
        <v>369</v>
      </c>
      <c r="D4479" t="s">
        <v>5413</v>
      </c>
      <c r="E4479" t="s">
        <v>6623</v>
      </c>
      <c r="F4479" s="150" t="s">
        <v>6623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6435</v>
      </c>
      <c r="M4479" s="162">
        <v>45958</v>
      </c>
      <c r="N4479" s="162"/>
      <c r="O4479" s="162"/>
      <c r="P4479" s="163" t="str">
        <f ca="1">IF(Proc[[#This Row],[DaysAgeing]]&gt;5,"yep","on track")</f>
        <v>yep</v>
      </c>
      <c r="Q4479" s="3">
        <f ca="1">IF(Proc[[#This Row],[DateClosed]]="",ABS(NETWORKDAYS(Proc[[#This Row],[DateOpened]],TODAY()))-1,ABS(NETWORKDAYS(Proc[[#This Row],[DateOpened]],Proc[[#This Row],[DateClosed]]))-1)</f>
        <v>33</v>
      </c>
      <c r="R4479" s="163" t="s">
        <v>1459</v>
      </c>
      <c r="S4479" s="150"/>
    </row>
    <row r="4480" spans="1:19" hidden="1">
      <c r="A4480" s="149" t="s">
        <v>6628</v>
      </c>
      <c r="B4480" s="150" t="str">
        <f>IFERROR(VLOOKUP(Proc[[#This Row],[App]],Table2[],3,0),"open")</f>
        <v>ok</v>
      </c>
      <c r="C4480" s="149" t="s">
        <v>369</v>
      </c>
      <c r="D4480" t="s">
        <v>6618</v>
      </c>
      <c r="E4480" t="s">
        <v>6627</v>
      </c>
      <c r="F4480" s="150" t="s">
        <v>6627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6435</v>
      </c>
      <c r="M4480" s="162">
        <v>45958</v>
      </c>
      <c r="N4480" s="162"/>
      <c r="O4480" s="162"/>
      <c r="P4480" s="163" t="str">
        <f ca="1">IF(Proc[[#This Row],[DaysAgeing]]&gt;5,"yep","on track")</f>
        <v>yep</v>
      </c>
      <c r="Q4480" s="3">
        <f ca="1">IF(Proc[[#This Row],[DateClosed]]="",ABS(NETWORKDAYS(Proc[[#This Row],[DateOpened]],TODAY()))-1,ABS(NETWORKDAYS(Proc[[#This Row],[DateOpened]],Proc[[#This Row],[DateClosed]]))-1)</f>
        <v>33</v>
      </c>
      <c r="R4480" s="163" t="s">
        <v>1459</v>
      </c>
      <c r="S4480" s="150"/>
    </row>
    <row r="4481" spans="1:19" hidden="1">
      <c r="A4481" s="149" t="s">
        <v>6628</v>
      </c>
      <c r="B4481" s="150" t="str">
        <f>IFERROR(VLOOKUP(Proc[[#This Row],[App]],Table2[],3,0),"open")</f>
        <v>ok</v>
      </c>
      <c r="C4481" s="149" t="s">
        <v>369</v>
      </c>
      <c r="D4481" t="s">
        <v>6619</v>
      </c>
      <c r="E4481" t="s">
        <v>6627</v>
      </c>
      <c r="F4481" s="150" t="s">
        <v>6627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6435</v>
      </c>
      <c r="M4481" s="162">
        <v>45958</v>
      </c>
      <c r="N4481" s="162"/>
      <c r="O4481" s="162"/>
      <c r="P4481" s="163" t="str">
        <f ca="1">IF(Proc[[#This Row],[DaysAgeing]]&gt;5,"yep","on track")</f>
        <v>yep</v>
      </c>
      <c r="Q4481" s="3">
        <f ca="1">IF(Proc[[#This Row],[DateClosed]]="",ABS(NETWORKDAYS(Proc[[#This Row],[DateOpened]],TODAY()))-1,ABS(NETWORKDAYS(Proc[[#This Row],[DateOpened]],Proc[[#This Row],[DateClosed]]))-1)</f>
        <v>33</v>
      </c>
      <c r="R4481" s="163" t="s">
        <v>1459</v>
      </c>
      <c r="S4481" s="150"/>
    </row>
    <row r="4482" spans="1:19" hidden="1">
      <c r="A4482" s="149" t="s">
        <v>6628</v>
      </c>
      <c r="B4482" s="150" t="str">
        <f>IFERROR(VLOOKUP(Proc[[#This Row],[App]],Table2[],3,0),"open")</f>
        <v>ok</v>
      </c>
      <c r="C4482" s="149" t="s">
        <v>369</v>
      </c>
      <c r="D4482" t="s">
        <v>6620</v>
      </c>
      <c r="E4482" t="s">
        <v>6627</v>
      </c>
      <c r="F4482" s="150" t="s">
        <v>6627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6435</v>
      </c>
      <c r="M4482" s="162">
        <v>45958</v>
      </c>
      <c r="N4482" s="162"/>
      <c r="O4482" s="162"/>
      <c r="P4482" s="163" t="str">
        <f ca="1">IF(Proc[[#This Row],[DaysAgeing]]&gt;5,"yep","on track")</f>
        <v>yep</v>
      </c>
      <c r="Q4482" s="3">
        <f ca="1">IF(Proc[[#This Row],[DateClosed]]="",ABS(NETWORKDAYS(Proc[[#This Row],[DateOpened]],TODAY()))-1,ABS(NETWORKDAYS(Proc[[#This Row],[DateOpened]],Proc[[#This Row],[DateClosed]]))-1)</f>
        <v>33</v>
      </c>
      <c r="R4482" s="163" t="s">
        <v>1459</v>
      </c>
      <c r="S4482" s="150"/>
    </row>
    <row r="4483" spans="1:19" hidden="1">
      <c r="A4483" s="149" t="s">
        <v>6628</v>
      </c>
      <c r="B4483" s="150" t="str">
        <f>IFERROR(VLOOKUP(Proc[[#This Row],[App]],Table2[],3,0),"open")</f>
        <v>ok</v>
      </c>
      <c r="C4483" s="149" t="s">
        <v>369</v>
      </c>
      <c r="D4483" t="s">
        <v>6621</v>
      </c>
      <c r="E4483" t="s">
        <v>6625</v>
      </c>
      <c r="F4483" s="150" t="s">
        <v>6625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6435</v>
      </c>
      <c r="M4483" s="162">
        <v>45958</v>
      </c>
      <c r="N4483" s="162"/>
      <c r="O4483" s="162"/>
      <c r="P4483" s="163" t="str">
        <f ca="1">IF(Proc[[#This Row],[DaysAgeing]]&gt;5,"yep","on track")</f>
        <v>yep</v>
      </c>
      <c r="Q4483" s="3">
        <f ca="1">IF(Proc[[#This Row],[DateClosed]]="",ABS(NETWORKDAYS(Proc[[#This Row],[DateOpened]],TODAY()))-1,ABS(NETWORKDAYS(Proc[[#This Row],[DateOpened]],Proc[[#This Row],[DateClosed]]))-1)</f>
        <v>33</v>
      </c>
      <c r="R4483" s="163" t="s">
        <v>1459</v>
      </c>
      <c r="S4483" s="150"/>
    </row>
    <row r="4484" spans="1:19" hidden="1">
      <c r="A4484" s="149" t="s">
        <v>6628</v>
      </c>
      <c r="B4484" s="150" t="str">
        <f>IFERROR(VLOOKUP(Proc[[#This Row],[App]],Table2[],3,0),"open")</f>
        <v>ok</v>
      </c>
      <c r="C4484" s="149" t="s">
        <v>369</v>
      </c>
      <c r="D4484" t="s">
        <v>6622</v>
      </c>
      <c r="E4484" t="s">
        <v>6625</v>
      </c>
      <c r="F4484" s="150" t="s">
        <v>6625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6435</v>
      </c>
      <c r="M4484" s="162">
        <v>45958</v>
      </c>
      <c r="N4484" s="162"/>
      <c r="O4484" s="162"/>
      <c r="P4484" s="163" t="str">
        <f ca="1">IF(Proc[[#This Row],[DaysAgeing]]&gt;5,"yep","on track")</f>
        <v>yep</v>
      </c>
      <c r="Q4484" s="3">
        <f ca="1">IF(Proc[[#This Row],[DateClosed]]="",ABS(NETWORKDAYS(Proc[[#This Row],[DateOpened]],TODAY()))-1,ABS(NETWORKDAYS(Proc[[#This Row],[DateOpened]],Proc[[#This Row],[DateClosed]]))-1)</f>
        <v>33</v>
      </c>
      <c r="R4484" s="163" t="s">
        <v>1459</v>
      </c>
      <c r="S4484" s="150"/>
    </row>
    <row r="4485" spans="1:19" hidden="1">
      <c r="A4485" t="s">
        <v>6629</v>
      </c>
      <c r="B4485" s="150" t="str">
        <f>IFERROR(VLOOKUP(Proc[[#This Row],[App]],Table2[],3,0),"open")</f>
        <v>ok</v>
      </c>
      <c r="C4485" s="149" t="s">
        <v>369</v>
      </c>
      <c r="D4485" t="s">
        <v>6630</v>
      </c>
      <c r="E4485" t="s">
        <v>6605</v>
      </c>
      <c r="F4485" s="150" t="s">
        <v>6605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6435</v>
      </c>
      <c r="M4485" s="162">
        <v>45958</v>
      </c>
      <c r="N4485" s="162"/>
      <c r="O4485" s="162"/>
      <c r="P4485" s="163" t="str">
        <f ca="1">IF(Proc[[#This Row],[DaysAgeing]]&gt;5,"yep","on track")</f>
        <v>yep</v>
      </c>
      <c r="Q4485" s="3">
        <f ca="1">IF(Proc[[#This Row],[DateClosed]]="",ABS(NETWORKDAYS(Proc[[#This Row],[DateOpened]],TODAY()))-1,ABS(NETWORKDAYS(Proc[[#This Row],[DateOpened]],Proc[[#This Row],[DateClosed]]))-1)</f>
        <v>33</v>
      </c>
      <c r="R4485" s="163" t="s">
        <v>489</v>
      </c>
      <c r="S4485" s="150"/>
    </row>
    <row r="4486" spans="1:19" hidden="1">
      <c r="A4486" t="s">
        <v>6629</v>
      </c>
      <c r="B4486" s="150" t="str">
        <f>IFERROR(VLOOKUP(Proc[[#This Row],[App]],Table2[],3,0),"open")</f>
        <v>ok</v>
      </c>
      <c r="C4486" s="149" t="s">
        <v>369</v>
      </c>
      <c r="D4486" t="s">
        <v>6631</v>
      </c>
      <c r="E4486" t="s">
        <v>6605</v>
      </c>
      <c r="F4486" s="150" t="s">
        <v>6605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6435</v>
      </c>
      <c r="M4486" s="162">
        <v>45958</v>
      </c>
      <c r="N4486" s="162"/>
      <c r="O4486" s="162"/>
      <c r="P4486" s="163" t="str">
        <f ca="1">IF(Proc[[#This Row],[DaysAgeing]]&gt;5,"yep","on track")</f>
        <v>yep</v>
      </c>
      <c r="Q4486" s="3">
        <f ca="1">IF(Proc[[#This Row],[DateClosed]]="",ABS(NETWORKDAYS(Proc[[#This Row],[DateOpened]],TODAY()))-1,ABS(NETWORKDAYS(Proc[[#This Row],[DateOpened]],Proc[[#This Row],[DateClosed]]))-1)</f>
        <v>33</v>
      </c>
      <c r="R4486" s="163" t="s">
        <v>489</v>
      </c>
      <c r="S4486" s="150"/>
    </row>
    <row r="4487" spans="1:19" hidden="1">
      <c r="A4487" s="149" t="s">
        <v>6629</v>
      </c>
      <c r="B4487" s="150" t="str">
        <f>IFERROR(VLOOKUP(Proc[[#This Row],[App]],Table2[],3,0),"open")</f>
        <v>ok</v>
      </c>
      <c r="C4487" s="149" t="s">
        <v>369</v>
      </c>
      <c r="D4487" t="s">
        <v>6632</v>
      </c>
      <c r="E4487" t="s">
        <v>6605</v>
      </c>
      <c r="F4487" s="150" t="s">
        <v>6605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6435</v>
      </c>
      <c r="M4487" s="162">
        <v>45958</v>
      </c>
      <c r="N4487" s="162"/>
      <c r="O4487" s="162"/>
      <c r="P4487" s="163" t="str">
        <f ca="1">IF(Proc[[#This Row],[DaysAgeing]]&gt;5,"yep","on track")</f>
        <v>yep</v>
      </c>
      <c r="Q4487" s="3">
        <f ca="1">IF(Proc[[#This Row],[DateClosed]]="",ABS(NETWORKDAYS(Proc[[#This Row],[DateOpened]],TODAY()))-1,ABS(NETWORKDAYS(Proc[[#This Row],[DateOpened]],Proc[[#This Row],[DateClosed]]))-1)</f>
        <v>33</v>
      </c>
      <c r="R4487" s="163" t="s">
        <v>489</v>
      </c>
      <c r="S4487" s="150"/>
    </row>
    <row r="4488" spans="1:19" hidden="1">
      <c r="A4488" s="149" t="s">
        <v>6629</v>
      </c>
      <c r="B4488" s="150" t="str">
        <f>IFERROR(VLOOKUP(Proc[[#This Row],[App]],Table2[],3,0),"open")</f>
        <v>ok</v>
      </c>
      <c r="C4488" s="149" t="s">
        <v>369</v>
      </c>
      <c r="D4488" t="s">
        <v>6633</v>
      </c>
      <c r="E4488" t="s">
        <v>2205</v>
      </c>
      <c r="F4488" s="150" t="s">
        <v>2205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6435</v>
      </c>
      <c r="M4488" s="162">
        <v>45958</v>
      </c>
      <c r="N4488" s="162"/>
      <c r="O4488" s="162"/>
      <c r="P4488" s="163" t="str">
        <f ca="1">IF(Proc[[#This Row],[DaysAgeing]]&gt;5,"yep","on track")</f>
        <v>yep</v>
      </c>
      <c r="Q4488" s="3">
        <f ca="1">IF(Proc[[#This Row],[DateClosed]]="",ABS(NETWORKDAYS(Proc[[#This Row],[DateOpened]],TODAY()))-1,ABS(NETWORKDAYS(Proc[[#This Row],[DateOpened]],Proc[[#This Row],[DateClosed]]))-1)</f>
        <v>33</v>
      </c>
      <c r="R4488" s="163" t="s">
        <v>489</v>
      </c>
      <c r="S4488" s="150"/>
    </row>
    <row r="4489" spans="1:19" hidden="1">
      <c r="A4489" t="s">
        <v>6636</v>
      </c>
      <c r="B4489" s="150" t="str">
        <f>IFERROR(VLOOKUP(Proc[[#This Row],[App]],Table2[],3,0),"open")</f>
        <v>ok</v>
      </c>
      <c r="C4489" t="s">
        <v>369</v>
      </c>
      <c r="D4489" t="s">
        <v>6637</v>
      </c>
      <c r="E4489" t="s">
        <v>447</v>
      </c>
      <c r="F4489" s="150" t="s">
        <v>447</v>
      </c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1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6435</v>
      </c>
      <c r="M4489" s="163">
        <v>45959</v>
      </c>
      <c r="N4489" s="164"/>
      <c r="O4489" s="164"/>
      <c r="P4489" s="163" t="str">
        <f ca="1">IF(Proc[[#This Row],[DaysAgeing]]&gt;5,"yep","on track")</f>
        <v>yep</v>
      </c>
      <c r="Q4489" s="3">
        <f ca="1">IF(Proc[[#This Row],[DateClosed]]="",ABS(NETWORKDAYS(Proc[[#This Row],[DateOpened]],TODAY()))-1,ABS(NETWORKDAYS(Proc[[#This Row],[DateOpened]],Proc[[#This Row],[DateClosed]]))-1)</f>
        <v>32</v>
      </c>
      <c r="R4489" s="163" t="s">
        <v>489</v>
      </c>
      <c r="S4489" s="150"/>
    </row>
    <row r="4490" spans="1:19" hidden="1">
      <c r="A4490" t="s">
        <v>6639</v>
      </c>
      <c r="B4490" s="150" t="str">
        <f>IFERROR(VLOOKUP(Proc[[#This Row],[App]],Table2[],3,0),"open")</f>
        <v>open</v>
      </c>
      <c r="C4490" s="149" t="s">
        <v>692</v>
      </c>
      <c r="D4490" t="s">
        <v>6742</v>
      </c>
      <c r="E4490" t="s">
        <v>6640</v>
      </c>
      <c r="F4490" s="150"/>
      <c r="G4490" t="s">
        <v>400</v>
      </c>
      <c r="H4490" s="150" t="str">
        <f>IF(Proc[[#This Row],[type]]="LFF (MDG-F)",MID(Proc[[#This Row],[Obj]],13,10),"")</f>
        <v/>
      </c>
      <c r="J4490" s="150" t="b">
        <f>Proc[[#This Row],[Requested]]=Proc[[#This Row],[CurrentParent]]</f>
        <v>0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6435</v>
      </c>
      <c r="M4490" s="164">
        <v>45954</v>
      </c>
      <c r="N4490" s="164"/>
      <c r="O4490" s="164"/>
      <c r="P4490" s="165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35</v>
      </c>
      <c r="R4490" s="165" t="s">
        <v>498</v>
      </c>
      <c r="S4490" s="150"/>
    </row>
    <row r="4491" spans="1:19" hidden="1">
      <c r="A4491" t="s">
        <v>6639</v>
      </c>
      <c r="B4491" s="150" t="str">
        <f>IFERROR(VLOOKUP(Proc[[#This Row],[App]],Table2[],3,0),"open")</f>
        <v>open</v>
      </c>
      <c r="C4491" s="149" t="s">
        <v>692</v>
      </c>
      <c r="D4491" t="s">
        <v>6743</v>
      </c>
      <c r="E4491" t="s">
        <v>6641</v>
      </c>
      <c r="F4491" s="150"/>
      <c r="G4491" t="s">
        <v>400</v>
      </c>
      <c r="H4491" s="150" t="str">
        <f>IF(Proc[[#This Row],[type]]="LFF (MDG-F)",MID(Proc[[#This Row],[Obj]],13,10),"")</f>
        <v/>
      </c>
      <c r="J4491" s="150" t="b">
        <f>Proc[[#This Row],[Requested]]=Proc[[#This Row],[CurrentParent]]</f>
        <v>0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6435</v>
      </c>
      <c r="M4491" s="164">
        <v>45954</v>
      </c>
      <c r="N4491" s="164"/>
      <c r="O4491" s="164"/>
      <c r="P4491" s="165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35</v>
      </c>
      <c r="R4491" s="165" t="s">
        <v>498</v>
      </c>
      <c r="S4491" s="150"/>
    </row>
    <row r="4492" spans="1:19" hidden="1">
      <c r="A4492" t="s">
        <v>6642</v>
      </c>
      <c r="B4492" s="150" t="str">
        <f>IFERROR(VLOOKUP(Proc[[#This Row],[App]],Table2[],3,0),"open")</f>
        <v>ok</v>
      </c>
      <c r="C4492" s="149" t="s">
        <v>369</v>
      </c>
      <c r="D4492" t="s">
        <v>6643</v>
      </c>
      <c r="E4492" t="s">
        <v>6744</v>
      </c>
      <c r="F4492" s="150" t="s">
        <v>6744</v>
      </c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1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6435</v>
      </c>
      <c r="M4492" s="165">
        <v>45961</v>
      </c>
      <c r="N4492" s="166"/>
      <c r="O4492" s="166"/>
      <c r="P4492" s="165" t="str">
        <f ca="1">IF(Proc[[#This Row],[DaysAgeing]]&gt;5,"yep","on track")</f>
        <v>yep</v>
      </c>
      <c r="Q4492" s="3">
        <f ca="1">IF(Proc[[#This Row],[DateClosed]]="",ABS(NETWORKDAYS(Proc[[#This Row],[DateOpened]],TODAY()))-1,ABS(NETWORKDAYS(Proc[[#This Row],[DateOpened]],Proc[[#This Row],[DateClosed]]))-1)</f>
        <v>30</v>
      </c>
      <c r="R4492" s="165" t="s">
        <v>6665</v>
      </c>
      <c r="S4492" s="150"/>
    </row>
    <row r="4493" spans="1:19" hidden="1">
      <c r="A4493" s="149" t="s">
        <v>6642</v>
      </c>
      <c r="B4493" s="150" t="str">
        <f>IFERROR(VLOOKUP(Proc[[#This Row],[App]],Table2[],3,0),"open")</f>
        <v>ok</v>
      </c>
      <c r="C4493" s="149" t="s">
        <v>369</v>
      </c>
      <c r="D4493" t="s">
        <v>6644</v>
      </c>
      <c r="E4493" t="s">
        <v>6745</v>
      </c>
      <c r="F4493" s="150" t="s">
        <v>6745</v>
      </c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1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6435</v>
      </c>
      <c r="M4493" s="165">
        <v>45961</v>
      </c>
      <c r="N4493" s="166"/>
      <c r="O4493" s="166"/>
      <c r="P4493" s="165" t="str">
        <f ca="1">IF(Proc[[#This Row],[DaysAgeing]]&gt;5,"yep","on track")</f>
        <v>yep</v>
      </c>
      <c r="Q4493" s="3">
        <f ca="1">IF(Proc[[#This Row],[DateClosed]]="",ABS(NETWORKDAYS(Proc[[#This Row],[DateOpened]],TODAY()))-1,ABS(NETWORKDAYS(Proc[[#This Row],[DateOpened]],Proc[[#This Row],[DateClosed]]))-1)</f>
        <v>30</v>
      </c>
      <c r="R4493" s="165" t="s">
        <v>6665</v>
      </c>
      <c r="S4493" s="150"/>
    </row>
    <row r="4494" spans="1:19" hidden="1">
      <c r="A4494" s="149" t="s">
        <v>6642</v>
      </c>
      <c r="B4494" s="150" t="str">
        <f>IFERROR(VLOOKUP(Proc[[#This Row],[App]],Table2[],3,0),"open")</f>
        <v>ok</v>
      </c>
      <c r="C4494" s="149" t="s">
        <v>369</v>
      </c>
      <c r="D4494" t="s">
        <v>6645</v>
      </c>
      <c r="E4494" t="s">
        <v>812</v>
      </c>
      <c r="F4494" s="150" t="s">
        <v>812</v>
      </c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6435</v>
      </c>
      <c r="M4494" s="165">
        <v>45961</v>
      </c>
      <c r="N4494" s="166"/>
      <c r="O4494" s="166"/>
      <c r="P4494" s="165" t="str">
        <f ca="1">IF(Proc[[#This Row],[DaysAgeing]]&gt;5,"yep","on track")</f>
        <v>yep</v>
      </c>
      <c r="Q4494" s="3">
        <f ca="1">IF(Proc[[#This Row],[DateClosed]]="",ABS(NETWORKDAYS(Proc[[#This Row],[DateOpened]],TODAY()))-1,ABS(NETWORKDAYS(Proc[[#This Row],[DateOpened]],Proc[[#This Row],[DateClosed]]))-1)</f>
        <v>30</v>
      </c>
      <c r="R4494" s="165" t="s">
        <v>6665</v>
      </c>
      <c r="S4494" s="150"/>
    </row>
    <row r="4495" spans="1:19" hidden="1">
      <c r="A4495" s="149" t="s">
        <v>6642</v>
      </c>
      <c r="B4495" s="150" t="str">
        <f>IFERROR(VLOOKUP(Proc[[#This Row],[App]],Table2[],3,0),"open")</f>
        <v>ok</v>
      </c>
      <c r="C4495" s="149" t="s">
        <v>369</v>
      </c>
      <c r="D4495" t="s">
        <v>6646</v>
      </c>
      <c r="E4495" t="s">
        <v>812</v>
      </c>
      <c r="F4495" s="150" t="s">
        <v>812</v>
      </c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6435</v>
      </c>
      <c r="M4495" s="165">
        <v>45961</v>
      </c>
      <c r="N4495" s="166"/>
      <c r="O4495" s="166"/>
      <c r="P4495" s="165" t="str">
        <f ca="1">IF(Proc[[#This Row],[DaysAgeing]]&gt;5,"yep","on track")</f>
        <v>yep</v>
      </c>
      <c r="Q4495" s="3">
        <f ca="1">IF(Proc[[#This Row],[DateClosed]]="",ABS(NETWORKDAYS(Proc[[#This Row],[DateOpened]],TODAY()))-1,ABS(NETWORKDAYS(Proc[[#This Row],[DateOpened]],Proc[[#This Row],[DateClosed]]))-1)</f>
        <v>30</v>
      </c>
      <c r="R4495" s="165" t="s">
        <v>6665</v>
      </c>
      <c r="S4495" s="150"/>
    </row>
    <row r="4496" spans="1:19" hidden="1">
      <c r="A4496" s="149" t="s">
        <v>6642</v>
      </c>
      <c r="B4496" s="150" t="str">
        <f>IFERROR(VLOOKUP(Proc[[#This Row],[App]],Table2[],3,0),"open")</f>
        <v>ok</v>
      </c>
      <c r="C4496" s="149" t="s">
        <v>377</v>
      </c>
      <c r="D4496" t="s">
        <v>6747</v>
      </c>
      <c r="E4496" t="s">
        <v>6663</v>
      </c>
      <c r="F4496" s="150" t="s">
        <v>6746</v>
      </c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6435</v>
      </c>
      <c r="M4496" s="165">
        <v>45961</v>
      </c>
      <c r="N4496" s="166"/>
      <c r="O4496" s="166"/>
      <c r="P4496" s="165" t="str">
        <f ca="1">IF(Proc[[#This Row],[DaysAgeing]]&gt;5,"yep","on track")</f>
        <v>yep</v>
      </c>
      <c r="Q4496" s="3">
        <f ca="1">IF(Proc[[#This Row],[DateClosed]]="",ABS(NETWORKDAYS(Proc[[#This Row],[DateOpened]],TODAY()))-1,ABS(NETWORKDAYS(Proc[[#This Row],[DateOpened]],Proc[[#This Row],[DateClosed]]))-1)</f>
        <v>30</v>
      </c>
      <c r="R4496" s="165" t="s">
        <v>6665</v>
      </c>
      <c r="S4496" s="150"/>
    </row>
    <row r="4497" spans="1:19" hidden="1">
      <c r="A4497" s="149" t="s">
        <v>6642</v>
      </c>
      <c r="B4497" s="150" t="str">
        <f>IFERROR(VLOOKUP(Proc[[#This Row],[App]],Table2[],3,0),"open")</f>
        <v>ok</v>
      </c>
      <c r="C4497" s="149" t="s">
        <v>369</v>
      </c>
      <c r="D4497" t="s">
        <v>6647</v>
      </c>
      <c r="E4497" t="s">
        <v>812</v>
      </c>
      <c r="F4497" s="150" t="s">
        <v>812</v>
      </c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6435</v>
      </c>
      <c r="M4497" s="165">
        <v>45961</v>
      </c>
      <c r="N4497" s="166"/>
      <c r="O4497" s="166"/>
      <c r="P4497" s="165" t="str">
        <f ca="1">IF(Proc[[#This Row],[DaysAgeing]]&gt;5,"yep","on track")</f>
        <v>yep</v>
      </c>
      <c r="Q4497" s="3">
        <f ca="1">IF(Proc[[#This Row],[DateClosed]]="",ABS(NETWORKDAYS(Proc[[#This Row],[DateOpened]],TODAY()))-1,ABS(NETWORKDAYS(Proc[[#This Row],[DateOpened]],Proc[[#This Row],[DateClosed]]))-1)</f>
        <v>30</v>
      </c>
      <c r="R4497" s="165" t="s">
        <v>6665</v>
      </c>
      <c r="S4497" s="150"/>
    </row>
    <row r="4498" spans="1:19" hidden="1">
      <c r="A4498" s="149" t="s">
        <v>6642</v>
      </c>
      <c r="B4498" s="150" t="str">
        <f>IFERROR(VLOOKUP(Proc[[#This Row],[App]],Table2[],3,0),"open")</f>
        <v>ok</v>
      </c>
      <c r="C4498" s="149" t="s">
        <v>369</v>
      </c>
      <c r="D4498" t="s">
        <v>6648</v>
      </c>
      <c r="E4498" t="s">
        <v>991</v>
      </c>
      <c r="F4498" s="150" t="s">
        <v>991</v>
      </c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6435</v>
      </c>
      <c r="M4498" s="165">
        <v>45961</v>
      </c>
      <c r="N4498" s="166"/>
      <c r="O4498" s="166"/>
      <c r="P4498" s="165" t="str">
        <f ca="1">IF(Proc[[#This Row],[DaysAgeing]]&gt;5,"yep","on track")</f>
        <v>yep</v>
      </c>
      <c r="Q4498" s="3">
        <f ca="1">IF(Proc[[#This Row],[DateClosed]]="",ABS(NETWORKDAYS(Proc[[#This Row],[DateOpened]],TODAY()))-1,ABS(NETWORKDAYS(Proc[[#This Row],[DateOpened]],Proc[[#This Row],[DateClosed]]))-1)</f>
        <v>30</v>
      </c>
      <c r="R4498" s="165" t="s">
        <v>6665</v>
      </c>
      <c r="S4498" s="150"/>
    </row>
    <row r="4499" spans="1:19" hidden="1">
      <c r="A4499" s="149" t="s">
        <v>6642</v>
      </c>
      <c r="B4499" s="150" t="str">
        <f>IFERROR(VLOOKUP(Proc[[#This Row],[App]],Table2[],3,0),"open")</f>
        <v>ok</v>
      </c>
      <c r="C4499" s="149" t="s">
        <v>369</v>
      </c>
      <c r="D4499" t="s">
        <v>6649</v>
      </c>
      <c r="E4499" t="s">
        <v>812</v>
      </c>
      <c r="F4499" s="150" t="s">
        <v>812</v>
      </c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6435</v>
      </c>
      <c r="M4499" s="165">
        <v>45961</v>
      </c>
      <c r="N4499" s="166"/>
      <c r="O4499" s="166"/>
      <c r="P4499" s="165" t="str">
        <f ca="1">IF(Proc[[#This Row],[DaysAgeing]]&gt;5,"yep","on track")</f>
        <v>yep</v>
      </c>
      <c r="Q4499" s="3">
        <f ca="1">IF(Proc[[#This Row],[DateClosed]]="",ABS(NETWORKDAYS(Proc[[#This Row],[DateOpened]],TODAY()))-1,ABS(NETWORKDAYS(Proc[[#This Row],[DateOpened]],Proc[[#This Row],[DateClosed]]))-1)</f>
        <v>30</v>
      </c>
      <c r="R4499" s="165" t="s">
        <v>6665</v>
      </c>
      <c r="S4499" s="150"/>
    </row>
    <row r="4500" spans="1:19" hidden="1">
      <c r="A4500" s="149" t="s">
        <v>6642</v>
      </c>
      <c r="B4500" s="150" t="str">
        <f>IFERROR(VLOOKUP(Proc[[#This Row],[App]],Table2[],3,0),"open")</f>
        <v>ok</v>
      </c>
      <c r="C4500" s="149" t="s">
        <v>369</v>
      </c>
      <c r="D4500" t="s">
        <v>6650</v>
      </c>
      <c r="E4500" t="s">
        <v>812</v>
      </c>
      <c r="F4500" s="150" t="s">
        <v>812</v>
      </c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6435</v>
      </c>
      <c r="M4500" s="165">
        <v>45961</v>
      </c>
      <c r="N4500" s="166"/>
      <c r="O4500" s="166"/>
      <c r="P4500" s="165" t="str">
        <f ca="1">IF(Proc[[#This Row],[DaysAgeing]]&gt;5,"yep","on track")</f>
        <v>yep</v>
      </c>
      <c r="Q4500" s="3">
        <f ca="1">IF(Proc[[#This Row],[DateClosed]]="",ABS(NETWORKDAYS(Proc[[#This Row],[DateOpened]],TODAY()))-1,ABS(NETWORKDAYS(Proc[[#This Row],[DateOpened]],Proc[[#This Row],[DateClosed]]))-1)</f>
        <v>30</v>
      </c>
      <c r="R4500" s="165" t="s">
        <v>6665</v>
      </c>
      <c r="S4500" s="150"/>
    </row>
    <row r="4501" spans="1:19" hidden="1">
      <c r="A4501" s="149" t="s">
        <v>6642</v>
      </c>
      <c r="B4501" s="150" t="str">
        <f>IFERROR(VLOOKUP(Proc[[#This Row],[App]],Table2[],3,0),"open")</f>
        <v>ok</v>
      </c>
      <c r="C4501" s="149" t="s">
        <v>369</v>
      </c>
      <c r="D4501" t="s">
        <v>6651</v>
      </c>
      <c r="E4501" t="s">
        <v>812</v>
      </c>
      <c r="F4501" s="150" t="s">
        <v>812</v>
      </c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6435</v>
      </c>
      <c r="M4501" s="165">
        <v>45961</v>
      </c>
      <c r="N4501" s="166"/>
      <c r="O4501" s="166"/>
      <c r="P4501" s="165" t="str">
        <f ca="1">IF(Proc[[#This Row],[DaysAgeing]]&gt;5,"yep","on track")</f>
        <v>yep</v>
      </c>
      <c r="Q4501" s="3">
        <f ca="1">IF(Proc[[#This Row],[DateClosed]]="",ABS(NETWORKDAYS(Proc[[#This Row],[DateOpened]],TODAY()))-1,ABS(NETWORKDAYS(Proc[[#This Row],[DateOpened]],Proc[[#This Row],[DateClosed]]))-1)</f>
        <v>30</v>
      </c>
      <c r="R4501" s="165" t="s">
        <v>6665</v>
      </c>
      <c r="S4501" s="150"/>
    </row>
    <row r="4502" spans="1:19" hidden="1">
      <c r="A4502" s="149" t="s">
        <v>6642</v>
      </c>
      <c r="B4502" s="150" t="str">
        <f>IFERROR(VLOOKUP(Proc[[#This Row],[App]],Table2[],3,0),"open")</f>
        <v>ok</v>
      </c>
      <c r="C4502" s="149" t="s">
        <v>369</v>
      </c>
      <c r="D4502" t="s">
        <v>6652</v>
      </c>
      <c r="E4502" t="s">
        <v>812</v>
      </c>
      <c r="F4502" s="150" t="s">
        <v>812</v>
      </c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6435</v>
      </c>
      <c r="M4502" s="165">
        <v>45961</v>
      </c>
      <c r="N4502" s="166"/>
      <c r="O4502" s="166"/>
      <c r="P4502" s="165" t="str">
        <f ca="1">IF(Proc[[#This Row],[DaysAgeing]]&gt;5,"yep","on track")</f>
        <v>yep</v>
      </c>
      <c r="Q4502" s="3">
        <f ca="1">IF(Proc[[#This Row],[DateClosed]]="",ABS(NETWORKDAYS(Proc[[#This Row],[DateOpened]],TODAY()))-1,ABS(NETWORKDAYS(Proc[[#This Row],[DateOpened]],Proc[[#This Row],[DateClosed]]))-1)</f>
        <v>30</v>
      </c>
      <c r="R4502" s="165" t="s">
        <v>6665</v>
      </c>
      <c r="S4502" s="150"/>
    </row>
    <row r="4503" spans="1:19" hidden="1">
      <c r="A4503" s="149" t="s">
        <v>6642</v>
      </c>
      <c r="B4503" s="150" t="str">
        <f>IFERROR(VLOOKUP(Proc[[#This Row],[App]],Table2[],3,0),"open")</f>
        <v>ok</v>
      </c>
      <c r="C4503" s="149" t="s">
        <v>369</v>
      </c>
      <c r="D4503" t="s">
        <v>6653</v>
      </c>
      <c r="E4503" t="s">
        <v>812</v>
      </c>
      <c r="F4503" s="150" t="s">
        <v>812</v>
      </c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6435</v>
      </c>
      <c r="M4503" s="165">
        <v>45961</v>
      </c>
      <c r="N4503" s="166"/>
      <c r="O4503" s="166"/>
      <c r="P4503" s="165" t="str">
        <f ca="1">IF(Proc[[#This Row],[DaysAgeing]]&gt;5,"yep","on track")</f>
        <v>yep</v>
      </c>
      <c r="Q4503" s="3">
        <f ca="1">IF(Proc[[#This Row],[DateClosed]]="",ABS(NETWORKDAYS(Proc[[#This Row],[DateOpened]],TODAY()))-1,ABS(NETWORKDAYS(Proc[[#This Row],[DateOpened]],Proc[[#This Row],[DateClosed]]))-1)</f>
        <v>30</v>
      </c>
      <c r="R4503" s="165" t="s">
        <v>6665</v>
      </c>
      <c r="S4503" s="150"/>
    </row>
    <row r="4504" spans="1:19" hidden="1">
      <c r="A4504" s="149" t="s">
        <v>6642</v>
      </c>
      <c r="B4504" s="150" t="str">
        <f>IFERROR(VLOOKUP(Proc[[#This Row],[App]],Table2[],3,0),"open")</f>
        <v>ok</v>
      </c>
      <c r="C4504" s="149" t="s">
        <v>369</v>
      </c>
      <c r="D4504" t="s">
        <v>6654</v>
      </c>
      <c r="E4504" t="s">
        <v>812</v>
      </c>
      <c r="F4504" s="150" t="s">
        <v>812</v>
      </c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6435</v>
      </c>
      <c r="M4504" s="165">
        <v>45961</v>
      </c>
      <c r="N4504" s="166"/>
      <c r="O4504" s="166"/>
      <c r="P4504" s="165" t="str">
        <f ca="1">IF(Proc[[#This Row],[DaysAgeing]]&gt;5,"yep","on track")</f>
        <v>yep</v>
      </c>
      <c r="Q4504" s="3">
        <f ca="1">IF(Proc[[#This Row],[DateClosed]]="",ABS(NETWORKDAYS(Proc[[#This Row],[DateOpened]],TODAY()))-1,ABS(NETWORKDAYS(Proc[[#This Row],[DateOpened]],Proc[[#This Row],[DateClosed]]))-1)</f>
        <v>30</v>
      </c>
      <c r="R4504" s="165" t="s">
        <v>6665</v>
      </c>
      <c r="S4504" s="150"/>
    </row>
    <row r="4505" spans="1:19" hidden="1">
      <c r="A4505" s="149" t="s">
        <v>6642</v>
      </c>
      <c r="B4505" s="150" t="str">
        <f>IFERROR(VLOOKUP(Proc[[#This Row],[App]],Table2[],3,0),"open")</f>
        <v>ok</v>
      </c>
      <c r="C4505" s="149" t="s">
        <v>369</v>
      </c>
      <c r="D4505" t="s">
        <v>6655</v>
      </c>
      <c r="E4505" t="s">
        <v>6664</v>
      </c>
      <c r="F4505" s="150" t="s">
        <v>6664</v>
      </c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6435</v>
      </c>
      <c r="M4505" s="165">
        <v>45961</v>
      </c>
      <c r="N4505" s="166"/>
      <c r="O4505" s="166"/>
      <c r="P4505" s="165" t="str">
        <f ca="1">IF(Proc[[#This Row],[DaysAgeing]]&gt;5,"yep","on track")</f>
        <v>yep</v>
      </c>
      <c r="Q4505" s="3">
        <f ca="1">IF(Proc[[#This Row],[DateClosed]]="",ABS(NETWORKDAYS(Proc[[#This Row],[DateOpened]],TODAY()))-1,ABS(NETWORKDAYS(Proc[[#This Row],[DateOpened]],Proc[[#This Row],[DateClosed]]))-1)</f>
        <v>30</v>
      </c>
      <c r="R4505" s="165" t="s">
        <v>6665</v>
      </c>
      <c r="S4505" s="150"/>
    </row>
    <row r="4506" spans="1:19" hidden="1">
      <c r="A4506" s="149" t="s">
        <v>6642</v>
      </c>
      <c r="B4506" s="150" t="str">
        <f>IFERROR(VLOOKUP(Proc[[#This Row],[App]],Table2[],3,0),"open")</f>
        <v>ok</v>
      </c>
      <c r="C4506" s="149" t="s">
        <v>369</v>
      </c>
      <c r="D4506" t="s">
        <v>6656</v>
      </c>
      <c r="E4506" t="s">
        <v>483</v>
      </c>
      <c r="F4506" s="150" t="s">
        <v>483</v>
      </c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6435</v>
      </c>
      <c r="M4506" s="165">
        <v>45961</v>
      </c>
      <c r="N4506" s="166"/>
      <c r="O4506" s="166"/>
      <c r="P4506" s="165" t="str">
        <f ca="1">IF(Proc[[#This Row],[DaysAgeing]]&gt;5,"yep","on track")</f>
        <v>yep</v>
      </c>
      <c r="Q4506" s="3">
        <f ca="1">IF(Proc[[#This Row],[DateClosed]]="",ABS(NETWORKDAYS(Proc[[#This Row],[DateOpened]],TODAY()))-1,ABS(NETWORKDAYS(Proc[[#This Row],[DateOpened]],Proc[[#This Row],[DateClosed]]))-1)</f>
        <v>30</v>
      </c>
      <c r="R4506" s="165" t="s">
        <v>6665</v>
      </c>
      <c r="S4506" s="150"/>
    </row>
    <row r="4507" spans="1:19" hidden="1">
      <c r="A4507" s="149" t="s">
        <v>6642</v>
      </c>
      <c r="B4507" s="150" t="str">
        <f>IFERROR(VLOOKUP(Proc[[#This Row],[App]],Table2[],3,0),"open")</f>
        <v>ok</v>
      </c>
      <c r="C4507" s="149" t="s">
        <v>369</v>
      </c>
      <c r="D4507" t="s">
        <v>6657</v>
      </c>
      <c r="E4507" t="s">
        <v>483</v>
      </c>
      <c r="F4507" s="150" t="s">
        <v>483</v>
      </c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6435</v>
      </c>
      <c r="M4507" s="165">
        <v>45961</v>
      </c>
      <c r="N4507" s="166"/>
      <c r="O4507" s="166"/>
      <c r="P4507" s="165" t="str">
        <f ca="1">IF(Proc[[#This Row],[DaysAgeing]]&gt;5,"yep","on track")</f>
        <v>yep</v>
      </c>
      <c r="Q4507" s="3">
        <f ca="1">IF(Proc[[#This Row],[DateClosed]]="",ABS(NETWORKDAYS(Proc[[#This Row],[DateOpened]],TODAY()))-1,ABS(NETWORKDAYS(Proc[[#This Row],[DateOpened]],Proc[[#This Row],[DateClosed]]))-1)</f>
        <v>30</v>
      </c>
      <c r="R4507" s="165" t="s">
        <v>6665</v>
      </c>
      <c r="S4507" s="150"/>
    </row>
    <row r="4508" spans="1:19" hidden="1">
      <c r="A4508" s="149" t="s">
        <v>6642</v>
      </c>
      <c r="B4508" s="150" t="str">
        <f>IFERROR(VLOOKUP(Proc[[#This Row],[App]],Table2[],3,0),"open")</f>
        <v>ok</v>
      </c>
      <c r="C4508" s="149" t="s">
        <v>369</v>
      </c>
      <c r="D4508" t="s">
        <v>6658</v>
      </c>
      <c r="E4508" t="s">
        <v>483</v>
      </c>
      <c r="F4508" s="150" t="s">
        <v>483</v>
      </c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6435</v>
      </c>
      <c r="M4508" s="165">
        <v>45961</v>
      </c>
      <c r="N4508" s="166"/>
      <c r="O4508" s="166"/>
      <c r="P4508" s="165" t="str">
        <f ca="1">IF(Proc[[#This Row],[DaysAgeing]]&gt;5,"yep","on track")</f>
        <v>yep</v>
      </c>
      <c r="Q4508" s="3">
        <f ca="1">IF(Proc[[#This Row],[DateClosed]]="",ABS(NETWORKDAYS(Proc[[#This Row],[DateOpened]],TODAY()))-1,ABS(NETWORKDAYS(Proc[[#This Row],[DateOpened]],Proc[[#This Row],[DateClosed]]))-1)</f>
        <v>30</v>
      </c>
      <c r="R4508" s="165" t="s">
        <v>6665</v>
      </c>
      <c r="S4508" s="150"/>
    </row>
    <row r="4509" spans="1:19" hidden="1">
      <c r="A4509" s="149" t="s">
        <v>6642</v>
      </c>
      <c r="B4509" s="150" t="str">
        <f>IFERROR(VLOOKUP(Proc[[#This Row],[App]],Table2[],3,0),"open")</f>
        <v>ok</v>
      </c>
      <c r="C4509" s="149" t="s">
        <v>369</v>
      </c>
      <c r="D4509" t="s">
        <v>6659</v>
      </c>
      <c r="E4509" t="s">
        <v>483</v>
      </c>
      <c r="F4509" s="150" t="s">
        <v>483</v>
      </c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6435</v>
      </c>
      <c r="M4509" s="165">
        <v>45961</v>
      </c>
      <c r="N4509" s="166"/>
      <c r="O4509" s="166"/>
      <c r="P4509" s="165" t="str">
        <f ca="1">IF(Proc[[#This Row],[DaysAgeing]]&gt;5,"yep","on track")</f>
        <v>yep</v>
      </c>
      <c r="Q4509" s="3">
        <f ca="1">IF(Proc[[#This Row],[DateClosed]]="",ABS(NETWORKDAYS(Proc[[#This Row],[DateOpened]],TODAY()))-1,ABS(NETWORKDAYS(Proc[[#This Row],[DateOpened]],Proc[[#This Row],[DateClosed]]))-1)</f>
        <v>30</v>
      </c>
      <c r="R4509" s="165" t="s">
        <v>6665</v>
      </c>
      <c r="S4509" s="150"/>
    </row>
    <row r="4510" spans="1:19" hidden="1">
      <c r="A4510" s="149" t="s">
        <v>6642</v>
      </c>
      <c r="B4510" s="150" t="str">
        <f>IFERROR(VLOOKUP(Proc[[#This Row],[App]],Table2[],3,0),"open")</f>
        <v>ok</v>
      </c>
      <c r="C4510" s="149" t="s">
        <v>369</v>
      </c>
      <c r="D4510" t="s">
        <v>6660</v>
      </c>
      <c r="E4510" t="s">
        <v>483</v>
      </c>
      <c r="F4510" s="150" t="s">
        <v>483</v>
      </c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6435</v>
      </c>
      <c r="M4510" s="165">
        <v>45961</v>
      </c>
      <c r="N4510" s="166"/>
      <c r="O4510" s="166"/>
      <c r="P4510" s="165" t="str">
        <f ca="1">IF(Proc[[#This Row],[DaysAgeing]]&gt;5,"yep","on track")</f>
        <v>yep</v>
      </c>
      <c r="Q4510" s="3">
        <f ca="1">IF(Proc[[#This Row],[DateClosed]]="",ABS(NETWORKDAYS(Proc[[#This Row],[DateOpened]],TODAY()))-1,ABS(NETWORKDAYS(Proc[[#This Row],[DateOpened]],Proc[[#This Row],[DateClosed]]))-1)</f>
        <v>30</v>
      </c>
      <c r="R4510" s="165" t="s">
        <v>6665</v>
      </c>
      <c r="S4510" s="150"/>
    </row>
    <row r="4511" spans="1:19" hidden="1">
      <c r="A4511" s="149" t="s">
        <v>6642</v>
      </c>
      <c r="B4511" s="150" t="str">
        <f>IFERROR(VLOOKUP(Proc[[#This Row],[App]],Table2[],3,0),"open")</f>
        <v>ok</v>
      </c>
      <c r="C4511" s="149" t="s">
        <v>369</v>
      </c>
      <c r="D4511" t="s">
        <v>6661</v>
      </c>
      <c r="E4511" t="s">
        <v>6664</v>
      </c>
      <c r="F4511" s="150" t="s">
        <v>6664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6435</v>
      </c>
      <c r="M4511" s="165">
        <v>45961</v>
      </c>
      <c r="N4511" s="166"/>
      <c r="O4511" s="166"/>
      <c r="P4511" s="165" t="str">
        <f ca="1">IF(Proc[[#This Row],[DaysAgeing]]&gt;5,"yep","on track")</f>
        <v>yep</v>
      </c>
      <c r="Q4511" s="3">
        <f ca="1">IF(Proc[[#This Row],[DateClosed]]="",ABS(NETWORKDAYS(Proc[[#This Row],[DateOpened]],TODAY()))-1,ABS(NETWORKDAYS(Proc[[#This Row],[DateOpened]],Proc[[#This Row],[DateClosed]]))-1)</f>
        <v>30</v>
      </c>
      <c r="R4511" s="165" t="s">
        <v>6665</v>
      </c>
      <c r="S4511" s="150"/>
    </row>
    <row r="4512" spans="1:19" hidden="1">
      <c r="A4512" s="149" t="s">
        <v>6642</v>
      </c>
      <c r="B4512" s="150" t="str">
        <f>IFERROR(VLOOKUP(Proc[[#This Row],[App]],Table2[],3,0),"open")</f>
        <v>ok</v>
      </c>
      <c r="C4512" s="149" t="s">
        <v>369</v>
      </c>
      <c r="D4512" t="s">
        <v>6662</v>
      </c>
      <c r="E4512" t="s">
        <v>483</v>
      </c>
      <c r="F4512" s="150" t="s">
        <v>483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6435</v>
      </c>
      <c r="M4512" s="165">
        <v>45961</v>
      </c>
      <c r="N4512" s="166"/>
      <c r="O4512" s="166"/>
      <c r="P4512" s="165" t="str">
        <f ca="1">IF(Proc[[#This Row],[DaysAgeing]]&gt;5,"yep","on track")</f>
        <v>yep</v>
      </c>
      <c r="Q4512" s="3">
        <f ca="1">IF(Proc[[#This Row],[DateClosed]]="",ABS(NETWORKDAYS(Proc[[#This Row],[DateOpened]],TODAY()))-1,ABS(NETWORKDAYS(Proc[[#This Row],[DateOpened]],Proc[[#This Row],[DateClosed]]))-1)</f>
        <v>30</v>
      </c>
      <c r="R4512" s="165" t="s">
        <v>6665</v>
      </c>
      <c r="S4512" s="150"/>
    </row>
    <row r="4513" spans="1:19" hidden="1">
      <c r="A4513" t="s">
        <v>6666</v>
      </c>
      <c r="B4513" s="150" t="str">
        <f>IFERROR(VLOOKUP(Proc[[#This Row],[App]],Table2[],3,0),"open")</f>
        <v>ok</v>
      </c>
      <c r="C4513" s="149" t="s">
        <v>369</v>
      </c>
      <c r="D4513" t="s">
        <v>6667</v>
      </c>
      <c r="E4513" t="s">
        <v>3004</v>
      </c>
      <c r="F4513" s="150" t="s">
        <v>3004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6435</v>
      </c>
      <c r="M4513" s="165">
        <v>45961</v>
      </c>
      <c r="N4513" s="166"/>
      <c r="O4513" s="166"/>
      <c r="P4513" s="165" t="str">
        <f ca="1">IF(Proc[[#This Row],[DaysAgeing]]&gt;5,"yep","on track")</f>
        <v>yep</v>
      </c>
      <c r="Q4513" s="3">
        <f ca="1">IF(Proc[[#This Row],[DateClosed]]="",ABS(NETWORKDAYS(Proc[[#This Row],[DateOpened]],TODAY()))-1,ABS(NETWORKDAYS(Proc[[#This Row],[DateOpened]],Proc[[#This Row],[DateClosed]]))-1)</f>
        <v>30</v>
      </c>
      <c r="R4513" s="165" t="s">
        <v>1013</v>
      </c>
      <c r="S4513" s="150"/>
    </row>
    <row r="4514" spans="1:19" hidden="1">
      <c r="A4514" s="149" t="s">
        <v>6666</v>
      </c>
      <c r="B4514" s="150" t="str">
        <f>IFERROR(VLOOKUP(Proc[[#This Row],[App]],Table2[],3,0),"open")</f>
        <v>ok</v>
      </c>
      <c r="C4514" s="149" t="s">
        <v>369</v>
      </c>
      <c r="D4514" t="s">
        <v>6668</v>
      </c>
      <c r="E4514" t="s">
        <v>3005</v>
      </c>
      <c r="F4514" s="150" t="s">
        <v>3005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6435</v>
      </c>
      <c r="M4514" s="165">
        <v>45961</v>
      </c>
      <c r="N4514" s="166"/>
      <c r="O4514" s="166"/>
      <c r="P4514" s="165" t="str">
        <f ca="1">IF(Proc[[#This Row],[DaysAgeing]]&gt;5,"yep","on track")</f>
        <v>yep</v>
      </c>
      <c r="Q4514" s="3">
        <f ca="1">IF(Proc[[#This Row],[DateClosed]]="",ABS(NETWORKDAYS(Proc[[#This Row],[DateOpened]],TODAY()))-1,ABS(NETWORKDAYS(Proc[[#This Row],[DateOpened]],Proc[[#This Row],[DateClosed]]))-1)</f>
        <v>30</v>
      </c>
      <c r="R4514" s="165" t="s">
        <v>1013</v>
      </c>
      <c r="S4514" s="150"/>
    </row>
    <row r="4515" spans="1:19" hidden="1">
      <c r="A4515" s="149" t="s">
        <v>6666</v>
      </c>
      <c r="B4515" s="150" t="str">
        <f>IFERROR(VLOOKUP(Proc[[#This Row],[App]],Table2[],3,0),"open")</f>
        <v>ok</v>
      </c>
      <c r="C4515" s="149" t="s">
        <v>369</v>
      </c>
      <c r="D4515" t="s">
        <v>6669</v>
      </c>
      <c r="E4515" t="s">
        <v>3004</v>
      </c>
      <c r="F4515" s="150" t="s">
        <v>3004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6435</v>
      </c>
      <c r="M4515" s="165">
        <v>45961</v>
      </c>
      <c r="N4515" s="166"/>
      <c r="O4515" s="166"/>
      <c r="P4515" s="165" t="str">
        <f ca="1">IF(Proc[[#This Row],[DaysAgeing]]&gt;5,"yep","on track")</f>
        <v>yep</v>
      </c>
      <c r="Q4515" s="3">
        <f ca="1">IF(Proc[[#This Row],[DateClosed]]="",ABS(NETWORKDAYS(Proc[[#This Row],[DateOpened]],TODAY()))-1,ABS(NETWORKDAYS(Proc[[#This Row],[DateOpened]],Proc[[#This Row],[DateClosed]]))-1)</f>
        <v>30</v>
      </c>
      <c r="R4515" s="165" t="s">
        <v>1013</v>
      </c>
      <c r="S4515" s="150"/>
    </row>
    <row r="4516" spans="1:19" hidden="1">
      <c r="A4516" s="149" t="s">
        <v>6666</v>
      </c>
      <c r="B4516" s="150" t="str">
        <f>IFERROR(VLOOKUP(Proc[[#This Row],[App]],Table2[],3,0),"open")</f>
        <v>ok</v>
      </c>
      <c r="C4516" s="149" t="s">
        <v>369</v>
      </c>
      <c r="D4516" t="s">
        <v>6670</v>
      </c>
      <c r="E4516" t="s">
        <v>3003</v>
      </c>
      <c r="F4516" s="150" t="s">
        <v>3003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6435</v>
      </c>
      <c r="M4516" s="165">
        <v>45961</v>
      </c>
      <c r="N4516" s="166"/>
      <c r="O4516" s="166"/>
      <c r="P4516" s="165" t="str">
        <f ca="1">IF(Proc[[#This Row],[DaysAgeing]]&gt;5,"yep","on track")</f>
        <v>yep</v>
      </c>
      <c r="Q4516" s="3">
        <f ca="1">IF(Proc[[#This Row],[DateClosed]]="",ABS(NETWORKDAYS(Proc[[#This Row],[DateOpened]],TODAY()))-1,ABS(NETWORKDAYS(Proc[[#This Row],[DateOpened]],Proc[[#This Row],[DateClosed]]))-1)</f>
        <v>30</v>
      </c>
      <c r="R4516" s="165" t="s">
        <v>1013</v>
      </c>
      <c r="S4516" s="150"/>
    </row>
    <row r="4517" spans="1:19" hidden="1">
      <c r="A4517" s="149" t="s">
        <v>6666</v>
      </c>
      <c r="B4517" s="150" t="str">
        <f>IFERROR(VLOOKUP(Proc[[#This Row],[App]],Table2[],3,0),"open")</f>
        <v>ok</v>
      </c>
      <c r="C4517" s="149" t="s">
        <v>369</v>
      </c>
      <c r="D4517" t="s">
        <v>6671</v>
      </c>
      <c r="E4517" t="s">
        <v>3003</v>
      </c>
      <c r="F4517" s="150" t="s">
        <v>3003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6435</v>
      </c>
      <c r="M4517" s="165">
        <v>45961</v>
      </c>
      <c r="N4517" s="166"/>
      <c r="O4517" s="166"/>
      <c r="P4517" s="165" t="str">
        <f ca="1">IF(Proc[[#This Row],[DaysAgeing]]&gt;5,"yep","on track")</f>
        <v>yep</v>
      </c>
      <c r="Q4517" s="3">
        <f ca="1">IF(Proc[[#This Row],[DateClosed]]="",ABS(NETWORKDAYS(Proc[[#This Row],[DateOpened]],TODAY()))-1,ABS(NETWORKDAYS(Proc[[#This Row],[DateOpened]],Proc[[#This Row],[DateClosed]]))-1)</f>
        <v>30</v>
      </c>
      <c r="R4517" s="165" t="s">
        <v>1013</v>
      </c>
      <c r="S4517" s="150"/>
    </row>
    <row r="4518" spans="1:19" hidden="1">
      <c r="A4518" s="149" t="s">
        <v>6666</v>
      </c>
      <c r="B4518" s="150" t="str">
        <f>IFERROR(VLOOKUP(Proc[[#This Row],[App]],Table2[],3,0),"open")</f>
        <v>ok</v>
      </c>
      <c r="C4518" s="149" t="s">
        <v>369</v>
      </c>
      <c r="D4518" t="s">
        <v>6672</v>
      </c>
      <c r="E4518" t="s">
        <v>3740</v>
      </c>
      <c r="F4518" s="150" t="s">
        <v>3740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6435</v>
      </c>
      <c r="M4518" s="165">
        <v>45961</v>
      </c>
      <c r="N4518" s="166"/>
      <c r="O4518" s="166"/>
      <c r="P4518" s="165" t="str">
        <f ca="1">IF(Proc[[#This Row],[DaysAgeing]]&gt;5,"yep","on track")</f>
        <v>yep</v>
      </c>
      <c r="Q4518" s="3">
        <f ca="1">IF(Proc[[#This Row],[DateClosed]]="",ABS(NETWORKDAYS(Proc[[#This Row],[DateOpened]],TODAY()))-1,ABS(NETWORKDAYS(Proc[[#This Row],[DateOpened]],Proc[[#This Row],[DateClosed]]))-1)</f>
        <v>30</v>
      </c>
      <c r="R4518" s="165" t="s">
        <v>1013</v>
      </c>
      <c r="S4518" s="150"/>
    </row>
    <row r="4519" spans="1:19" hidden="1">
      <c r="A4519" s="149" t="s">
        <v>6666</v>
      </c>
      <c r="B4519" s="150" t="str">
        <f>IFERROR(VLOOKUP(Proc[[#This Row],[App]],Table2[],3,0),"open")</f>
        <v>ok</v>
      </c>
      <c r="C4519" s="149" t="s">
        <v>369</v>
      </c>
      <c r="D4519" t="s">
        <v>6673</v>
      </c>
      <c r="E4519" t="s">
        <v>3740</v>
      </c>
      <c r="F4519" s="150" t="s">
        <v>3740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6435</v>
      </c>
      <c r="M4519" s="165">
        <v>45961</v>
      </c>
      <c r="N4519" s="166"/>
      <c r="O4519" s="166"/>
      <c r="P4519" s="165" t="str">
        <f ca="1">IF(Proc[[#This Row],[DaysAgeing]]&gt;5,"yep","on track")</f>
        <v>yep</v>
      </c>
      <c r="Q4519" s="3">
        <f ca="1">IF(Proc[[#This Row],[DateClosed]]="",ABS(NETWORKDAYS(Proc[[#This Row],[DateOpened]],TODAY()))-1,ABS(NETWORKDAYS(Proc[[#This Row],[DateOpened]],Proc[[#This Row],[DateClosed]]))-1)</f>
        <v>30</v>
      </c>
      <c r="R4519" s="165" t="s">
        <v>1013</v>
      </c>
      <c r="S4519" s="150"/>
    </row>
    <row r="4520" spans="1:19" hidden="1">
      <c r="A4520" s="149" t="s">
        <v>6666</v>
      </c>
      <c r="B4520" s="150" t="str">
        <f>IFERROR(VLOOKUP(Proc[[#This Row],[App]],Table2[],3,0),"open")</f>
        <v>ok</v>
      </c>
      <c r="C4520" s="149" t="s">
        <v>369</v>
      </c>
      <c r="D4520" t="s">
        <v>6674</v>
      </c>
      <c r="E4520" t="s">
        <v>3004</v>
      </c>
      <c r="F4520" s="150" t="s">
        <v>3004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6435</v>
      </c>
      <c r="M4520" s="165">
        <v>45961</v>
      </c>
      <c r="N4520" s="166"/>
      <c r="O4520" s="166"/>
      <c r="P4520" s="165" t="str">
        <f ca="1">IF(Proc[[#This Row],[DaysAgeing]]&gt;5,"yep","on track")</f>
        <v>yep</v>
      </c>
      <c r="Q4520" s="3">
        <f ca="1">IF(Proc[[#This Row],[DateClosed]]="",ABS(NETWORKDAYS(Proc[[#This Row],[DateOpened]],TODAY()))-1,ABS(NETWORKDAYS(Proc[[#This Row],[DateOpened]],Proc[[#This Row],[DateClosed]]))-1)</f>
        <v>30</v>
      </c>
      <c r="R4520" s="165" t="s">
        <v>1013</v>
      </c>
      <c r="S4520" s="150"/>
    </row>
    <row r="4521" spans="1:19" hidden="1">
      <c r="A4521" s="149" t="s">
        <v>6666</v>
      </c>
      <c r="B4521" s="150" t="str">
        <f>IFERROR(VLOOKUP(Proc[[#This Row],[App]],Table2[],3,0),"open")</f>
        <v>ok</v>
      </c>
      <c r="C4521" s="149" t="s">
        <v>369</v>
      </c>
      <c r="D4521" t="s">
        <v>6675</v>
      </c>
      <c r="E4521" t="s">
        <v>3005</v>
      </c>
      <c r="F4521" s="150" t="s">
        <v>3005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6435</v>
      </c>
      <c r="M4521" s="165">
        <v>45961</v>
      </c>
      <c r="N4521" s="166"/>
      <c r="O4521" s="166"/>
      <c r="P4521" s="165" t="str">
        <f ca="1">IF(Proc[[#This Row],[DaysAgeing]]&gt;5,"yep","on track")</f>
        <v>yep</v>
      </c>
      <c r="Q4521" s="3">
        <f ca="1">IF(Proc[[#This Row],[DateClosed]]="",ABS(NETWORKDAYS(Proc[[#This Row],[DateOpened]],TODAY()))-1,ABS(NETWORKDAYS(Proc[[#This Row],[DateOpened]],Proc[[#This Row],[DateClosed]]))-1)</f>
        <v>30</v>
      </c>
      <c r="R4521" s="165" t="s">
        <v>1013</v>
      </c>
      <c r="S4521" s="150"/>
    </row>
    <row r="4522" spans="1:19" hidden="1">
      <c r="A4522" s="149" t="s">
        <v>6666</v>
      </c>
      <c r="B4522" s="150" t="str">
        <f>IFERROR(VLOOKUP(Proc[[#This Row],[App]],Table2[],3,0),"open")</f>
        <v>ok</v>
      </c>
      <c r="C4522" s="149" t="s">
        <v>369</v>
      </c>
      <c r="D4522" t="s">
        <v>6676</v>
      </c>
      <c r="E4522" t="s">
        <v>3004</v>
      </c>
      <c r="F4522" s="150" t="s">
        <v>3004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6435</v>
      </c>
      <c r="M4522" s="165">
        <v>45961</v>
      </c>
      <c r="N4522" s="166"/>
      <c r="O4522" s="166"/>
      <c r="P4522" s="165" t="str">
        <f ca="1">IF(Proc[[#This Row],[DaysAgeing]]&gt;5,"yep","on track")</f>
        <v>yep</v>
      </c>
      <c r="Q4522" s="3">
        <f ca="1">IF(Proc[[#This Row],[DateClosed]]="",ABS(NETWORKDAYS(Proc[[#This Row],[DateOpened]],TODAY()))-1,ABS(NETWORKDAYS(Proc[[#This Row],[DateOpened]],Proc[[#This Row],[DateClosed]]))-1)</f>
        <v>30</v>
      </c>
      <c r="R4522" s="165" t="s">
        <v>1013</v>
      </c>
      <c r="S4522" s="150"/>
    </row>
    <row r="4523" spans="1:19" hidden="1">
      <c r="A4523" s="149" t="s">
        <v>6666</v>
      </c>
      <c r="B4523" s="150" t="str">
        <f>IFERROR(VLOOKUP(Proc[[#This Row],[App]],Table2[],3,0),"open")</f>
        <v>ok</v>
      </c>
      <c r="C4523" s="149" t="s">
        <v>369</v>
      </c>
      <c r="D4523" t="s">
        <v>6677</v>
      </c>
      <c r="E4523" t="s">
        <v>3006</v>
      </c>
      <c r="F4523" s="150" t="s">
        <v>3006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6435</v>
      </c>
      <c r="M4523" s="165">
        <v>45961</v>
      </c>
      <c r="N4523" s="166"/>
      <c r="O4523" s="166"/>
      <c r="P4523" s="165" t="str">
        <f ca="1">IF(Proc[[#This Row],[DaysAgeing]]&gt;5,"yep","on track")</f>
        <v>yep</v>
      </c>
      <c r="Q4523" s="3">
        <f ca="1">IF(Proc[[#This Row],[DateClosed]]="",ABS(NETWORKDAYS(Proc[[#This Row],[DateOpened]],TODAY()))-1,ABS(NETWORKDAYS(Proc[[#This Row],[DateOpened]],Proc[[#This Row],[DateClosed]]))-1)</f>
        <v>30</v>
      </c>
      <c r="R4523" s="165" t="s">
        <v>1013</v>
      </c>
      <c r="S4523" s="150"/>
    </row>
    <row r="4524" spans="1:19" hidden="1">
      <c r="A4524" s="149" t="s">
        <v>6666</v>
      </c>
      <c r="B4524" s="150" t="str">
        <f>IFERROR(VLOOKUP(Proc[[#This Row],[App]],Table2[],3,0),"open")</f>
        <v>ok</v>
      </c>
      <c r="C4524" s="149" t="s">
        <v>369</v>
      </c>
      <c r="D4524" t="s">
        <v>6678</v>
      </c>
      <c r="E4524" t="s">
        <v>3401</v>
      </c>
      <c r="F4524" s="150" t="s">
        <v>3401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6435</v>
      </c>
      <c r="M4524" s="165">
        <v>45961</v>
      </c>
      <c r="N4524" s="166"/>
      <c r="O4524" s="166"/>
      <c r="P4524" s="165" t="str">
        <f ca="1">IF(Proc[[#This Row],[DaysAgeing]]&gt;5,"yep","on track")</f>
        <v>yep</v>
      </c>
      <c r="Q4524" s="3">
        <f ca="1">IF(Proc[[#This Row],[DateClosed]]="",ABS(NETWORKDAYS(Proc[[#This Row],[DateOpened]],TODAY()))-1,ABS(NETWORKDAYS(Proc[[#This Row],[DateOpened]],Proc[[#This Row],[DateClosed]]))-1)</f>
        <v>30</v>
      </c>
      <c r="R4524" s="165" t="s">
        <v>1013</v>
      </c>
      <c r="S4524" s="150"/>
    </row>
    <row r="4525" spans="1:19" hidden="1">
      <c r="A4525" s="149" t="s">
        <v>6666</v>
      </c>
      <c r="B4525" s="150" t="str">
        <f>IFERROR(VLOOKUP(Proc[[#This Row],[App]],Table2[],3,0),"open")</f>
        <v>ok</v>
      </c>
      <c r="C4525" s="149" t="s">
        <v>369</v>
      </c>
      <c r="D4525" t="s">
        <v>6679</v>
      </c>
      <c r="E4525" t="s">
        <v>3401</v>
      </c>
      <c r="F4525" s="150" t="s">
        <v>3401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6435</v>
      </c>
      <c r="M4525" s="165">
        <v>45961</v>
      </c>
      <c r="N4525" s="166"/>
      <c r="O4525" s="166"/>
      <c r="P4525" s="165" t="str">
        <f ca="1">IF(Proc[[#This Row],[DaysAgeing]]&gt;5,"yep","on track")</f>
        <v>yep</v>
      </c>
      <c r="Q4525" s="3">
        <f ca="1">IF(Proc[[#This Row],[DateClosed]]="",ABS(NETWORKDAYS(Proc[[#This Row],[DateOpened]],TODAY()))-1,ABS(NETWORKDAYS(Proc[[#This Row],[DateOpened]],Proc[[#This Row],[DateClosed]]))-1)</f>
        <v>30</v>
      </c>
      <c r="R4525" s="165" t="s">
        <v>1013</v>
      </c>
      <c r="S4525" s="150"/>
    </row>
    <row r="4526" spans="1:19" hidden="1">
      <c r="A4526" s="149" t="s">
        <v>6666</v>
      </c>
      <c r="B4526" s="150" t="str">
        <f>IFERROR(VLOOKUP(Proc[[#This Row],[App]],Table2[],3,0),"open")</f>
        <v>ok</v>
      </c>
      <c r="C4526" s="149" t="s">
        <v>369</v>
      </c>
      <c r="D4526" t="s">
        <v>6680</v>
      </c>
      <c r="E4526" t="s">
        <v>3401</v>
      </c>
      <c r="F4526" s="150" t="s">
        <v>3401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6435</v>
      </c>
      <c r="M4526" s="165">
        <v>45961</v>
      </c>
      <c r="N4526" s="166"/>
      <c r="O4526" s="166"/>
      <c r="P4526" s="165" t="str">
        <f ca="1">IF(Proc[[#This Row],[DaysAgeing]]&gt;5,"yep","on track")</f>
        <v>yep</v>
      </c>
      <c r="Q4526" s="3">
        <f ca="1">IF(Proc[[#This Row],[DateClosed]]="",ABS(NETWORKDAYS(Proc[[#This Row],[DateOpened]],TODAY()))-1,ABS(NETWORKDAYS(Proc[[#This Row],[DateOpened]],Proc[[#This Row],[DateClosed]]))-1)</f>
        <v>30</v>
      </c>
      <c r="R4526" s="165" t="s">
        <v>1013</v>
      </c>
      <c r="S4526" s="150"/>
    </row>
    <row r="4527" spans="1:19" hidden="1">
      <c r="A4527" s="149" t="s">
        <v>6666</v>
      </c>
      <c r="B4527" s="150" t="str">
        <f>IFERROR(VLOOKUP(Proc[[#This Row],[App]],Table2[],3,0),"open")</f>
        <v>ok</v>
      </c>
      <c r="C4527" s="149" t="s">
        <v>369</v>
      </c>
      <c r="D4527" t="s">
        <v>6681</v>
      </c>
      <c r="E4527" t="s">
        <v>6713</v>
      </c>
      <c r="F4527" s="150" t="s">
        <v>6713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6435</v>
      </c>
      <c r="M4527" s="165">
        <v>45961</v>
      </c>
      <c r="N4527" s="166"/>
      <c r="O4527" s="166"/>
      <c r="P4527" s="165" t="str">
        <f ca="1">IF(Proc[[#This Row],[DaysAgeing]]&gt;5,"yep","on track")</f>
        <v>yep</v>
      </c>
      <c r="Q4527" s="3">
        <f ca="1">IF(Proc[[#This Row],[DateClosed]]="",ABS(NETWORKDAYS(Proc[[#This Row],[DateOpened]],TODAY()))-1,ABS(NETWORKDAYS(Proc[[#This Row],[DateOpened]],Proc[[#This Row],[DateClosed]]))-1)</f>
        <v>30</v>
      </c>
      <c r="R4527" s="165" t="s">
        <v>1013</v>
      </c>
      <c r="S4527" s="150"/>
    </row>
    <row r="4528" spans="1:19" hidden="1">
      <c r="A4528" s="149" t="s">
        <v>6666</v>
      </c>
      <c r="B4528" s="150" t="str">
        <f>IFERROR(VLOOKUP(Proc[[#This Row],[App]],Table2[],3,0),"open")</f>
        <v>ok</v>
      </c>
      <c r="C4528" s="149" t="s">
        <v>369</v>
      </c>
      <c r="D4528" t="s">
        <v>6682</v>
      </c>
      <c r="E4528" t="s">
        <v>4068</v>
      </c>
      <c r="F4528" s="150" t="s">
        <v>4068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6435</v>
      </c>
      <c r="M4528" s="165">
        <v>45961</v>
      </c>
      <c r="N4528" s="166"/>
      <c r="O4528" s="166"/>
      <c r="P4528" s="165" t="str">
        <f ca="1">IF(Proc[[#This Row],[DaysAgeing]]&gt;5,"yep","on track")</f>
        <v>yep</v>
      </c>
      <c r="Q4528" s="3">
        <f ca="1">IF(Proc[[#This Row],[DateClosed]]="",ABS(NETWORKDAYS(Proc[[#This Row],[DateOpened]],TODAY()))-1,ABS(NETWORKDAYS(Proc[[#This Row],[DateOpened]],Proc[[#This Row],[DateClosed]]))-1)</f>
        <v>30</v>
      </c>
      <c r="R4528" s="165" t="s">
        <v>1013</v>
      </c>
      <c r="S4528" s="150"/>
    </row>
    <row r="4529" spans="1:19" hidden="1">
      <c r="A4529" s="149" t="s">
        <v>6666</v>
      </c>
      <c r="B4529" s="150" t="str">
        <f>IFERROR(VLOOKUP(Proc[[#This Row],[App]],Table2[],3,0),"open")</f>
        <v>ok</v>
      </c>
      <c r="C4529" s="149" t="s">
        <v>369</v>
      </c>
      <c r="D4529" t="s">
        <v>6683</v>
      </c>
      <c r="E4529" t="s">
        <v>4068</v>
      </c>
      <c r="F4529" s="150" t="s">
        <v>4068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6435</v>
      </c>
      <c r="M4529" s="165">
        <v>45961</v>
      </c>
      <c r="N4529" s="166"/>
      <c r="O4529" s="166"/>
      <c r="P4529" s="165" t="str">
        <f ca="1">IF(Proc[[#This Row],[DaysAgeing]]&gt;5,"yep","on track")</f>
        <v>yep</v>
      </c>
      <c r="Q4529" s="3">
        <f ca="1">IF(Proc[[#This Row],[DateClosed]]="",ABS(NETWORKDAYS(Proc[[#This Row],[DateOpened]],TODAY()))-1,ABS(NETWORKDAYS(Proc[[#This Row],[DateOpened]],Proc[[#This Row],[DateClosed]]))-1)</f>
        <v>30</v>
      </c>
      <c r="R4529" s="165" t="s">
        <v>1013</v>
      </c>
      <c r="S4529" s="150"/>
    </row>
    <row r="4530" spans="1:19" hidden="1">
      <c r="A4530" s="149" t="s">
        <v>6666</v>
      </c>
      <c r="B4530" s="150" t="str">
        <f>IFERROR(VLOOKUP(Proc[[#This Row],[App]],Table2[],3,0),"open")</f>
        <v>ok</v>
      </c>
      <c r="C4530" s="149" t="s">
        <v>369</v>
      </c>
      <c r="D4530" t="s">
        <v>6684</v>
      </c>
      <c r="E4530" t="s">
        <v>4068</v>
      </c>
      <c r="F4530" s="150" t="s">
        <v>4068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6435</v>
      </c>
      <c r="M4530" s="165">
        <v>45961</v>
      </c>
      <c r="N4530" s="166"/>
      <c r="O4530" s="166"/>
      <c r="P4530" s="165" t="str">
        <f ca="1">IF(Proc[[#This Row],[DaysAgeing]]&gt;5,"yep","on track")</f>
        <v>yep</v>
      </c>
      <c r="Q4530" s="3">
        <f ca="1">IF(Proc[[#This Row],[DateClosed]]="",ABS(NETWORKDAYS(Proc[[#This Row],[DateOpened]],TODAY()))-1,ABS(NETWORKDAYS(Proc[[#This Row],[DateOpened]],Proc[[#This Row],[DateClosed]]))-1)</f>
        <v>30</v>
      </c>
      <c r="R4530" s="165" t="s">
        <v>1013</v>
      </c>
      <c r="S4530" s="150"/>
    </row>
    <row r="4531" spans="1:19" hidden="1">
      <c r="A4531" s="149" t="s">
        <v>6666</v>
      </c>
      <c r="B4531" s="150" t="str">
        <f>IFERROR(VLOOKUP(Proc[[#This Row],[App]],Table2[],3,0),"open")</f>
        <v>ok</v>
      </c>
      <c r="C4531" s="149" t="s">
        <v>369</v>
      </c>
      <c r="D4531" t="s">
        <v>6685</v>
      </c>
      <c r="E4531" t="s">
        <v>4068</v>
      </c>
      <c r="F4531" s="150" t="s">
        <v>4068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6435</v>
      </c>
      <c r="M4531" s="165">
        <v>45961</v>
      </c>
      <c r="N4531" s="166"/>
      <c r="O4531" s="166"/>
      <c r="P4531" s="165" t="str">
        <f ca="1">IF(Proc[[#This Row],[DaysAgeing]]&gt;5,"yep","on track")</f>
        <v>yep</v>
      </c>
      <c r="Q4531" s="3">
        <f ca="1">IF(Proc[[#This Row],[DateClosed]]="",ABS(NETWORKDAYS(Proc[[#This Row],[DateOpened]],TODAY()))-1,ABS(NETWORKDAYS(Proc[[#This Row],[DateOpened]],Proc[[#This Row],[DateClosed]]))-1)</f>
        <v>30</v>
      </c>
      <c r="R4531" s="165" t="s">
        <v>1013</v>
      </c>
      <c r="S4531" s="150"/>
    </row>
    <row r="4532" spans="1:19" hidden="1">
      <c r="A4532" s="149" t="s">
        <v>6666</v>
      </c>
      <c r="B4532" s="150" t="str">
        <f>IFERROR(VLOOKUP(Proc[[#This Row],[App]],Table2[],3,0),"open")</f>
        <v>ok</v>
      </c>
      <c r="C4532" s="149" t="s">
        <v>369</v>
      </c>
      <c r="D4532" t="s">
        <v>6686</v>
      </c>
      <c r="E4532" t="s">
        <v>4068</v>
      </c>
      <c r="F4532" s="150" t="s">
        <v>4068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6435</v>
      </c>
      <c r="M4532" s="165">
        <v>45961</v>
      </c>
      <c r="N4532" s="166"/>
      <c r="O4532" s="166"/>
      <c r="P4532" s="165" t="str">
        <f ca="1">IF(Proc[[#This Row],[DaysAgeing]]&gt;5,"yep","on track")</f>
        <v>yep</v>
      </c>
      <c r="Q4532" s="3">
        <f ca="1">IF(Proc[[#This Row],[DateClosed]]="",ABS(NETWORKDAYS(Proc[[#This Row],[DateOpened]],TODAY()))-1,ABS(NETWORKDAYS(Proc[[#This Row],[DateOpened]],Proc[[#This Row],[DateClosed]]))-1)</f>
        <v>30</v>
      </c>
      <c r="R4532" s="165" t="s">
        <v>1013</v>
      </c>
      <c r="S4532" s="150"/>
    </row>
    <row r="4533" spans="1:19" hidden="1">
      <c r="A4533" s="149" t="s">
        <v>6666</v>
      </c>
      <c r="B4533" s="150" t="str">
        <f>IFERROR(VLOOKUP(Proc[[#This Row],[App]],Table2[],3,0),"open")</f>
        <v>ok</v>
      </c>
      <c r="C4533" s="149" t="s">
        <v>369</v>
      </c>
      <c r="D4533" t="s">
        <v>6687</v>
      </c>
      <c r="E4533" t="s">
        <v>4068</v>
      </c>
      <c r="F4533" s="150" t="s">
        <v>4068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6435</v>
      </c>
      <c r="M4533" s="165">
        <v>45961</v>
      </c>
      <c r="N4533" s="166"/>
      <c r="O4533" s="166"/>
      <c r="P4533" s="165" t="str">
        <f ca="1">IF(Proc[[#This Row],[DaysAgeing]]&gt;5,"yep","on track")</f>
        <v>yep</v>
      </c>
      <c r="Q4533" s="3">
        <f ca="1">IF(Proc[[#This Row],[DateClosed]]="",ABS(NETWORKDAYS(Proc[[#This Row],[DateOpened]],TODAY()))-1,ABS(NETWORKDAYS(Proc[[#This Row],[DateOpened]],Proc[[#This Row],[DateClosed]]))-1)</f>
        <v>30</v>
      </c>
      <c r="R4533" s="165" t="s">
        <v>1013</v>
      </c>
      <c r="S4533" s="150"/>
    </row>
    <row r="4534" spans="1:19" hidden="1">
      <c r="A4534" s="149" t="s">
        <v>6666</v>
      </c>
      <c r="B4534" s="150" t="str">
        <f>IFERROR(VLOOKUP(Proc[[#This Row],[App]],Table2[],3,0),"open")</f>
        <v>ok</v>
      </c>
      <c r="C4534" s="149" t="s">
        <v>369</v>
      </c>
      <c r="D4534" t="s">
        <v>6688</v>
      </c>
      <c r="E4534" t="s">
        <v>4068</v>
      </c>
      <c r="F4534" s="150" t="s">
        <v>4068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6435</v>
      </c>
      <c r="M4534" s="165">
        <v>45961</v>
      </c>
      <c r="N4534" s="166"/>
      <c r="O4534" s="166"/>
      <c r="P4534" s="165" t="str">
        <f ca="1">IF(Proc[[#This Row],[DaysAgeing]]&gt;5,"yep","on track")</f>
        <v>yep</v>
      </c>
      <c r="Q4534" s="3">
        <f ca="1">IF(Proc[[#This Row],[DateClosed]]="",ABS(NETWORKDAYS(Proc[[#This Row],[DateOpened]],TODAY()))-1,ABS(NETWORKDAYS(Proc[[#This Row],[DateOpened]],Proc[[#This Row],[DateClosed]]))-1)</f>
        <v>30</v>
      </c>
      <c r="R4534" s="165" t="s">
        <v>1013</v>
      </c>
      <c r="S4534" s="150"/>
    </row>
    <row r="4535" spans="1:19" hidden="1">
      <c r="A4535" s="149" t="s">
        <v>6666</v>
      </c>
      <c r="B4535" s="150" t="str">
        <f>IFERROR(VLOOKUP(Proc[[#This Row],[App]],Table2[],3,0),"open")</f>
        <v>ok</v>
      </c>
      <c r="C4535" s="149" t="s">
        <v>369</v>
      </c>
      <c r="D4535" t="s">
        <v>6689</v>
      </c>
      <c r="E4535" t="s">
        <v>4068</v>
      </c>
      <c r="F4535" s="150" t="s">
        <v>4068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6435</v>
      </c>
      <c r="M4535" s="165">
        <v>45961</v>
      </c>
      <c r="N4535" s="166"/>
      <c r="O4535" s="166"/>
      <c r="P4535" s="165" t="str">
        <f ca="1">IF(Proc[[#This Row],[DaysAgeing]]&gt;5,"yep","on track")</f>
        <v>yep</v>
      </c>
      <c r="Q4535" s="3">
        <f ca="1">IF(Proc[[#This Row],[DateClosed]]="",ABS(NETWORKDAYS(Proc[[#This Row],[DateOpened]],TODAY()))-1,ABS(NETWORKDAYS(Proc[[#This Row],[DateOpened]],Proc[[#This Row],[DateClosed]]))-1)</f>
        <v>30</v>
      </c>
      <c r="R4535" s="165" t="s">
        <v>1013</v>
      </c>
      <c r="S4535" s="150"/>
    </row>
    <row r="4536" spans="1:19" hidden="1">
      <c r="A4536" s="149" t="s">
        <v>6666</v>
      </c>
      <c r="B4536" s="150" t="str">
        <f>IFERROR(VLOOKUP(Proc[[#This Row],[App]],Table2[],3,0),"open")</f>
        <v>ok</v>
      </c>
      <c r="C4536" s="149" t="s">
        <v>369</v>
      </c>
      <c r="D4536" t="s">
        <v>6690</v>
      </c>
      <c r="E4536" t="s">
        <v>4068</v>
      </c>
      <c r="F4536" s="150" t="s">
        <v>4068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6435</v>
      </c>
      <c r="M4536" s="165">
        <v>45961</v>
      </c>
      <c r="N4536" s="166"/>
      <c r="O4536" s="166"/>
      <c r="P4536" s="165" t="str">
        <f ca="1">IF(Proc[[#This Row],[DaysAgeing]]&gt;5,"yep","on track")</f>
        <v>yep</v>
      </c>
      <c r="Q4536" s="3">
        <f ca="1">IF(Proc[[#This Row],[DateClosed]]="",ABS(NETWORKDAYS(Proc[[#This Row],[DateOpened]],TODAY()))-1,ABS(NETWORKDAYS(Proc[[#This Row],[DateOpened]],Proc[[#This Row],[DateClosed]]))-1)</f>
        <v>30</v>
      </c>
      <c r="R4536" s="165" t="s">
        <v>1013</v>
      </c>
      <c r="S4536" s="150"/>
    </row>
    <row r="4537" spans="1:19" hidden="1">
      <c r="A4537" s="149" t="s">
        <v>6666</v>
      </c>
      <c r="B4537" s="150" t="str">
        <f>IFERROR(VLOOKUP(Proc[[#This Row],[App]],Table2[],3,0),"open")</f>
        <v>ok</v>
      </c>
      <c r="C4537" s="149" t="s">
        <v>369</v>
      </c>
      <c r="D4537" t="s">
        <v>6691</v>
      </c>
      <c r="E4537" t="s">
        <v>4068</v>
      </c>
      <c r="F4537" s="150" t="s">
        <v>4068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6435</v>
      </c>
      <c r="M4537" s="165">
        <v>45961</v>
      </c>
      <c r="N4537" s="166"/>
      <c r="O4537" s="166"/>
      <c r="P4537" s="165" t="str">
        <f ca="1">IF(Proc[[#This Row],[DaysAgeing]]&gt;5,"yep","on track")</f>
        <v>yep</v>
      </c>
      <c r="Q4537" s="3">
        <f ca="1">IF(Proc[[#This Row],[DateClosed]]="",ABS(NETWORKDAYS(Proc[[#This Row],[DateOpened]],TODAY()))-1,ABS(NETWORKDAYS(Proc[[#This Row],[DateOpened]],Proc[[#This Row],[DateClosed]]))-1)</f>
        <v>30</v>
      </c>
      <c r="R4537" s="165" t="s">
        <v>1013</v>
      </c>
      <c r="S4537" s="150"/>
    </row>
    <row r="4538" spans="1:19" hidden="1">
      <c r="A4538" s="149" t="s">
        <v>6666</v>
      </c>
      <c r="B4538" s="150" t="str">
        <f>IFERROR(VLOOKUP(Proc[[#This Row],[App]],Table2[],3,0),"open")</f>
        <v>ok</v>
      </c>
      <c r="C4538" s="149" t="s">
        <v>369</v>
      </c>
      <c r="D4538" t="s">
        <v>6692</v>
      </c>
      <c r="E4538" t="s">
        <v>4068</v>
      </c>
      <c r="F4538" s="150" t="s">
        <v>4068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6435</v>
      </c>
      <c r="M4538" s="165">
        <v>45961</v>
      </c>
      <c r="N4538" s="166"/>
      <c r="O4538" s="166"/>
      <c r="P4538" s="165" t="str">
        <f ca="1">IF(Proc[[#This Row],[DaysAgeing]]&gt;5,"yep","on track")</f>
        <v>yep</v>
      </c>
      <c r="Q4538" s="3">
        <f ca="1">IF(Proc[[#This Row],[DateClosed]]="",ABS(NETWORKDAYS(Proc[[#This Row],[DateOpened]],TODAY()))-1,ABS(NETWORKDAYS(Proc[[#This Row],[DateOpened]],Proc[[#This Row],[DateClosed]]))-1)</f>
        <v>30</v>
      </c>
      <c r="R4538" s="165" t="s">
        <v>1013</v>
      </c>
      <c r="S4538" s="150"/>
    </row>
    <row r="4539" spans="1:19" hidden="1">
      <c r="A4539" s="149" t="s">
        <v>6666</v>
      </c>
      <c r="B4539" s="150" t="str">
        <f>IFERROR(VLOOKUP(Proc[[#This Row],[App]],Table2[],3,0),"open")</f>
        <v>ok</v>
      </c>
      <c r="C4539" s="149" t="s">
        <v>369</v>
      </c>
      <c r="D4539" t="s">
        <v>6693</v>
      </c>
      <c r="E4539" t="s">
        <v>4068</v>
      </c>
      <c r="F4539" s="150" t="s">
        <v>4068</v>
      </c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6435</v>
      </c>
      <c r="M4539" s="165">
        <v>45961</v>
      </c>
      <c r="N4539" s="166"/>
      <c r="O4539" s="166"/>
      <c r="P4539" s="165" t="str">
        <f ca="1">IF(Proc[[#This Row],[DaysAgeing]]&gt;5,"yep","on track")</f>
        <v>yep</v>
      </c>
      <c r="Q4539" s="3">
        <f ca="1">IF(Proc[[#This Row],[DateClosed]]="",ABS(NETWORKDAYS(Proc[[#This Row],[DateOpened]],TODAY()))-1,ABS(NETWORKDAYS(Proc[[#This Row],[DateOpened]],Proc[[#This Row],[DateClosed]]))-1)</f>
        <v>30</v>
      </c>
      <c r="R4539" s="165" t="s">
        <v>1013</v>
      </c>
      <c r="S4539" s="150"/>
    </row>
    <row r="4540" spans="1:19" hidden="1">
      <c r="A4540" s="149" t="s">
        <v>6666</v>
      </c>
      <c r="B4540" s="150" t="str">
        <f>IFERROR(VLOOKUP(Proc[[#This Row],[App]],Table2[],3,0),"open")</f>
        <v>ok</v>
      </c>
      <c r="C4540" s="149" t="s">
        <v>369</v>
      </c>
      <c r="D4540" t="s">
        <v>6694</v>
      </c>
      <c r="E4540" t="s">
        <v>4068</v>
      </c>
      <c r="F4540" s="150" t="s">
        <v>4068</v>
      </c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6435</v>
      </c>
      <c r="M4540" s="165">
        <v>45961</v>
      </c>
      <c r="N4540" s="166"/>
      <c r="O4540" s="166"/>
      <c r="P4540" s="165" t="str">
        <f ca="1">IF(Proc[[#This Row],[DaysAgeing]]&gt;5,"yep","on track")</f>
        <v>yep</v>
      </c>
      <c r="Q4540" s="3">
        <f ca="1">IF(Proc[[#This Row],[DateClosed]]="",ABS(NETWORKDAYS(Proc[[#This Row],[DateOpened]],TODAY()))-1,ABS(NETWORKDAYS(Proc[[#This Row],[DateOpened]],Proc[[#This Row],[DateClosed]]))-1)</f>
        <v>30</v>
      </c>
      <c r="R4540" s="165" t="s">
        <v>1013</v>
      </c>
      <c r="S4540" s="150"/>
    </row>
    <row r="4541" spans="1:19" hidden="1">
      <c r="A4541" s="149" t="s">
        <v>6666</v>
      </c>
      <c r="B4541" s="150" t="str">
        <f>IFERROR(VLOOKUP(Proc[[#This Row],[App]],Table2[],3,0),"open")</f>
        <v>ok</v>
      </c>
      <c r="C4541" s="149" t="s">
        <v>369</v>
      </c>
      <c r="D4541" t="s">
        <v>6695</v>
      </c>
      <c r="E4541" t="s">
        <v>4068</v>
      </c>
      <c r="F4541" s="150" t="s">
        <v>4068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6435</v>
      </c>
      <c r="M4541" s="165">
        <v>45961</v>
      </c>
      <c r="N4541" s="166"/>
      <c r="O4541" s="166"/>
      <c r="P4541" s="165" t="str">
        <f ca="1">IF(Proc[[#This Row],[DaysAgeing]]&gt;5,"yep","on track")</f>
        <v>yep</v>
      </c>
      <c r="Q4541" s="3">
        <f ca="1">IF(Proc[[#This Row],[DateClosed]]="",ABS(NETWORKDAYS(Proc[[#This Row],[DateOpened]],TODAY()))-1,ABS(NETWORKDAYS(Proc[[#This Row],[DateOpened]],Proc[[#This Row],[DateClosed]]))-1)</f>
        <v>30</v>
      </c>
      <c r="R4541" s="165" t="s">
        <v>1013</v>
      </c>
      <c r="S4541" s="150"/>
    </row>
    <row r="4542" spans="1:19" hidden="1">
      <c r="A4542" s="149" t="s">
        <v>6666</v>
      </c>
      <c r="B4542" s="150" t="str">
        <f>IFERROR(VLOOKUP(Proc[[#This Row],[App]],Table2[],3,0),"open")</f>
        <v>ok</v>
      </c>
      <c r="C4542" s="149" t="s">
        <v>369</v>
      </c>
      <c r="D4542" t="s">
        <v>6696</v>
      </c>
      <c r="E4542" t="s">
        <v>4068</v>
      </c>
      <c r="F4542" s="150" t="s">
        <v>4068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6435</v>
      </c>
      <c r="M4542" s="165">
        <v>45961</v>
      </c>
      <c r="N4542" s="166"/>
      <c r="O4542" s="166"/>
      <c r="P4542" s="165" t="str">
        <f ca="1">IF(Proc[[#This Row],[DaysAgeing]]&gt;5,"yep","on track")</f>
        <v>yep</v>
      </c>
      <c r="Q4542" s="3">
        <f ca="1">IF(Proc[[#This Row],[DateClosed]]="",ABS(NETWORKDAYS(Proc[[#This Row],[DateOpened]],TODAY()))-1,ABS(NETWORKDAYS(Proc[[#This Row],[DateOpened]],Proc[[#This Row],[DateClosed]]))-1)</f>
        <v>30</v>
      </c>
      <c r="R4542" s="165" t="s">
        <v>1013</v>
      </c>
      <c r="S4542" s="150"/>
    </row>
    <row r="4543" spans="1:19" hidden="1">
      <c r="A4543" s="149" t="s">
        <v>6666</v>
      </c>
      <c r="B4543" s="150" t="str">
        <f>IFERROR(VLOOKUP(Proc[[#This Row],[App]],Table2[],3,0),"open")</f>
        <v>ok</v>
      </c>
      <c r="C4543" s="149" t="s">
        <v>369</v>
      </c>
      <c r="D4543" t="s">
        <v>6697</v>
      </c>
      <c r="E4543" t="s">
        <v>4068</v>
      </c>
      <c r="F4543" s="150" t="s">
        <v>4068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6435</v>
      </c>
      <c r="M4543" s="165">
        <v>45961</v>
      </c>
      <c r="N4543" s="166"/>
      <c r="O4543" s="166"/>
      <c r="P4543" s="165" t="str">
        <f ca="1">IF(Proc[[#This Row],[DaysAgeing]]&gt;5,"yep","on track")</f>
        <v>yep</v>
      </c>
      <c r="Q4543" s="3">
        <f ca="1">IF(Proc[[#This Row],[DateClosed]]="",ABS(NETWORKDAYS(Proc[[#This Row],[DateOpened]],TODAY()))-1,ABS(NETWORKDAYS(Proc[[#This Row],[DateOpened]],Proc[[#This Row],[DateClosed]]))-1)</f>
        <v>30</v>
      </c>
      <c r="R4543" s="165" t="s">
        <v>1013</v>
      </c>
      <c r="S4543" s="150"/>
    </row>
    <row r="4544" spans="1:19" hidden="1">
      <c r="A4544" s="149" t="s">
        <v>6666</v>
      </c>
      <c r="B4544" s="150" t="str">
        <f>IFERROR(VLOOKUP(Proc[[#This Row],[App]],Table2[],3,0),"open")</f>
        <v>ok</v>
      </c>
      <c r="C4544" s="149" t="s">
        <v>369</v>
      </c>
      <c r="D4544" t="s">
        <v>6698</v>
      </c>
      <c r="E4544" t="s">
        <v>4068</v>
      </c>
      <c r="F4544" s="150" t="s">
        <v>4068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6435</v>
      </c>
      <c r="M4544" s="165">
        <v>45961</v>
      </c>
      <c r="N4544" s="166"/>
      <c r="O4544" s="166"/>
      <c r="P4544" s="165" t="str">
        <f ca="1">IF(Proc[[#This Row],[DaysAgeing]]&gt;5,"yep","on track")</f>
        <v>yep</v>
      </c>
      <c r="Q4544" s="3">
        <f ca="1">IF(Proc[[#This Row],[DateClosed]]="",ABS(NETWORKDAYS(Proc[[#This Row],[DateOpened]],TODAY()))-1,ABS(NETWORKDAYS(Proc[[#This Row],[DateOpened]],Proc[[#This Row],[DateClosed]]))-1)</f>
        <v>30</v>
      </c>
      <c r="R4544" s="165" t="s">
        <v>1013</v>
      </c>
      <c r="S4544" s="150"/>
    </row>
    <row r="4545" spans="1:19" hidden="1">
      <c r="A4545" s="149" t="s">
        <v>6666</v>
      </c>
      <c r="B4545" s="150" t="str">
        <f>IFERROR(VLOOKUP(Proc[[#This Row],[App]],Table2[],3,0),"open")</f>
        <v>ok</v>
      </c>
      <c r="C4545" s="149" t="s">
        <v>369</v>
      </c>
      <c r="D4545" t="s">
        <v>6699</v>
      </c>
      <c r="E4545" t="s">
        <v>4068</v>
      </c>
      <c r="F4545" s="150" t="s">
        <v>4068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6435</v>
      </c>
      <c r="M4545" s="165">
        <v>45961</v>
      </c>
      <c r="N4545" s="166"/>
      <c r="O4545" s="166"/>
      <c r="P4545" s="165" t="str">
        <f ca="1">IF(Proc[[#This Row],[DaysAgeing]]&gt;5,"yep","on track")</f>
        <v>yep</v>
      </c>
      <c r="Q4545" s="3">
        <f ca="1">IF(Proc[[#This Row],[DateClosed]]="",ABS(NETWORKDAYS(Proc[[#This Row],[DateOpened]],TODAY()))-1,ABS(NETWORKDAYS(Proc[[#This Row],[DateOpened]],Proc[[#This Row],[DateClosed]]))-1)</f>
        <v>30</v>
      </c>
      <c r="R4545" s="165" t="s">
        <v>1013</v>
      </c>
      <c r="S4545" s="150"/>
    </row>
    <row r="4546" spans="1:19" hidden="1">
      <c r="A4546" s="149" t="s">
        <v>6666</v>
      </c>
      <c r="B4546" s="150" t="str">
        <f>IFERROR(VLOOKUP(Proc[[#This Row],[App]],Table2[],3,0),"open")</f>
        <v>ok</v>
      </c>
      <c r="C4546" s="149" t="s">
        <v>369</v>
      </c>
      <c r="D4546" t="s">
        <v>6700</v>
      </c>
      <c r="E4546" t="s">
        <v>4068</v>
      </c>
      <c r="F4546" s="150" t="s">
        <v>4068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6435</v>
      </c>
      <c r="M4546" s="165">
        <v>45961</v>
      </c>
      <c r="N4546" s="166"/>
      <c r="O4546" s="166"/>
      <c r="P4546" s="165" t="str">
        <f ca="1">IF(Proc[[#This Row],[DaysAgeing]]&gt;5,"yep","on track")</f>
        <v>yep</v>
      </c>
      <c r="Q4546" s="3">
        <f ca="1">IF(Proc[[#This Row],[DateClosed]]="",ABS(NETWORKDAYS(Proc[[#This Row],[DateOpened]],TODAY()))-1,ABS(NETWORKDAYS(Proc[[#This Row],[DateOpened]],Proc[[#This Row],[DateClosed]]))-1)</f>
        <v>30</v>
      </c>
      <c r="R4546" s="165" t="s">
        <v>1013</v>
      </c>
      <c r="S4546" s="150"/>
    </row>
    <row r="4547" spans="1:19" hidden="1">
      <c r="A4547" s="149" t="s">
        <v>6666</v>
      </c>
      <c r="B4547" s="150" t="str">
        <f>IFERROR(VLOOKUP(Proc[[#This Row],[App]],Table2[],3,0),"open")</f>
        <v>ok</v>
      </c>
      <c r="C4547" s="149" t="s">
        <v>369</v>
      </c>
      <c r="D4547" t="s">
        <v>6701</v>
      </c>
      <c r="E4547" t="s">
        <v>4068</v>
      </c>
      <c r="F4547" s="150" t="s">
        <v>4068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6435</v>
      </c>
      <c r="M4547" s="165">
        <v>45961</v>
      </c>
      <c r="N4547" s="166"/>
      <c r="O4547" s="166"/>
      <c r="P4547" s="165" t="str">
        <f ca="1">IF(Proc[[#This Row],[DaysAgeing]]&gt;5,"yep","on track")</f>
        <v>yep</v>
      </c>
      <c r="Q4547" s="3">
        <f ca="1">IF(Proc[[#This Row],[DateClosed]]="",ABS(NETWORKDAYS(Proc[[#This Row],[DateOpened]],TODAY()))-1,ABS(NETWORKDAYS(Proc[[#This Row],[DateOpened]],Proc[[#This Row],[DateClosed]]))-1)</f>
        <v>30</v>
      </c>
      <c r="R4547" s="165" t="s">
        <v>1013</v>
      </c>
      <c r="S4547" s="150"/>
    </row>
    <row r="4548" spans="1:19" hidden="1">
      <c r="A4548" s="149" t="s">
        <v>6666</v>
      </c>
      <c r="B4548" s="150" t="str">
        <f>IFERROR(VLOOKUP(Proc[[#This Row],[App]],Table2[],3,0),"open")</f>
        <v>ok</v>
      </c>
      <c r="C4548" s="149" t="s">
        <v>369</v>
      </c>
      <c r="D4548" t="s">
        <v>6702</v>
      </c>
      <c r="E4548" t="s">
        <v>4068</v>
      </c>
      <c r="F4548" s="150" t="s">
        <v>4068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6435</v>
      </c>
      <c r="M4548" s="165">
        <v>45961</v>
      </c>
      <c r="N4548" s="166"/>
      <c r="O4548" s="166"/>
      <c r="P4548" s="165" t="str">
        <f ca="1">IF(Proc[[#This Row],[DaysAgeing]]&gt;5,"yep","on track")</f>
        <v>yep</v>
      </c>
      <c r="Q4548" s="3">
        <f ca="1">IF(Proc[[#This Row],[DateClosed]]="",ABS(NETWORKDAYS(Proc[[#This Row],[DateOpened]],TODAY()))-1,ABS(NETWORKDAYS(Proc[[#This Row],[DateOpened]],Proc[[#This Row],[DateClosed]]))-1)</f>
        <v>30</v>
      </c>
      <c r="R4548" s="165" t="s">
        <v>1013</v>
      </c>
      <c r="S4548" s="150"/>
    </row>
    <row r="4549" spans="1:19" hidden="1">
      <c r="A4549" s="149" t="s">
        <v>6666</v>
      </c>
      <c r="B4549" s="150" t="str">
        <f>IFERROR(VLOOKUP(Proc[[#This Row],[App]],Table2[],3,0),"open")</f>
        <v>ok</v>
      </c>
      <c r="C4549" s="149" t="s">
        <v>369</v>
      </c>
      <c r="D4549" t="s">
        <v>6703</v>
      </c>
      <c r="E4549" t="s">
        <v>4068</v>
      </c>
      <c r="F4549" s="150" t="s">
        <v>4068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6435</v>
      </c>
      <c r="M4549" s="165">
        <v>45961</v>
      </c>
      <c r="N4549" s="166"/>
      <c r="O4549" s="166"/>
      <c r="P4549" s="165" t="str">
        <f ca="1">IF(Proc[[#This Row],[DaysAgeing]]&gt;5,"yep","on track")</f>
        <v>yep</v>
      </c>
      <c r="Q4549" s="3">
        <f ca="1">IF(Proc[[#This Row],[DateClosed]]="",ABS(NETWORKDAYS(Proc[[#This Row],[DateOpened]],TODAY()))-1,ABS(NETWORKDAYS(Proc[[#This Row],[DateOpened]],Proc[[#This Row],[DateClosed]]))-1)</f>
        <v>30</v>
      </c>
      <c r="R4549" s="165" t="s">
        <v>1013</v>
      </c>
      <c r="S4549" s="150"/>
    </row>
    <row r="4550" spans="1:19" hidden="1">
      <c r="A4550" s="149" t="s">
        <v>6666</v>
      </c>
      <c r="B4550" s="150" t="str">
        <f>IFERROR(VLOOKUP(Proc[[#This Row],[App]],Table2[],3,0),"open")</f>
        <v>ok</v>
      </c>
      <c r="C4550" s="149" t="s">
        <v>369</v>
      </c>
      <c r="D4550" t="s">
        <v>6704</v>
      </c>
      <c r="E4550" t="s">
        <v>4068</v>
      </c>
      <c r="F4550" s="150" t="s">
        <v>4068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6435</v>
      </c>
      <c r="M4550" s="165">
        <v>45961</v>
      </c>
      <c r="N4550" s="166"/>
      <c r="O4550" s="166"/>
      <c r="P4550" s="165" t="str">
        <f ca="1">IF(Proc[[#This Row],[DaysAgeing]]&gt;5,"yep","on track")</f>
        <v>yep</v>
      </c>
      <c r="Q4550" s="3">
        <f ca="1">IF(Proc[[#This Row],[DateClosed]]="",ABS(NETWORKDAYS(Proc[[#This Row],[DateOpened]],TODAY()))-1,ABS(NETWORKDAYS(Proc[[#This Row],[DateOpened]],Proc[[#This Row],[DateClosed]]))-1)</f>
        <v>30</v>
      </c>
      <c r="R4550" s="165" t="s">
        <v>1013</v>
      </c>
      <c r="S4550" s="150"/>
    </row>
    <row r="4551" spans="1:19" hidden="1">
      <c r="A4551" s="149" t="s">
        <v>6666</v>
      </c>
      <c r="B4551" s="150" t="str">
        <f>IFERROR(VLOOKUP(Proc[[#This Row],[App]],Table2[],3,0),"open")</f>
        <v>ok</v>
      </c>
      <c r="C4551" s="149" t="s">
        <v>369</v>
      </c>
      <c r="D4551" t="s">
        <v>6705</v>
      </c>
      <c r="E4551" t="s">
        <v>4068</v>
      </c>
      <c r="F4551" s="150" t="s">
        <v>4068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6435</v>
      </c>
      <c r="M4551" s="165">
        <v>45961</v>
      </c>
      <c r="N4551" s="166"/>
      <c r="O4551" s="166"/>
      <c r="P4551" s="165" t="str">
        <f ca="1">IF(Proc[[#This Row],[DaysAgeing]]&gt;5,"yep","on track")</f>
        <v>yep</v>
      </c>
      <c r="Q4551" s="3">
        <f ca="1">IF(Proc[[#This Row],[DateClosed]]="",ABS(NETWORKDAYS(Proc[[#This Row],[DateOpened]],TODAY()))-1,ABS(NETWORKDAYS(Proc[[#This Row],[DateOpened]],Proc[[#This Row],[DateClosed]]))-1)</f>
        <v>30</v>
      </c>
      <c r="R4551" s="165" t="s">
        <v>1013</v>
      </c>
      <c r="S4551" s="150"/>
    </row>
    <row r="4552" spans="1:19" hidden="1">
      <c r="A4552" s="149" t="s">
        <v>6666</v>
      </c>
      <c r="B4552" s="150" t="str">
        <f>IFERROR(VLOOKUP(Proc[[#This Row],[App]],Table2[],3,0),"open")</f>
        <v>ok</v>
      </c>
      <c r="C4552" s="149" t="s">
        <v>369</v>
      </c>
      <c r="D4552" t="s">
        <v>6706</v>
      </c>
      <c r="E4552" t="s">
        <v>4068</v>
      </c>
      <c r="F4552" s="150" t="s">
        <v>4068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6435</v>
      </c>
      <c r="M4552" s="165">
        <v>45961</v>
      </c>
      <c r="N4552" s="166"/>
      <c r="O4552" s="166"/>
      <c r="P4552" s="165" t="str">
        <f ca="1">IF(Proc[[#This Row],[DaysAgeing]]&gt;5,"yep","on track")</f>
        <v>yep</v>
      </c>
      <c r="Q4552" s="3">
        <f ca="1">IF(Proc[[#This Row],[DateClosed]]="",ABS(NETWORKDAYS(Proc[[#This Row],[DateOpened]],TODAY()))-1,ABS(NETWORKDAYS(Proc[[#This Row],[DateOpened]],Proc[[#This Row],[DateClosed]]))-1)</f>
        <v>30</v>
      </c>
      <c r="R4552" s="165" t="s">
        <v>1013</v>
      </c>
      <c r="S4552" s="150"/>
    </row>
    <row r="4553" spans="1:19" hidden="1">
      <c r="A4553" s="149" t="s">
        <v>6666</v>
      </c>
      <c r="B4553" s="150" t="str">
        <f>IFERROR(VLOOKUP(Proc[[#This Row],[App]],Table2[],3,0),"open")</f>
        <v>ok</v>
      </c>
      <c r="C4553" s="149" t="s">
        <v>369</v>
      </c>
      <c r="D4553" t="s">
        <v>6707</v>
      </c>
      <c r="E4553" t="s">
        <v>4068</v>
      </c>
      <c r="F4553" s="150" t="s">
        <v>4068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6435</v>
      </c>
      <c r="M4553" s="165">
        <v>45961</v>
      </c>
      <c r="N4553" s="166"/>
      <c r="O4553" s="166"/>
      <c r="P4553" s="165" t="str">
        <f ca="1">IF(Proc[[#This Row],[DaysAgeing]]&gt;5,"yep","on track")</f>
        <v>yep</v>
      </c>
      <c r="Q4553" s="3">
        <f ca="1">IF(Proc[[#This Row],[DateClosed]]="",ABS(NETWORKDAYS(Proc[[#This Row],[DateOpened]],TODAY()))-1,ABS(NETWORKDAYS(Proc[[#This Row],[DateOpened]],Proc[[#This Row],[DateClosed]]))-1)</f>
        <v>30</v>
      </c>
      <c r="R4553" s="165" t="s">
        <v>1013</v>
      </c>
      <c r="S4553" s="150"/>
    </row>
    <row r="4554" spans="1:19" hidden="1">
      <c r="A4554" s="149" t="s">
        <v>6666</v>
      </c>
      <c r="B4554" s="150" t="str">
        <f>IFERROR(VLOOKUP(Proc[[#This Row],[App]],Table2[],3,0),"open")</f>
        <v>ok</v>
      </c>
      <c r="C4554" s="149" t="s">
        <v>369</v>
      </c>
      <c r="D4554" t="s">
        <v>6708</v>
      </c>
      <c r="E4554" t="s">
        <v>4068</v>
      </c>
      <c r="F4554" s="150" t="s">
        <v>4068</v>
      </c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6435</v>
      </c>
      <c r="M4554" s="165">
        <v>45961</v>
      </c>
      <c r="N4554" s="166"/>
      <c r="O4554" s="166"/>
      <c r="P4554" s="165" t="str">
        <f ca="1">IF(Proc[[#This Row],[DaysAgeing]]&gt;5,"yep","on track")</f>
        <v>yep</v>
      </c>
      <c r="Q4554" s="3">
        <f ca="1">IF(Proc[[#This Row],[DateClosed]]="",ABS(NETWORKDAYS(Proc[[#This Row],[DateOpened]],TODAY()))-1,ABS(NETWORKDAYS(Proc[[#This Row],[DateOpened]],Proc[[#This Row],[DateClosed]]))-1)</f>
        <v>30</v>
      </c>
      <c r="R4554" s="165" t="s">
        <v>1013</v>
      </c>
      <c r="S4554" s="150"/>
    </row>
    <row r="4555" spans="1:19" hidden="1">
      <c r="A4555" s="149" t="s">
        <v>6666</v>
      </c>
      <c r="B4555" s="150" t="str">
        <f>IFERROR(VLOOKUP(Proc[[#This Row],[App]],Table2[],3,0),"open")</f>
        <v>ok</v>
      </c>
      <c r="C4555" s="149" t="s">
        <v>369</v>
      </c>
      <c r="D4555" t="s">
        <v>6709</v>
      </c>
      <c r="E4555" t="s">
        <v>4068</v>
      </c>
      <c r="F4555" s="150" t="s">
        <v>4068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6435</v>
      </c>
      <c r="M4555" s="165">
        <v>45961</v>
      </c>
      <c r="N4555" s="166"/>
      <c r="O4555" s="166"/>
      <c r="P4555" s="165" t="str">
        <f ca="1">IF(Proc[[#This Row],[DaysAgeing]]&gt;5,"yep","on track")</f>
        <v>yep</v>
      </c>
      <c r="Q4555" s="3">
        <f ca="1">IF(Proc[[#This Row],[DateClosed]]="",ABS(NETWORKDAYS(Proc[[#This Row],[DateOpened]],TODAY()))-1,ABS(NETWORKDAYS(Proc[[#This Row],[DateOpened]],Proc[[#This Row],[DateClosed]]))-1)</f>
        <v>30</v>
      </c>
      <c r="R4555" s="165" t="s">
        <v>1013</v>
      </c>
      <c r="S4555" s="150"/>
    </row>
    <row r="4556" spans="1:19" hidden="1">
      <c r="A4556" s="149" t="s">
        <v>6666</v>
      </c>
      <c r="B4556" s="150" t="str">
        <f>IFERROR(VLOOKUP(Proc[[#This Row],[App]],Table2[],3,0),"open")</f>
        <v>ok</v>
      </c>
      <c r="C4556" s="149" t="s">
        <v>369</v>
      </c>
      <c r="D4556" t="s">
        <v>6710</v>
      </c>
      <c r="E4556" t="s">
        <v>6714</v>
      </c>
      <c r="F4556" s="150" t="s">
        <v>6714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6435</v>
      </c>
      <c r="M4556" s="165">
        <v>45961</v>
      </c>
      <c r="N4556" s="166"/>
      <c r="O4556" s="166"/>
      <c r="P4556" s="165" t="str">
        <f ca="1">IF(Proc[[#This Row],[DaysAgeing]]&gt;5,"yep","on track")</f>
        <v>yep</v>
      </c>
      <c r="Q4556" s="3">
        <f ca="1">IF(Proc[[#This Row],[DateClosed]]="",ABS(NETWORKDAYS(Proc[[#This Row],[DateOpened]],TODAY()))-1,ABS(NETWORKDAYS(Proc[[#This Row],[DateOpened]],Proc[[#This Row],[DateClosed]]))-1)</f>
        <v>30</v>
      </c>
      <c r="R4556" s="165" t="s">
        <v>1013</v>
      </c>
      <c r="S4556" s="150"/>
    </row>
    <row r="4557" spans="1:19" hidden="1">
      <c r="A4557" s="149" t="s">
        <v>6666</v>
      </c>
      <c r="B4557" s="150" t="str">
        <f>IFERROR(VLOOKUP(Proc[[#This Row],[App]],Table2[],3,0),"open")</f>
        <v>ok</v>
      </c>
      <c r="C4557" s="149" t="s">
        <v>369</v>
      </c>
      <c r="D4557" t="s">
        <v>6711</v>
      </c>
      <c r="E4557" t="s">
        <v>3401</v>
      </c>
      <c r="F4557" s="150" t="s">
        <v>3401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6435</v>
      </c>
      <c r="M4557" s="165">
        <v>45961</v>
      </c>
      <c r="N4557" s="166"/>
      <c r="O4557" s="166"/>
      <c r="P4557" s="165" t="str">
        <f ca="1">IF(Proc[[#This Row],[DaysAgeing]]&gt;5,"yep","on track")</f>
        <v>yep</v>
      </c>
      <c r="Q4557" s="3">
        <f ca="1">IF(Proc[[#This Row],[DateClosed]]="",ABS(NETWORKDAYS(Proc[[#This Row],[DateOpened]],TODAY()))-1,ABS(NETWORKDAYS(Proc[[#This Row],[DateOpened]],Proc[[#This Row],[DateClosed]]))-1)</f>
        <v>30</v>
      </c>
      <c r="R4557" s="165" t="s">
        <v>1013</v>
      </c>
      <c r="S4557" s="150"/>
    </row>
    <row r="4558" spans="1:19" hidden="1">
      <c r="A4558" s="149" t="s">
        <v>6666</v>
      </c>
      <c r="B4558" s="150" t="str">
        <f>IFERROR(VLOOKUP(Proc[[#This Row],[App]],Table2[],3,0),"open")</f>
        <v>ok</v>
      </c>
      <c r="C4558" s="149" t="s">
        <v>369</v>
      </c>
      <c r="D4558" t="s">
        <v>6712</v>
      </c>
      <c r="E4558" t="s">
        <v>3401</v>
      </c>
      <c r="F4558" s="150" t="s">
        <v>3401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6435</v>
      </c>
      <c r="M4558" s="165">
        <v>45961</v>
      </c>
      <c r="N4558" s="166"/>
      <c r="O4558" s="166"/>
      <c r="P4558" s="165" t="str">
        <f ca="1">IF(Proc[[#This Row],[DaysAgeing]]&gt;5,"yep","on track")</f>
        <v>yep</v>
      </c>
      <c r="Q4558" s="3">
        <f ca="1">IF(Proc[[#This Row],[DateClosed]]="",ABS(NETWORKDAYS(Proc[[#This Row],[DateOpened]],TODAY()))-1,ABS(NETWORKDAYS(Proc[[#This Row],[DateOpened]],Proc[[#This Row],[DateClosed]]))-1)</f>
        <v>30</v>
      </c>
      <c r="R4558" s="165" t="s">
        <v>1013</v>
      </c>
      <c r="S4558" s="150"/>
    </row>
    <row r="4559" spans="1:19" hidden="1">
      <c r="A4559" t="s">
        <v>6715</v>
      </c>
      <c r="B4559" s="150" t="str">
        <f>IFERROR(VLOOKUP(Proc[[#This Row],[App]],Table2[],3,0),"open")</f>
        <v>ok</v>
      </c>
      <c r="C4559" s="149" t="s">
        <v>369</v>
      </c>
      <c r="D4559" t="s">
        <v>6716</v>
      </c>
      <c r="E4559" t="s">
        <v>3023</v>
      </c>
      <c r="F4559" s="149" t="s">
        <v>3023</v>
      </c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1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6435</v>
      </c>
      <c r="M4559" s="165">
        <v>45961</v>
      </c>
      <c r="N4559" s="166"/>
      <c r="O4559" s="166"/>
      <c r="P4559" s="165" t="str">
        <f ca="1">IF(Proc[[#This Row],[DaysAgeing]]&gt;5,"yep","on track")</f>
        <v>yep</v>
      </c>
      <c r="Q4559" s="3">
        <f ca="1">IF(Proc[[#This Row],[DateClosed]]="",ABS(NETWORKDAYS(Proc[[#This Row],[DateOpened]],TODAY()))-1,ABS(NETWORKDAYS(Proc[[#This Row],[DateOpened]],Proc[[#This Row],[DateClosed]]))-1)</f>
        <v>30</v>
      </c>
      <c r="R4559" s="165" t="s">
        <v>515</v>
      </c>
      <c r="S4559" s="150"/>
    </row>
    <row r="4560" spans="1:19" hidden="1">
      <c r="A4560" s="149" t="s">
        <v>6715</v>
      </c>
      <c r="B4560" s="150" t="str">
        <f>IFERROR(VLOOKUP(Proc[[#This Row],[App]],Table2[],3,0),"open")</f>
        <v>ok</v>
      </c>
      <c r="C4560" s="149" t="s">
        <v>369</v>
      </c>
      <c r="D4560" t="s">
        <v>6717</v>
      </c>
      <c r="E4560" t="s">
        <v>3023</v>
      </c>
      <c r="F4560" s="149" t="s">
        <v>3023</v>
      </c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1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6435</v>
      </c>
      <c r="M4560" s="165">
        <v>45961</v>
      </c>
      <c r="N4560" s="166"/>
      <c r="O4560" s="166"/>
      <c r="P4560" s="165" t="str">
        <f ca="1">IF(Proc[[#This Row],[DaysAgeing]]&gt;5,"yep","on track")</f>
        <v>yep</v>
      </c>
      <c r="Q4560" s="3">
        <f ca="1">IF(Proc[[#This Row],[DateClosed]]="",ABS(NETWORKDAYS(Proc[[#This Row],[DateOpened]],TODAY()))-1,ABS(NETWORKDAYS(Proc[[#This Row],[DateOpened]],Proc[[#This Row],[DateClosed]]))-1)</f>
        <v>30</v>
      </c>
      <c r="R4560" s="165" t="s">
        <v>515</v>
      </c>
      <c r="S4560" s="150"/>
    </row>
    <row r="4561" spans="1:19" hidden="1">
      <c r="A4561" s="149" t="s">
        <v>6715</v>
      </c>
      <c r="B4561" s="150" t="str">
        <f>IFERROR(VLOOKUP(Proc[[#This Row],[App]],Table2[],3,0),"open")</f>
        <v>ok</v>
      </c>
      <c r="C4561" s="149" t="s">
        <v>369</v>
      </c>
      <c r="D4561" t="s">
        <v>6718</v>
      </c>
      <c r="E4561" t="s">
        <v>3023</v>
      </c>
      <c r="F4561" s="149" t="s">
        <v>3023</v>
      </c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1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6435</v>
      </c>
      <c r="M4561" s="165">
        <v>45961</v>
      </c>
      <c r="N4561" s="166"/>
      <c r="O4561" s="166"/>
      <c r="P4561" s="165" t="str">
        <f ca="1">IF(Proc[[#This Row],[DaysAgeing]]&gt;5,"yep","on track")</f>
        <v>yep</v>
      </c>
      <c r="Q4561" s="3">
        <f ca="1">IF(Proc[[#This Row],[DateClosed]]="",ABS(NETWORKDAYS(Proc[[#This Row],[DateOpened]],TODAY()))-1,ABS(NETWORKDAYS(Proc[[#This Row],[DateOpened]],Proc[[#This Row],[DateClosed]]))-1)</f>
        <v>30</v>
      </c>
      <c r="R4561" s="165" t="s">
        <v>515</v>
      </c>
      <c r="S4561" s="150"/>
    </row>
    <row r="4562" spans="1:19" hidden="1">
      <c r="A4562" s="149" t="s">
        <v>6715</v>
      </c>
      <c r="B4562" s="150" t="str">
        <f>IFERROR(VLOOKUP(Proc[[#This Row],[App]],Table2[],3,0),"open")</f>
        <v>ok</v>
      </c>
      <c r="C4562" s="149" t="s">
        <v>369</v>
      </c>
      <c r="D4562" t="s">
        <v>6719</v>
      </c>
      <c r="E4562" t="s">
        <v>3023</v>
      </c>
      <c r="F4562" s="149" t="s">
        <v>3023</v>
      </c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1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6435</v>
      </c>
      <c r="M4562" s="165">
        <v>45961</v>
      </c>
      <c r="N4562" s="166"/>
      <c r="O4562" s="166"/>
      <c r="P4562" s="165" t="str">
        <f ca="1">IF(Proc[[#This Row],[DaysAgeing]]&gt;5,"yep","on track")</f>
        <v>yep</v>
      </c>
      <c r="Q4562" s="3">
        <f ca="1">IF(Proc[[#This Row],[DateClosed]]="",ABS(NETWORKDAYS(Proc[[#This Row],[DateOpened]],TODAY()))-1,ABS(NETWORKDAYS(Proc[[#This Row],[DateOpened]],Proc[[#This Row],[DateClosed]]))-1)</f>
        <v>30</v>
      </c>
      <c r="R4562" s="165" t="s">
        <v>515</v>
      </c>
      <c r="S4562" s="150"/>
    </row>
    <row r="4563" spans="1:19" hidden="1">
      <c r="A4563" s="149" t="s">
        <v>6715</v>
      </c>
      <c r="B4563" s="150" t="str">
        <f>IFERROR(VLOOKUP(Proc[[#This Row],[App]],Table2[],3,0),"open")</f>
        <v>ok</v>
      </c>
      <c r="C4563" s="149" t="s">
        <v>369</v>
      </c>
      <c r="D4563" t="s">
        <v>6720</v>
      </c>
      <c r="E4563" t="s">
        <v>3023</v>
      </c>
      <c r="F4563" s="149" t="s">
        <v>3023</v>
      </c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1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6435</v>
      </c>
      <c r="M4563" s="165">
        <v>45961</v>
      </c>
      <c r="N4563" s="166"/>
      <c r="O4563" s="166"/>
      <c r="P4563" s="165" t="str">
        <f ca="1">IF(Proc[[#This Row],[DaysAgeing]]&gt;5,"yep","on track")</f>
        <v>yep</v>
      </c>
      <c r="Q4563" s="3">
        <f ca="1">IF(Proc[[#This Row],[DateClosed]]="",ABS(NETWORKDAYS(Proc[[#This Row],[DateOpened]],TODAY()))-1,ABS(NETWORKDAYS(Proc[[#This Row],[DateOpened]],Proc[[#This Row],[DateClosed]]))-1)</f>
        <v>30</v>
      </c>
      <c r="R4563" s="165" t="s">
        <v>515</v>
      </c>
      <c r="S4563" s="150"/>
    </row>
    <row r="4564" spans="1:19" hidden="1">
      <c r="A4564" s="149" t="s">
        <v>6715</v>
      </c>
      <c r="B4564" s="150" t="str">
        <f>IFERROR(VLOOKUP(Proc[[#This Row],[App]],Table2[],3,0),"open")</f>
        <v>ok</v>
      </c>
      <c r="C4564" s="149" t="s">
        <v>369</v>
      </c>
      <c r="D4564" t="s">
        <v>6721</v>
      </c>
      <c r="E4564" t="s">
        <v>3023</v>
      </c>
      <c r="F4564" s="149" t="s">
        <v>3023</v>
      </c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1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6435</v>
      </c>
      <c r="M4564" s="165">
        <v>45961</v>
      </c>
      <c r="N4564" s="166"/>
      <c r="O4564" s="166"/>
      <c r="P4564" s="165" t="str">
        <f ca="1">IF(Proc[[#This Row],[DaysAgeing]]&gt;5,"yep","on track")</f>
        <v>yep</v>
      </c>
      <c r="Q4564" s="3">
        <f ca="1">IF(Proc[[#This Row],[DateClosed]]="",ABS(NETWORKDAYS(Proc[[#This Row],[DateOpened]],TODAY()))-1,ABS(NETWORKDAYS(Proc[[#This Row],[DateOpened]],Proc[[#This Row],[DateClosed]]))-1)</f>
        <v>30</v>
      </c>
      <c r="R4564" s="165" t="s">
        <v>515</v>
      </c>
      <c r="S4564" s="150"/>
    </row>
    <row r="4565" spans="1:19" hidden="1">
      <c r="A4565" s="149" t="s">
        <v>6715</v>
      </c>
      <c r="B4565" s="150" t="str">
        <f>IFERROR(VLOOKUP(Proc[[#This Row],[App]],Table2[],3,0),"open")</f>
        <v>ok</v>
      </c>
      <c r="C4565" s="149" t="s">
        <v>369</v>
      </c>
      <c r="D4565" t="s">
        <v>6722</v>
      </c>
      <c r="E4565" t="s">
        <v>3023</v>
      </c>
      <c r="F4565" s="149" t="s">
        <v>3023</v>
      </c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1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6435</v>
      </c>
      <c r="M4565" s="165">
        <v>45961</v>
      </c>
      <c r="N4565" s="166"/>
      <c r="O4565" s="166"/>
      <c r="P4565" s="165" t="str">
        <f ca="1">IF(Proc[[#This Row],[DaysAgeing]]&gt;5,"yep","on track")</f>
        <v>yep</v>
      </c>
      <c r="Q4565" s="3">
        <f ca="1">IF(Proc[[#This Row],[DateClosed]]="",ABS(NETWORKDAYS(Proc[[#This Row],[DateOpened]],TODAY()))-1,ABS(NETWORKDAYS(Proc[[#This Row],[DateOpened]],Proc[[#This Row],[DateClosed]]))-1)</f>
        <v>30</v>
      </c>
      <c r="R4565" s="165" t="s">
        <v>515</v>
      </c>
      <c r="S4565" s="150"/>
    </row>
    <row r="4566" spans="1:19" hidden="1">
      <c r="A4566" s="149" t="s">
        <v>6715</v>
      </c>
      <c r="B4566" s="150" t="str">
        <f>IFERROR(VLOOKUP(Proc[[#This Row],[App]],Table2[],3,0),"open")</f>
        <v>ok</v>
      </c>
      <c r="C4566" s="149" t="s">
        <v>369</v>
      </c>
      <c r="D4566" t="s">
        <v>6723</v>
      </c>
      <c r="E4566" t="s">
        <v>3023</v>
      </c>
      <c r="F4566" s="149" t="s">
        <v>3023</v>
      </c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1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6435</v>
      </c>
      <c r="M4566" s="165">
        <v>45961</v>
      </c>
      <c r="N4566" s="166"/>
      <c r="O4566" s="166"/>
      <c r="P4566" s="165" t="str">
        <f ca="1">IF(Proc[[#This Row],[DaysAgeing]]&gt;5,"yep","on track")</f>
        <v>yep</v>
      </c>
      <c r="Q4566" s="3">
        <f ca="1">IF(Proc[[#This Row],[DateClosed]]="",ABS(NETWORKDAYS(Proc[[#This Row],[DateOpened]],TODAY()))-1,ABS(NETWORKDAYS(Proc[[#This Row],[DateOpened]],Proc[[#This Row],[DateClosed]]))-1)</f>
        <v>30</v>
      </c>
      <c r="R4566" s="165" t="s">
        <v>515</v>
      </c>
      <c r="S4566" s="150"/>
    </row>
    <row r="4567" spans="1:19" hidden="1">
      <c r="A4567" s="149" t="s">
        <v>6715</v>
      </c>
      <c r="B4567" s="150" t="str">
        <f>IFERROR(VLOOKUP(Proc[[#This Row],[App]],Table2[],3,0),"open")</f>
        <v>ok</v>
      </c>
      <c r="C4567" s="149" t="s">
        <v>369</v>
      </c>
      <c r="D4567" t="s">
        <v>6724</v>
      </c>
      <c r="E4567" t="s">
        <v>3023</v>
      </c>
      <c r="F4567" s="149" t="s">
        <v>3023</v>
      </c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1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6435</v>
      </c>
      <c r="M4567" s="165">
        <v>45961</v>
      </c>
      <c r="N4567" s="166"/>
      <c r="O4567" s="166"/>
      <c r="P4567" s="165" t="str">
        <f ca="1">IF(Proc[[#This Row],[DaysAgeing]]&gt;5,"yep","on track")</f>
        <v>yep</v>
      </c>
      <c r="Q4567" s="3">
        <f ca="1">IF(Proc[[#This Row],[DateClosed]]="",ABS(NETWORKDAYS(Proc[[#This Row],[DateOpened]],TODAY()))-1,ABS(NETWORKDAYS(Proc[[#This Row],[DateOpened]],Proc[[#This Row],[DateClosed]]))-1)</f>
        <v>30</v>
      </c>
      <c r="R4567" s="165" t="s">
        <v>515</v>
      </c>
      <c r="S4567" s="150"/>
    </row>
    <row r="4568" spans="1:19" hidden="1">
      <c r="A4568" s="149" t="s">
        <v>6715</v>
      </c>
      <c r="B4568" s="150" t="str">
        <f>IFERROR(VLOOKUP(Proc[[#This Row],[App]],Table2[],3,0),"open")</f>
        <v>ok</v>
      </c>
      <c r="C4568" s="149" t="s">
        <v>369</v>
      </c>
      <c r="D4568" t="s">
        <v>6725</v>
      </c>
      <c r="E4568" t="s">
        <v>3023</v>
      </c>
      <c r="F4568" s="149" t="s">
        <v>3023</v>
      </c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1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6435</v>
      </c>
      <c r="M4568" s="165">
        <v>45961</v>
      </c>
      <c r="N4568" s="166"/>
      <c r="O4568" s="166"/>
      <c r="P4568" s="165" t="str">
        <f ca="1">IF(Proc[[#This Row],[DaysAgeing]]&gt;5,"yep","on track")</f>
        <v>yep</v>
      </c>
      <c r="Q4568" s="3">
        <f ca="1">IF(Proc[[#This Row],[DateClosed]]="",ABS(NETWORKDAYS(Proc[[#This Row],[DateOpened]],TODAY()))-1,ABS(NETWORKDAYS(Proc[[#This Row],[DateOpened]],Proc[[#This Row],[DateClosed]]))-1)</f>
        <v>30</v>
      </c>
      <c r="R4568" s="165" t="s">
        <v>515</v>
      </c>
      <c r="S4568" s="150"/>
    </row>
    <row r="4569" spans="1:19" hidden="1">
      <c r="A4569" s="149" t="s">
        <v>6715</v>
      </c>
      <c r="B4569" s="150" t="str">
        <f>IFERROR(VLOOKUP(Proc[[#This Row],[App]],Table2[],3,0),"open")</f>
        <v>ok</v>
      </c>
      <c r="C4569" s="149" t="s">
        <v>369</v>
      </c>
      <c r="D4569" t="s">
        <v>6726</v>
      </c>
      <c r="E4569" t="s">
        <v>3023</v>
      </c>
      <c r="F4569" s="149" t="s">
        <v>3023</v>
      </c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1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6435</v>
      </c>
      <c r="M4569" s="165">
        <v>45961</v>
      </c>
      <c r="N4569" s="166"/>
      <c r="O4569" s="166"/>
      <c r="P4569" s="165" t="str">
        <f ca="1">IF(Proc[[#This Row],[DaysAgeing]]&gt;5,"yep","on track")</f>
        <v>yep</v>
      </c>
      <c r="Q4569" s="3">
        <f ca="1">IF(Proc[[#This Row],[DateClosed]]="",ABS(NETWORKDAYS(Proc[[#This Row],[DateOpened]],TODAY()))-1,ABS(NETWORKDAYS(Proc[[#This Row],[DateOpened]],Proc[[#This Row],[DateClosed]]))-1)</f>
        <v>30</v>
      </c>
      <c r="R4569" s="165" t="s">
        <v>515</v>
      </c>
      <c r="S4569" s="150"/>
    </row>
    <row r="4570" spans="1:19" hidden="1">
      <c r="A4570" s="149" t="s">
        <v>6715</v>
      </c>
      <c r="B4570" s="150" t="str">
        <f>IFERROR(VLOOKUP(Proc[[#This Row],[App]],Table2[],3,0),"open")</f>
        <v>ok</v>
      </c>
      <c r="C4570" s="149" t="s">
        <v>369</v>
      </c>
      <c r="D4570" t="s">
        <v>6727</v>
      </c>
      <c r="E4570" t="s">
        <v>3023</v>
      </c>
      <c r="F4570" s="149" t="s">
        <v>3023</v>
      </c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1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6435</v>
      </c>
      <c r="M4570" s="165">
        <v>45961</v>
      </c>
      <c r="N4570" s="166"/>
      <c r="O4570" s="166"/>
      <c r="P4570" s="165" t="str">
        <f ca="1">IF(Proc[[#This Row],[DaysAgeing]]&gt;5,"yep","on track")</f>
        <v>yep</v>
      </c>
      <c r="Q4570" s="3">
        <f ca="1">IF(Proc[[#This Row],[DateClosed]]="",ABS(NETWORKDAYS(Proc[[#This Row],[DateOpened]],TODAY()))-1,ABS(NETWORKDAYS(Proc[[#This Row],[DateOpened]],Proc[[#This Row],[DateClosed]]))-1)</f>
        <v>30</v>
      </c>
      <c r="R4570" s="165" t="s">
        <v>515</v>
      </c>
      <c r="S4570" s="150"/>
    </row>
    <row r="4571" spans="1:19" hidden="1">
      <c r="A4571" s="149" t="s">
        <v>6715</v>
      </c>
      <c r="B4571" s="150" t="str">
        <f>IFERROR(VLOOKUP(Proc[[#This Row],[App]],Table2[],3,0),"open")</f>
        <v>ok</v>
      </c>
      <c r="C4571" s="149" t="s">
        <v>369</v>
      </c>
      <c r="D4571" t="s">
        <v>6728</v>
      </c>
      <c r="E4571" t="s">
        <v>3023</v>
      </c>
      <c r="F4571" s="149" t="s">
        <v>3023</v>
      </c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1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6435</v>
      </c>
      <c r="M4571" s="165">
        <v>45961</v>
      </c>
      <c r="N4571" s="166"/>
      <c r="O4571" s="166"/>
      <c r="P4571" s="165" t="str">
        <f ca="1">IF(Proc[[#This Row],[DaysAgeing]]&gt;5,"yep","on track")</f>
        <v>yep</v>
      </c>
      <c r="Q4571" s="3">
        <f ca="1">IF(Proc[[#This Row],[DateClosed]]="",ABS(NETWORKDAYS(Proc[[#This Row],[DateOpened]],TODAY()))-1,ABS(NETWORKDAYS(Proc[[#This Row],[DateOpened]],Proc[[#This Row],[DateClosed]]))-1)</f>
        <v>30</v>
      </c>
      <c r="R4571" s="165" t="s">
        <v>515</v>
      </c>
      <c r="S4571" s="150"/>
    </row>
    <row r="4572" spans="1:19" hidden="1">
      <c r="A4572" s="149" t="s">
        <v>6715</v>
      </c>
      <c r="B4572" s="150" t="str">
        <f>IFERROR(VLOOKUP(Proc[[#This Row],[App]],Table2[],3,0),"open")</f>
        <v>ok</v>
      </c>
      <c r="C4572" s="149" t="s">
        <v>369</v>
      </c>
      <c r="D4572" t="s">
        <v>6729</v>
      </c>
      <c r="E4572" t="s">
        <v>3023</v>
      </c>
      <c r="F4572" s="149" t="s">
        <v>3023</v>
      </c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1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6435</v>
      </c>
      <c r="M4572" s="165">
        <v>45961</v>
      </c>
      <c r="N4572" s="166"/>
      <c r="O4572" s="166"/>
      <c r="P4572" s="165" t="str">
        <f ca="1">IF(Proc[[#This Row],[DaysAgeing]]&gt;5,"yep","on track")</f>
        <v>yep</v>
      </c>
      <c r="Q4572" s="3">
        <f ca="1">IF(Proc[[#This Row],[DateClosed]]="",ABS(NETWORKDAYS(Proc[[#This Row],[DateOpened]],TODAY()))-1,ABS(NETWORKDAYS(Proc[[#This Row],[DateOpened]],Proc[[#This Row],[DateClosed]]))-1)</f>
        <v>30</v>
      </c>
      <c r="R4572" s="165" t="s">
        <v>515</v>
      </c>
      <c r="S4572" s="150"/>
    </row>
    <row r="4573" spans="1:19" hidden="1">
      <c r="A4573" s="149" t="s">
        <v>6715</v>
      </c>
      <c r="B4573" s="150" t="str">
        <f>IFERROR(VLOOKUP(Proc[[#This Row],[App]],Table2[],3,0),"open")</f>
        <v>ok</v>
      </c>
      <c r="C4573" s="149" t="s">
        <v>369</v>
      </c>
      <c r="D4573" t="s">
        <v>6730</v>
      </c>
      <c r="E4573" t="s">
        <v>3023</v>
      </c>
      <c r="F4573" s="149" t="s">
        <v>3023</v>
      </c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1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6435</v>
      </c>
      <c r="M4573" s="165">
        <v>45961</v>
      </c>
      <c r="N4573" s="166"/>
      <c r="O4573" s="166"/>
      <c r="P4573" s="165" t="str">
        <f ca="1">IF(Proc[[#This Row],[DaysAgeing]]&gt;5,"yep","on track")</f>
        <v>yep</v>
      </c>
      <c r="Q4573" s="3">
        <f ca="1">IF(Proc[[#This Row],[DateClosed]]="",ABS(NETWORKDAYS(Proc[[#This Row],[DateOpened]],TODAY()))-1,ABS(NETWORKDAYS(Proc[[#This Row],[DateOpened]],Proc[[#This Row],[DateClosed]]))-1)</f>
        <v>30</v>
      </c>
      <c r="R4573" s="165" t="s">
        <v>515</v>
      </c>
      <c r="S4573" s="150"/>
    </row>
    <row r="4574" spans="1:19" hidden="1">
      <c r="A4574" s="149" t="s">
        <v>6715</v>
      </c>
      <c r="B4574" s="150" t="str">
        <f>IFERROR(VLOOKUP(Proc[[#This Row],[App]],Table2[],3,0),"open")</f>
        <v>ok</v>
      </c>
      <c r="C4574" s="149" t="s">
        <v>369</v>
      </c>
      <c r="D4574" t="s">
        <v>6731</v>
      </c>
      <c r="E4574" t="s">
        <v>3023</v>
      </c>
      <c r="F4574" s="149" t="s">
        <v>3023</v>
      </c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1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6435</v>
      </c>
      <c r="M4574" s="165">
        <v>45961</v>
      </c>
      <c r="N4574" s="166"/>
      <c r="O4574" s="166"/>
      <c r="P4574" s="165" t="str">
        <f ca="1">IF(Proc[[#This Row],[DaysAgeing]]&gt;5,"yep","on track")</f>
        <v>yep</v>
      </c>
      <c r="Q4574" s="3">
        <f ca="1">IF(Proc[[#This Row],[DateClosed]]="",ABS(NETWORKDAYS(Proc[[#This Row],[DateOpened]],TODAY()))-1,ABS(NETWORKDAYS(Proc[[#This Row],[DateOpened]],Proc[[#This Row],[DateClosed]]))-1)</f>
        <v>30</v>
      </c>
      <c r="R4574" s="165" t="s">
        <v>515</v>
      </c>
      <c r="S4574" s="150"/>
    </row>
    <row r="4575" spans="1:19" hidden="1">
      <c r="A4575" s="149" t="s">
        <v>6715</v>
      </c>
      <c r="B4575" s="150" t="str">
        <f>IFERROR(VLOOKUP(Proc[[#This Row],[App]],Table2[],3,0),"open")</f>
        <v>ok</v>
      </c>
      <c r="C4575" s="149" t="s">
        <v>369</v>
      </c>
      <c r="D4575" t="s">
        <v>6732</v>
      </c>
      <c r="E4575" t="s">
        <v>3023</v>
      </c>
      <c r="F4575" s="150" t="s">
        <v>3023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6435</v>
      </c>
      <c r="M4575" s="165">
        <v>45961</v>
      </c>
      <c r="N4575" s="166"/>
      <c r="O4575" s="166"/>
      <c r="P4575" s="165" t="str">
        <f ca="1">IF(Proc[[#This Row],[DaysAgeing]]&gt;5,"yep","on track")</f>
        <v>yep</v>
      </c>
      <c r="Q4575" s="3">
        <f ca="1">IF(Proc[[#This Row],[DateClosed]]="",ABS(NETWORKDAYS(Proc[[#This Row],[DateOpened]],TODAY()))-1,ABS(NETWORKDAYS(Proc[[#This Row],[DateOpened]],Proc[[#This Row],[DateClosed]]))-1)</f>
        <v>30</v>
      </c>
      <c r="R4575" s="165" t="s">
        <v>515</v>
      </c>
      <c r="S4575" s="150"/>
    </row>
    <row r="4576" spans="1:19" hidden="1">
      <c r="A4576" s="149" t="s">
        <v>6715</v>
      </c>
      <c r="B4576" s="150" t="str">
        <f>IFERROR(VLOOKUP(Proc[[#This Row],[App]],Table2[],3,0),"open")</f>
        <v>ok</v>
      </c>
      <c r="C4576" s="149" t="s">
        <v>369</v>
      </c>
      <c r="D4576" t="s">
        <v>6733</v>
      </c>
      <c r="E4576" t="s">
        <v>3023</v>
      </c>
      <c r="F4576" s="150" t="s">
        <v>3023</v>
      </c>
      <c r="G4576" s="149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6435</v>
      </c>
      <c r="M4576" s="165">
        <v>45961</v>
      </c>
      <c r="N4576" s="166"/>
      <c r="O4576" s="166"/>
      <c r="P4576" s="165" t="str">
        <f ca="1">IF(Proc[[#This Row],[DaysAgeing]]&gt;5,"yep","on track")</f>
        <v>yep</v>
      </c>
      <c r="Q4576" s="3">
        <f ca="1">IF(Proc[[#This Row],[DateClosed]]="",ABS(NETWORKDAYS(Proc[[#This Row],[DateOpened]],TODAY()))-1,ABS(NETWORKDAYS(Proc[[#This Row],[DateOpened]],Proc[[#This Row],[DateClosed]]))-1)</f>
        <v>30</v>
      </c>
      <c r="R4576" s="165" t="s">
        <v>515</v>
      </c>
      <c r="S4576" s="150"/>
    </row>
    <row r="4577" spans="1:19" hidden="1">
      <c r="A4577" s="149" t="s">
        <v>6715</v>
      </c>
      <c r="B4577" s="150" t="str">
        <f>IFERROR(VLOOKUP(Proc[[#This Row],[App]],Table2[],3,0),"open")</f>
        <v>ok</v>
      </c>
      <c r="C4577" s="149" t="s">
        <v>369</v>
      </c>
      <c r="D4577" t="s">
        <v>6734</v>
      </c>
      <c r="E4577" t="s">
        <v>3023</v>
      </c>
      <c r="F4577" s="150" t="s">
        <v>3023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6435</v>
      </c>
      <c r="M4577" s="165">
        <v>45961</v>
      </c>
      <c r="N4577" s="166"/>
      <c r="O4577" s="166"/>
      <c r="P4577" s="165" t="str">
        <f ca="1">IF(Proc[[#This Row],[DaysAgeing]]&gt;5,"yep","on track")</f>
        <v>yep</v>
      </c>
      <c r="Q4577" s="3">
        <f ca="1">IF(Proc[[#This Row],[DateClosed]]="",ABS(NETWORKDAYS(Proc[[#This Row],[DateOpened]],TODAY()))-1,ABS(NETWORKDAYS(Proc[[#This Row],[DateOpened]],Proc[[#This Row],[DateClosed]]))-1)</f>
        <v>30</v>
      </c>
      <c r="R4577" s="165" t="s">
        <v>515</v>
      </c>
      <c r="S4577" s="150"/>
    </row>
    <row r="4578" spans="1:19" hidden="1">
      <c r="A4578" s="149" t="s">
        <v>6715</v>
      </c>
      <c r="B4578" s="150" t="str">
        <f>IFERROR(VLOOKUP(Proc[[#This Row],[App]],Table2[],3,0),"open")</f>
        <v>ok</v>
      </c>
      <c r="C4578" s="149" t="s">
        <v>369</v>
      </c>
      <c r="D4578" t="s">
        <v>6735</v>
      </c>
      <c r="E4578" t="s">
        <v>3023</v>
      </c>
      <c r="F4578" s="150" t="s">
        <v>3023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6435</v>
      </c>
      <c r="M4578" s="165">
        <v>45961</v>
      </c>
      <c r="N4578" s="166"/>
      <c r="O4578" s="166"/>
      <c r="P4578" s="165" t="str">
        <f ca="1">IF(Proc[[#This Row],[DaysAgeing]]&gt;5,"yep","on track")</f>
        <v>yep</v>
      </c>
      <c r="Q4578" s="3">
        <f ca="1">IF(Proc[[#This Row],[DateClosed]]="",ABS(NETWORKDAYS(Proc[[#This Row],[DateOpened]],TODAY()))-1,ABS(NETWORKDAYS(Proc[[#This Row],[DateOpened]],Proc[[#This Row],[DateClosed]]))-1)</f>
        <v>30</v>
      </c>
      <c r="R4578" s="165" t="s">
        <v>515</v>
      </c>
      <c r="S4578" s="150"/>
    </row>
    <row r="4579" spans="1:19" hidden="1">
      <c r="A4579" s="149" t="s">
        <v>6715</v>
      </c>
      <c r="B4579" s="150" t="str">
        <f>IFERROR(VLOOKUP(Proc[[#This Row],[App]],Table2[],3,0),"open")</f>
        <v>ok</v>
      </c>
      <c r="C4579" s="149" t="s">
        <v>369</v>
      </c>
      <c r="D4579" t="s">
        <v>6736</v>
      </c>
      <c r="E4579" t="s">
        <v>3023</v>
      </c>
      <c r="F4579" s="150" t="s">
        <v>3023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6435</v>
      </c>
      <c r="M4579" s="165">
        <v>45961</v>
      </c>
      <c r="N4579" s="166"/>
      <c r="O4579" s="166"/>
      <c r="P4579" s="165" t="str">
        <f ca="1">IF(Proc[[#This Row],[DaysAgeing]]&gt;5,"yep","on track")</f>
        <v>yep</v>
      </c>
      <c r="Q4579" s="3">
        <f ca="1">IF(Proc[[#This Row],[DateClosed]]="",ABS(NETWORKDAYS(Proc[[#This Row],[DateOpened]],TODAY()))-1,ABS(NETWORKDAYS(Proc[[#This Row],[DateOpened]],Proc[[#This Row],[DateClosed]]))-1)</f>
        <v>30</v>
      </c>
      <c r="R4579" s="165" t="s">
        <v>515</v>
      </c>
      <c r="S4579" s="150"/>
    </row>
    <row r="4580" spans="1:19" hidden="1">
      <c r="A4580" s="149" t="s">
        <v>6715</v>
      </c>
      <c r="B4580" s="150" t="str">
        <f>IFERROR(VLOOKUP(Proc[[#This Row],[App]],Table2[],3,0),"open")</f>
        <v>ok</v>
      </c>
      <c r="C4580" s="149" t="s">
        <v>369</v>
      </c>
      <c r="D4580" t="s">
        <v>6737</v>
      </c>
      <c r="E4580" t="s">
        <v>3023</v>
      </c>
      <c r="F4580" s="150" t="s">
        <v>3023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6435</v>
      </c>
      <c r="M4580" s="165">
        <v>45961</v>
      </c>
      <c r="N4580" s="166"/>
      <c r="O4580" s="166"/>
      <c r="P4580" s="165" t="str">
        <f ca="1">IF(Proc[[#This Row],[DaysAgeing]]&gt;5,"yep","on track")</f>
        <v>yep</v>
      </c>
      <c r="Q4580" s="3">
        <f ca="1">IF(Proc[[#This Row],[DateClosed]]="",ABS(NETWORKDAYS(Proc[[#This Row],[DateOpened]],TODAY()))-1,ABS(NETWORKDAYS(Proc[[#This Row],[DateOpened]],Proc[[#This Row],[DateClosed]]))-1)</f>
        <v>30</v>
      </c>
      <c r="R4580" s="165" t="s">
        <v>515</v>
      </c>
      <c r="S4580" s="150"/>
    </row>
    <row r="4581" spans="1:19" hidden="1">
      <c r="A4581" s="149" t="s">
        <v>6715</v>
      </c>
      <c r="B4581" s="150" t="str">
        <f>IFERROR(VLOOKUP(Proc[[#This Row],[App]],Table2[],3,0),"open")</f>
        <v>ok</v>
      </c>
      <c r="C4581" s="149" t="s">
        <v>369</v>
      </c>
      <c r="D4581" t="s">
        <v>6738</v>
      </c>
      <c r="E4581" t="s">
        <v>3023</v>
      </c>
      <c r="F4581" s="150" t="s">
        <v>3023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6435</v>
      </c>
      <c r="M4581" s="165">
        <v>45961</v>
      </c>
      <c r="N4581" s="166"/>
      <c r="O4581" s="166"/>
      <c r="P4581" s="165" t="str">
        <f ca="1">IF(Proc[[#This Row],[DaysAgeing]]&gt;5,"yep","on track")</f>
        <v>yep</v>
      </c>
      <c r="Q4581" s="3">
        <f ca="1">IF(Proc[[#This Row],[DateClosed]]="",ABS(NETWORKDAYS(Proc[[#This Row],[DateOpened]],TODAY()))-1,ABS(NETWORKDAYS(Proc[[#This Row],[DateOpened]],Proc[[#This Row],[DateClosed]]))-1)</f>
        <v>30</v>
      </c>
      <c r="R4581" s="165" t="s">
        <v>515</v>
      </c>
      <c r="S4581" s="150"/>
    </row>
    <row r="4582" spans="1:19" hidden="1">
      <c r="A4582" s="149" t="s">
        <v>6715</v>
      </c>
      <c r="B4582" s="150" t="str">
        <f>IFERROR(VLOOKUP(Proc[[#This Row],[App]],Table2[],3,0),"open")</f>
        <v>ok</v>
      </c>
      <c r="C4582" s="149" t="s">
        <v>369</v>
      </c>
      <c r="D4582" t="s">
        <v>6739</v>
      </c>
      <c r="E4582" t="s">
        <v>3023</v>
      </c>
      <c r="F4582" s="150" t="s">
        <v>3023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6435</v>
      </c>
      <c r="M4582" s="165">
        <v>45961</v>
      </c>
      <c r="N4582" s="166"/>
      <c r="O4582" s="166"/>
      <c r="P4582" s="165" t="str">
        <f ca="1">IF(Proc[[#This Row],[DaysAgeing]]&gt;5,"yep","on track")</f>
        <v>yep</v>
      </c>
      <c r="Q4582" s="3">
        <f ca="1">IF(Proc[[#This Row],[DateClosed]]="",ABS(NETWORKDAYS(Proc[[#This Row],[DateOpened]],TODAY()))-1,ABS(NETWORKDAYS(Proc[[#This Row],[DateOpened]],Proc[[#This Row],[DateClosed]]))-1)</f>
        <v>30</v>
      </c>
      <c r="R4582" s="165" t="s">
        <v>515</v>
      </c>
      <c r="S4582" s="150"/>
    </row>
    <row r="4583" spans="1:19" hidden="1">
      <c r="A4583" s="149" t="s">
        <v>6715</v>
      </c>
      <c r="B4583" s="150" t="str">
        <f>IFERROR(VLOOKUP(Proc[[#This Row],[App]],Table2[],3,0),"open")</f>
        <v>ok</v>
      </c>
      <c r="C4583" s="149" t="s">
        <v>369</v>
      </c>
      <c r="D4583" t="s">
        <v>6740</v>
      </c>
      <c r="E4583" t="s">
        <v>3023</v>
      </c>
      <c r="F4583" s="149" t="s">
        <v>3023</v>
      </c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1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6435</v>
      </c>
      <c r="M4583" s="165">
        <v>45961</v>
      </c>
      <c r="N4583" s="166"/>
      <c r="O4583" s="166"/>
      <c r="P4583" s="165" t="str">
        <f ca="1">IF(Proc[[#This Row],[DaysAgeing]]&gt;5,"yep","on track")</f>
        <v>yep</v>
      </c>
      <c r="Q4583" s="3">
        <f ca="1">IF(Proc[[#This Row],[DateClosed]]="",ABS(NETWORKDAYS(Proc[[#This Row],[DateOpened]],TODAY()))-1,ABS(NETWORKDAYS(Proc[[#This Row],[DateOpened]],Proc[[#This Row],[DateClosed]]))-1)</f>
        <v>30</v>
      </c>
      <c r="R4583" s="165" t="s">
        <v>515</v>
      </c>
      <c r="S4583" s="150"/>
    </row>
    <row r="4584" spans="1:19" hidden="1">
      <c r="A4584" s="149" t="s">
        <v>6715</v>
      </c>
      <c r="B4584" s="150" t="str">
        <f>IFERROR(VLOOKUP(Proc[[#This Row],[App]],Table2[],3,0),"open")</f>
        <v>ok</v>
      </c>
      <c r="C4584" s="149" t="s">
        <v>369</v>
      </c>
      <c r="D4584" t="s">
        <v>6741</v>
      </c>
      <c r="E4584" t="s">
        <v>3023</v>
      </c>
      <c r="F4584" s="149" t="s">
        <v>3023</v>
      </c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1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6435</v>
      </c>
      <c r="M4584" s="165">
        <v>45961</v>
      </c>
      <c r="N4584" s="166"/>
      <c r="O4584" s="166"/>
      <c r="P4584" s="165" t="str">
        <f ca="1">IF(Proc[[#This Row],[DaysAgeing]]&gt;5,"yep","on track")</f>
        <v>yep</v>
      </c>
      <c r="Q4584" s="3">
        <f ca="1">IF(Proc[[#This Row],[DateClosed]]="",ABS(NETWORKDAYS(Proc[[#This Row],[DateOpened]],TODAY()))-1,ABS(NETWORKDAYS(Proc[[#This Row],[DateOpened]],Proc[[#This Row],[DateClosed]]))-1)</f>
        <v>30</v>
      </c>
      <c r="R4584" s="165" t="s">
        <v>515</v>
      </c>
      <c r="S4584" s="150"/>
    </row>
    <row r="4585" spans="1:19" hidden="1">
      <c r="A4585" t="s">
        <v>6748</v>
      </c>
      <c r="B4585" s="150" t="str">
        <f>IFERROR(VLOOKUP(Proc[[#This Row],[App]],Table2[],3,0),"open")</f>
        <v>ok</v>
      </c>
      <c r="C4585" s="149" t="s">
        <v>369</v>
      </c>
      <c r="D4585" t="s">
        <v>6749</v>
      </c>
      <c r="E4585" t="s">
        <v>430</v>
      </c>
      <c r="F4585" s="150" t="s">
        <v>430</v>
      </c>
      <c r="G4585" t="s">
        <v>400</v>
      </c>
      <c r="H4585" s="150" t="str">
        <f>IF(Proc[[#This Row],[type]]="LFF (MDG-F)",MID(Proc[[#This Row],[Obj]],13,10),"")</f>
        <v/>
      </c>
      <c r="J4585" s="150" t="b">
        <f>Proc[[#This Row],[Requested]]=Proc[[#This Row],[CurrentParent]]</f>
        <v>1</v>
      </c>
      <c r="K4585" s="150" t="str">
        <f>IF(Proc[[#This Row],[Author]]="Marcela Urrego",VLOOKUP(LEFT(Proc[[#This Row],[Requested]],1),Table3[#All],2,0),VLOOKUP(Proc[[#This Row],[Author]],Table4[],2,0))</f>
        <v>MGF</v>
      </c>
      <c r="L4585" s="150" t="s">
        <v>6435</v>
      </c>
      <c r="M4585" s="165">
        <v>45965</v>
      </c>
      <c r="N4585" s="166"/>
      <c r="O4585" s="166"/>
      <c r="P4585" s="165" t="str">
        <f ca="1">IF(Proc[[#This Row],[DaysAgeing]]&gt;5,"yep","on track")</f>
        <v>yep</v>
      </c>
      <c r="Q4585" s="3">
        <f ca="1">IF(Proc[[#This Row],[DateClosed]]="",ABS(NETWORKDAYS(Proc[[#This Row],[DateOpened]],TODAY()))-1,ABS(NETWORKDAYS(Proc[[#This Row],[DateOpened]],Proc[[#This Row],[DateClosed]]))-1)</f>
        <v>28</v>
      </c>
      <c r="R4585" s="165" t="s">
        <v>1459</v>
      </c>
      <c r="S4585" s="150"/>
    </row>
    <row r="4586" spans="1:19" hidden="1">
      <c r="A4586" s="149" t="s">
        <v>6748</v>
      </c>
      <c r="B4586" s="150" t="str">
        <f>IFERROR(VLOOKUP(Proc[[#This Row],[App]],Table2[],3,0),"open")</f>
        <v>ok</v>
      </c>
      <c r="C4586" s="149" t="s">
        <v>692</v>
      </c>
      <c r="D4586" t="s">
        <v>2319</v>
      </c>
      <c r="E4586" t="s">
        <v>430</v>
      </c>
      <c r="F4586" s="150" t="s">
        <v>5569</v>
      </c>
      <c r="G4586" s="149" t="s">
        <v>406</v>
      </c>
      <c r="H4586" s="150" t="str">
        <f>IF(Proc[[#This Row],[type]]="LFF (MDG-F)",MID(Proc[[#This Row],[Obj]],13,10),"")</f>
        <v>DE65GIT032</v>
      </c>
      <c r="I4586" t="s">
        <v>6780</v>
      </c>
      <c r="J4586" s="150" t="b">
        <f>Proc[[#This Row],[Requested]]=Proc[[#This Row],[CurrentParent]]</f>
        <v>0</v>
      </c>
      <c r="K4586" s="150" t="str">
        <f>IF(Proc[[#This Row],[Author]]="Marcela Urrego",VLOOKUP(LEFT(Proc[[#This Row],[Requested]],1),Table3[#All],2,0),VLOOKUP(Proc[[#This Row],[Author]],Table4[],2,0))</f>
        <v>MGF</v>
      </c>
      <c r="L4586" s="150" t="s">
        <v>6435</v>
      </c>
      <c r="M4586" s="165">
        <v>45965</v>
      </c>
      <c r="N4586" s="166"/>
      <c r="O4586" s="166"/>
      <c r="P4586" s="165" t="str">
        <f ca="1">IF(Proc[[#This Row],[DaysAgeing]]&gt;5,"yep","on track")</f>
        <v>yep</v>
      </c>
      <c r="Q4586" s="3">
        <f ca="1">IF(Proc[[#This Row],[DateClosed]]="",ABS(NETWORKDAYS(Proc[[#This Row],[DateOpened]],TODAY()))-1,ABS(NETWORKDAYS(Proc[[#This Row],[DateOpened]],Proc[[#This Row],[DateClosed]]))-1)</f>
        <v>28</v>
      </c>
      <c r="R4586" s="165" t="s">
        <v>1459</v>
      </c>
      <c r="S4586" s="150"/>
    </row>
    <row r="4587" spans="1:19" hidden="1">
      <c r="A4587" s="149" t="s">
        <v>6748</v>
      </c>
      <c r="B4587" s="150" t="str">
        <f>IFERROR(VLOOKUP(Proc[[#This Row],[App]],Table2[],3,0),"open")</f>
        <v>ok</v>
      </c>
      <c r="C4587" s="149" t="s">
        <v>369</v>
      </c>
      <c r="D4587" t="s">
        <v>6613</v>
      </c>
      <c r="E4587" t="s">
        <v>6626</v>
      </c>
      <c r="F4587" s="150" t="s">
        <v>6626</v>
      </c>
      <c r="G4587" s="149" t="s">
        <v>406</v>
      </c>
      <c r="H4587" s="150" t="str">
        <f>IF(Proc[[#This Row],[type]]="LFF (MDG-F)",MID(Proc[[#This Row],[Obj]],13,10),"")</f>
        <v>DE10GIT101</v>
      </c>
      <c r="J4587" s="150" t="b">
        <f>Proc[[#This Row],[Requested]]=Proc[[#This Row],[CurrentParent]]</f>
        <v>1</v>
      </c>
      <c r="K4587" s="150" t="str">
        <f>IF(Proc[[#This Row],[Author]]="Marcela Urrego",VLOOKUP(LEFT(Proc[[#This Row],[Requested]],1),Table3[#All],2,0),VLOOKUP(Proc[[#This Row],[Author]],Table4[],2,0))</f>
        <v>MGF</v>
      </c>
      <c r="L4587" s="150" t="s">
        <v>6435</v>
      </c>
      <c r="M4587" s="165">
        <v>45965</v>
      </c>
      <c r="N4587" s="166"/>
      <c r="O4587" s="166"/>
      <c r="P4587" s="165" t="str">
        <f ca="1">IF(Proc[[#This Row],[DaysAgeing]]&gt;5,"yep","on track")</f>
        <v>yep</v>
      </c>
      <c r="Q4587" s="3">
        <f ca="1">IF(Proc[[#This Row],[DateClosed]]="",ABS(NETWORKDAYS(Proc[[#This Row],[DateOpened]],TODAY()))-1,ABS(NETWORKDAYS(Proc[[#This Row],[DateOpened]],Proc[[#This Row],[DateClosed]]))-1)</f>
        <v>28</v>
      </c>
      <c r="R4587" s="165" t="s">
        <v>1459</v>
      </c>
      <c r="S4587" s="150"/>
    </row>
    <row r="4588" spans="1:19" hidden="1">
      <c r="A4588" s="149" t="s">
        <v>6748</v>
      </c>
      <c r="B4588" s="150" t="str">
        <f>IFERROR(VLOOKUP(Proc[[#This Row],[App]],Table2[],3,0),"open")</f>
        <v>ok</v>
      </c>
      <c r="C4588" s="149" t="s">
        <v>369</v>
      </c>
      <c r="D4588" t="s">
        <v>5437</v>
      </c>
      <c r="E4588" t="s">
        <v>6446</v>
      </c>
      <c r="F4588" s="150" t="s">
        <v>6446</v>
      </c>
      <c r="G4588" s="149" t="s">
        <v>406</v>
      </c>
      <c r="H4588" s="150" t="str">
        <f>IF(Proc[[#This Row],[type]]="LFF (MDG-F)",MID(Proc[[#This Row],[Obj]],13,10),"")</f>
        <v>DE10YIT014</v>
      </c>
      <c r="J4588" s="150" t="b">
        <f>Proc[[#This Row],[Requested]]=Proc[[#This Row],[CurrentParent]]</f>
        <v>1</v>
      </c>
      <c r="K4588" s="150" t="str">
        <f>IF(Proc[[#This Row],[Author]]="Marcela Urrego",VLOOKUP(LEFT(Proc[[#This Row],[Requested]],1),Table3[#All],2,0),VLOOKUP(Proc[[#This Row],[Author]],Table4[],2,0))</f>
        <v>MGF</v>
      </c>
      <c r="L4588" s="150" t="s">
        <v>6435</v>
      </c>
      <c r="M4588" s="165">
        <v>45965</v>
      </c>
      <c r="N4588" s="166"/>
      <c r="O4588" s="166"/>
      <c r="P4588" s="165" t="str">
        <f ca="1">IF(Proc[[#This Row],[DaysAgeing]]&gt;5,"yep","on track")</f>
        <v>yep</v>
      </c>
      <c r="Q4588" s="3">
        <f ca="1">IF(Proc[[#This Row],[DateClosed]]="",ABS(NETWORKDAYS(Proc[[#This Row],[DateOpened]],TODAY()))-1,ABS(NETWORKDAYS(Proc[[#This Row],[DateOpened]],Proc[[#This Row],[DateClosed]]))-1)</f>
        <v>28</v>
      </c>
      <c r="R4588" s="165" t="s">
        <v>1459</v>
      </c>
      <c r="S4588" s="150"/>
    </row>
    <row r="4589" spans="1:19" hidden="1">
      <c r="A4589" t="s">
        <v>6750</v>
      </c>
      <c r="B4589" s="150" t="str">
        <f>IFERROR(VLOOKUP(Proc[[#This Row],[App]],Table2[],3,0),"open")</f>
        <v>ok</v>
      </c>
      <c r="C4589" s="149" t="s">
        <v>369</v>
      </c>
      <c r="D4589" t="s">
        <v>6751</v>
      </c>
      <c r="E4589" t="s">
        <v>6776</v>
      </c>
      <c r="F4589" s="150" t="s">
        <v>6776</v>
      </c>
      <c r="G4589" s="149" t="s">
        <v>406</v>
      </c>
      <c r="H4589" s="150" t="str">
        <f>IF(Proc[[#This Row],[type]]="LFF (MDG-F)",MID(Proc[[#This Row],[Obj]],13,10),"")</f>
        <v>CN01TPAZ08</v>
      </c>
      <c r="J4589" s="150" t="b">
        <f>Proc[[#This Row],[Requested]]=Proc[[#This Row],[CurrentParent]]</f>
        <v>1</v>
      </c>
      <c r="K4589" s="150" t="str">
        <f>IF(Proc[[#This Row],[Author]]="Marcela Urrego",VLOOKUP(LEFT(Proc[[#This Row],[Requested]],1),Table3[#All],2,0),VLOOKUP(Proc[[#This Row],[Author]],Table4[],2,0))</f>
        <v>EL</v>
      </c>
      <c r="L4589" s="150" t="s">
        <v>6435</v>
      </c>
      <c r="M4589" s="165">
        <v>45965</v>
      </c>
      <c r="N4589" s="166"/>
      <c r="O4589" s="166"/>
      <c r="P4589" s="165" t="str">
        <f ca="1">IF(Proc[[#This Row],[DaysAgeing]]&gt;5,"yep","on track")</f>
        <v>yep</v>
      </c>
      <c r="Q4589" s="3">
        <f ca="1">IF(Proc[[#This Row],[DateClosed]]="",ABS(NETWORKDAYS(Proc[[#This Row],[DateOpened]],TODAY()))-1,ABS(NETWORKDAYS(Proc[[#This Row],[DateOpened]],Proc[[#This Row],[DateClosed]]))-1)</f>
        <v>28</v>
      </c>
      <c r="R4589" s="165" t="s">
        <v>5709</v>
      </c>
      <c r="S4589" s="150"/>
    </row>
    <row r="4590" spans="1:19" hidden="1">
      <c r="A4590" s="149" t="s">
        <v>6750</v>
      </c>
      <c r="B4590" s="150" t="str">
        <f>IFERROR(VLOOKUP(Proc[[#This Row],[App]],Table2[],3,0),"open")</f>
        <v>ok</v>
      </c>
      <c r="C4590" s="149" t="s">
        <v>369</v>
      </c>
      <c r="D4590" t="s">
        <v>6752</v>
      </c>
      <c r="E4590" t="s">
        <v>6776</v>
      </c>
      <c r="F4590" s="150" t="s">
        <v>6776</v>
      </c>
      <c r="G4590" s="149" t="s">
        <v>406</v>
      </c>
      <c r="H4590" s="150" t="str">
        <f>IF(Proc[[#This Row],[type]]="LFF (MDG-F)",MID(Proc[[#This Row],[Obj]],13,10),"")</f>
        <v>CN01OF0161</v>
      </c>
      <c r="I4590" s="149"/>
      <c r="J4590" s="150" t="b">
        <f>Proc[[#This Row],[Requested]]=Proc[[#This Row],[CurrentParent]]</f>
        <v>1</v>
      </c>
      <c r="K4590" s="150" t="str">
        <f>IF(Proc[[#This Row],[Author]]="Marcela Urrego",VLOOKUP(LEFT(Proc[[#This Row],[Requested]],1),Table3[#All],2,0),VLOOKUP(Proc[[#This Row],[Author]],Table4[],2,0))</f>
        <v>EL</v>
      </c>
      <c r="L4590" s="150" t="s">
        <v>6435</v>
      </c>
      <c r="M4590" s="165">
        <v>45965</v>
      </c>
      <c r="N4590" s="166"/>
      <c r="O4590" s="166"/>
      <c r="P4590" s="165" t="str">
        <f ca="1">IF(Proc[[#This Row],[DaysAgeing]]&gt;5,"yep","on track")</f>
        <v>yep</v>
      </c>
      <c r="Q4590" s="3">
        <f ca="1">IF(Proc[[#This Row],[DateClosed]]="",ABS(NETWORKDAYS(Proc[[#This Row],[DateOpened]],TODAY()))-1,ABS(NETWORKDAYS(Proc[[#This Row],[DateOpened]],Proc[[#This Row],[DateClosed]]))-1)</f>
        <v>28</v>
      </c>
      <c r="R4590" s="165" t="s">
        <v>5709</v>
      </c>
      <c r="S4590" s="150"/>
    </row>
    <row r="4591" spans="1:19" hidden="1">
      <c r="A4591" s="149" t="s">
        <v>6750</v>
      </c>
      <c r="B4591" s="150" t="str">
        <f>IFERROR(VLOOKUP(Proc[[#This Row],[App]],Table2[],3,0),"open")</f>
        <v>ok</v>
      </c>
      <c r="C4591" s="149" t="s">
        <v>369</v>
      </c>
      <c r="D4591" t="s">
        <v>6753</v>
      </c>
      <c r="E4591" t="s">
        <v>6776</v>
      </c>
      <c r="F4591" s="150" t="s">
        <v>6776</v>
      </c>
      <c r="G4591" s="149" t="s">
        <v>406</v>
      </c>
      <c r="H4591" s="150" t="str">
        <f>IF(Proc[[#This Row],[type]]="LFF (MDG-F)",MID(Proc[[#This Row],[Obj]],13,10),"")</f>
        <v>CN01TPAZ06</v>
      </c>
      <c r="I4591" s="149"/>
      <c r="J4591" s="150" t="b">
        <f>Proc[[#This Row],[Requested]]=Proc[[#This Row],[CurrentParent]]</f>
        <v>1</v>
      </c>
      <c r="K4591" s="150" t="str">
        <f>IF(Proc[[#This Row],[Author]]="Marcela Urrego",VLOOKUP(LEFT(Proc[[#This Row],[Requested]],1),Table3[#All],2,0),VLOOKUP(Proc[[#This Row],[Author]],Table4[],2,0))</f>
        <v>EL</v>
      </c>
      <c r="L4591" s="150" t="s">
        <v>6435</v>
      </c>
      <c r="M4591" s="165">
        <v>45965</v>
      </c>
      <c r="N4591" s="166"/>
      <c r="O4591" s="166"/>
      <c r="P4591" s="165" t="str">
        <f ca="1">IF(Proc[[#This Row],[DaysAgeing]]&gt;5,"yep","on track")</f>
        <v>yep</v>
      </c>
      <c r="Q4591" s="3">
        <f ca="1">IF(Proc[[#This Row],[DateClosed]]="",ABS(NETWORKDAYS(Proc[[#This Row],[DateOpened]],TODAY()))-1,ABS(NETWORKDAYS(Proc[[#This Row],[DateOpened]],Proc[[#This Row],[DateClosed]]))-1)</f>
        <v>28</v>
      </c>
      <c r="R4591" s="165" t="s">
        <v>5709</v>
      </c>
      <c r="S4591" s="150"/>
    </row>
    <row r="4592" spans="1:19" hidden="1">
      <c r="A4592" s="149" t="s">
        <v>6750</v>
      </c>
      <c r="B4592" s="150" t="str">
        <f>IFERROR(VLOOKUP(Proc[[#This Row],[App]],Table2[],3,0),"open")</f>
        <v>ok</v>
      </c>
      <c r="C4592" s="149" t="s">
        <v>369</v>
      </c>
      <c r="D4592" t="s">
        <v>6754</v>
      </c>
      <c r="E4592" t="s">
        <v>6776</v>
      </c>
      <c r="F4592" s="150" t="s">
        <v>6776</v>
      </c>
      <c r="G4592" s="149" t="s">
        <v>406</v>
      </c>
      <c r="H4592" s="150" t="str">
        <f>IF(Proc[[#This Row],[type]]="LFF (MDG-F)",MID(Proc[[#This Row],[Obj]],13,10),"")</f>
        <v>CN02TPZZ05</v>
      </c>
      <c r="I4592" s="149"/>
      <c r="J4592" s="150" t="b">
        <f>Proc[[#This Row],[Requested]]=Proc[[#This Row],[CurrentParent]]</f>
        <v>1</v>
      </c>
      <c r="K4592" s="150" t="str">
        <f>IF(Proc[[#This Row],[Author]]="Marcela Urrego",VLOOKUP(LEFT(Proc[[#This Row],[Requested]],1),Table3[#All],2,0),VLOOKUP(Proc[[#This Row],[Author]],Table4[],2,0))</f>
        <v>EL</v>
      </c>
      <c r="L4592" s="150" t="s">
        <v>6435</v>
      </c>
      <c r="M4592" s="165">
        <v>45965</v>
      </c>
      <c r="N4592" s="166"/>
      <c r="O4592" s="166"/>
      <c r="P4592" s="165" t="str">
        <f ca="1">IF(Proc[[#This Row],[DaysAgeing]]&gt;5,"yep","on track")</f>
        <v>yep</v>
      </c>
      <c r="Q4592" s="3">
        <f ca="1">IF(Proc[[#This Row],[DateClosed]]="",ABS(NETWORKDAYS(Proc[[#This Row],[DateOpened]],TODAY()))-1,ABS(NETWORKDAYS(Proc[[#This Row],[DateOpened]],Proc[[#This Row],[DateClosed]]))-1)</f>
        <v>28</v>
      </c>
      <c r="R4592" s="165" t="s">
        <v>5709</v>
      </c>
      <c r="S4592" s="150"/>
    </row>
    <row r="4593" spans="1:19" hidden="1">
      <c r="A4593" s="149" t="s">
        <v>6750</v>
      </c>
      <c r="B4593" s="150" t="str">
        <f>IFERROR(VLOOKUP(Proc[[#This Row],[App]],Table2[],3,0),"open")</f>
        <v>ok</v>
      </c>
      <c r="C4593" s="149" t="s">
        <v>369</v>
      </c>
      <c r="D4593" t="s">
        <v>6755</v>
      </c>
      <c r="E4593" t="s">
        <v>6776</v>
      </c>
      <c r="F4593" s="150" t="s">
        <v>6776</v>
      </c>
      <c r="G4593" s="149" t="s">
        <v>406</v>
      </c>
      <c r="H4593" s="150" t="str">
        <f>IF(Proc[[#This Row],[type]]="LFF (MDG-F)",MID(Proc[[#This Row],[Obj]],13,10),"")</f>
        <v>CN02TPZZ08</v>
      </c>
      <c r="I4593" s="149"/>
      <c r="J4593" s="150" t="b">
        <f>Proc[[#This Row],[Requested]]=Proc[[#This Row],[CurrentParent]]</f>
        <v>1</v>
      </c>
      <c r="K4593" s="150" t="str">
        <f>IF(Proc[[#This Row],[Author]]="Marcela Urrego",VLOOKUP(LEFT(Proc[[#This Row],[Requested]],1),Table3[#All],2,0),VLOOKUP(Proc[[#This Row],[Author]],Table4[],2,0))</f>
        <v>EL</v>
      </c>
      <c r="L4593" s="150" t="s">
        <v>6435</v>
      </c>
      <c r="M4593" s="165">
        <v>45965</v>
      </c>
      <c r="N4593" s="166"/>
      <c r="O4593" s="166"/>
      <c r="P4593" s="165" t="str">
        <f ca="1">IF(Proc[[#This Row],[DaysAgeing]]&gt;5,"yep","on track")</f>
        <v>yep</v>
      </c>
      <c r="Q4593" s="3">
        <f ca="1">IF(Proc[[#This Row],[DateClosed]]="",ABS(NETWORKDAYS(Proc[[#This Row],[DateOpened]],TODAY()))-1,ABS(NETWORKDAYS(Proc[[#This Row],[DateOpened]],Proc[[#This Row],[DateClosed]]))-1)</f>
        <v>28</v>
      </c>
      <c r="R4593" s="165" t="s">
        <v>5709</v>
      </c>
      <c r="S4593" s="150"/>
    </row>
    <row r="4594" spans="1:19" hidden="1">
      <c r="A4594" s="149" t="s">
        <v>6750</v>
      </c>
      <c r="B4594" s="150" t="str">
        <f>IFERROR(VLOOKUP(Proc[[#This Row],[App]],Table2[],3,0),"open")</f>
        <v>ok</v>
      </c>
      <c r="C4594" s="149" t="s">
        <v>369</v>
      </c>
      <c r="D4594" t="s">
        <v>6756</v>
      </c>
      <c r="E4594" t="s">
        <v>6776</v>
      </c>
      <c r="F4594" s="150" t="s">
        <v>6776</v>
      </c>
      <c r="G4594" s="149" t="s">
        <v>406</v>
      </c>
      <c r="H4594" s="150" t="str">
        <f>IF(Proc[[#This Row],[type]]="LFF (MDG-F)",MID(Proc[[#This Row],[Obj]],13,10),"")</f>
        <v>CN03TPZZ01</v>
      </c>
      <c r="I4594" s="149"/>
      <c r="J4594" s="150" t="b">
        <f>Proc[[#This Row],[Requested]]=Proc[[#This Row],[CurrentParent]]</f>
        <v>1</v>
      </c>
      <c r="K4594" s="150" t="str">
        <f>IF(Proc[[#This Row],[Author]]="Marcela Urrego",VLOOKUP(LEFT(Proc[[#This Row],[Requested]],1),Table3[#All],2,0),VLOOKUP(Proc[[#This Row],[Author]],Table4[],2,0))</f>
        <v>EL</v>
      </c>
      <c r="L4594" s="150" t="s">
        <v>6435</v>
      </c>
      <c r="M4594" s="165">
        <v>45965</v>
      </c>
      <c r="N4594" s="166"/>
      <c r="O4594" s="166"/>
      <c r="P4594" s="165" t="str">
        <f ca="1">IF(Proc[[#This Row],[DaysAgeing]]&gt;5,"yep","on track")</f>
        <v>yep</v>
      </c>
      <c r="Q4594" s="3">
        <f ca="1">IF(Proc[[#This Row],[DateClosed]]="",ABS(NETWORKDAYS(Proc[[#This Row],[DateOpened]],TODAY()))-1,ABS(NETWORKDAYS(Proc[[#This Row],[DateOpened]],Proc[[#This Row],[DateClosed]]))-1)</f>
        <v>28</v>
      </c>
      <c r="R4594" s="165" t="s">
        <v>5709</v>
      </c>
      <c r="S4594" s="150"/>
    </row>
    <row r="4595" spans="1:19" hidden="1">
      <c r="A4595" s="149" t="s">
        <v>6750</v>
      </c>
      <c r="B4595" s="150" t="str">
        <f>IFERROR(VLOOKUP(Proc[[#This Row],[App]],Table2[],3,0),"open")</f>
        <v>ok</v>
      </c>
      <c r="C4595" s="149" t="s">
        <v>369</v>
      </c>
      <c r="D4595" t="s">
        <v>6757</v>
      </c>
      <c r="E4595" t="s">
        <v>6776</v>
      </c>
      <c r="F4595" s="150" t="s">
        <v>6776</v>
      </c>
      <c r="G4595" s="149" t="s">
        <v>406</v>
      </c>
      <c r="H4595" s="150" t="str">
        <f>IF(Proc[[#This Row],[type]]="LFF (MDG-F)",MID(Proc[[#This Row],[Obj]],13,10),"")</f>
        <v>CN03TPZZ03</v>
      </c>
      <c r="I4595" s="149"/>
      <c r="J4595" s="150" t="b">
        <f>Proc[[#This Row],[Requested]]=Proc[[#This Row],[CurrentParent]]</f>
        <v>1</v>
      </c>
      <c r="K4595" s="150" t="str">
        <f>IF(Proc[[#This Row],[Author]]="Marcela Urrego",VLOOKUP(LEFT(Proc[[#This Row],[Requested]],1),Table3[#All],2,0),VLOOKUP(Proc[[#This Row],[Author]],Table4[],2,0))</f>
        <v>EL</v>
      </c>
      <c r="L4595" s="150" t="s">
        <v>6435</v>
      </c>
      <c r="M4595" s="165">
        <v>45965</v>
      </c>
      <c r="N4595" s="166"/>
      <c r="O4595" s="166"/>
      <c r="P4595" s="165" t="str">
        <f ca="1">IF(Proc[[#This Row],[DaysAgeing]]&gt;5,"yep","on track")</f>
        <v>yep</v>
      </c>
      <c r="Q4595" s="3">
        <f ca="1">IF(Proc[[#This Row],[DateClosed]]="",ABS(NETWORKDAYS(Proc[[#This Row],[DateOpened]],TODAY()))-1,ABS(NETWORKDAYS(Proc[[#This Row],[DateOpened]],Proc[[#This Row],[DateClosed]]))-1)</f>
        <v>28</v>
      </c>
      <c r="R4595" s="165" t="s">
        <v>5709</v>
      </c>
      <c r="S4595" s="150"/>
    </row>
    <row r="4596" spans="1:19" hidden="1">
      <c r="A4596" s="149" t="s">
        <v>6750</v>
      </c>
      <c r="B4596" s="150" t="str">
        <f>IFERROR(VLOOKUP(Proc[[#This Row],[App]],Table2[],3,0),"open")</f>
        <v>ok</v>
      </c>
      <c r="C4596" s="149" t="s">
        <v>369</v>
      </c>
      <c r="D4596" t="s">
        <v>6758</v>
      </c>
      <c r="E4596" t="s">
        <v>6776</v>
      </c>
      <c r="F4596" s="150" t="s">
        <v>6776</v>
      </c>
      <c r="G4596" s="149" t="s">
        <v>406</v>
      </c>
      <c r="H4596" s="150" t="str">
        <f>IF(Proc[[#This Row],[type]]="LFF (MDG-F)",MID(Proc[[#This Row],[Obj]],13,10),"")</f>
        <v>CN02TPZZ02</v>
      </c>
      <c r="I4596" s="149"/>
      <c r="J4596" s="150" t="b">
        <f>Proc[[#This Row],[Requested]]=Proc[[#This Row],[CurrentParent]]</f>
        <v>1</v>
      </c>
      <c r="K4596" s="150" t="str">
        <f>IF(Proc[[#This Row],[Author]]="Marcela Urrego",VLOOKUP(LEFT(Proc[[#This Row],[Requested]],1),Table3[#All],2,0),VLOOKUP(Proc[[#This Row],[Author]],Table4[],2,0))</f>
        <v>EL</v>
      </c>
      <c r="L4596" s="150" t="s">
        <v>6435</v>
      </c>
      <c r="M4596" s="165">
        <v>45965</v>
      </c>
      <c r="N4596" s="166"/>
      <c r="O4596" s="166"/>
      <c r="P4596" s="165" t="str">
        <f ca="1">IF(Proc[[#This Row],[DaysAgeing]]&gt;5,"yep","on track")</f>
        <v>yep</v>
      </c>
      <c r="Q4596" s="3">
        <f ca="1">IF(Proc[[#This Row],[DateClosed]]="",ABS(NETWORKDAYS(Proc[[#This Row],[DateOpened]],TODAY()))-1,ABS(NETWORKDAYS(Proc[[#This Row],[DateOpened]],Proc[[#This Row],[DateClosed]]))-1)</f>
        <v>28</v>
      </c>
      <c r="R4596" s="165" t="s">
        <v>5709</v>
      </c>
      <c r="S4596" s="150"/>
    </row>
    <row r="4597" spans="1:19" hidden="1">
      <c r="A4597" s="149" t="s">
        <v>6750</v>
      </c>
      <c r="B4597" s="150" t="str">
        <f>IFERROR(VLOOKUP(Proc[[#This Row],[App]],Table2[],3,0),"open")</f>
        <v>ok</v>
      </c>
      <c r="C4597" s="149" t="s">
        <v>369</v>
      </c>
      <c r="D4597" t="s">
        <v>6759</v>
      </c>
      <c r="E4597" t="s">
        <v>6776</v>
      </c>
      <c r="F4597" s="150" t="s">
        <v>6776</v>
      </c>
      <c r="G4597" s="149" t="s">
        <v>406</v>
      </c>
      <c r="H4597" s="150" t="str">
        <f>IF(Proc[[#This Row],[type]]="LFF (MDG-F)",MID(Proc[[#This Row],[Obj]],13,10),"")</f>
        <v>CN02TQ1001</v>
      </c>
      <c r="I4597" s="149"/>
      <c r="J4597" s="150" t="b">
        <f>Proc[[#This Row],[Requested]]=Proc[[#This Row],[CurrentParent]]</f>
        <v>1</v>
      </c>
      <c r="K4597" s="150" t="str">
        <f>IF(Proc[[#This Row],[Author]]="Marcela Urrego",VLOOKUP(LEFT(Proc[[#This Row],[Requested]],1),Table3[#All],2,0),VLOOKUP(Proc[[#This Row],[Author]],Table4[],2,0))</f>
        <v>EL</v>
      </c>
      <c r="L4597" s="150" t="s">
        <v>6435</v>
      </c>
      <c r="M4597" s="165">
        <v>45965</v>
      </c>
      <c r="N4597" s="166"/>
      <c r="O4597" s="166"/>
      <c r="P4597" s="165" t="str">
        <f ca="1">IF(Proc[[#This Row],[DaysAgeing]]&gt;5,"yep","on track")</f>
        <v>yep</v>
      </c>
      <c r="Q4597" s="3">
        <f ca="1">IF(Proc[[#This Row],[DateClosed]]="",ABS(NETWORKDAYS(Proc[[#This Row],[DateOpened]],TODAY()))-1,ABS(NETWORKDAYS(Proc[[#This Row],[DateOpened]],Proc[[#This Row],[DateClosed]]))-1)</f>
        <v>28</v>
      </c>
      <c r="R4597" s="165" t="s">
        <v>5709</v>
      </c>
      <c r="S4597" s="150"/>
    </row>
    <row r="4598" spans="1:19" hidden="1">
      <c r="A4598" s="149" t="s">
        <v>6750</v>
      </c>
      <c r="B4598" s="150" t="str">
        <f>IFERROR(VLOOKUP(Proc[[#This Row],[App]],Table2[],3,0),"open")</f>
        <v>ok</v>
      </c>
      <c r="C4598" s="149" t="s">
        <v>369</v>
      </c>
      <c r="D4598" t="s">
        <v>6760</v>
      </c>
      <c r="E4598" t="s">
        <v>6776</v>
      </c>
      <c r="F4598" s="150" t="s">
        <v>6776</v>
      </c>
      <c r="G4598" s="149" t="s">
        <v>406</v>
      </c>
      <c r="H4598" s="150" t="str">
        <f>IF(Proc[[#This Row],[type]]="LFF (MDG-F)",MID(Proc[[#This Row],[Obj]],13,10),"")</f>
        <v>CN02TQ1002</v>
      </c>
      <c r="I4598" s="149"/>
      <c r="J4598" s="150" t="b">
        <f>Proc[[#This Row],[Requested]]=Proc[[#This Row],[CurrentParent]]</f>
        <v>1</v>
      </c>
      <c r="K4598" s="150" t="str">
        <f>IF(Proc[[#This Row],[Author]]="Marcela Urrego",VLOOKUP(LEFT(Proc[[#This Row],[Requested]],1),Table3[#All],2,0),VLOOKUP(Proc[[#This Row],[Author]],Table4[],2,0))</f>
        <v>EL</v>
      </c>
      <c r="L4598" s="150" t="s">
        <v>6435</v>
      </c>
      <c r="M4598" s="165">
        <v>45965</v>
      </c>
      <c r="N4598" s="166"/>
      <c r="O4598" s="166"/>
      <c r="P4598" s="165" t="str">
        <f ca="1">IF(Proc[[#This Row],[DaysAgeing]]&gt;5,"yep","on track")</f>
        <v>yep</v>
      </c>
      <c r="Q4598" s="3">
        <f ca="1">IF(Proc[[#This Row],[DateClosed]]="",ABS(NETWORKDAYS(Proc[[#This Row],[DateOpened]],TODAY()))-1,ABS(NETWORKDAYS(Proc[[#This Row],[DateOpened]],Proc[[#This Row],[DateClosed]]))-1)</f>
        <v>28</v>
      </c>
      <c r="R4598" s="165" t="s">
        <v>5709</v>
      </c>
      <c r="S4598" s="150"/>
    </row>
    <row r="4599" spans="1:19" hidden="1">
      <c r="A4599" s="149" t="s">
        <v>6750</v>
      </c>
      <c r="B4599" s="150" t="str">
        <f>IFERROR(VLOOKUP(Proc[[#This Row],[App]],Table2[],3,0),"open")</f>
        <v>ok</v>
      </c>
      <c r="C4599" s="149" t="s">
        <v>369</v>
      </c>
      <c r="D4599" t="s">
        <v>6761</v>
      </c>
      <c r="E4599" t="s">
        <v>6776</v>
      </c>
      <c r="F4599" s="150" t="s">
        <v>6776</v>
      </c>
      <c r="G4599" s="149" t="s">
        <v>406</v>
      </c>
      <c r="H4599" s="150" t="str">
        <f>IF(Proc[[#This Row],[type]]="LFF (MDG-F)",MID(Proc[[#This Row],[Obj]],13,10),"")</f>
        <v>CN02TQ1003</v>
      </c>
      <c r="I4599" s="149"/>
      <c r="J4599" s="150" t="b">
        <f>Proc[[#This Row],[Requested]]=Proc[[#This Row],[CurrentParent]]</f>
        <v>1</v>
      </c>
      <c r="K4599" s="150" t="str">
        <f>IF(Proc[[#This Row],[Author]]="Marcela Urrego",VLOOKUP(LEFT(Proc[[#This Row],[Requested]],1),Table3[#All],2,0),VLOOKUP(Proc[[#This Row],[Author]],Table4[],2,0))</f>
        <v>EL</v>
      </c>
      <c r="L4599" s="150" t="s">
        <v>6435</v>
      </c>
      <c r="M4599" s="165">
        <v>45965</v>
      </c>
      <c r="N4599" s="166"/>
      <c r="O4599" s="166"/>
      <c r="P4599" s="165" t="str">
        <f ca="1">IF(Proc[[#This Row],[DaysAgeing]]&gt;5,"yep","on track")</f>
        <v>yep</v>
      </c>
      <c r="Q4599" s="3">
        <f ca="1">IF(Proc[[#This Row],[DateClosed]]="",ABS(NETWORKDAYS(Proc[[#This Row],[DateOpened]],TODAY()))-1,ABS(NETWORKDAYS(Proc[[#This Row],[DateOpened]],Proc[[#This Row],[DateClosed]]))-1)</f>
        <v>28</v>
      </c>
      <c r="R4599" s="165" t="s">
        <v>5709</v>
      </c>
      <c r="S4599" s="150"/>
    </row>
    <row r="4600" spans="1:19" hidden="1">
      <c r="A4600" s="149" t="s">
        <v>6750</v>
      </c>
      <c r="B4600" s="150" t="str">
        <f>IFERROR(VLOOKUP(Proc[[#This Row],[App]],Table2[],3,0),"open")</f>
        <v>ok</v>
      </c>
      <c r="C4600" s="149" t="s">
        <v>369</v>
      </c>
      <c r="D4600" t="s">
        <v>6762</v>
      </c>
      <c r="E4600" t="s">
        <v>6776</v>
      </c>
      <c r="F4600" s="150" t="s">
        <v>6776</v>
      </c>
      <c r="G4600" s="149" t="s">
        <v>406</v>
      </c>
      <c r="H4600" s="150" t="str">
        <f>IF(Proc[[#This Row],[type]]="LFF (MDG-F)",MID(Proc[[#This Row],[Obj]],13,10),"")</f>
        <v>CN03TPZZ02</v>
      </c>
      <c r="I4600" s="149"/>
      <c r="J4600" s="150" t="b">
        <f>Proc[[#This Row],[Requested]]=Proc[[#This Row],[CurrentParent]]</f>
        <v>1</v>
      </c>
      <c r="K4600" s="150" t="str">
        <f>IF(Proc[[#This Row],[Author]]="Marcela Urrego",VLOOKUP(LEFT(Proc[[#This Row],[Requested]],1),Table3[#All],2,0),VLOOKUP(Proc[[#This Row],[Author]],Table4[],2,0))</f>
        <v>EL</v>
      </c>
      <c r="L4600" s="150" t="s">
        <v>6435</v>
      </c>
      <c r="M4600" s="165">
        <v>45965</v>
      </c>
      <c r="N4600" s="166"/>
      <c r="O4600" s="166"/>
      <c r="P4600" s="165" t="str">
        <f ca="1">IF(Proc[[#This Row],[DaysAgeing]]&gt;5,"yep","on track")</f>
        <v>yep</v>
      </c>
      <c r="Q4600" s="3">
        <f ca="1">IF(Proc[[#This Row],[DateClosed]]="",ABS(NETWORKDAYS(Proc[[#This Row],[DateOpened]],TODAY()))-1,ABS(NETWORKDAYS(Proc[[#This Row],[DateOpened]],Proc[[#This Row],[DateClosed]]))-1)</f>
        <v>28</v>
      </c>
      <c r="R4600" s="165" t="s">
        <v>5709</v>
      </c>
      <c r="S4600" s="150"/>
    </row>
    <row r="4601" spans="1:19" hidden="1">
      <c r="A4601" s="149" t="s">
        <v>6750</v>
      </c>
      <c r="B4601" s="150" t="str">
        <f>IFERROR(VLOOKUP(Proc[[#This Row],[App]],Table2[],3,0),"open")</f>
        <v>ok</v>
      </c>
      <c r="C4601" s="149" t="s">
        <v>369</v>
      </c>
      <c r="D4601" t="s">
        <v>6763</v>
      </c>
      <c r="E4601" t="s">
        <v>6776</v>
      </c>
      <c r="F4601" s="150" t="s">
        <v>6776</v>
      </c>
      <c r="G4601" s="149" t="s">
        <v>406</v>
      </c>
      <c r="H4601" s="150" t="str">
        <f>IF(Proc[[#This Row],[type]]="LFF (MDG-F)",MID(Proc[[#This Row],[Obj]],13,10),"")</f>
        <v>CN10DB1001</v>
      </c>
      <c r="I4601" s="149"/>
      <c r="J4601" s="150" t="b">
        <f>Proc[[#This Row],[Requested]]=Proc[[#This Row],[CurrentParent]]</f>
        <v>1</v>
      </c>
      <c r="K4601" s="150" t="str">
        <f>IF(Proc[[#This Row],[Author]]="Marcela Urrego",VLOOKUP(LEFT(Proc[[#This Row],[Requested]],1),Table3[#All],2,0),VLOOKUP(Proc[[#This Row],[Author]],Table4[],2,0))</f>
        <v>EL</v>
      </c>
      <c r="L4601" s="150" t="s">
        <v>6435</v>
      </c>
      <c r="M4601" s="165">
        <v>45965</v>
      </c>
      <c r="N4601" s="166"/>
      <c r="O4601" s="166"/>
      <c r="P4601" s="165" t="str">
        <f ca="1">IF(Proc[[#This Row],[DaysAgeing]]&gt;5,"yep","on track")</f>
        <v>yep</v>
      </c>
      <c r="Q4601" s="3">
        <f ca="1">IF(Proc[[#This Row],[DateClosed]]="",ABS(NETWORKDAYS(Proc[[#This Row],[DateOpened]],TODAY()))-1,ABS(NETWORKDAYS(Proc[[#This Row],[DateOpened]],Proc[[#This Row],[DateClosed]]))-1)</f>
        <v>28</v>
      </c>
      <c r="R4601" s="165" t="s">
        <v>5709</v>
      </c>
      <c r="S4601" s="150"/>
    </row>
    <row r="4602" spans="1:19" hidden="1">
      <c r="A4602" s="149" t="s">
        <v>6750</v>
      </c>
      <c r="B4602" s="150" t="str">
        <f>IFERROR(VLOOKUP(Proc[[#This Row],[App]],Table2[],3,0),"open")</f>
        <v>ok</v>
      </c>
      <c r="C4602" s="149" t="s">
        <v>369</v>
      </c>
      <c r="D4602" t="s">
        <v>6764</v>
      </c>
      <c r="E4602" t="s">
        <v>6776</v>
      </c>
      <c r="F4602" s="150" t="s">
        <v>6776</v>
      </c>
      <c r="G4602" s="149" t="s">
        <v>406</v>
      </c>
      <c r="H4602" s="150" t="str">
        <f>IF(Proc[[#This Row],[type]]="LFF (MDG-F)",MID(Proc[[#This Row],[Obj]],13,10),"")</f>
        <v>CN10DB1002</v>
      </c>
      <c r="I4602" s="149"/>
      <c r="J4602" s="150" t="b">
        <f>Proc[[#This Row],[Requested]]=Proc[[#This Row],[CurrentParent]]</f>
        <v>1</v>
      </c>
      <c r="K4602" s="150" t="str">
        <f>IF(Proc[[#This Row],[Author]]="Marcela Urrego",VLOOKUP(LEFT(Proc[[#This Row],[Requested]],1),Table3[#All],2,0),VLOOKUP(Proc[[#This Row],[Author]],Table4[],2,0))</f>
        <v>EL</v>
      </c>
      <c r="L4602" s="150" t="s">
        <v>6435</v>
      </c>
      <c r="M4602" s="165">
        <v>45965</v>
      </c>
      <c r="N4602" s="166"/>
      <c r="O4602" s="166"/>
      <c r="P4602" s="165" t="str">
        <f ca="1">IF(Proc[[#This Row],[DaysAgeing]]&gt;5,"yep","on track")</f>
        <v>yep</v>
      </c>
      <c r="Q4602" s="3">
        <f ca="1">IF(Proc[[#This Row],[DateClosed]]="",ABS(NETWORKDAYS(Proc[[#This Row],[DateOpened]],TODAY()))-1,ABS(NETWORKDAYS(Proc[[#This Row],[DateOpened]],Proc[[#This Row],[DateClosed]]))-1)</f>
        <v>28</v>
      </c>
      <c r="R4602" s="165" t="s">
        <v>5709</v>
      </c>
      <c r="S4602" s="150"/>
    </row>
    <row r="4603" spans="1:19" hidden="1">
      <c r="A4603" s="149" t="s">
        <v>6750</v>
      </c>
      <c r="B4603" s="150" t="str">
        <f>IFERROR(VLOOKUP(Proc[[#This Row],[App]],Table2[],3,0),"open")</f>
        <v>ok</v>
      </c>
      <c r="C4603" s="149" t="s">
        <v>369</v>
      </c>
      <c r="D4603" t="s">
        <v>6765</v>
      </c>
      <c r="E4603" t="s">
        <v>6776</v>
      </c>
      <c r="F4603" s="150" t="s">
        <v>6776</v>
      </c>
      <c r="G4603" s="149" t="s">
        <v>406</v>
      </c>
      <c r="H4603" s="150" t="str">
        <f>IF(Proc[[#This Row],[type]]="LFF (MDG-F)",MID(Proc[[#This Row],[Obj]],13,10),"")</f>
        <v>CN10DB1004</v>
      </c>
      <c r="I4603" s="149"/>
      <c r="J4603" s="150" t="b">
        <f>Proc[[#This Row],[Requested]]=Proc[[#This Row],[CurrentParent]]</f>
        <v>1</v>
      </c>
      <c r="K4603" s="150" t="str">
        <f>IF(Proc[[#This Row],[Author]]="Marcela Urrego",VLOOKUP(LEFT(Proc[[#This Row],[Requested]],1),Table3[#All],2,0),VLOOKUP(Proc[[#This Row],[Author]],Table4[],2,0))</f>
        <v>EL</v>
      </c>
      <c r="L4603" s="150" t="s">
        <v>6435</v>
      </c>
      <c r="M4603" s="165">
        <v>45965</v>
      </c>
      <c r="N4603" s="166"/>
      <c r="O4603" s="166"/>
      <c r="P4603" s="165" t="str">
        <f ca="1">IF(Proc[[#This Row],[DaysAgeing]]&gt;5,"yep","on track")</f>
        <v>yep</v>
      </c>
      <c r="Q4603" s="3">
        <f ca="1">IF(Proc[[#This Row],[DateClosed]]="",ABS(NETWORKDAYS(Proc[[#This Row],[DateOpened]],TODAY()))-1,ABS(NETWORKDAYS(Proc[[#This Row],[DateOpened]],Proc[[#This Row],[DateClosed]]))-1)</f>
        <v>28</v>
      </c>
      <c r="R4603" s="165" t="s">
        <v>5709</v>
      </c>
      <c r="S4603" s="150"/>
    </row>
    <row r="4604" spans="1:19" hidden="1">
      <c r="A4604" s="149" t="s">
        <v>6750</v>
      </c>
      <c r="B4604" s="150" t="str">
        <f>IFERROR(VLOOKUP(Proc[[#This Row],[App]],Table2[],3,0),"open")</f>
        <v>ok</v>
      </c>
      <c r="C4604" s="149" t="s">
        <v>369</v>
      </c>
      <c r="D4604" t="s">
        <v>6766</v>
      </c>
      <c r="E4604" t="s">
        <v>6776</v>
      </c>
      <c r="F4604" s="150" t="s">
        <v>6776</v>
      </c>
      <c r="G4604" s="149" t="s">
        <v>406</v>
      </c>
      <c r="H4604" s="150" t="str">
        <f>IF(Proc[[#This Row],[type]]="LFF (MDG-F)",MID(Proc[[#This Row],[Obj]],13,10),"")</f>
        <v>CN09DB3303</v>
      </c>
      <c r="I4604" s="149"/>
      <c r="J4604" s="150" t="b">
        <f>Proc[[#This Row],[Requested]]=Proc[[#This Row],[CurrentParent]]</f>
        <v>1</v>
      </c>
      <c r="K4604" s="150" t="str">
        <f>IF(Proc[[#This Row],[Author]]="Marcela Urrego",VLOOKUP(LEFT(Proc[[#This Row],[Requested]],1),Table3[#All],2,0),VLOOKUP(Proc[[#This Row],[Author]],Table4[],2,0))</f>
        <v>EL</v>
      </c>
      <c r="L4604" s="150" t="s">
        <v>6435</v>
      </c>
      <c r="M4604" s="165">
        <v>45965</v>
      </c>
      <c r="N4604" s="166"/>
      <c r="O4604" s="166"/>
      <c r="P4604" s="165" t="str">
        <f ca="1">IF(Proc[[#This Row],[DaysAgeing]]&gt;5,"yep","on track")</f>
        <v>yep</v>
      </c>
      <c r="Q4604" s="3">
        <f ca="1">IF(Proc[[#This Row],[DateClosed]]="",ABS(NETWORKDAYS(Proc[[#This Row],[DateOpened]],TODAY()))-1,ABS(NETWORKDAYS(Proc[[#This Row],[DateOpened]],Proc[[#This Row],[DateClosed]]))-1)</f>
        <v>28</v>
      </c>
      <c r="R4604" s="165" t="s">
        <v>5709</v>
      </c>
      <c r="S4604" s="150"/>
    </row>
    <row r="4605" spans="1:19" hidden="1">
      <c r="A4605" s="149" t="s">
        <v>6750</v>
      </c>
      <c r="B4605" s="150" t="str">
        <f>IFERROR(VLOOKUP(Proc[[#This Row],[App]],Table2[],3,0),"open")</f>
        <v>ok</v>
      </c>
      <c r="C4605" s="149" t="s">
        <v>369</v>
      </c>
      <c r="D4605" t="s">
        <v>6767</v>
      </c>
      <c r="E4605" t="s">
        <v>6776</v>
      </c>
      <c r="F4605" s="150" t="s">
        <v>6776</v>
      </c>
      <c r="G4605" s="149" t="s">
        <v>406</v>
      </c>
      <c r="H4605" s="150" t="str">
        <f>IF(Proc[[#This Row],[type]]="LFF (MDG-F)",MID(Proc[[#This Row],[Obj]],13,10),"")</f>
        <v>CN09DB3305</v>
      </c>
      <c r="I4605" s="149"/>
      <c r="J4605" s="150" t="b">
        <f>Proc[[#This Row],[Requested]]=Proc[[#This Row],[CurrentParent]]</f>
        <v>1</v>
      </c>
      <c r="K4605" s="150" t="str">
        <f>IF(Proc[[#This Row],[Author]]="Marcela Urrego",VLOOKUP(LEFT(Proc[[#This Row],[Requested]],1),Table3[#All],2,0),VLOOKUP(Proc[[#This Row],[Author]],Table4[],2,0))</f>
        <v>EL</v>
      </c>
      <c r="L4605" s="150" t="s">
        <v>6435</v>
      </c>
      <c r="M4605" s="165">
        <v>45965</v>
      </c>
      <c r="N4605" s="166"/>
      <c r="O4605" s="166"/>
      <c r="P4605" s="165" t="str">
        <f ca="1">IF(Proc[[#This Row],[DaysAgeing]]&gt;5,"yep","on track")</f>
        <v>yep</v>
      </c>
      <c r="Q4605" s="3">
        <f ca="1">IF(Proc[[#This Row],[DateClosed]]="",ABS(NETWORKDAYS(Proc[[#This Row],[DateOpened]],TODAY()))-1,ABS(NETWORKDAYS(Proc[[#This Row],[DateOpened]],Proc[[#This Row],[DateClosed]]))-1)</f>
        <v>28</v>
      </c>
      <c r="R4605" s="165" t="s">
        <v>5709</v>
      </c>
      <c r="S4605" s="150"/>
    </row>
    <row r="4606" spans="1:19" hidden="1">
      <c r="A4606" s="149" t="s">
        <v>6750</v>
      </c>
      <c r="B4606" s="150" t="str">
        <f>IFERROR(VLOOKUP(Proc[[#This Row],[App]],Table2[],3,0),"open")</f>
        <v>ok</v>
      </c>
      <c r="C4606" s="149" t="s">
        <v>369</v>
      </c>
      <c r="D4606" t="s">
        <v>6768</v>
      </c>
      <c r="E4606" t="s">
        <v>6776</v>
      </c>
      <c r="F4606" s="150" t="s">
        <v>6776</v>
      </c>
      <c r="G4606" s="149" t="s">
        <v>406</v>
      </c>
      <c r="H4606" s="150" t="str">
        <f>IF(Proc[[#This Row],[type]]="LFF (MDG-F)",MID(Proc[[#This Row],[Obj]],13,10),"")</f>
        <v>CN09TQ1001</v>
      </c>
      <c r="I4606" s="149"/>
      <c r="J4606" s="150" t="b">
        <f>Proc[[#This Row],[Requested]]=Proc[[#This Row],[CurrentParent]]</f>
        <v>1</v>
      </c>
      <c r="K4606" s="150" t="str">
        <f>IF(Proc[[#This Row],[Author]]="Marcela Urrego",VLOOKUP(LEFT(Proc[[#This Row],[Requested]],1),Table3[#All],2,0),VLOOKUP(Proc[[#This Row],[Author]],Table4[],2,0))</f>
        <v>EL</v>
      </c>
      <c r="L4606" s="150" t="s">
        <v>6435</v>
      </c>
      <c r="M4606" s="165">
        <v>45965</v>
      </c>
      <c r="N4606" s="166"/>
      <c r="O4606" s="166"/>
      <c r="P4606" s="165" t="str">
        <f ca="1">IF(Proc[[#This Row],[DaysAgeing]]&gt;5,"yep","on track")</f>
        <v>yep</v>
      </c>
      <c r="Q4606" s="3">
        <f ca="1">IF(Proc[[#This Row],[DateClosed]]="",ABS(NETWORKDAYS(Proc[[#This Row],[DateOpened]],TODAY()))-1,ABS(NETWORKDAYS(Proc[[#This Row],[DateOpened]],Proc[[#This Row],[DateClosed]]))-1)</f>
        <v>28</v>
      </c>
      <c r="R4606" s="165" t="s">
        <v>5709</v>
      </c>
      <c r="S4606" s="150"/>
    </row>
    <row r="4607" spans="1:19" hidden="1">
      <c r="A4607" s="149" t="s">
        <v>6750</v>
      </c>
      <c r="B4607" s="150" t="str">
        <f>IFERROR(VLOOKUP(Proc[[#This Row],[App]],Table2[],3,0),"open")</f>
        <v>ok</v>
      </c>
      <c r="C4607" s="149" t="s">
        <v>369</v>
      </c>
      <c r="D4607" t="s">
        <v>6769</v>
      </c>
      <c r="E4607" t="s">
        <v>6776</v>
      </c>
      <c r="F4607" s="150" t="s">
        <v>6776</v>
      </c>
      <c r="G4607" s="149" t="s">
        <v>406</v>
      </c>
      <c r="H4607" s="150" t="str">
        <f>IF(Proc[[#This Row],[type]]="LFF (MDG-F)",MID(Proc[[#This Row],[Obj]],13,10),"")</f>
        <v>CN09TQ1002</v>
      </c>
      <c r="I4607" s="149"/>
      <c r="J4607" s="150" t="b">
        <f>Proc[[#This Row],[Requested]]=Proc[[#This Row],[CurrentParent]]</f>
        <v>1</v>
      </c>
      <c r="K4607" s="150" t="str">
        <f>IF(Proc[[#This Row],[Author]]="Marcela Urrego",VLOOKUP(LEFT(Proc[[#This Row],[Requested]],1),Table3[#All],2,0),VLOOKUP(Proc[[#This Row],[Author]],Table4[],2,0))</f>
        <v>EL</v>
      </c>
      <c r="L4607" s="150" t="s">
        <v>6435</v>
      </c>
      <c r="M4607" s="165">
        <v>45965</v>
      </c>
      <c r="N4607" s="166"/>
      <c r="O4607" s="166"/>
      <c r="P4607" s="165" t="str">
        <f ca="1">IF(Proc[[#This Row],[DaysAgeing]]&gt;5,"yep","on track")</f>
        <v>yep</v>
      </c>
      <c r="Q4607" s="3">
        <f ca="1">IF(Proc[[#This Row],[DateClosed]]="",ABS(NETWORKDAYS(Proc[[#This Row],[DateOpened]],TODAY()))-1,ABS(NETWORKDAYS(Proc[[#This Row],[DateOpened]],Proc[[#This Row],[DateClosed]]))-1)</f>
        <v>28</v>
      </c>
      <c r="R4607" s="165" t="s">
        <v>5709</v>
      </c>
      <c r="S4607" s="150"/>
    </row>
    <row r="4608" spans="1:19" hidden="1">
      <c r="A4608" s="149" t="s">
        <v>6750</v>
      </c>
      <c r="B4608" s="150" t="str">
        <f>IFERROR(VLOOKUP(Proc[[#This Row],[App]],Table2[],3,0),"open")</f>
        <v>ok</v>
      </c>
      <c r="C4608" s="149" t="s">
        <v>369</v>
      </c>
      <c r="D4608" t="s">
        <v>6770</v>
      </c>
      <c r="E4608" t="s">
        <v>6776</v>
      </c>
      <c r="F4608" s="150" t="s">
        <v>6776</v>
      </c>
      <c r="G4608" s="149" t="s">
        <v>406</v>
      </c>
      <c r="H4608" s="150" t="str">
        <f>IF(Proc[[#This Row],[type]]="LFF (MDG-F)",MID(Proc[[#This Row],[Obj]],13,10),"")</f>
        <v>CN09TQ1003</v>
      </c>
      <c r="I4608" s="149"/>
      <c r="J4608" s="150" t="b">
        <f>Proc[[#This Row],[Requested]]=Proc[[#This Row],[CurrentParent]]</f>
        <v>1</v>
      </c>
      <c r="K4608" s="150" t="str">
        <f>IF(Proc[[#This Row],[Author]]="Marcela Urrego",VLOOKUP(LEFT(Proc[[#This Row],[Requested]],1),Table3[#All],2,0),VLOOKUP(Proc[[#This Row],[Author]],Table4[],2,0))</f>
        <v>EL</v>
      </c>
      <c r="L4608" s="150" t="s">
        <v>6435</v>
      </c>
      <c r="M4608" s="165">
        <v>45965</v>
      </c>
      <c r="N4608" s="166"/>
      <c r="O4608" s="166"/>
      <c r="P4608" s="165" t="str">
        <f ca="1">IF(Proc[[#This Row],[DaysAgeing]]&gt;5,"yep","on track")</f>
        <v>yep</v>
      </c>
      <c r="Q4608" s="3">
        <f ca="1">IF(Proc[[#This Row],[DateClosed]]="",ABS(NETWORKDAYS(Proc[[#This Row],[DateOpened]],TODAY()))-1,ABS(NETWORKDAYS(Proc[[#This Row],[DateOpened]],Proc[[#This Row],[DateClosed]]))-1)</f>
        <v>28</v>
      </c>
      <c r="R4608" s="165" t="s">
        <v>5709</v>
      </c>
      <c r="S4608" s="150"/>
    </row>
    <row r="4609" spans="1:19" hidden="1">
      <c r="A4609" s="149" t="s">
        <v>6750</v>
      </c>
      <c r="B4609" s="150" t="str">
        <f>IFERROR(VLOOKUP(Proc[[#This Row],[App]],Table2[],3,0),"open")</f>
        <v>ok</v>
      </c>
      <c r="C4609" s="149" t="s">
        <v>369</v>
      </c>
      <c r="D4609" t="s">
        <v>6771</v>
      </c>
      <c r="E4609" t="s">
        <v>6776</v>
      </c>
      <c r="F4609" s="150" t="s">
        <v>6776</v>
      </c>
      <c r="G4609" s="149" t="s">
        <v>406</v>
      </c>
      <c r="H4609" s="150" t="str">
        <f>IF(Proc[[#This Row],[type]]="LFF (MDG-F)",MID(Proc[[#This Row],[Obj]],13,10),"")</f>
        <v>CN09DB3309</v>
      </c>
      <c r="I4609" s="149"/>
      <c r="J4609" s="150" t="b">
        <f>Proc[[#This Row],[Requested]]=Proc[[#This Row],[CurrentParent]]</f>
        <v>1</v>
      </c>
      <c r="K4609" s="150" t="str">
        <f>IF(Proc[[#This Row],[Author]]="Marcela Urrego",VLOOKUP(LEFT(Proc[[#This Row],[Requested]],1),Table3[#All],2,0),VLOOKUP(Proc[[#This Row],[Author]],Table4[],2,0))</f>
        <v>EL</v>
      </c>
      <c r="L4609" s="150" t="s">
        <v>6435</v>
      </c>
      <c r="M4609" s="165">
        <v>45965</v>
      </c>
      <c r="N4609" s="166"/>
      <c r="O4609" s="166"/>
      <c r="P4609" s="165" t="str">
        <f ca="1">IF(Proc[[#This Row],[DaysAgeing]]&gt;5,"yep","on track")</f>
        <v>yep</v>
      </c>
      <c r="Q4609" s="3">
        <f ca="1">IF(Proc[[#This Row],[DateClosed]]="",ABS(NETWORKDAYS(Proc[[#This Row],[DateOpened]],TODAY()))-1,ABS(NETWORKDAYS(Proc[[#This Row],[DateOpened]],Proc[[#This Row],[DateClosed]]))-1)</f>
        <v>28</v>
      </c>
      <c r="R4609" s="165" t="s">
        <v>5709</v>
      </c>
      <c r="S4609" s="150"/>
    </row>
    <row r="4610" spans="1:19" hidden="1">
      <c r="A4610" s="149" t="s">
        <v>6750</v>
      </c>
      <c r="B4610" s="150" t="str">
        <f>IFERROR(VLOOKUP(Proc[[#This Row],[App]],Table2[],3,0),"open")</f>
        <v>ok</v>
      </c>
      <c r="C4610" s="149" t="s">
        <v>369</v>
      </c>
      <c r="D4610" t="s">
        <v>6772</v>
      </c>
      <c r="E4610" t="s">
        <v>6776</v>
      </c>
      <c r="F4610" s="150" t="s">
        <v>6776</v>
      </c>
      <c r="G4610" s="149" t="s">
        <v>406</v>
      </c>
      <c r="H4610" s="150" t="str">
        <f>IF(Proc[[#This Row],[type]]="LFF (MDG-F)",MID(Proc[[#This Row],[Obj]],13,10),"")</f>
        <v>CN09DB3300</v>
      </c>
      <c r="I4610" s="149"/>
      <c r="J4610" s="150" t="b">
        <f>Proc[[#This Row],[Requested]]=Proc[[#This Row],[CurrentParent]]</f>
        <v>1</v>
      </c>
      <c r="K4610" s="150" t="str">
        <f>IF(Proc[[#This Row],[Author]]="Marcela Urrego",VLOOKUP(LEFT(Proc[[#This Row],[Requested]],1),Table3[#All],2,0),VLOOKUP(Proc[[#This Row],[Author]],Table4[],2,0))</f>
        <v>EL</v>
      </c>
      <c r="L4610" s="150" t="s">
        <v>6435</v>
      </c>
      <c r="M4610" s="165">
        <v>45965</v>
      </c>
      <c r="N4610" s="166"/>
      <c r="O4610" s="166"/>
      <c r="P4610" s="165" t="str">
        <f ca="1">IF(Proc[[#This Row],[DaysAgeing]]&gt;5,"yep","on track")</f>
        <v>yep</v>
      </c>
      <c r="Q4610" s="3">
        <f ca="1">IF(Proc[[#This Row],[DateClosed]]="",ABS(NETWORKDAYS(Proc[[#This Row],[DateOpened]],TODAY()))-1,ABS(NETWORKDAYS(Proc[[#This Row],[DateOpened]],Proc[[#This Row],[DateClosed]]))-1)</f>
        <v>28</v>
      </c>
      <c r="R4610" s="165" t="s">
        <v>5709</v>
      </c>
      <c r="S4610" s="150"/>
    </row>
    <row r="4611" spans="1:19" hidden="1">
      <c r="A4611" s="149" t="s">
        <v>6750</v>
      </c>
      <c r="B4611" s="150" t="str">
        <f>IFERROR(VLOOKUP(Proc[[#This Row],[App]],Table2[],3,0),"open")</f>
        <v>ok</v>
      </c>
      <c r="C4611" s="149" t="s">
        <v>369</v>
      </c>
      <c r="D4611" t="s">
        <v>6773</v>
      </c>
      <c r="E4611" t="s">
        <v>6776</v>
      </c>
      <c r="F4611" s="150" t="s">
        <v>6776</v>
      </c>
      <c r="G4611" s="149" t="s">
        <v>406</v>
      </c>
      <c r="H4611" s="150" t="str">
        <f>IF(Proc[[#This Row],[type]]="LFF (MDG-F)",MID(Proc[[#This Row],[Obj]],13,10),"")</f>
        <v>CN09TM3000</v>
      </c>
      <c r="I4611" s="149"/>
      <c r="J4611" s="150" t="b">
        <f>Proc[[#This Row],[Requested]]=Proc[[#This Row],[CurrentParent]]</f>
        <v>1</v>
      </c>
      <c r="K4611" s="150" t="str">
        <f>IF(Proc[[#This Row],[Author]]="Marcela Urrego",VLOOKUP(LEFT(Proc[[#This Row],[Requested]],1),Table3[#All],2,0),VLOOKUP(Proc[[#This Row],[Author]],Table4[],2,0))</f>
        <v>EL</v>
      </c>
      <c r="L4611" s="150" t="s">
        <v>6435</v>
      </c>
      <c r="M4611" s="165">
        <v>45965</v>
      </c>
      <c r="N4611" s="166"/>
      <c r="O4611" s="166"/>
      <c r="P4611" s="165" t="str">
        <f ca="1">IF(Proc[[#This Row],[DaysAgeing]]&gt;5,"yep","on track")</f>
        <v>yep</v>
      </c>
      <c r="Q4611" s="3">
        <f ca="1">IF(Proc[[#This Row],[DateClosed]]="",ABS(NETWORKDAYS(Proc[[#This Row],[DateOpened]],TODAY()))-1,ABS(NETWORKDAYS(Proc[[#This Row],[DateOpened]],Proc[[#This Row],[DateClosed]]))-1)</f>
        <v>28</v>
      </c>
      <c r="R4611" s="165" t="s">
        <v>5709</v>
      </c>
      <c r="S4611" s="150"/>
    </row>
    <row r="4612" spans="1:19" hidden="1">
      <c r="A4612" s="149" t="s">
        <v>6750</v>
      </c>
      <c r="B4612" s="150" t="str">
        <f>IFERROR(VLOOKUP(Proc[[#This Row],[App]],Table2[],3,0),"open")</f>
        <v>ok</v>
      </c>
      <c r="C4612" s="149" t="s">
        <v>369</v>
      </c>
      <c r="D4612" t="s">
        <v>6774</v>
      </c>
      <c r="E4612" t="s">
        <v>6776</v>
      </c>
      <c r="F4612" s="150" t="s">
        <v>6776</v>
      </c>
      <c r="G4612" s="149" t="s">
        <v>406</v>
      </c>
      <c r="H4612" s="150" t="str">
        <f>IF(Proc[[#This Row],[type]]="LFF (MDG-F)",MID(Proc[[#This Row],[Obj]],13,10),"")</f>
        <v>CN09DB3301</v>
      </c>
      <c r="I4612" s="149"/>
      <c r="J4612" s="150" t="b">
        <f>Proc[[#This Row],[Requested]]=Proc[[#This Row],[CurrentParent]]</f>
        <v>1</v>
      </c>
      <c r="K4612" s="150" t="str">
        <f>IF(Proc[[#This Row],[Author]]="Marcela Urrego",VLOOKUP(LEFT(Proc[[#This Row],[Requested]],1),Table3[#All],2,0),VLOOKUP(Proc[[#This Row],[Author]],Table4[],2,0))</f>
        <v>EL</v>
      </c>
      <c r="L4612" s="150" t="s">
        <v>6435</v>
      </c>
      <c r="M4612" s="165">
        <v>45965</v>
      </c>
      <c r="N4612" s="166"/>
      <c r="O4612" s="166"/>
      <c r="P4612" s="165" t="str">
        <f ca="1">IF(Proc[[#This Row],[DaysAgeing]]&gt;5,"yep","on track")</f>
        <v>yep</v>
      </c>
      <c r="Q4612" s="3">
        <f ca="1">IF(Proc[[#This Row],[DateClosed]]="",ABS(NETWORKDAYS(Proc[[#This Row],[DateOpened]],TODAY()))-1,ABS(NETWORKDAYS(Proc[[#This Row],[DateOpened]],Proc[[#This Row],[DateClosed]]))-1)</f>
        <v>28</v>
      </c>
      <c r="R4612" s="165" t="s">
        <v>5709</v>
      </c>
      <c r="S4612" s="150"/>
    </row>
    <row r="4613" spans="1:19" hidden="1">
      <c r="A4613" s="149" t="s">
        <v>6750</v>
      </c>
      <c r="B4613" s="150" t="str">
        <f>IFERROR(VLOOKUP(Proc[[#This Row],[App]],Table2[],3,0),"open")</f>
        <v>ok</v>
      </c>
      <c r="C4613" s="149" t="s">
        <v>369</v>
      </c>
      <c r="D4613" t="s">
        <v>6775</v>
      </c>
      <c r="E4613" t="s">
        <v>6776</v>
      </c>
      <c r="F4613" s="150" t="s">
        <v>6776</v>
      </c>
      <c r="G4613" s="149" t="s">
        <v>406</v>
      </c>
      <c r="H4613" s="150" t="str">
        <f>IF(Proc[[#This Row],[type]]="LFF (MDG-F)",MID(Proc[[#This Row],[Obj]],13,10),"")</f>
        <v>CN09DB3307</v>
      </c>
      <c r="I4613" s="149"/>
      <c r="J4613" s="150" t="b">
        <f>Proc[[#This Row],[Requested]]=Proc[[#This Row],[CurrentParent]]</f>
        <v>1</v>
      </c>
      <c r="K4613" s="150" t="str">
        <f>IF(Proc[[#This Row],[Author]]="Marcela Urrego",VLOOKUP(LEFT(Proc[[#This Row],[Requested]],1),Table3[#All],2,0),VLOOKUP(Proc[[#This Row],[Author]],Table4[],2,0))</f>
        <v>EL</v>
      </c>
      <c r="L4613" s="150" t="s">
        <v>6435</v>
      </c>
      <c r="M4613" s="165">
        <v>45965</v>
      </c>
      <c r="N4613" s="166"/>
      <c r="O4613" s="166"/>
      <c r="P4613" s="165" t="str">
        <f ca="1">IF(Proc[[#This Row],[DaysAgeing]]&gt;5,"yep","on track")</f>
        <v>yep</v>
      </c>
      <c r="Q4613" s="3">
        <f ca="1">IF(Proc[[#This Row],[DateClosed]]="",ABS(NETWORKDAYS(Proc[[#This Row],[DateOpened]],TODAY()))-1,ABS(NETWORKDAYS(Proc[[#This Row],[DateOpened]],Proc[[#This Row],[DateClosed]]))-1)</f>
        <v>28</v>
      </c>
      <c r="R4613" s="165" t="s">
        <v>5709</v>
      </c>
      <c r="S4613" s="150"/>
    </row>
    <row r="4614" spans="1:19" hidden="1">
      <c r="A4614" t="s">
        <v>6777</v>
      </c>
      <c r="B4614" s="150" t="str">
        <f>IFERROR(VLOOKUP(Proc[[#This Row],[App]],Table2[],3,0),"open")</f>
        <v>ok</v>
      </c>
      <c r="C4614" t="s">
        <v>369</v>
      </c>
      <c r="D4614" t="s">
        <v>6778</v>
      </c>
      <c r="E4614" t="s">
        <v>6779</v>
      </c>
      <c r="F4614" s="150" t="s">
        <v>6779</v>
      </c>
      <c r="G4614" t="s">
        <v>400</v>
      </c>
      <c r="H4614" s="150" t="str">
        <f>IF(Proc[[#This Row],[type]]="LFF (MDG-F)",MID(Proc[[#This Row],[Obj]],13,10),"")</f>
        <v/>
      </c>
      <c r="J4614" s="150" t="b">
        <f>Proc[[#This Row],[Requested]]=Proc[[#This Row],[CurrentParent]]</f>
        <v>1</v>
      </c>
      <c r="K4614" s="150" t="str">
        <f>IF(Proc[[#This Row],[Author]]="Marcela Urrego",VLOOKUP(LEFT(Proc[[#This Row],[Requested]],1),Table3[#All],2,0),VLOOKUP(Proc[[#This Row],[Author]],Table4[],2,0))</f>
        <v>HC</v>
      </c>
      <c r="L4614" s="150" t="s">
        <v>6435</v>
      </c>
      <c r="M4614" s="166">
        <v>45966</v>
      </c>
      <c r="N4614" s="166"/>
      <c r="O4614" s="166"/>
      <c r="P4614" s="167" t="str">
        <f ca="1">IF(Proc[[#This Row],[DaysAgeing]]&gt;5,"yep","on track")</f>
        <v>yep</v>
      </c>
      <c r="Q4614" s="3">
        <f ca="1">IF(Proc[[#This Row],[DateClosed]]="",ABS(NETWORKDAYS(Proc[[#This Row],[DateOpened]],TODAY()))-1,ABS(NETWORKDAYS(Proc[[#This Row],[DateOpened]],Proc[[#This Row],[DateClosed]]))-1)</f>
        <v>27</v>
      </c>
      <c r="R4614" s="167" t="s">
        <v>1013</v>
      </c>
      <c r="S4614" s="150"/>
    </row>
    <row r="4615" spans="1:19" hidden="1">
      <c r="A4615" t="s">
        <v>6781</v>
      </c>
      <c r="B4615" s="150" t="str">
        <f>IFERROR(VLOOKUP(Proc[[#This Row],[App]],Table2[],3,0),"open")</f>
        <v>ok</v>
      </c>
      <c r="C4615" t="s">
        <v>369</v>
      </c>
      <c r="D4615" t="s">
        <v>6782</v>
      </c>
      <c r="E4615" t="s">
        <v>6913</v>
      </c>
      <c r="F4615" s="150" t="s">
        <v>6913</v>
      </c>
      <c r="G4615" t="s">
        <v>400</v>
      </c>
      <c r="H4615" s="150" t="str">
        <f>IF(Proc[[#This Row],[type]]="LFF (MDG-F)",MID(Proc[[#This Row],[Obj]],13,10),"")</f>
        <v/>
      </c>
      <c r="J4615" s="150" t="b">
        <f>Proc[[#This Row],[Requested]]=Proc[[#This Row],[CurrentParent]]</f>
        <v>1</v>
      </c>
      <c r="K4615" s="150" t="str">
        <f>IF(Proc[[#This Row],[Author]]="Marcela Urrego",VLOOKUP(LEFT(Proc[[#This Row],[Requested]],1),Table3[#All],2,0),VLOOKUP(Proc[[#This Row],[Author]],Table4[],2,0))</f>
        <v>MGF</v>
      </c>
      <c r="L4615" s="150" t="s">
        <v>6435</v>
      </c>
      <c r="M4615" s="167">
        <v>45968</v>
      </c>
      <c r="N4615" s="167"/>
      <c r="O4615" s="167"/>
      <c r="P4615" s="168" t="str">
        <f ca="1">IF(Proc[[#This Row],[DaysAgeing]]&gt;5,"yep","on track")</f>
        <v>yep</v>
      </c>
      <c r="Q4615" s="3">
        <f ca="1">IF(Proc[[#This Row],[DateClosed]]="",ABS(NETWORKDAYS(Proc[[#This Row],[DateOpened]],TODAY()))-1,ABS(NETWORKDAYS(Proc[[#This Row],[DateOpened]],Proc[[#This Row],[DateClosed]]))-1)</f>
        <v>25</v>
      </c>
      <c r="R4615" s="168" t="s">
        <v>515</v>
      </c>
      <c r="S4615" s="150"/>
    </row>
    <row r="4616" spans="1:19" hidden="1">
      <c r="A4616" t="s">
        <v>6784</v>
      </c>
      <c r="B4616" s="150" t="str">
        <f>IFERROR(VLOOKUP(Proc[[#This Row],[App]],Table2[],3,0),"open")</f>
        <v>ok</v>
      </c>
      <c r="C4616" s="149" t="s">
        <v>369</v>
      </c>
      <c r="D4616" t="s">
        <v>6783</v>
      </c>
      <c r="E4616" t="s">
        <v>759</v>
      </c>
      <c r="F4616" s="150" t="s">
        <v>759</v>
      </c>
      <c r="G4616" t="s">
        <v>400</v>
      </c>
      <c r="H4616" s="150" t="str">
        <f>IF(Proc[[#This Row],[type]]="LFF (MDG-F)",MID(Proc[[#This Row],[Obj]],13,10),"")</f>
        <v/>
      </c>
      <c r="J4616" s="150" t="b">
        <f>Proc[[#This Row],[Requested]]=Proc[[#This Row],[CurrentParent]]</f>
        <v>1</v>
      </c>
      <c r="K4616" s="150" t="str">
        <f>IF(Proc[[#This Row],[Author]]="Marcela Urrego",VLOOKUP(LEFT(Proc[[#This Row],[Requested]],1),Table3[#All],2,0),VLOOKUP(Proc[[#This Row],[Author]],Table4[],2,0))</f>
        <v>MGF</v>
      </c>
      <c r="L4616" s="150" t="s">
        <v>6435</v>
      </c>
      <c r="M4616" s="167">
        <v>45968</v>
      </c>
      <c r="N4616" s="167"/>
      <c r="O4616" s="167"/>
      <c r="P4616" s="168" t="str">
        <f ca="1">IF(Proc[[#This Row],[DaysAgeing]]&gt;5,"yep","on track")</f>
        <v>yep</v>
      </c>
      <c r="Q4616" s="3">
        <f ca="1">IF(Proc[[#This Row],[DateClosed]]="",ABS(NETWORKDAYS(Proc[[#This Row],[DateOpened]],TODAY()))-1,ABS(NETWORKDAYS(Proc[[#This Row],[DateOpened]],Proc[[#This Row],[DateClosed]]))-1)</f>
        <v>25</v>
      </c>
      <c r="R4616" s="168" t="s">
        <v>1459</v>
      </c>
      <c r="S4616" s="150"/>
    </row>
    <row r="4617" spans="1:19" hidden="1">
      <c r="A4617" t="s">
        <v>6785</v>
      </c>
      <c r="B4617" s="150" t="str">
        <f>IFERROR(VLOOKUP(Proc[[#This Row],[App]],Table2[],3,0),"open")</f>
        <v>ok</v>
      </c>
      <c r="C4617" s="149" t="s">
        <v>369</v>
      </c>
      <c r="D4617" t="s">
        <v>6786</v>
      </c>
      <c r="E4617" t="s">
        <v>6787</v>
      </c>
      <c r="F4617" s="150" t="s">
        <v>6787</v>
      </c>
      <c r="G4617" t="s">
        <v>400</v>
      </c>
      <c r="H4617" s="150" t="str">
        <f>IF(Proc[[#This Row],[type]]="LFF (MDG-F)",MID(Proc[[#This Row],[Obj]],13,10),"")</f>
        <v/>
      </c>
      <c r="J4617" s="150" t="b">
        <f>Proc[[#This Row],[Requested]]=Proc[[#This Row],[CurrentParent]]</f>
        <v>1</v>
      </c>
      <c r="K4617" s="150" t="str">
        <f>IF(Proc[[#This Row],[Author]]="Marcela Urrego",VLOOKUP(LEFT(Proc[[#This Row],[Requested]],1),Table3[#All],2,0),VLOOKUP(Proc[[#This Row],[Author]],Table4[],2,0))</f>
        <v>HC</v>
      </c>
      <c r="L4617" s="150" t="s">
        <v>6435</v>
      </c>
      <c r="M4617" s="167">
        <v>45968</v>
      </c>
      <c r="N4617" s="167"/>
      <c r="O4617" s="167"/>
      <c r="P4617" s="168" t="str">
        <f ca="1">IF(Proc[[#This Row],[DaysAgeing]]&gt;5,"yep","on track")</f>
        <v>yep</v>
      </c>
      <c r="Q4617" s="3">
        <f ca="1">IF(Proc[[#This Row],[DateClosed]]="",ABS(NETWORKDAYS(Proc[[#This Row],[DateOpened]],TODAY()))-1,ABS(NETWORKDAYS(Proc[[#This Row],[DateOpened]],Proc[[#This Row],[DateClosed]]))-1)</f>
        <v>25</v>
      </c>
      <c r="R4617" s="168" t="s">
        <v>410</v>
      </c>
      <c r="S4617" s="150"/>
    </row>
    <row r="4618" spans="1:19" hidden="1">
      <c r="A4618" t="s">
        <v>6788</v>
      </c>
      <c r="B4618" s="150" t="str">
        <f>IFERROR(VLOOKUP(Proc[[#This Row],[App]],Table2[],3,0),"open")</f>
        <v>ok</v>
      </c>
      <c r="C4618" s="149" t="s">
        <v>369</v>
      </c>
      <c r="D4618" t="s">
        <v>6789</v>
      </c>
      <c r="E4618" t="s">
        <v>6827</v>
      </c>
      <c r="F4618" s="150" t="s">
        <v>6827</v>
      </c>
      <c r="G4618" t="s">
        <v>406</v>
      </c>
      <c r="H4618" s="150" t="str">
        <f>IF(Proc[[#This Row],[type]]="LFF (MDG-F)",MID(Proc[[#This Row],[Obj]],13,10),"")</f>
        <v>DE07Z02182</v>
      </c>
      <c r="I4618" t="s">
        <v>6827</v>
      </c>
      <c r="J4618" s="150" t="b">
        <f>Proc[[#This Row],[Requested]]=Proc[[#This Row],[CurrentParent]]</f>
        <v>1</v>
      </c>
      <c r="K4618" s="150" t="str">
        <f>IF(Proc[[#This Row],[Author]]="Marcela Urrego",VLOOKUP(LEFT(Proc[[#This Row],[Requested]],1),Table3[#All],2,0),VLOOKUP(Proc[[#This Row],[Author]],Table4[],2,0))</f>
        <v>EL</v>
      </c>
      <c r="L4618" s="150" t="s">
        <v>6435</v>
      </c>
      <c r="M4618" s="169">
        <v>45973</v>
      </c>
      <c r="N4618" s="169"/>
      <c r="O4618" s="169"/>
      <c r="P4618" s="168" t="str">
        <f ca="1">IF(Proc[[#This Row],[DaysAgeing]]&gt;5,"yep","on track")</f>
        <v>yep</v>
      </c>
      <c r="Q4618" s="3">
        <f ca="1">IF(Proc[[#This Row],[DateClosed]]="",ABS(NETWORKDAYS(Proc[[#This Row],[DateOpened]],TODAY()))-1,ABS(NETWORKDAYS(Proc[[#This Row],[DateOpened]],Proc[[#This Row],[DateClosed]]))-1)</f>
        <v>22</v>
      </c>
      <c r="R4618" s="168" t="s">
        <v>5709</v>
      </c>
      <c r="S4618" s="150"/>
    </row>
    <row r="4619" spans="1:19" hidden="1">
      <c r="A4619" s="149" t="s">
        <v>6788</v>
      </c>
      <c r="B4619" s="150" t="str">
        <f>IFERROR(VLOOKUP(Proc[[#This Row],[App]],Table2[],3,0),"open")</f>
        <v>ok</v>
      </c>
      <c r="C4619" s="149" t="s">
        <v>369</v>
      </c>
      <c r="D4619" t="s">
        <v>6790</v>
      </c>
      <c r="E4619" t="s">
        <v>6827</v>
      </c>
      <c r="F4619" s="150" t="s">
        <v>6827</v>
      </c>
      <c r="G4619" s="149" t="s">
        <v>406</v>
      </c>
      <c r="H4619" s="150" t="str">
        <f>IF(Proc[[#This Row],[type]]="LFF (MDG-F)",MID(Proc[[#This Row],[Obj]],13,10),"")</f>
        <v>HK01Z02181</v>
      </c>
      <c r="I4619" s="149" t="s">
        <v>6827</v>
      </c>
      <c r="J4619" s="150" t="b">
        <f>Proc[[#This Row],[Requested]]=Proc[[#This Row],[CurrentParent]]</f>
        <v>1</v>
      </c>
      <c r="K4619" s="150" t="str">
        <f>IF(Proc[[#This Row],[Author]]="Marcela Urrego",VLOOKUP(LEFT(Proc[[#This Row],[Requested]],1),Table3[#All],2,0),VLOOKUP(Proc[[#This Row],[Author]],Table4[],2,0))</f>
        <v>EL</v>
      </c>
      <c r="L4619" s="150" t="s">
        <v>6435</v>
      </c>
      <c r="M4619" s="169">
        <v>45973</v>
      </c>
      <c r="N4619" s="169"/>
      <c r="O4619" s="169"/>
      <c r="P4619" s="168" t="str">
        <f ca="1">IF(Proc[[#This Row],[DaysAgeing]]&gt;5,"yep","on track")</f>
        <v>yep</v>
      </c>
      <c r="Q4619" s="3">
        <f ca="1">IF(Proc[[#This Row],[DateClosed]]="",ABS(NETWORKDAYS(Proc[[#This Row],[DateOpened]],TODAY()))-1,ABS(NETWORKDAYS(Proc[[#This Row],[DateOpened]],Proc[[#This Row],[DateClosed]]))-1)</f>
        <v>22</v>
      </c>
      <c r="R4619" s="168" t="s">
        <v>5709</v>
      </c>
      <c r="S4619" s="150"/>
    </row>
    <row r="4620" spans="1:19" hidden="1">
      <c r="A4620" s="149" t="s">
        <v>6788</v>
      </c>
      <c r="B4620" s="150" t="str">
        <f>IFERROR(VLOOKUP(Proc[[#This Row],[App]],Table2[],3,0),"open")</f>
        <v>ok</v>
      </c>
      <c r="C4620" s="149" t="s">
        <v>369</v>
      </c>
      <c r="D4620" t="s">
        <v>6791</v>
      </c>
      <c r="E4620" t="s">
        <v>6827</v>
      </c>
      <c r="F4620" s="150" t="s">
        <v>6827</v>
      </c>
      <c r="G4620" s="149" t="s">
        <v>406</v>
      </c>
      <c r="H4620" s="150" t="str">
        <f>IF(Proc[[#This Row],[type]]="LFF (MDG-F)",MID(Proc[[#This Row],[Obj]],13,10),"")</f>
        <v>HK01Z02182</v>
      </c>
      <c r="I4620" s="149" t="s">
        <v>6827</v>
      </c>
      <c r="J4620" s="150" t="b">
        <f>Proc[[#This Row],[Requested]]=Proc[[#This Row],[CurrentParent]]</f>
        <v>1</v>
      </c>
      <c r="K4620" s="150" t="str">
        <f>IF(Proc[[#This Row],[Author]]="Marcela Urrego",VLOOKUP(LEFT(Proc[[#This Row],[Requested]],1),Table3[#All],2,0),VLOOKUP(Proc[[#This Row],[Author]],Table4[],2,0))</f>
        <v>EL</v>
      </c>
      <c r="L4620" s="150" t="s">
        <v>6435</v>
      </c>
      <c r="M4620" s="169">
        <v>45973</v>
      </c>
      <c r="N4620" s="169"/>
      <c r="O4620" s="169"/>
      <c r="P4620" s="168" t="str">
        <f ca="1">IF(Proc[[#This Row],[DaysAgeing]]&gt;5,"yep","on track")</f>
        <v>yep</v>
      </c>
      <c r="Q4620" s="3">
        <f ca="1">IF(Proc[[#This Row],[DateClosed]]="",ABS(NETWORKDAYS(Proc[[#This Row],[DateOpened]],TODAY()))-1,ABS(NETWORKDAYS(Proc[[#This Row],[DateOpened]],Proc[[#This Row],[DateClosed]]))-1)</f>
        <v>22</v>
      </c>
      <c r="R4620" s="168" t="s">
        <v>5709</v>
      </c>
      <c r="S4620" s="150"/>
    </row>
    <row r="4621" spans="1:19" hidden="1">
      <c r="A4621" s="149" t="s">
        <v>6788</v>
      </c>
      <c r="B4621" s="150" t="str">
        <f>IFERROR(VLOOKUP(Proc[[#This Row],[App]],Table2[],3,0),"open")</f>
        <v>ok</v>
      </c>
      <c r="C4621" s="149" t="s">
        <v>369</v>
      </c>
      <c r="D4621" t="s">
        <v>6792</v>
      </c>
      <c r="E4621" t="s">
        <v>6827</v>
      </c>
      <c r="F4621" s="150" t="s">
        <v>6827</v>
      </c>
      <c r="G4621" s="149" t="s">
        <v>406</v>
      </c>
      <c r="H4621" s="150" t="str">
        <f>IF(Proc[[#This Row],[type]]="LFF (MDG-F)",MID(Proc[[#This Row],[Obj]],13,10),"")</f>
        <v>HK01Z02183</v>
      </c>
      <c r="I4621" s="149" t="s">
        <v>6827</v>
      </c>
      <c r="J4621" s="150" t="b">
        <f>Proc[[#This Row],[Requested]]=Proc[[#This Row],[CurrentParent]]</f>
        <v>1</v>
      </c>
      <c r="K4621" s="150" t="str">
        <f>IF(Proc[[#This Row],[Author]]="Marcela Urrego",VLOOKUP(LEFT(Proc[[#This Row],[Requested]],1),Table3[#All],2,0),VLOOKUP(Proc[[#This Row],[Author]],Table4[],2,0))</f>
        <v>EL</v>
      </c>
      <c r="L4621" s="150" t="s">
        <v>6435</v>
      </c>
      <c r="M4621" s="169">
        <v>45973</v>
      </c>
      <c r="N4621" s="169"/>
      <c r="O4621" s="169"/>
      <c r="P4621" s="168" t="str">
        <f ca="1">IF(Proc[[#This Row],[DaysAgeing]]&gt;5,"yep","on track")</f>
        <v>yep</v>
      </c>
      <c r="Q4621" s="3">
        <f ca="1">IF(Proc[[#This Row],[DateClosed]]="",ABS(NETWORKDAYS(Proc[[#This Row],[DateOpened]],TODAY()))-1,ABS(NETWORKDAYS(Proc[[#This Row],[DateOpened]],Proc[[#This Row],[DateClosed]]))-1)</f>
        <v>22</v>
      </c>
      <c r="R4621" s="168" t="s">
        <v>5709</v>
      </c>
      <c r="S4621" s="150"/>
    </row>
    <row r="4622" spans="1:19" hidden="1">
      <c r="A4622" s="149" t="s">
        <v>6788</v>
      </c>
      <c r="B4622" s="150" t="str">
        <f>IFERROR(VLOOKUP(Proc[[#This Row],[App]],Table2[],3,0),"open")</f>
        <v>ok</v>
      </c>
      <c r="C4622" s="149" t="s">
        <v>369</v>
      </c>
      <c r="D4622" t="s">
        <v>6793</v>
      </c>
      <c r="E4622" t="s">
        <v>6827</v>
      </c>
      <c r="F4622" s="150" t="s">
        <v>6827</v>
      </c>
      <c r="G4622" s="149" t="s">
        <v>406</v>
      </c>
      <c r="H4622" s="150" t="str">
        <f>IF(Proc[[#This Row],[type]]="LFF (MDG-F)",MID(Proc[[#This Row],[Obj]],13,10),"")</f>
        <v>HK01Z02184</v>
      </c>
      <c r="I4622" s="149" t="s">
        <v>6827</v>
      </c>
      <c r="J4622" s="150" t="b">
        <f>Proc[[#This Row],[Requested]]=Proc[[#This Row],[CurrentParent]]</f>
        <v>1</v>
      </c>
      <c r="K4622" s="150" t="str">
        <f>IF(Proc[[#This Row],[Author]]="Marcela Urrego",VLOOKUP(LEFT(Proc[[#This Row],[Requested]],1),Table3[#All],2,0),VLOOKUP(Proc[[#This Row],[Author]],Table4[],2,0))</f>
        <v>EL</v>
      </c>
      <c r="L4622" s="150" t="s">
        <v>6435</v>
      </c>
      <c r="M4622" s="169">
        <v>45973</v>
      </c>
      <c r="N4622" s="169"/>
      <c r="O4622" s="169"/>
      <c r="P4622" s="168" t="str">
        <f ca="1">IF(Proc[[#This Row],[DaysAgeing]]&gt;5,"yep","on track")</f>
        <v>yep</v>
      </c>
      <c r="Q4622" s="3">
        <f ca="1">IF(Proc[[#This Row],[DateClosed]]="",ABS(NETWORKDAYS(Proc[[#This Row],[DateOpened]],TODAY()))-1,ABS(NETWORKDAYS(Proc[[#This Row],[DateOpened]],Proc[[#This Row],[DateClosed]]))-1)</f>
        <v>22</v>
      </c>
      <c r="R4622" s="168" t="s">
        <v>5709</v>
      </c>
      <c r="S4622" s="150"/>
    </row>
    <row r="4623" spans="1:19" hidden="1">
      <c r="A4623" s="149" t="s">
        <v>6788</v>
      </c>
      <c r="B4623" s="150" t="str">
        <f>IFERROR(VLOOKUP(Proc[[#This Row],[App]],Table2[],3,0),"open")</f>
        <v>ok</v>
      </c>
      <c r="C4623" s="149" t="s">
        <v>369</v>
      </c>
      <c r="D4623" t="s">
        <v>6794</v>
      </c>
      <c r="E4623" t="s">
        <v>6827</v>
      </c>
      <c r="F4623" s="150" t="s">
        <v>6827</v>
      </c>
      <c r="G4623" s="149" t="s">
        <v>406</v>
      </c>
      <c r="H4623" s="150" t="str">
        <f>IF(Proc[[#This Row],[type]]="LFF (MDG-F)",MID(Proc[[#This Row],[Obj]],13,10),"")</f>
        <v>HK01Z02185</v>
      </c>
      <c r="I4623" s="149" t="s">
        <v>6827</v>
      </c>
      <c r="J4623" s="150" t="b">
        <f>Proc[[#This Row],[Requested]]=Proc[[#This Row],[CurrentParent]]</f>
        <v>1</v>
      </c>
      <c r="K4623" s="150" t="str">
        <f>IF(Proc[[#This Row],[Author]]="Marcela Urrego",VLOOKUP(LEFT(Proc[[#This Row],[Requested]],1),Table3[#All],2,0),VLOOKUP(Proc[[#This Row],[Author]],Table4[],2,0))</f>
        <v>EL</v>
      </c>
      <c r="L4623" s="150" t="s">
        <v>6435</v>
      </c>
      <c r="M4623" s="169">
        <v>45973</v>
      </c>
      <c r="N4623" s="169"/>
      <c r="O4623" s="169"/>
      <c r="P4623" s="168" t="str">
        <f ca="1">IF(Proc[[#This Row],[DaysAgeing]]&gt;5,"yep","on track")</f>
        <v>yep</v>
      </c>
      <c r="Q4623" s="3">
        <f ca="1">IF(Proc[[#This Row],[DateClosed]]="",ABS(NETWORKDAYS(Proc[[#This Row],[DateOpened]],TODAY()))-1,ABS(NETWORKDAYS(Proc[[#This Row],[DateOpened]],Proc[[#This Row],[DateClosed]]))-1)</f>
        <v>22</v>
      </c>
      <c r="R4623" s="168" t="s">
        <v>5709</v>
      </c>
      <c r="S4623" s="150"/>
    </row>
    <row r="4624" spans="1:19" hidden="1">
      <c r="A4624" s="149" t="s">
        <v>6788</v>
      </c>
      <c r="B4624" s="150" t="str">
        <f>IFERROR(VLOOKUP(Proc[[#This Row],[App]],Table2[],3,0),"open")</f>
        <v>ok</v>
      </c>
      <c r="C4624" s="149" t="s">
        <v>369</v>
      </c>
      <c r="D4624" t="s">
        <v>6795</v>
      </c>
      <c r="E4624" t="s">
        <v>6827</v>
      </c>
      <c r="F4624" s="150" t="s">
        <v>6827</v>
      </c>
      <c r="G4624" s="149" t="s">
        <v>406</v>
      </c>
      <c r="H4624" s="150" t="str">
        <f>IF(Proc[[#This Row],[type]]="LFF (MDG-F)",MID(Proc[[#This Row],[Obj]],13,10),"")</f>
        <v>IN01Z02181</v>
      </c>
      <c r="I4624" s="149" t="s">
        <v>6827</v>
      </c>
      <c r="J4624" s="150" t="b">
        <f>Proc[[#This Row],[Requested]]=Proc[[#This Row],[CurrentParent]]</f>
        <v>1</v>
      </c>
      <c r="K4624" s="150" t="str">
        <f>IF(Proc[[#This Row],[Author]]="Marcela Urrego",VLOOKUP(LEFT(Proc[[#This Row],[Requested]],1),Table3[#All],2,0),VLOOKUP(Proc[[#This Row],[Author]],Table4[],2,0))</f>
        <v>EL</v>
      </c>
      <c r="L4624" s="150" t="s">
        <v>6435</v>
      </c>
      <c r="M4624" s="169">
        <v>45973</v>
      </c>
      <c r="N4624" s="169"/>
      <c r="O4624" s="169"/>
      <c r="P4624" s="168" t="str">
        <f ca="1">IF(Proc[[#This Row],[DaysAgeing]]&gt;5,"yep","on track")</f>
        <v>yep</v>
      </c>
      <c r="Q4624" s="3">
        <f ca="1">IF(Proc[[#This Row],[DateClosed]]="",ABS(NETWORKDAYS(Proc[[#This Row],[DateOpened]],TODAY()))-1,ABS(NETWORKDAYS(Proc[[#This Row],[DateOpened]],Proc[[#This Row],[DateClosed]]))-1)</f>
        <v>22</v>
      </c>
      <c r="R4624" s="168" t="s">
        <v>5709</v>
      </c>
      <c r="S4624" s="150"/>
    </row>
    <row r="4625" spans="1:19" hidden="1">
      <c r="A4625" s="149" t="s">
        <v>6788</v>
      </c>
      <c r="B4625" s="150" t="str">
        <f>IFERROR(VLOOKUP(Proc[[#This Row],[App]],Table2[],3,0),"open")</f>
        <v>ok</v>
      </c>
      <c r="C4625" s="149" t="s">
        <v>369</v>
      </c>
      <c r="D4625" t="s">
        <v>6796</v>
      </c>
      <c r="E4625" t="s">
        <v>6827</v>
      </c>
      <c r="F4625" s="150" t="s">
        <v>6827</v>
      </c>
      <c r="G4625" s="149" t="s">
        <v>406</v>
      </c>
      <c r="H4625" s="150" t="str">
        <f>IF(Proc[[#This Row],[type]]="LFF (MDG-F)",MID(Proc[[#This Row],[Obj]],13,10),"")</f>
        <v>IN01Z02182</v>
      </c>
      <c r="I4625" s="149" t="s">
        <v>6827</v>
      </c>
      <c r="J4625" s="150" t="b">
        <f>Proc[[#This Row],[Requested]]=Proc[[#This Row],[CurrentParent]]</f>
        <v>1</v>
      </c>
      <c r="K4625" s="150" t="str">
        <f>IF(Proc[[#This Row],[Author]]="Marcela Urrego",VLOOKUP(LEFT(Proc[[#This Row],[Requested]],1),Table3[#All],2,0),VLOOKUP(Proc[[#This Row],[Author]],Table4[],2,0))</f>
        <v>EL</v>
      </c>
      <c r="L4625" s="150" t="s">
        <v>6435</v>
      </c>
      <c r="M4625" s="169">
        <v>45973</v>
      </c>
      <c r="N4625" s="169"/>
      <c r="O4625" s="169"/>
      <c r="P4625" s="168" t="str">
        <f ca="1">IF(Proc[[#This Row],[DaysAgeing]]&gt;5,"yep","on track")</f>
        <v>yep</v>
      </c>
      <c r="Q4625" s="3">
        <f ca="1">IF(Proc[[#This Row],[DateClosed]]="",ABS(NETWORKDAYS(Proc[[#This Row],[DateOpened]],TODAY()))-1,ABS(NETWORKDAYS(Proc[[#This Row],[DateOpened]],Proc[[#This Row],[DateClosed]]))-1)</f>
        <v>22</v>
      </c>
      <c r="R4625" s="168" t="s">
        <v>5709</v>
      </c>
      <c r="S4625" s="150"/>
    </row>
    <row r="4626" spans="1:19" hidden="1">
      <c r="A4626" s="149" t="s">
        <v>6788</v>
      </c>
      <c r="B4626" s="150" t="str">
        <f>IFERROR(VLOOKUP(Proc[[#This Row],[App]],Table2[],3,0),"open")</f>
        <v>ok</v>
      </c>
      <c r="C4626" s="149" t="s">
        <v>369</v>
      </c>
      <c r="D4626" t="s">
        <v>6797</v>
      </c>
      <c r="E4626" t="s">
        <v>6827</v>
      </c>
      <c r="F4626" s="150" t="s">
        <v>6827</v>
      </c>
      <c r="G4626" s="149" t="s">
        <v>406</v>
      </c>
      <c r="H4626" s="150" t="str">
        <f>IF(Proc[[#This Row],[type]]="LFF (MDG-F)",MID(Proc[[#This Row],[Obj]],13,10),"")</f>
        <v>IN01Z02183</v>
      </c>
      <c r="I4626" s="149" t="s">
        <v>6827</v>
      </c>
      <c r="J4626" s="150" t="b">
        <f>Proc[[#This Row],[Requested]]=Proc[[#This Row],[CurrentParent]]</f>
        <v>1</v>
      </c>
      <c r="K4626" s="150" t="str">
        <f>IF(Proc[[#This Row],[Author]]="Marcela Urrego",VLOOKUP(LEFT(Proc[[#This Row],[Requested]],1),Table3[#All],2,0),VLOOKUP(Proc[[#This Row],[Author]],Table4[],2,0))</f>
        <v>EL</v>
      </c>
      <c r="L4626" s="150" t="s">
        <v>6435</v>
      </c>
      <c r="M4626" s="169">
        <v>45973</v>
      </c>
      <c r="N4626" s="169"/>
      <c r="O4626" s="169"/>
      <c r="P4626" s="168" t="str">
        <f ca="1">IF(Proc[[#This Row],[DaysAgeing]]&gt;5,"yep","on track")</f>
        <v>yep</v>
      </c>
      <c r="Q4626" s="3">
        <f ca="1">IF(Proc[[#This Row],[DateClosed]]="",ABS(NETWORKDAYS(Proc[[#This Row],[DateOpened]],TODAY()))-1,ABS(NETWORKDAYS(Proc[[#This Row],[DateOpened]],Proc[[#This Row],[DateClosed]]))-1)</f>
        <v>22</v>
      </c>
      <c r="R4626" s="168" t="s">
        <v>5709</v>
      </c>
      <c r="S4626" s="150"/>
    </row>
    <row r="4627" spans="1:19" hidden="1">
      <c r="A4627" s="149" t="s">
        <v>6788</v>
      </c>
      <c r="B4627" s="150" t="str">
        <f>IFERROR(VLOOKUP(Proc[[#This Row],[App]],Table2[],3,0),"open")</f>
        <v>ok</v>
      </c>
      <c r="C4627" s="149" t="s">
        <v>369</v>
      </c>
      <c r="D4627" t="s">
        <v>6798</v>
      </c>
      <c r="E4627" t="s">
        <v>6827</v>
      </c>
      <c r="F4627" s="150" t="s">
        <v>6827</v>
      </c>
      <c r="G4627" s="149" t="s">
        <v>406</v>
      </c>
      <c r="H4627" s="150" t="str">
        <f>IF(Proc[[#This Row],[type]]="LFF (MDG-F)",MID(Proc[[#This Row],[Obj]],13,10),"")</f>
        <v>IN01Z02184</v>
      </c>
      <c r="I4627" s="149" t="s">
        <v>6827</v>
      </c>
      <c r="J4627" s="150" t="b">
        <f>Proc[[#This Row],[Requested]]=Proc[[#This Row],[CurrentParent]]</f>
        <v>1</v>
      </c>
      <c r="K4627" s="150" t="str">
        <f>IF(Proc[[#This Row],[Author]]="Marcela Urrego",VLOOKUP(LEFT(Proc[[#This Row],[Requested]],1),Table3[#All],2,0),VLOOKUP(Proc[[#This Row],[Author]],Table4[],2,0))</f>
        <v>EL</v>
      </c>
      <c r="L4627" s="150" t="s">
        <v>6435</v>
      </c>
      <c r="M4627" s="169">
        <v>45973</v>
      </c>
      <c r="N4627" s="169"/>
      <c r="O4627" s="169"/>
      <c r="P4627" s="168" t="str">
        <f ca="1">IF(Proc[[#This Row],[DaysAgeing]]&gt;5,"yep","on track")</f>
        <v>yep</v>
      </c>
      <c r="Q4627" s="3">
        <f ca="1">IF(Proc[[#This Row],[DateClosed]]="",ABS(NETWORKDAYS(Proc[[#This Row],[DateOpened]],TODAY()))-1,ABS(NETWORKDAYS(Proc[[#This Row],[DateOpened]],Proc[[#This Row],[DateClosed]]))-1)</f>
        <v>22</v>
      </c>
      <c r="R4627" s="168" t="s">
        <v>5709</v>
      </c>
      <c r="S4627" s="150"/>
    </row>
    <row r="4628" spans="1:19" hidden="1">
      <c r="A4628" s="149" t="s">
        <v>6788</v>
      </c>
      <c r="B4628" s="150" t="str">
        <f>IFERROR(VLOOKUP(Proc[[#This Row],[App]],Table2[],3,0),"open")</f>
        <v>ok</v>
      </c>
      <c r="C4628" s="149" t="s">
        <v>369</v>
      </c>
      <c r="D4628" t="s">
        <v>6799</v>
      </c>
      <c r="E4628" t="s">
        <v>6827</v>
      </c>
      <c r="F4628" s="150" t="s">
        <v>6827</v>
      </c>
      <c r="G4628" s="149" t="s">
        <v>406</v>
      </c>
      <c r="H4628" s="150" t="str">
        <f>IF(Proc[[#This Row],[type]]="LFF (MDG-F)",MID(Proc[[#This Row],[Obj]],13,10),"")</f>
        <v>JP01Z02181</v>
      </c>
      <c r="I4628" s="149" t="s">
        <v>6827</v>
      </c>
      <c r="J4628" s="150" t="b">
        <f>Proc[[#This Row],[Requested]]=Proc[[#This Row],[CurrentParent]]</f>
        <v>1</v>
      </c>
      <c r="K4628" s="150" t="str">
        <f>IF(Proc[[#This Row],[Author]]="Marcela Urrego",VLOOKUP(LEFT(Proc[[#This Row],[Requested]],1),Table3[#All],2,0),VLOOKUP(Proc[[#This Row],[Author]],Table4[],2,0))</f>
        <v>EL</v>
      </c>
      <c r="L4628" s="150" t="s">
        <v>6435</v>
      </c>
      <c r="M4628" s="169">
        <v>45973</v>
      </c>
      <c r="N4628" s="169"/>
      <c r="O4628" s="169"/>
      <c r="P4628" s="168" t="str">
        <f ca="1">IF(Proc[[#This Row],[DaysAgeing]]&gt;5,"yep","on track")</f>
        <v>yep</v>
      </c>
      <c r="Q4628" s="3">
        <f ca="1">IF(Proc[[#This Row],[DateClosed]]="",ABS(NETWORKDAYS(Proc[[#This Row],[DateOpened]],TODAY()))-1,ABS(NETWORKDAYS(Proc[[#This Row],[DateOpened]],Proc[[#This Row],[DateClosed]]))-1)</f>
        <v>22</v>
      </c>
      <c r="R4628" s="168" t="s">
        <v>5709</v>
      </c>
      <c r="S4628" s="150"/>
    </row>
    <row r="4629" spans="1:19" hidden="1">
      <c r="A4629" s="149" t="s">
        <v>6788</v>
      </c>
      <c r="B4629" s="150" t="str">
        <f>IFERROR(VLOOKUP(Proc[[#This Row],[App]],Table2[],3,0),"open")</f>
        <v>ok</v>
      </c>
      <c r="C4629" s="149" t="s">
        <v>369</v>
      </c>
      <c r="D4629" t="s">
        <v>6800</v>
      </c>
      <c r="E4629" t="s">
        <v>6827</v>
      </c>
      <c r="F4629" s="150" t="s">
        <v>6827</v>
      </c>
      <c r="G4629" s="149" t="s">
        <v>406</v>
      </c>
      <c r="H4629" s="150" t="str">
        <f>IF(Proc[[#This Row],[type]]="LFF (MDG-F)",MID(Proc[[#This Row],[Obj]],13,10),"")</f>
        <v>JP01Z02184</v>
      </c>
      <c r="I4629" s="149" t="s">
        <v>6827</v>
      </c>
      <c r="J4629" s="150" t="b">
        <f>Proc[[#This Row],[Requested]]=Proc[[#This Row],[CurrentParent]]</f>
        <v>1</v>
      </c>
      <c r="K4629" s="150" t="str">
        <f>IF(Proc[[#This Row],[Author]]="Marcela Urrego",VLOOKUP(LEFT(Proc[[#This Row],[Requested]],1),Table3[#All],2,0),VLOOKUP(Proc[[#This Row],[Author]],Table4[],2,0))</f>
        <v>EL</v>
      </c>
      <c r="L4629" s="150" t="s">
        <v>6435</v>
      </c>
      <c r="M4629" s="169">
        <v>45973</v>
      </c>
      <c r="N4629" s="169"/>
      <c r="O4629" s="169"/>
      <c r="P4629" s="168" t="str">
        <f ca="1">IF(Proc[[#This Row],[DaysAgeing]]&gt;5,"yep","on track")</f>
        <v>yep</v>
      </c>
      <c r="Q4629" s="3">
        <f ca="1">IF(Proc[[#This Row],[DateClosed]]="",ABS(NETWORKDAYS(Proc[[#This Row],[DateOpened]],TODAY()))-1,ABS(NETWORKDAYS(Proc[[#This Row],[DateOpened]],Proc[[#This Row],[DateClosed]]))-1)</f>
        <v>22</v>
      </c>
      <c r="R4629" s="168" t="s">
        <v>5709</v>
      </c>
      <c r="S4629" s="150"/>
    </row>
    <row r="4630" spans="1:19" hidden="1">
      <c r="A4630" s="149" t="s">
        <v>6788</v>
      </c>
      <c r="B4630" s="150" t="str">
        <f>IFERROR(VLOOKUP(Proc[[#This Row],[App]],Table2[],3,0),"open")</f>
        <v>ok</v>
      </c>
      <c r="C4630" s="149" t="s">
        <v>369</v>
      </c>
      <c r="D4630" t="s">
        <v>6801</v>
      </c>
      <c r="E4630" t="s">
        <v>6827</v>
      </c>
      <c r="F4630" s="150" t="s">
        <v>6827</v>
      </c>
      <c r="G4630" s="149" t="s">
        <v>406</v>
      </c>
      <c r="H4630" s="150" t="str">
        <f>IF(Proc[[#This Row],[type]]="LFF (MDG-F)",MID(Proc[[#This Row],[Obj]],13,10),"")</f>
        <v>JP01Z02185</v>
      </c>
      <c r="I4630" s="149" t="s">
        <v>6827</v>
      </c>
      <c r="J4630" s="150" t="b">
        <f>Proc[[#This Row],[Requested]]=Proc[[#This Row],[CurrentParent]]</f>
        <v>1</v>
      </c>
      <c r="K4630" s="150" t="str">
        <f>IF(Proc[[#This Row],[Author]]="Marcela Urrego",VLOOKUP(LEFT(Proc[[#This Row],[Requested]],1),Table3[#All],2,0),VLOOKUP(Proc[[#This Row],[Author]],Table4[],2,0))</f>
        <v>EL</v>
      </c>
      <c r="L4630" s="150" t="s">
        <v>6435</v>
      </c>
      <c r="M4630" s="169">
        <v>45973</v>
      </c>
      <c r="N4630" s="169"/>
      <c r="O4630" s="169"/>
      <c r="P4630" s="168" t="str">
        <f ca="1">IF(Proc[[#This Row],[DaysAgeing]]&gt;5,"yep","on track")</f>
        <v>yep</v>
      </c>
      <c r="Q4630" s="3">
        <f ca="1">IF(Proc[[#This Row],[DateClosed]]="",ABS(NETWORKDAYS(Proc[[#This Row],[DateOpened]],TODAY()))-1,ABS(NETWORKDAYS(Proc[[#This Row],[DateOpened]],Proc[[#This Row],[DateClosed]]))-1)</f>
        <v>22</v>
      </c>
      <c r="R4630" s="168" t="s">
        <v>5709</v>
      </c>
      <c r="S4630" s="150"/>
    </row>
    <row r="4631" spans="1:19" hidden="1">
      <c r="A4631" s="149" t="s">
        <v>6788</v>
      </c>
      <c r="B4631" s="150" t="str">
        <f>IFERROR(VLOOKUP(Proc[[#This Row],[App]],Table2[],3,0),"open")</f>
        <v>ok</v>
      </c>
      <c r="C4631" s="149" t="s">
        <v>369</v>
      </c>
      <c r="D4631" t="s">
        <v>6802</v>
      </c>
      <c r="E4631" t="s">
        <v>6827</v>
      </c>
      <c r="F4631" s="150" t="s">
        <v>6827</v>
      </c>
      <c r="G4631" s="149" t="s">
        <v>406</v>
      </c>
      <c r="H4631" s="150" t="str">
        <f>IF(Proc[[#This Row],[type]]="LFF (MDG-F)",MID(Proc[[#This Row],[Obj]],13,10),"")</f>
        <v>JP02Z02181</v>
      </c>
      <c r="I4631" s="149" t="s">
        <v>6827</v>
      </c>
      <c r="J4631" s="150" t="b">
        <f>Proc[[#This Row],[Requested]]=Proc[[#This Row],[CurrentParent]]</f>
        <v>1</v>
      </c>
      <c r="K4631" s="150" t="str">
        <f>IF(Proc[[#This Row],[Author]]="Marcela Urrego",VLOOKUP(LEFT(Proc[[#This Row],[Requested]],1),Table3[#All],2,0),VLOOKUP(Proc[[#This Row],[Author]],Table4[],2,0))</f>
        <v>EL</v>
      </c>
      <c r="L4631" s="150" t="s">
        <v>6435</v>
      </c>
      <c r="M4631" s="169">
        <v>45973</v>
      </c>
      <c r="N4631" s="169"/>
      <c r="O4631" s="169"/>
      <c r="P4631" s="168" t="str">
        <f ca="1">IF(Proc[[#This Row],[DaysAgeing]]&gt;5,"yep","on track")</f>
        <v>yep</v>
      </c>
      <c r="Q4631" s="3">
        <f ca="1">IF(Proc[[#This Row],[DateClosed]]="",ABS(NETWORKDAYS(Proc[[#This Row],[DateOpened]],TODAY()))-1,ABS(NETWORKDAYS(Proc[[#This Row],[DateOpened]],Proc[[#This Row],[DateClosed]]))-1)</f>
        <v>22</v>
      </c>
      <c r="R4631" s="168" t="s">
        <v>5709</v>
      </c>
      <c r="S4631" s="150"/>
    </row>
    <row r="4632" spans="1:19" hidden="1">
      <c r="A4632" s="149" t="s">
        <v>6788</v>
      </c>
      <c r="B4632" s="150" t="str">
        <f>IFERROR(VLOOKUP(Proc[[#This Row],[App]],Table2[],3,0),"open")</f>
        <v>ok</v>
      </c>
      <c r="C4632" s="149" t="s">
        <v>369</v>
      </c>
      <c r="D4632" t="s">
        <v>6803</v>
      </c>
      <c r="E4632" t="s">
        <v>6827</v>
      </c>
      <c r="F4632" s="150" t="s">
        <v>6827</v>
      </c>
      <c r="G4632" s="149" t="s">
        <v>406</v>
      </c>
      <c r="H4632" s="150" t="str">
        <f>IF(Proc[[#This Row],[type]]="LFF (MDG-F)",MID(Proc[[#This Row],[Obj]],13,10),"")</f>
        <v>JP02Z02182</v>
      </c>
      <c r="I4632" s="149" t="s">
        <v>6827</v>
      </c>
      <c r="J4632" s="150" t="b">
        <f>Proc[[#This Row],[Requested]]=Proc[[#This Row],[CurrentParent]]</f>
        <v>1</v>
      </c>
      <c r="K4632" s="150" t="str">
        <f>IF(Proc[[#This Row],[Author]]="Marcela Urrego",VLOOKUP(LEFT(Proc[[#This Row],[Requested]],1),Table3[#All],2,0),VLOOKUP(Proc[[#This Row],[Author]],Table4[],2,0))</f>
        <v>EL</v>
      </c>
      <c r="L4632" s="150" t="s">
        <v>6435</v>
      </c>
      <c r="M4632" s="169">
        <v>45973</v>
      </c>
      <c r="N4632" s="169"/>
      <c r="O4632" s="169"/>
      <c r="P4632" s="168" t="str">
        <f ca="1">IF(Proc[[#This Row],[DaysAgeing]]&gt;5,"yep","on track")</f>
        <v>yep</v>
      </c>
      <c r="Q4632" s="3">
        <f ca="1">IF(Proc[[#This Row],[DateClosed]]="",ABS(NETWORKDAYS(Proc[[#This Row],[DateOpened]],TODAY()))-1,ABS(NETWORKDAYS(Proc[[#This Row],[DateOpened]],Proc[[#This Row],[DateClosed]]))-1)</f>
        <v>22</v>
      </c>
      <c r="R4632" s="168" t="s">
        <v>5709</v>
      </c>
      <c r="S4632" s="150"/>
    </row>
    <row r="4633" spans="1:19" hidden="1">
      <c r="A4633" s="149" t="s">
        <v>6788</v>
      </c>
      <c r="B4633" s="150" t="str">
        <f>IFERROR(VLOOKUP(Proc[[#This Row],[App]],Table2[],3,0),"open")</f>
        <v>ok</v>
      </c>
      <c r="C4633" s="149" t="s">
        <v>369</v>
      </c>
      <c r="D4633" t="s">
        <v>6804</v>
      </c>
      <c r="E4633" t="s">
        <v>6827</v>
      </c>
      <c r="F4633" s="150" t="s">
        <v>6827</v>
      </c>
      <c r="G4633" s="149" t="s">
        <v>406</v>
      </c>
      <c r="H4633" s="150" t="str">
        <f>IF(Proc[[#This Row],[type]]="LFF (MDG-F)",MID(Proc[[#This Row],[Obj]],13,10),"")</f>
        <v>JP02Z02183</v>
      </c>
      <c r="I4633" s="149" t="s">
        <v>6827</v>
      </c>
      <c r="J4633" s="150" t="b">
        <f>Proc[[#This Row],[Requested]]=Proc[[#This Row],[CurrentParent]]</f>
        <v>1</v>
      </c>
      <c r="K4633" s="150" t="str">
        <f>IF(Proc[[#This Row],[Author]]="Marcela Urrego",VLOOKUP(LEFT(Proc[[#This Row],[Requested]],1),Table3[#All],2,0),VLOOKUP(Proc[[#This Row],[Author]],Table4[],2,0))</f>
        <v>EL</v>
      </c>
      <c r="L4633" s="150" t="s">
        <v>6435</v>
      </c>
      <c r="M4633" s="169">
        <v>45973</v>
      </c>
      <c r="N4633" s="169"/>
      <c r="O4633" s="169"/>
      <c r="P4633" s="168" t="str">
        <f ca="1">IF(Proc[[#This Row],[DaysAgeing]]&gt;5,"yep","on track")</f>
        <v>yep</v>
      </c>
      <c r="Q4633" s="3">
        <f ca="1">IF(Proc[[#This Row],[DateClosed]]="",ABS(NETWORKDAYS(Proc[[#This Row],[DateOpened]],TODAY()))-1,ABS(NETWORKDAYS(Proc[[#This Row],[DateOpened]],Proc[[#This Row],[DateClosed]]))-1)</f>
        <v>22</v>
      </c>
      <c r="R4633" s="168" t="s">
        <v>5709</v>
      </c>
      <c r="S4633" s="150"/>
    </row>
    <row r="4634" spans="1:19" hidden="1">
      <c r="A4634" s="149" t="s">
        <v>6788</v>
      </c>
      <c r="B4634" s="150" t="str">
        <f>IFERROR(VLOOKUP(Proc[[#This Row],[App]],Table2[],3,0),"open")</f>
        <v>ok</v>
      </c>
      <c r="C4634" s="149" t="s">
        <v>369</v>
      </c>
      <c r="D4634" t="s">
        <v>6805</v>
      </c>
      <c r="E4634" t="s">
        <v>6827</v>
      </c>
      <c r="F4634" s="150" t="s">
        <v>6827</v>
      </c>
      <c r="G4634" s="149" t="s">
        <v>406</v>
      </c>
      <c r="H4634" s="150" t="str">
        <f>IF(Proc[[#This Row],[type]]="LFF (MDG-F)",MID(Proc[[#This Row],[Obj]],13,10),"")</f>
        <v>JP02Z02184</v>
      </c>
      <c r="I4634" s="149" t="s">
        <v>6827</v>
      </c>
      <c r="J4634" s="150" t="b">
        <f>Proc[[#This Row],[Requested]]=Proc[[#This Row],[CurrentParent]]</f>
        <v>1</v>
      </c>
      <c r="K4634" s="150" t="str">
        <f>IF(Proc[[#This Row],[Author]]="Marcela Urrego",VLOOKUP(LEFT(Proc[[#This Row],[Requested]],1),Table3[#All],2,0),VLOOKUP(Proc[[#This Row],[Author]],Table4[],2,0))</f>
        <v>EL</v>
      </c>
      <c r="L4634" s="150" t="s">
        <v>6435</v>
      </c>
      <c r="M4634" s="169">
        <v>45973</v>
      </c>
      <c r="N4634" s="169"/>
      <c r="O4634" s="169"/>
      <c r="P4634" s="168" t="str">
        <f ca="1">IF(Proc[[#This Row],[DaysAgeing]]&gt;5,"yep","on track")</f>
        <v>yep</v>
      </c>
      <c r="Q4634" s="3">
        <f ca="1">IF(Proc[[#This Row],[DateClosed]]="",ABS(NETWORKDAYS(Proc[[#This Row],[DateOpened]],TODAY()))-1,ABS(NETWORKDAYS(Proc[[#This Row],[DateOpened]],Proc[[#This Row],[DateClosed]]))-1)</f>
        <v>22</v>
      </c>
      <c r="R4634" s="168" t="s">
        <v>5709</v>
      </c>
      <c r="S4634" s="150"/>
    </row>
    <row r="4635" spans="1:19" hidden="1">
      <c r="A4635" s="149" t="s">
        <v>6788</v>
      </c>
      <c r="B4635" s="150" t="str">
        <f>IFERROR(VLOOKUP(Proc[[#This Row],[App]],Table2[],3,0),"open")</f>
        <v>ok</v>
      </c>
      <c r="C4635" s="149" t="s">
        <v>369</v>
      </c>
      <c r="D4635" t="s">
        <v>6806</v>
      </c>
      <c r="E4635" t="s">
        <v>6827</v>
      </c>
      <c r="F4635" s="150" t="s">
        <v>6827</v>
      </c>
      <c r="G4635" s="149" t="s">
        <v>406</v>
      </c>
      <c r="H4635" s="150" t="str">
        <f>IF(Proc[[#This Row],[type]]="LFF (MDG-F)",MID(Proc[[#This Row],[Obj]],13,10),"")</f>
        <v>JP02Z02185</v>
      </c>
      <c r="I4635" s="149" t="s">
        <v>6827</v>
      </c>
      <c r="J4635" s="150" t="b">
        <f>Proc[[#This Row],[Requested]]=Proc[[#This Row],[CurrentParent]]</f>
        <v>1</v>
      </c>
      <c r="K4635" s="150" t="str">
        <f>IF(Proc[[#This Row],[Author]]="Marcela Urrego",VLOOKUP(LEFT(Proc[[#This Row],[Requested]],1),Table3[#All],2,0),VLOOKUP(Proc[[#This Row],[Author]],Table4[],2,0))</f>
        <v>EL</v>
      </c>
      <c r="L4635" s="150" t="s">
        <v>6435</v>
      </c>
      <c r="M4635" s="169">
        <v>45973</v>
      </c>
      <c r="N4635" s="169"/>
      <c r="O4635" s="169"/>
      <c r="P4635" s="168" t="str">
        <f ca="1">IF(Proc[[#This Row],[DaysAgeing]]&gt;5,"yep","on track")</f>
        <v>yep</v>
      </c>
      <c r="Q4635" s="3">
        <f ca="1">IF(Proc[[#This Row],[DateClosed]]="",ABS(NETWORKDAYS(Proc[[#This Row],[DateOpened]],TODAY()))-1,ABS(NETWORKDAYS(Proc[[#This Row],[DateOpened]],Proc[[#This Row],[DateClosed]]))-1)</f>
        <v>22</v>
      </c>
      <c r="R4635" s="168" t="s">
        <v>5709</v>
      </c>
      <c r="S4635" s="150"/>
    </row>
    <row r="4636" spans="1:19" hidden="1">
      <c r="A4636" s="149" t="s">
        <v>6788</v>
      </c>
      <c r="B4636" s="150" t="str">
        <f>IFERROR(VLOOKUP(Proc[[#This Row],[App]],Table2[],3,0),"open")</f>
        <v>ok</v>
      </c>
      <c r="C4636" s="149" t="s">
        <v>369</v>
      </c>
      <c r="D4636" t="s">
        <v>6807</v>
      </c>
      <c r="E4636" t="s">
        <v>6827</v>
      </c>
      <c r="F4636" s="150" t="s">
        <v>6827</v>
      </c>
      <c r="G4636" s="149" t="s">
        <v>406</v>
      </c>
      <c r="H4636" s="150" t="str">
        <f>IF(Proc[[#This Row],[type]]="LFF (MDG-F)",MID(Proc[[#This Row],[Obj]],13,10),"")</f>
        <v>KR02Z02181</v>
      </c>
      <c r="I4636" s="149" t="s">
        <v>6827</v>
      </c>
      <c r="J4636" s="150" t="b">
        <f>Proc[[#This Row],[Requested]]=Proc[[#This Row],[CurrentParent]]</f>
        <v>1</v>
      </c>
      <c r="K4636" s="150" t="str">
        <f>IF(Proc[[#This Row],[Author]]="Marcela Urrego",VLOOKUP(LEFT(Proc[[#This Row],[Requested]],1),Table3[#All],2,0),VLOOKUP(Proc[[#This Row],[Author]],Table4[],2,0))</f>
        <v>EL</v>
      </c>
      <c r="L4636" s="150" t="s">
        <v>6435</v>
      </c>
      <c r="M4636" s="169">
        <v>45973</v>
      </c>
      <c r="N4636" s="169"/>
      <c r="O4636" s="169"/>
      <c r="P4636" s="168" t="str">
        <f ca="1">IF(Proc[[#This Row],[DaysAgeing]]&gt;5,"yep","on track")</f>
        <v>yep</v>
      </c>
      <c r="Q4636" s="3">
        <f ca="1">IF(Proc[[#This Row],[DateClosed]]="",ABS(NETWORKDAYS(Proc[[#This Row],[DateOpened]],TODAY()))-1,ABS(NETWORKDAYS(Proc[[#This Row],[DateOpened]],Proc[[#This Row],[DateClosed]]))-1)</f>
        <v>22</v>
      </c>
      <c r="R4636" s="168" t="s">
        <v>5709</v>
      </c>
      <c r="S4636" s="150"/>
    </row>
    <row r="4637" spans="1:19" hidden="1">
      <c r="A4637" s="149" t="s">
        <v>6788</v>
      </c>
      <c r="B4637" s="150" t="str">
        <f>IFERROR(VLOOKUP(Proc[[#This Row],[App]],Table2[],3,0),"open")</f>
        <v>ok</v>
      </c>
      <c r="C4637" s="149" t="s">
        <v>369</v>
      </c>
      <c r="D4637" t="s">
        <v>6808</v>
      </c>
      <c r="E4637" t="s">
        <v>6827</v>
      </c>
      <c r="F4637" s="150" t="s">
        <v>6827</v>
      </c>
      <c r="G4637" s="149" t="s">
        <v>406</v>
      </c>
      <c r="H4637" s="150" t="str">
        <f>IF(Proc[[#This Row],[type]]="LFF (MDG-F)",MID(Proc[[#This Row],[Obj]],13,10),"")</f>
        <v>KR02Z02182</v>
      </c>
      <c r="I4637" s="149" t="s">
        <v>6827</v>
      </c>
      <c r="J4637" s="150" t="b">
        <f>Proc[[#This Row],[Requested]]=Proc[[#This Row],[CurrentParent]]</f>
        <v>1</v>
      </c>
      <c r="K4637" s="150" t="str">
        <f>IF(Proc[[#This Row],[Author]]="Marcela Urrego",VLOOKUP(LEFT(Proc[[#This Row],[Requested]],1),Table3[#All],2,0),VLOOKUP(Proc[[#This Row],[Author]],Table4[],2,0))</f>
        <v>EL</v>
      </c>
      <c r="L4637" s="150" t="s">
        <v>6435</v>
      </c>
      <c r="M4637" s="169">
        <v>45973</v>
      </c>
      <c r="N4637" s="169"/>
      <c r="O4637" s="169"/>
      <c r="P4637" s="168" t="str">
        <f ca="1">IF(Proc[[#This Row],[DaysAgeing]]&gt;5,"yep","on track")</f>
        <v>yep</v>
      </c>
      <c r="Q4637" s="3">
        <f ca="1">IF(Proc[[#This Row],[DateClosed]]="",ABS(NETWORKDAYS(Proc[[#This Row],[DateOpened]],TODAY()))-1,ABS(NETWORKDAYS(Proc[[#This Row],[DateOpened]],Proc[[#This Row],[DateClosed]]))-1)</f>
        <v>22</v>
      </c>
      <c r="R4637" s="168" t="s">
        <v>5709</v>
      </c>
      <c r="S4637" s="150"/>
    </row>
    <row r="4638" spans="1:19" hidden="1">
      <c r="A4638" s="149" t="s">
        <v>6788</v>
      </c>
      <c r="B4638" s="150" t="str">
        <f>IFERROR(VLOOKUP(Proc[[#This Row],[App]],Table2[],3,0),"open")</f>
        <v>ok</v>
      </c>
      <c r="C4638" s="149" t="s">
        <v>369</v>
      </c>
      <c r="D4638" t="s">
        <v>6809</v>
      </c>
      <c r="E4638" t="s">
        <v>6827</v>
      </c>
      <c r="F4638" s="150" t="s">
        <v>6827</v>
      </c>
      <c r="G4638" s="149" t="s">
        <v>406</v>
      </c>
      <c r="H4638" s="150" t="str">
        <f>IF(Proc[[#This Row],[type]]="LFF (MDG-F)",MID(Proc[[#This Row],[Obj]],13,10),"")</f>
        <v>KR02Z02183</v>
      </c>
      <c r="I4638" s="149" t="s">
        <v>6827</v>
      </c>
      <c r="J4638" s="150" t="b">
        <f>Proc[[#This Row],[Requested]]=Proc[[#This Row],[CurrentParent]]</f>
        <v>1</v>
      </c>
      <c r="K4638" s="150" t="str">
        <f>IF(Proc[[#This Row],[Author]]="Marcela Urrego",VLOOKUP(LEFT(Proc[[#This Row],[Requested]],1),Table3[#All],2,0),VLOOKUP(Proc[[#This Row],[Author]],Table4[],2,0))</f>
        <v>EL</v>
      </c>
      <c r="L4638" s="150" t="s">
        <v>6435</v>
      </c>
      <c r="M4638" s="169">
        <v>45973</v>
      </c>
      <c r="N4638" s="169"/>
      <c r="O4638" s="169"/>
      <c r="P4638" s="168" t="str">
        <f ca="1">IF(Proc[[#This Row],[DaysAgeing]]&gt;5,"yep","on track")</f>
        <v>yep</v>
      </c>
      <c r="Q4638" s="3">
        <f ca="1">IF(Proc[[#This Row],[DateClosed]]="",ABS(NETWORKDAYS(Proc[[#This Row],[DateOpened]],TODAY()))-1,ABS(NETWORKDAYS(Proc[[#This Row],[DateOpened]],Proc[[#This Row],[DateClosed]]))-1)</f>
        <v>22</v>
      </c>
      <c r="R4638" s="168" t="s">
        <v>5709</v>
      </c>
      <c r="S4638" s="150"/>
    </row>
    <row r="4639" spans="1:19" hidden="1">
      <c r="A4639" s="149" t="s">
        <v>6788</v>
      </c>
      <c r="B4639" s="150" t="str">
        <f>IFERROR(VLOOKUP(Proc[[#This Row],[App]],Table2[],3,0),"open")</f>
        <v>ok</v>
      </c>
      <c r="C4639" s="149" t="s">
        <v>369</v>
      </c>
      <c r="D4639" t="s">
        <v>6810</v>
      </c>
      <c r="E4639" t="s">
        <v>6827</v>
      </c>
      <c r="F4639" s="150" t="s">
        <v>6827</v>
      </c>
      <c r="G4639" s="149" t="s">
        <v>406</v>
      </c>
      <c r="H4639" s="150" t="str">
        <f>IF(Proc[[#This Row],[type]]="LFF (MDG-F)",MID(Proc[[#This Row],[Obj]],13,10),"")</f>
        <v>KR02Z02184</v>
      </c>
      <c r="I4639" s="149" t="s">
        <v>6827</v>
      </c>
      <c r="J4639" s="150" t="b">
        <f>Proc[[#This Row],[Requested]]=Proc[[#This Row],[CurrentParent]]</f>
        <v>1</v>
      </c>
      <c r="K4639" s="150" t="str">
        <f>IF(Proc[[#This Row],[Author]]="Marcela Urrego",VLOOKUP(LEFT(Proc[[#This Row],[Requested]],1),Table3[#All],2,0),VLOOKUP(Proc[[#This Row],[Author]],Table4[],2,0))</f>
        <v>EL</v>
      </c>
      <c r="L4639" s="150" t="s">
        <v>6435</v>
      </c>
      <c r="M4639" s="169">
        <v>45973</v>
      </c>
      <c r="N4639" s="169"/>
      <c r="O4639" s="169"/>
      <c r="P4639" s="168" t="str">
        <f ca="1">IF(Proc[[#This Row],[DaysAgeing]]&gt;5,"yep","on track")</f>
        <v>yep</v>
      </c>
      <c r="Q4639" s="3">
        <f ca="1">IF(Proc[[#This Row],[DateClosed]]="",ABS(NETWORKDAYS(Proc[[#This Row],[DateOpened]],TODAY()))-1,ABS(NETWORKDAYS(Proc[[#This Row],[DateOpened]],Proc[[#This Row],[DateClosed]]))-1)</f>
        <v>22</v>
      </c>
      <c r="R4639" s="168" t="s">
        <v>5709</v>
      </c>
      <c r="S4639" s="150"/>
    </row>
    <row r="4640" spans="1:19" hidden="1">
      <c r="A4640" s="149" t="s">
        <v>6788</v>
      </c>
      <c r="B4640" s="150" t="str">
        <f>IFERROR(VLOOKUP(Proc[[#This Row],[App]],Table2[],3,0),"open")</f>
        <v>ok</v>
      </c>
      <c r="C4640" s="149" t="s">
        <v>369</v>
      </c>
      <c r="D4640" t="s">
        <v>6811</v>
      </c>
      <c r="E4640" t="s">
        <v>6827</v>
      </c>
      <c r="F4640" s="150" t="s">
        <v>6827</v>
      </c>
      <c r="G4640" s="149" t="s">
        <v>406</v>
      </c>
      <c r="H4640" s="150" t="str">
        <f>IF(Proc[[#This Row],[type]]="LFF (MDG-F)",MID(Proc[[#This Row],[Obj]],13,10),"")</f>
        <v>SG09Z02181</v>
      </c>
      <c r="I4640" s="149" t="s">
        <v>6827</v>
      </c>
      <c r="J4640" s="150" t="b">
        <f>Proc[[#This Row],[Requested]]=Proc[[#This Row],[CurrentParent]]</f>
        <v>1</v>
      </c>
      <c r="K4640" s="150" t="str">
        <f>IF(Proc[[#This Row],[Author]]="Marcela Urrego",VLOOKUP(LEFT(Proc[[#This Row],[Requested]],1),Table3[#All],2,0),VLOOKUP(Proc[[#This Row],[Author]],Table4[],2,0))</f>
        <v>EL</v>
      </c>
      <c r="L4640" s="150" t="s">
        <v>6435</v>
      </c>
      <c r="M4640" s="169">
        <v>45973</v>
      </c>
      <c r="N4640" s="169"/>
      <c r="O4640" s="169"/>
      <c r="P4640" s="168" t="str">
        <f ca="1">IF(Proc[[#This Row],[DaysAgeing]]&gt;5,"yep","on track")</f>
        <v>yep</v>
      </c>
      <c r="Q4640" s="3">
        <f ca="1">IF(Proc[[#This Row],[DateClosed]]="",ABS(NETWORKDAYS(Proc[[#This Row],[DateOpened]],TODAY()))-1,ABS(NETWORKDAYS(Proc[[#This Row],[DateOpened]],Proc[[#This Row],[DateClosed]]))-1)</f>
        <v>22</v>
      </c>
      <c r="R4640" s="168" t="s">
        <v>5709</v>
      </c>
      <c r="S4640" s="150"/>
    </row>
    <row r="4641" spans="1:19" hidden="1">
      <c r="A4641" s="149" t="s">
        <v>6788</v>
      </c>
      <c r="B4641" s="150" t="str">
        <f>IFERROR(VLOOKUP(Proc[[#This Row],[App]],Table2[],3,0),"open")</f>
        <v>ok</v>
      </c>
      <c r="C4641" s="149" t="s">
        <v>369</v>
      </c>
      <c r="D4641" t="s">
        <v>6812</v>
      </c>
      <c r="E4641" t="s">
        <v>6827</v>
      </c>
      <c r="F4641" s="150" t="s">
        <v>6827</v>
      </c>
      <c r="G4641" s="149" t="s">
        <v>406</v>
      </c>
      <c r="H4641" s="150" t="str">
        <f>IF(Proc[[#This Row],[type]]="LFF (MDG-F)",MID(Proc[[#This Row],[Obj]],13,10),"")</f>
        <v>SG09Z02182</v>
      </c>
      <c r="I4641" s="149" t="s">
        <v>6827</v>
      </c>
      <c r="J4641" s="150" t="b">
        <f>Proc[[#This Row],[Requested]]=Proc[[#This Row],[CurrentParent]]</f>
        <v>1</v>
      </c>
      <c r="K4641" s="150" t="str">
        <f>IF(Proc[[#This Row],[Author]]="Marcela Urrego",VLOOKUP(LEFT(Proc[[#This Row],[Requested]],1),Table3[#All],2,0),VLOOKUP(Proc[[#This Row],[Author]],Table4[],2,0))</f>
        <v>EL</v>
      </c>
      <c r="L4641" s="150" t="s">
        <v>6435</v>
      </c>
      <c r="M4641" s="169">
        <v>45973</v>
      </c>
      <c r="N4641" s="169"/>
      <c r="O4641" s="169"/>
      <c r="P4641" s="168" t="str">
        <f ca="1">IF(Proc[[#This Row],[DaysAgeing]]&gt;5,"yep","on track")</f>
        <v>yep</v>
      </c>
      <c r="Q4641" s="3">
        <f ca="1">IF(Proc[[#This Row],[DateClosed]]="",ABS(NETWORKDAYS(Proc[[#This Row],[DateOpened]],TODAY()))-1,ABS(NETWORKDAYS(Proc[[#This Row],[DateOpened]],Proc[[#This Row],[DateClosed]]))-1)</f>
        <v>22</v>
      </c>
      <c r="R4641" s="168" t="s">
        <v>5709</v>
      </c>
      <c r="S4641" s="150"/>
    </row>
    <row r="4642" spans="1:19" hidden="1">
      <c r="A4642" s="149" t="s">
        <v>6788</v>
      </c>
      <c r="B4642" s="150" t="str">
        <f>IFERROR(VLOOKUP(Proc[[#This Row],[App]],Table2[],3,0),"open")</f>
        <v>ok</v>
      </c>
      <c r="C4642" s="149" t="s">
        <v>369</v>
      </c>
      <c r="D4642" t="s">
        <v>6813</v>
      </c>
      <c r="E4642" t="s">
        <v>6827</v>
      </c>
      <c r="F4642" s="150" t="s">
        <v>6827</v>
      </c>
      <c r="G4642" s="149" t="s">
        <v>406</v>
      </c>
      <c r="H4642" s="150" t="str">
        <f>IF(Proc[[#This Row],[type]]="LFF (MDG-F)",MID(Proc[[#This Row],[Obj]],13,10),"")</f>
        <v>SG09Z02183</v>
      </c>
      <c r="I4642" s="149" t="s">
        <v>6827</v>
      </c>
      <c r="J4642" s="150" t="b">
        <f>Proc[[#This Row],[Requested]]=Proc[[#This Row],[CurrentParent]]</f>
        <v>1</v>
      </c>
      <c r="K4642" s="150" t="str">
        <f>IF(Proc[[#This Row],[Author]]="Marcela Urrego",VLOOKUP(LEFT(Proc[[#This Row],[Requested]],1),Table3[#All],2,0),VLOOKUP(Proc[[#This Row],[Author]],Table4[],2,0))</f>
        <v>EL</v>
      </c>
      <c r="L4642" s="150" t="s">
        <v>6435</v>
      </c>
      <c r="M4642" s="169">
        <v>45973</v>
      </c>
      <c r="N4642" s="169"/>
      <c r="O4642" s="169"/>
      <c r="P4642" s="168" t="str">
        <f ca="1">IF(Proc[[#This Row],[DaysAgeing]]&gt;5,"yep","on track")</f>
        <v>yep</v>
      </c>
      <c r="Q4642" s="3">
        <f ca="1">IF(Proc[[#This Row],[DateClosed]]="",ABS(NETWORKDAYS(Proc[[#This Row],[DateOpened]],TODAY()))-1,ABS(NETWORKDAYS(Proc[[#This Row],[DateOpened]],Proc[[#This Row],[DateClosed]]))-1)</f>
        <v>22</v>
      </c>
      <c r="R4642" s="168" t="s">
        <v>5709</v>
      </c>
      <c r="S4642" s="150"/>
    </row>
    <row r="4643" spans="1:19" hidden="1">
      <c r="A4643" s="149" t="s">
        <v>6788</v>
      </c>
      <c r="B4643" s="150" t="str">
        <f>IFERROR(VLOOKUP(Proc[[#This Row],[App]],Table2[],3,0),"open")</f>
        <v>ok</v>
      </c>
      <c r="C4643" s="149" t="s">
        <v>369</v>
      </c>
      <c r="D4643" t="s">
        <v>6814</v>
      </c>
      <c r="E4643" t="s">
        <v>6827</v>
      </c>
      <c r="F4643" s="150" t="s">
        <v>6827</v>
      </c>
      <c r="G4643" s="149" t="s">
        <v>406</v>
      </c>
      <c r="H4643" s="150" t="str">
        <f>IF(Proc[[#This Row],[type]]="LFF (MDG-F)",MID(Proc[[#This Row],[Obj]],13,10),"")</f>
        <v>SG09Z02184</v>
      </c>
      <c r="I4643" s="149" t="s">
        <v>6827</v>
      </c>
      <c r="J4643" s="150" t="b">
        <f>Proc[[#This Row],[Requested]]=Proc[[#This Row],[CurrentParent]]</f>
        <v>1</v>
      </c>
      <c r="K4643" s="150" t="str">
        <f>IF(Proc[[#This Row],[Author]]="Marcela Urrego",VLOOKUP(LEFT(Proc[[#This Row],[Requested]],1),Table3[#All],2,0),VLOOKUP(Proc[[#This Row],[Author]],Table4[],2,0))</f>
        <v>EL</v>
      </c>
      <c r="L4643" s="150" t="s">
        <v>6435</v>
      </c>
      <c r="M4643" s="169">
        <v>45973</v>
      </c>
      <c r="N4643" s="169"/>
      <c r="O4643" s="169"/>
      <c r="P4643" s="168" t="str">
        <f ca="1">IF(Proc[[#This Row],[DaysAgeing]]&gt;5,"yep","on track")</f>
        <v>yep</v>
      </c>
      <c r="Q4643" s="3">
        <f ca="1">IF(Proc[[#This Row],[DateClosed]]="",ABS(NETWORKDAYS(Proc[[#This Row],[DateOpened]],TODAY()))-1,ABS(NETWORKDAYS(Proc[[#This Row],[DateOpened]],Proc[[#This Row],[DateClosed]]))-1)</f>
        <v>22</v>
      </c>
      <c r="R4643" s="168" t="s">
        <v>5709</v>
      </c>
      <c r="S4643" s="150"/>
    </row>
    <row r="4644" spans="1:19" hidden="1">
      <c r="A4644" s="149" t="s">
        <v>6788</v>
      </c>
      <c r="B4644" s="150" t="str">
        <f>IFERROR(VLOOKUP(Proc[[#This Row],[App]],Table2[],3,0),"open")</f>
        <v>ok</v>
      </c>
      <c r="C4644" s="149" t="s">
        <v>369</v>
      </c>
      <c r="D4644" t="s">
        <v>6815</v>
      </c>
      <c r="E4644" t="s">
        <v>6827</v>
      </c>
      <c r="F4644" s="150" t="s">
        <v>6827</v>
      </c>
      <c r="G4644" s="149" t="s">
        <v>406</v>
      </c>
      <c r="H4644" s="150" t="str">
        <f>IF(Proc[[#This Row],[type]]="LFF (MDG-F)",MID(Proc[[#This Row],[Obj]],13,10),"")</f>
        <v>TW02Z02183</v>
      </c>
      <c r="I4644" s="149" t="s">
        <v>6827</v>
      </c>
      <c r="J4644" s="150" t="b">
        <f>Proc[[#This Row],[Requested]]=Proc[[#This Row],[CurrentParent]]</f>
        <v>1</v>
      </c>
      <c r="K4644" s="150" t="str">
        <f>IF(Proc[[#This Row],[Author]]="Marcela Urrego",VLOOKUP(LEFT(Proc[[#This Row],[Requested]],1),Table3[#All],2,0),VLOOKUP(Proc[[#This Row],[Author]],Table4[],2,0))</f>
        <v>EL</v>
      </c>
      <c r="L4644" s="150" t="s">
        <v>6435</v>
      </c>
      <c r="M4644" s="169">
        <v>45973</v>
      </c>
      <c r="N4644" s="169"/>
      <c r="O4644" s="169"/>
      <c r="P4644" s="168" t="str">
        <f ca="1">IF(Proc[[#This Row],[DaysAgeing]]&gt;5,"yep","on track")</f>
        <v>yep</v>
      </c>
      <c r="Q4644" s="3">
        <f ca="1">IF(Proc[[#This Row],[DateClosed]]="",ABS(NETWORKDAYS(Proc[[#This Row],[DateOpened]],TODAY()))-1,ABS(NETWORKDAYS(Proc[[#This Row],[DateOpened]],Proc[[#This Row],[DateClosed]]))-1)</f>
        <v>22</v>
      </c>
      <c r="R4644" s="168" t="s">
        <v>5709</v>
      </c>
      <c r="S4644" s="150"/>
    </row>
    <row r="4645" spans="1:19" hidden="1">
      <c r="A4645" s="149" t="s">
        <v>6788</v>
      </c>
      <c r="B4645" s="150" t="str">
        <f>IFERROR(VLOOKUP(Proc[[#This Row],[App]],Table2[],3,0),"open")</f>
        <v>ok</v>
      </c>
      <c r="C4645" s="149" t="s">
        <v>369</v>
      </c>
      <c r="D4645" t="s">
        <v>6816</v>
      </c>
      <c r="E4645" t="s">
        <v>6827</v>
      </c>
      <c r="F4645" s="150" t="s">
        <v>6827</v>
      </c>
      <c r="G4645" s="149" t="s">
        <v>406</v>
      </c>
      <c r="H4645" s="150" t="str">
        <f>IF(Proc[[#This Row],[type]]="LFF (MDG-F)",MID(Proc[[#This Row],[Obj]],13,10),"")</f>
        <v>TW02Z02184</v>
      </c>
      <c r="I4645" s="149" t="s">
        <v>6827</v>
      </c>
      <c r="J4645" s="150" t="b">
        <f>Proc[[#This Row],[Requested]]=Proc[[#This Row],[CurrentParent]]</f>
        <v>1</v>
      </c>
      <c r="K4645" s="150" t="str">
        <f>IF(Proc[[#This Row],[Author]]="Marcela Urrego",VLOOKUP(LEFT(Proc[[#This Row],[Requested]],1),Table3[#All],2,0),VLOOKUP(Proc[[#This Row],[Author]],Table4[],2,0))</f>
        <v>EL</v>
      </c>
      <c r="L4645" s="150" t="s">
        <v>6435</v>
      </c>
      <c r="M4645" s="169">
        <v>45973</v>
      </c>
      <c r="N4645" s="169"/>
      <c r="O4645" s="169"/>
      <c r="P4645" s="168" t="str">
        <f ca="1">IF(Proc[[#This Row],[DaysAgeing]]&gt;5,"yep","on track")</f>
        <v>yep</v>
      </c>
      <c r="Q4645" s="3">
        <f ca="1">IF(Proc[[#This Row],[DateClosed]]="",ABS(NETWORKDAYS(Proc[[#This Row],[DateOpened]],TODAY()))-1,ABS(NETWORKDAYS(Proc[[#This Row],[DateOpened]],Proc[[#This Row],[DateClosed]]))-1)</f>
        <v>22</v>
      </c>
      <c r="R4645" s="168" t="s">
        <v>5709</v>
      </c>
      <c r="S4645" s="150"/>
    </row>
    <row r="4646" spans="1:19" hidden="1">
      <c r="A4646" s="149" t="s">
        <v>6788</v>
      </c>
      <c r="B4646" s="150" t="str">
        <f>IFERROR(VLOOKUP(Proc[[#This Row],[App]],Table2[],3,0),"open")</f>
        <v>ok</v>
      </c>
      <c r="C4646" s="149" t="s">
        <v>369</v>
      </c>
      <c r="D4646" t="s">
        <v>6817</v>
      </c>
      <c r="E4646" t="s">
        <v>6827</v>
      </c>
      <c r="F4646" s="150" t="s">
        <v>6827</v>
      </c>
      <c r="G4646" s="149" t="s">
        <v>406</v>
      </c>
      <c r="H4646" s="150" t="str">
        <f>IF(Proc[[#This Row],[type]]="LFF (MDG-F)",MID(Proc[[#This Row],[Obj]],13,10),"")</f>
        <v>TW03Z02184</v>
      </c>
      <c r="I4646" s="149" t="s">
        <v>6827</v>
      </c>
      <c r="J4646" s="150" t="b">
        <f>Proc[[#This Row],[Requested]]=Proc[[#This Row],[CurrentParent]]</f>
        <v>1</v>
      </c>
      <c r="K4646" s="150" t="str">
        <f>IF(Proc[[#This Row],[Author]]="Marcela Urrego",VLOOKUP(LEFT(Proc[[#This Row],[Requested]],1),Table3[#All],2,0),VLOOKUP(Proc[[#This Row],[Author]],Table4[],2,0))</f>
        <v>EL</v>
      </c>
      <c r="L4646" s="150" t="s">
        <v>6435</v>
      </c>
      <c r="M4646" s="169">
        <v>45973</v>
      </c>
      <c r="N4646" s="169"/>
      <c r="O4646" s="169"/>
      <c r="P4646" s="168" t="str">
        <f ca="1">IF(Proc[[#This Row],[DaysAgeing]]&gt;5,"yep","on track")</f>
        <v>yep</v>
      </c>
      <c r="Q4646" s="3">
        <f ca="1">IF(Proc[[#This Row],[DateClosed]]="",ABS(NETWORKDAYS(Proc[[#This Row],[DateOpened]],TODAY()))-1,ABS(NETWORKDAYS(Proc[[#This Row],[DateOpened]],Proc[[#This Row],[DateClosed]]))-1)</f>
        <v>22</v>
      </c>
      <c r="R4646" s="168" t="s">
        <v>5709</v>
      </c>
      <c r="S4646" s="150"/>
    </row>
    <row r="4647" spans="1:19" hidden="1">
      <c r="A4647" s="149" t="s">
        <v>6788</v>
      </c>
      <c r="B4647" s="150" t="str">
        <f>IFERROR(VLOOKUP(Proc[[#This Row],[App]],Table2[],3,0),"open")</f>
        <v>ok</v>
      </c>
      <c r="C4647" s="149" t="s">
        <v>369</v>
      </c>
      <c r="D4647" t="s">
        <v>6818</v>
      </c>
      <c r="E4647" t="s">
        <v>6827</v>
      </c>
      <c r="F4647" s="150" t="s">
        <v>6827</v>
      </c>
      <c r="G4647" s="149" t="s">
        <v>406</v>
      </c>
      <c r="H4647" s="150" t="str">
        <f>IF(Proc[[#This Row],[type]]="LFF (MDG-F)",MID(Proc[[#This Row],[Obj]],13,10),"")</f>
        <v>KR03Z02181</v>
      </c>
      <c r="I4647" s="149" t="s">
        <v>6827</v>
      </c>
      <c r="J4647" s="150" t="b">
        <f>Proc[[#This Row],[Requested]]=Proc[[#This Row],[CurrentParent]]</f>
        <v>1</v>
      </c>
      <c r="K4647" s="150" t="str">
        <f>IF(Proc[[#This Row],[Author]]="Marcela Urrego",VLOOKUP(LEFT(Proc[[#This Row],[Requested]],1),Table3[#All],2,0),VLOOKUP(Proc[[#This Row],[Author]],Table4[],2,0))</f>
        <v>EL</v>
      </c>
      <c r="L4647" s="150" t="s">
        <v>6435</v>
      </c>
      <c r="M4647" s="169">
        <v>45973</v>
      </c>
      <c r="N4647" s="169"/>
      <c r="O4647" s="169"/>
      <c r="P4647" s="168" t="str">
        <f ca="1">IF(Proc[[#This Row],[DaysAgeing]]&gt;5,"yep","on track")</f>
        <v>yep</v>
      </c>
      <c r="Q4647" s="3">
        <f ca="1">IF(Proc[[#This Row],[DateClosed]]="",ABS(NETWORKDAYS(Proc[[#This Row],[DateOpened]],TODAY()))-1,ABS(NETWORKDAYS(Proc[[#This Row],[DateOpened]],Proc[[#This Row],[DateClosed]]))-1)</f>
        <v>22</v>
      </c>
      <c r="R4647" s="168" t="s">
        <v>5709</v>
      </c>
      <c r="S4647" s="150"/>
    </row>
    <row r="4648" spans="1:19" hidden="1">
      <c r="A4648" s="149" t="s">
        <v>6788</v>
      </c>
      <c r="B4648" s="150" t="str">
        <f>IFERROR(VLOOKUP(Proc[[#This Row],[App]],Table2[],3,0),"open")</f>
        <v>ok</v>
      </c>
      <c r="C4648" s="149" t="s">
        <v>369</v>
      </c>
      <c r="D4648" t="s">
        <v>6819</v>
      </c>
      <c r="E4648" t="s">
        <v>6827</v>
      </c>
      <c r="F4648" s="150" t="s">
        <v>6827</v>
      </c>
      <c r="G4648" s="149" t="s">
        <v>406</v>
      </c>
      <c r="H4648" s="150" t="str">
        <f>IF(Proc[[#This Row],[type]]="LFF (MDG-F)",MID(Proc[[#This Row],[Obj]],13,10),"")</f>
        <v>KR03Z02182</v>
      </c>
      <c r="I4648" s="149" t="s">
        <v>6827</v>
      </c>
      <c r="J4648" s="150" t="b">
        <f>Proc[[#This Row],[Requested]]=Proc[[#This Row],[CurrentParent]]</f>
        <v>1</v>
      </c>
      <c r="K4648" s="150" t="str">
        <f>IF(Proc[[#This Row],[Author]]="Marcela Urrego",VLOOKUP(LEFT(Proc[[#This Row],[Requested]],1),Table3[#All],2,0),VLOOKUP(Proc[[#This Row],[Author]],Table4[],2,0))</f>
        <v>EL</v>
      </c>
      <c r="L4648" s="150" t="s">
        <v>6435</v>
      </c>
      <c r="M4648" s="169">
        <v>45973</v>
      </c>
      <c r="N4648" s="169"/>
      <c r="O4648" s="169"/>
      <c r="P4648" s="168" t="str">
        <f ca="1">IF(Proc[[#This Row],[DaysAgeing]]&gt;5,"yep","on track")</f>
        <v>yep</v>
      </c>
      <c r="Q4648" s="3">
        <f ca="1">IF(Proc[[#This Row],[DateClosed]]="",ABS(NETWORKDAYS(Proc[[#This Row],[DateOpened]],TODAY()))-1,ABS(NETWORKDAYS(Proc[[#This Row],[DateOpened]],Proc[[#This Row],[DateClosed]]))-1)</f>
        <v>22</v>
      </c>
      <c r="R4648" s="168" t="s">
        <v>5709</v>
      </c>
      <c r="S4648" s="150"/>
    </row>
    <row r="4649" spans="1:19" hidden="1">
      <c r="A4649" s="149" t="s">
        <v>6788</v>
      </c>
      <c r="B4649" s="150" t="str">
        <f>IFERROR(VLOOKUP(Proc[[#This Row],[App]],Table2[],3,0),"open")</f>
        <v>ok</v>
      </c>
      <c r="C4649" s="149" t="s">
        <v>369</v>
      </c>
      <c r="D4649" t="s">
        <v>6820</v>
      </c>
      <c r="E4649" t="s">
        <v>6827</v>
      </c>
      <c r="F4649" s="150" t="s">
        <v>6827</v>
      </c>
      <c r="G4649" s="149" t="s">
        <v>406</v>
      </c>
      <c r="H4649" s="150" t="str">
        <f>IF(Proc[[#This Row],[type]]="LFF (MDG-F)",MID(Proc[[#This Row],[Obj]],13,10),"")</f>
        <v>KR03Z02183</v>
      </c>
      <c r="I4649" s="149" t="s">
        <v>6827</v>
      </c>
      <c r="J4649" s="150" t="b">
        <f>Proc[[#This Row],[Requested]]=Proc[[#This Row],[CurrentParent]]</f>
        <v>1</v>
      </c>
      <c r="K4649" s="150" t="str">
        <f>IF(Proc[[#This Row],[Author]]="Marcela Urrego",VLOOKUP(LEFT(Proc[[#This Row],[Requested]],1),Table3[#All],2,0),VLOOKUP(Proc[[#This Row],[Author]],Table4[],2,0))</f>
        <v>EL</v>
      </c>
      <c r="L4649" s="150" t="s">
        <v>6435</v>
      </c>
      <c r="M4649" s="169">
        <v>45973</v>
      </c>
      <c r="N4649" s="169"/>
      <c r="O4649" s="169"/>
      <c r="P4649" s="168" t="str">
        <f ca="1">IF(Proc[[#This Row],[DaysAgeing]]&gt;5,"yep","on track")</f>
        <v>yep</v>
      </c>
      <c r="Q4649" s="3">
        <f ca="1">IF(Proc[[#This Row],[DateClosed]]="",ABS(NETWORKDAYS(Proc[[#This Row],[DateOpened]],TODAY()))-1,ABS(NETWORKDAYS(Proc[[#This Row],[DateOpened]],Proc[[#This Row],[DateClosed]]))-1)</f>
        <v>22</v>
      </c>
      <c r="R4649" s="168" t="s">
        <v>5709</v>
      </c>
      <c r="S4649" s="150"/>
    </row>
    <row r="4650" spans="1:19" hidden="1">
      <c r="A4650" s="149" t="s">
        <v>6788</v>
      </c>
      <c r="B4650" s="150" t="str">
        <f>IFERROR(VLOOKUP(Proc[[#This Row],[App]],Table2[],3,0),"open")</f>
        <v>ok</v>
      </c>
      <c r="C4650" s="149" t="s">
        <v>369</v>
      </c>
      <c r="D4650" t="s">
        <v>6821</v>
      </c>
      <c r="E4650" t="s">
        <v>6827</v>
      </c>
      <c r="F4650" s="150" t="s">
        <v>6827</v>
      </c>
      <c r="G4650" s="149" t="s">
        <v>406</v>
      </c>
      <c r="H4650" s="150" t="str">
        <f>IF(Proc[[#This Row],[type]]="LFF (MDG-F)",MID(Proc[[#This Row],[Obj]],13,10),"")</f>
        <v>KR03Z02184</v>
      </c>
      <c r="I4650" s="149" t="s">
        <v>6827</v>
      </c>
      <c r="J4650" s="150" t="b">
        <f>Proc[[#This Row],[Requested]]=Proc[[#This Row],[CurrentParent]]</f>
        <v>1</v>
      </c>
      <c r="K4650" s="150" t="str">
        <f>IF(Proc[[#This Row],[Author]]="Marcela Urrego",VLOOKUP(LEFT(Proc[[#This Row],[Requested]],1),Table3[#All],2,0),VLOOKUP(Proc[[#This Row],[Author]],Table4[],2,0))</f>
        <v>EL</v>
      </c>
      <c r="L4650" s="150" t="s">
        <v>6435</v>
      </c>
      <c r="M4650" s="169">
        <v>45973</v>
      </c>
      <c r="N4650" s="169"/>
      <c r="O4650" s="169"/>
      <c r="P4650" s="168" t="str">
        <f ca="1">IF(Proc[[#This Row],[DaysAgeing]]&gt;5,"yep","on track")</f>
        <v>yep</v>
      </c>
      <c r="Q4650" s="3">
        <f ca="1">IF(Proc[[#This Row],[DateClosed]]="",ABS(NETWORKDAYS(Proc[[#This Row],[DateOpened]],TODAY()))-1,ABS(NETWORKDAYS(Proc[[#This Row],[DateOpened]],Proc[[#This Row],[DateClosed]]))-1)</f>
        <v>22</v>
      </c>
      <c r="R4650" s="168" t="s">
        <v>5709</v>
      </c>
      <c r="S4650" s="150"/>
    </row>
    <row r="4651" spans="1:19" hidden="1">
      <c r="A4651" s="149" t="s">
        <v>6788</v>
      </c>
      <c r="B4651" s="150" t="str">
        <f>IFERROR(VLOOKUP(Proc[[#This Row],[App]],Table2[],3,0),"open")</f>
        <v>ok</v>
      </c>
      <c r="C4651" s="149" t="s">
        <v>369</v>
      </c>
      <c r="D4651" t="s">
        <v>6822</v>
      </c>
      <c r="E4651" t="s">
        <v>6828</v>
      </c>
      <c r="F4651" s="150" t="s">
        <v>6828</v>
      </c>
      <c r="G4651" s="149" t="s">
        <v>406</v>
      </c>
      <c r="H4651" s="150" t="str">
        <f>IF(Proc[[#This Row],[type]]="LFF (MDG-F)",MID(Proc[[#This Row],[Obj]],13,10),"")</f>
        <v>CN01OF0083</v>
      </c>
      <c r="I4651" s="149" t="s">
        <v>6828</v>
      </c>
      <c r="J4651" s="150" t="b">
        <f>Proc[[#This Row],[Requested]]=Proc[[#This Row],[CurrentParent]]</f>
        <v>1</v>
      </c>
      <c r="K4651" s="150" t="str">
        <f>IF(Proc[[#This Row],[Author]]="Marcela Urrego",VLOOKUP(LEFT(Proc[[#This Row],[Requested]],1),Table3[#All],2,0),VLOOKUP(Proc[[#This Row],[Author]],Table4[],2,0))</f>
        <v>EL</v>
      </c>
      <c r="L4651" s="150" t="s">
        <v>6435</v>
      </c>
      <c r="M4651" s="169">
        <v>45973</v>
      </c>
      <c r="N4651" s="169"/>
      <c r="O4651" s="169"/>
      <c r="P4651" s="168" t="str">
        <f ca="1">IF(Proc[[#This Row],[DaysAgeing]]&gt;5,"yep","on track")</f>
        <v>yep</v>
      </c>
      <c r="Q4651" s="3">
        <f ca="1">IF(Proc[[#This Row],[DateClosed]]="",ABS(NETWORKDAYS(Proc[[#This Row],[DateOpened]],TODAY()))-1,ABS(NETWORKDAYS(Proc[[#This Row],[DateOpened]],Proc[[#This Row],[DateClosed]]))-1)</f>
        <v>22</v>
      </c>
      <c r="R4651" s="168" t="s">
        <v>5709</v>
      </c>
      <c r="S4651" s="150"/>
    </row>
    <row r="4652" spans="1:19" hidden="1">
      <c r="A4652" s="149" t="s">
        <v>6788</v>
      </c>
      <c r="B4652" s="150" t="str">
        <f>IFERROR(VLOOKUP(Proc[[#This Row],[App]],Table2[],3,0),"open")</f>
        <v>ok</v>
      </c>
      <c r="C4652" s="149" t="s">
        <v>369</v>
      </c>
      <c r="D4652" t="s">
        <v>6823</v>
      </c>
      <c r="E4652" t="s">
        <v>6828</v>
      </c>
      <c r="F4652" s="150" t="s">
        <v>6828</v>
      </c>
      <c r="G4652" s="149" t="s">
        <v>406</v>
      </c>
      <c r="H4652" s="150" t="str">
        <f>IF(Proc[[#This Row],[type]]="LFF (MDG-F)",MID(Proc[[#This Row],[Obj]],13,10),"")</f>
        <v>US01OF0103</v>
      </c>
      <c r="I4652" s="149" t="s">
        <v>6828</v>
      </c>
      <c r="J4652" s="150" t="b">
        <f>Proc[[#This Row],[Requested]]=Proc[[#This Row],[CurrentParent]]</f>
        <v>1</v>
      </c>
      <c r="K4652" s="150" t="str">
        <f>IF(Proc[[#This Row],[Author]]="Marcela Urrego",VLOOKUP(LEFT(Proc[[#This Row],[Requested]],1),Table3[#All],2,0),VLOOKUP(Proc[[#This Row],[Author]],Table4[],2,0))</f>
        <v>EL</v>
      </c>
      <c r="L4652" s="150" t="s">
        <v>6435</v>
      </c>
      <c r="M4652" s="169">
        <v>45973</v>
      </c>
      <c r="N4652" s="169"/>
      <c r="O4652" s="169"/>
      <c r="P4652" s="168" t="str">
        <f ca="1">IF(Proc[[#This Row],[DaysAgeing]]&gt;5,"yep","on track")</f>
        <v>yep</v>
      </c>
      <c r="Q4652" s="3">
        <f ca="1">IF(Proc[[#This Row],[DateClosed]]="",ABS(NETWORKDAYS(Proc[[#This Row],[DateOpened]],TODAY()))-1,ABS(NETWORKDAYS(Proc[[#This Row],[DateOpened]],Proc[[#This Row],[DateClosed]]))-1)</f>
        <v>22</v>
      </c>
      <c r="R4652" s="168" t="s">
        <v>5709</v>
      </c>
      <c r="S4652" s="150"/>
    </row>
    <row r="4653" spans="1:19" hidden="1">
      <c r="A4653" s="149" t="s">
        <v>6788</v>
      </c>
      <c r="B4653" s="150" t="str">
        <f>IFERROR(VLOOKUP(Proc[[#This Row],[App]],Table2[],3,0),"open")</f>
        <v>ok</v>
      </c>
      <c r="C4653" s="149" t="s">
        <v>369</v>
      </c>
      <c r="D4653" t="s">
        <v>6824</v>
      </c>
      <c r="E4653" t="s">
        <v>6828</v>
      </c>
      <c r="F4653" s="150" t="s">
        <v>6828</v>
      </c>
      <c r="G4653" s="149" t="s">
        <v>406</v>
      </c>
      <c r="H4653" s="150" t="str">
        <f>IF(Proc[[#This Row],[type]]="LFF (MDG-F)",MID(Proc[[#This Row],[Obj]],13,10),"")</f>
        <v>KR03L80000</v>
      </c>
      <c r="I4653" s="149" t="s">
        <v>6828</v>
      </c>
      <c r="J4653" s="150" t="b">
        <f>Proc[[#This Row],[Requested]]=Proc[[#This Row],[CurrentParent]]</f>
        <v>1</v>
      </c>
      <c r="K4653" s="150" t="str">
        <f>IF(Proc[[#This Row],[Author]]="Marcela Urrego",VLOOKUP(LEFT(Proc[[#This Row],[Requested]],1),Table3[#All],2,0),VLOOKUP(Proc[[#This Row],[Author]],Table4[],2,0))</f>
        <v>EL</v>
      </c>
      <c r="L4653" s="150" t="s">
        <v>6435</v>
      </c>
      <c r="M4653" s="169">
        <v>45973</v>
      </c>
      <c r="N4653" s="169"/>
      <c r="O4653" s="169"/>
      <c r="P4653" s="168" t="str">
        <f ca="1">IF(Proc[[#This Row],[DaysAgeing]]&gt;5,"yep","on track")</f>
        <v>yep</v>
      </c>
      <c r="Q4653" s="3">
        <f ca="1">IF(Proc[[#This Row],[DateClosed]]="",ABS(NETWORKDAYS(Proc[[#This Row],[DateOpened]],TODAY()))-1,ABS(NETWORKDAYS(Proc[[#This Row],[DateOpened]],Proc[[#This Row],[DateClosed]]))-1)</f>
        <v>22</v>
      </c>
      <c r="R4653" s="168" t="s">
        <v>5709</v>
      </c>
      <c r="S4653" s="150"/>
    </row>
    <row r="4654" spans="1:19" hidden="1">
      <c r="A4654" s="149" t="s">
        <v>6788</v>
      </c>
      <c r="B4654" s="150" t="str">
        <f>IFERROR(VLOOKUP(Proc[[#This Row],[App]],Table2[],3,0),"open")</f>
        <v>ok</v>
      </c>
      <c r="C4654" s="149" t="s">
        <v>369</v>
      </c>
      <c r="D4654" t="s">
        <v>6825</v>
      </c>
      <c r="E4654" t="s">
        <v>6828</v>
      </c>
      <c r="F4654" s="150" t="s">
        <v>6828</v>
      </c>
      <c r="G4654" s="149" t="s">
        <v>406</v>
      </c>
      <c r="H4654" s="150" t="str">
        <f>IF(Proc[[#This Row],[type]]="LFF (MDG-F)",MID(Proc[[#This Row],[Obj]],13,10),"")</f>
        <v>TW10OF6016</v>
      </c>
      <c r="I4654" s="149" t="s">
        <v>6828</v>
      </c>
      <c r="J4654" s="150" t="b">
        <f>Proc[[#This Row],[Requested]]=Proc[[#This Row],[CurrentParent]]</f>
        <v>1</v>
      </c>
      <c r="K4654" s="150" t="str">
        <f>IF(Proc[[#This Row],[Author]]="Marcela Urrego",VLOOKUP(LEFT(Proc[[#This Row],[Requested]],1),Table3[#All],2,0),VLOOKUP(Proc[[#This Row],[Author]],Table4[],2,0))</f>
        <v>EL</v>
      </c>
      <c r="L4654" s="150" t="s">
        <v>6435</v>
      </c>
      <c r="M4654" s="169">
        <v>45973</v>
      </c>
      <c r="N4654" s="169"/>
      <c r="O4654" s="169"/>
      <c r="P4654" s="168" t="str">
        <f ca="1">IF(Proc[[#This Row],[DaysAgeing]]&gt;5,"yep","on track")</f>
        <v>yep</v>
      </c>
      <c r="Q4654" s="3">
        <f ca="1">IF(Proc[[#This Row],[DateClosed]]="",ABS(NETWORKDAYS(Proc[[#This Row],[DateOpened]],TODAY()))-1,ABS(NETWORKDAYS(Proc[[#This Row],[DateOpened]],Proc[[#This Row],[DateClosed]]))-1)</f>
        <v>22</v>
      </c>
      <c r="R4654" s="168" t="s">
        <v>5709</v>
      </c>
      <c r="S4654" s="150"/>
    </row>
    <row r="4655" spans="1:19" hidden="1">
      <c r="A4655" s="149" t="s">
        <v>6788</v>
      </c>
      <c r="B4655" s="150" t="str">
        <f>IFERROR(VLOOKUP(Proc[[#This Row],[App]],Table2[],3,0),"open")</f>
        <v>ok</v>
      </c>
      <c r="C4655" s="149" t="s">
        <v>369</v>
      </c>
      <c r="D4655" t="s">
        <v>6826</v>
      </c>
      <c r="E4655" t="s">
        <v>6828</v>
      </c>
      <c r="F4655" s="150" t="s">
        <v>6828</v>
      </c>
      <c r="G4655" s="149" t="s">
        <v>406</v>
      </c>
      <c r="H4655" s="150" t="str">
        <f>IF(Proc[[#This Row],[type]]="LFF (MDG-F)",MID(Proc[[#This Row],[Obj]],13,10),"")</f>
        <v>US10OF6070</v>
      </c>
      <c r="I4655" s="149" t="s">
        <v>6828</v>
      </c>
      <c r="J4655" s="150" t="b">
        <f>Proc[[#This Row],[Requested]]=Proc[[#This Row],[CurrentParent]]</f>
        <v>1</v>
      </c>
      <c r="K4655" s="150" t="str">
        <f>IF(Proc[[#This Row],[Author]]="Marcela Urrego",VLOOKUP(LEFT(Proc[[#This Row],[Requested]],1),Table3[#All],2,0),VLOOKUP(Proc[[#This Row],[Author]],Table4[],2,0))</f>
        <v>EL</v>
      </c>
      <c r="L4655" s="150" t="s">
        <v>6435</v>
      </c>
      <c r="M4655" s="169">
        <v>45973</v>
      </c>
      <c r="N4655" s="169"/>
      <c r="O4655" s="169"/>
      <c r="P4655" s="168" t="str">
        <f ca="1">IF(Proc[[#This Row],[DaysAgeing]]&gt;5,"yep","on track")</f>
        <v>yep</v>
      </c>
      <c r="Q4655" s="3">
        <f ca="1">IF(Proc[[#This Row],[DateClosed]]="",ABS(NETWORKDAYS(Proc[[#This Row],[DateOpened]],TODAY()))-1,ABS(NETWORKDAYS(Proc[[#This Row],[DateOpened]],Proc[[#This Row],[DateClosed]]))-1)</f>
        <v>22</v>
      </c>
      <c r="R4655" s="168" t="s">
        <v>5709</v>
      </c>
      <c r="S4655" s="150"/>
    </row>
    <row r="4656" spans="1:19" hidden="1">
      <c r="A4656" t="s">
        <v>6853</v>
      </c>
      <c r="B4656" s="150" t="str">
        <f>IFERROR(VLOOKUP(Proc[[#This Row],[App]],Table2[],3,0),"open")</f>
        <v>ok</v>
      </c>
      <c r="C4656" s="149" t="s">
        <v>369</v>
      </c>
      <c r="D4656" t="s">
        <v>6829</v>
      </c>
      <c r="E4656" t="s">
        <v>2200</v>
      </c>
      <c r="F4656" s="150" t="s">
        <v>2200</v>
      </c>
      <c r="G4656" t="s">
        <v>400</v>
      </c>
      <c r="H4656" s="150" t="str">
        <f>IF(Proc[[#This Row],[type]]="LFF (MDG-F)",MID(Proc[[#This Row],[Obj]],13,10),"")</f>
        <v/>
      </c>
      <c r="J4656" s="150" t="b">
        <f>Proc[[#This Row],[Requested]]=Proc[[#This Row],[CurrentParent]]</f>
        <v>1</v>
      </c>
      <c r="K4656" s="150" t="str">
        <f>IF(Proc[[#This Row],[Author]]="Marcela Urrego",VLOOKUP(LEFT(Proc[[#This Row],[Requested]],1),Table3[#All],2,0),VLOOKUP(Proc[[#This Row],[Author]],Table4[],2,0))</f>
        <v>LS</v>
      </c>
      <c r="L4656" s="150" t="s">
        <v>6435</v>
      </c>
      <c r="M4656" s="169">
        <v>45973</v>
      </c>
      <c r="N4656" s="169"/>
      <c r="O4656" s="169"/>
      <c r="P4656" s="168" t="str">
        <f ca="1">IF(Proc[[#This Row],[DaysAgeing]]&gt;5,"yep","on track")</f>
        <v>yep</v>
      </c>
      <c r="Q4656" s="3">
        <f ca="1">IF(Proc[[#This Row],[DateClosed]]="",ABS(NETWORKDAYS(Proc[[#This Row],[DateOpened]],TODAY()))-1,ABS(NETWORKDAYS(Proc[[#This Row],[DateOpened]],Proc[[#This Row],[DateClosed]]))-1)</f>
        <v>22</v>
      </c>
      <c r="R4656" s="168" t="s">
        <v>489</v>
      </c>
      <c r="S4656" s="150"/>
    </row>
    <row r="4657" spans="1:19" hidden="1">
      <c r="A4657" s="149" t="s">
        <v>6853</v>
      </c>
      <c r="B4657" s="150" t="str">
        <f>IFERROR(VLOOKUP(Proc[[#This Row],[App]],Table2[],3,0),"open")</f>
        <v>ok</v>
      </c>
      <c r="C4657" s="149" t="s">
        <v>369</v>
      </c>
      <c r="D4657" t="s">
        <v>6830</v>
      </c>
      <c r="E4657" t="s">
        <v>2206</v>
      </c>
      <c r="F4657" s="150" t="s">
        <v>2206</v>
      </c>
      <c r="G4657" s="149" t="s">
        <v>400</v>
      </c>
      <c r="H4657" s="150" t="str">
        <f>IF(Proc[[#This Row],[type]]="LFF (MDG-F)",MID(Proc[[#This Row],[Obj]],13,10),"")</f>
        <v/>
      </c>
      <c r="J4657" s="150" t="b">
        <f>Proc[[#This Row],[Requested]]=Proc[[#This Row],[CurrentParent]]</f>
        <v>1</v>
      </c>
      <c r="K4657" s="150" t="str">
        <f>IF(Proc[[#This Row],[Author]]="Marcela Urrego",VLOOKUP(LEFT(Proc[[#This Row],[Requested]],1),Table3[#All],2,0),VLOOKUP(Proc[[#This Row],[Author]],Table4[],2,0))</f>
        <v>LS</v>
      </c>
      <c r="L4657" s="150" t="s">
        <v>6435</v>
      </c>
      <c r="M4657" s="169">
        <v>45973</v>
      </c>
      <c r="N4657" s="169"/>
      <c r="O4657" s="169"/>
      <c r="P4657" s="168" t="str">
        <f ca="1">IF(Proc[[#This Row],[DaysAgeing]]&gt;5,"yep","on track")</f>
        <v>yep</v>
      </c>
      <c r="Q4657" s="3">
        <f ca="1">IF(Proc[[#This Row],[DateClosed]]="",ABS(NETWORKDAYS(Proc[[#This Row],[DateOpened]],TODAY()))-1,ABS(NETWORKDAYS(Proc[[#This Row],[DateOpened]],Proc[[#This Row],[DateClosed]]))-1)</f>
        <v>22</v>
      </c>
      <c r="R4657" s="168" t="s">
        <v>489</v>
      </c>
      <c r="S4657" s="150"/>
    </row>
    <row r="4658" spans="1:19" hidden="1">
      <c r="A4658" s="149" t="s">
        <v>6853</v>
      </c>
      <c r="B4658" s="150" t="str">
        <f>IFERROR(VLOOKUP(Proc[[#This Row],[App]],Table2[],3,0),"open")</f>
        <v>ok</v>
      </c>
      <c r="C4658" s="149" t="s">
        <v>369</v>
      </c>
      <c r="D4658" t="s">
        <v>6831</v>
      </c>
      <c r="E4658" t="s">
        <v>2206</v>
      </c>
      <c r="F4658" s="150" t="s">
        <v>2206</v>
      </c>
      <c r="G4658" s="149" t="s">
        <v>400</v>
      </c>
      <c r="H4658" s="150" t="str">
        <f>IF(Proc[[#This Row],[type]]="LFF (MDG-F)",MID(Proc[[#This Row],[Obj]],13,10),"")</f>
        <v/>
      </c>
      <c r="J4658" s="150" t="b">
        <f>Proc[[#This Row],[Requested]]=Proc[[#This Row],[CurrentParent]]</f>
        <v>1</v>
      </c>
      <c r="K4658" s="150" t="str">
        <f>IF(Proc[[#This Row],[Author]]="Marcela Urrego",VLOOKUP(LEFT(Proc[[#This Row],[Requested]],1),Table3[#All],2,0),VLOOKUP(Proc[[#This Row],[Author]],Table4[],2,0))</f>
        <v>LS</v>
      </c>
      <c r="L4658" s="150" t="s">
        <v>6435</v>
      </c>
      <c r="M4658" s="169">
        <v>45973</v>
      </c>
      <c r="N4658" s="169"/>
      <c r="O4658" s="169"/>
      <c r="P4658" s="168" t="str">
        <f ca="1">IF(Proc[[#This Row],[DaysAgeing]]&gt;5,"yep","on track")</f>
        <v>yep</v>
      </c>
      <c r="Q4658" s="3">
        <f ca="1">IF(Proc[[#This Row],[DateClosed]]="",ABS(NETWORKDAYS(Proc[[#This Row],[DateOpened]],TODAY()))-1,ABS(NETWORKDAYS(Proc[[#This Row],[DateOpened]],Proc[[#This Row],[DateClosed]]))-1)</f>
        <v>22</v>
      </c>
      <c r="R4658" s="168" t="s">
        <v>489</v>
      </c>
      <c r="S4658" s="150"/>
    </row>
    <row r="4659" spans="1:19" hidden="1">
      <c r="A4659" s="149" t="s">
        <v>6853</v>
      </c>
      <c r="B4659" s="150" t="str">
        <f>IFERROR(VLOOKUP(Proc[[#This Row],[App]],Table2[],3,0),"open")</f>
        <v>ok</v>
      </c>
      <c r="C4659" s="149" t="s">
        <v>369</v>
      </c>
      <c r="D4659" t="s">
        <v>6832</v>
      </c>
      <c r="E4659" t="s">
        <v>2206</v>
      </c>
      <c r="F4659" s="150" t="s">
        <v>2206</v>
      </c>
      <c r="G4659" s="149" t="s">
        <v>400</v>
      </c>
      <c r="H4659" s="150" t="str">
        <f>IF(Proc[[#This Row],[type]]="LFF (MDG-F)",MID(Proc[[#This Row],[Obj]],13,10),"")</f>
        <v/>
      </c>
      <c r="J4659" s="150" t="b">
        <f>Proc[[#This Row],[Requested]]=Proc[[#This Row],[CurrentParent]]</f>
        <v>1</v>
      </c>
      <c r="K4659" s="150" t="str">
        <f>IF(Proc[[#This Row],[Author]]="Marcela Urrego",VLOOKUP(LEFT(Proc[[#This Row],[Requested]],1),Table3[#All],2,0),VLOOKUP(Proc[[#This Row],[Author]],Table4[],2,0))</f>
        <v>LS</v>
      </c>
      <c r="L4659" s="150" t="s">
        <v>6435</v>
      </c>
      <c r="M4659" s="169">
        <v>45973</v>
      </c>
      <c r="N4659" s="169"/>
      <c r="O4659" s="169"/>
      <c r="P4659" s="168" t="str">
        <f ca="1">IF(Proc[[#This Row],[DaysAgeing]]&gt;5,"yep","on track")</f>
        <v>yep</v>
      </c>
      <c r="Q4659" s="3">
        <f ca="1">IF(Proc[[#This Row],[DateClosed]]="",ABS(NETWORKDAYS(Proc[[#This Row],[DateOpened]],TODAY()))-1,ABS(NETWORKDAYS(Proc[[#This Row],[DateOpened]],Proc[[#This Row],[DateClosed]]))-1)</f>
        <v>22</v>
      </c>
      <c r="R4659" s="168" t="s">
        <v>489</v>
      </c>
      <c r="S4659" s="150"/>
    </row>
    <row r="4660" spans="1:19" hidden="1">
      <c r="A4660" s="149" t="s">
        <v>6853</v>
      </c>
      <c r="B4660" s="150" t="str">
        <f>IFERROR(VLOOKUP(Proc[[#This Row],[App]],Table2[],3,0),"open")</f>
        <v>ok</v>
      </c>
      <c r="C4660" s="149" t="s">
        <v>369</v>
      </c>
      <c r="D4660" t="s">
        <v>6833</v>
      </c>
      <c r="E4660" t="s">
        <v>2206</v>
      </c>
      <c r="F4660" s="150" t="s">
        <v>2206</v>
      </c>
      <c r="G4660" s="149" t="s">
        <v>400</v>
      </c>
      <c r="H4660" s="150" t="str">
        <f>IF(Proc[[#This Row],[type]]="LFF (MDG-F)",MID(Proc[[#This Row],[Obj]],13,10),"")</f>
        <v/>
      </c>
      <c r="J4660" s="150" t="b">
        <f>Proc[[#This Row],[Requested]]=Proc[[#This Row],[CurrentParent]]</f>
        <v>1</v>
      </c>
      <c r="K4660" s="150" t="str">
        <f>IF(Proc[[#This Row],[Author]]="Marcela Urrego",VLOOKUP(LEFT(Proc[[#This Row],[Requested]],1),Table3[#All],2,0),VLOOKUP(Proc[[#This Row],[Author]],Table4[],2,0))</f>
        <v>LS</v>
      </c>
      <c r="L4660" s="150" t="s">
        <v>6435</v>
      </c>
      <c r="M4660" s="169">
        <v>45973</v>
      </c>
      <c r="N4660" s="169"/>
      <c r="O4660" s="169"/>
      <c r="P4660" s="168" t="str">
        <f ca="1">IF(Proc[[#This Row],[DaysAgeing]]&gt;5,"yep","on track")</f>
        <v>yep</v>
      </c>
      <c r="Q4660" s="3">
        <f ca="1">IF(Proc[[#This Row],[DateClosed]]="",ABS(NETWORKDAYS(Proc[[#This Row],[DateOpened]],TODAY()))-1,ABS(NETWORKDAYS(Proc[[#This Row],[DateOpened]],Proc[[#This Row],[DateClosed]]))-1)</f>
        <v>22</v>
      </c>
      <c r="R4660" s="168" t="s">
        <v>489</v>
      </c>
      <c r="S4660" s="150"/>
    </row>
    <row r="4661" spans="1:19" hidden="1">
      <c r="A4661" s="149" t="s">
        <v>6853</v>
      </c>
      <c r="B4661" s="150" t="str">
        <f>IFERROR(VLOOKUP(Proc[[#This Row],[App]],Table2[],3,0),"open")</f>
        <v>ok</v>
      </c>
      <c r="C4661" s="149" t="s">
        <v>369</v>
      </c>
      <c r="D4661" t="s">
        <v>6834</v>
      </c>
      <c r="E4661" t="s">
        <v>2205</v>
      </c>
      <c r="F4661" s="150" t="s">
        <v>2205</v>
      </c>
      <c r="G4661" s="149" t="s">
        <v>400</v>
      </c>
      <c r="H4661" s="150" t="str">
        <f>IF(Proc[[#This Row],[type]]="LFF (MDG-F)",MID(Proc[[#This Row],[Obj]],13,10),"")</f>
        <v/>
      </c>
      <c r="J4661" s="150" t="b">
        <f>Proc[[#This Row],[Requested]]=Proc[[#This Row],[CurrentParent]]</f>
        <v>1</v>
      </c>
      <c r="K4661" s="150" t="str">
        <f>IF(Proc[[#This Row],[Author]]="Marcela Urrego",VLOOKUP(LEFT(Proc[[#This Row],[Requested]],1),Table3[#All],2,0),VLOOKUP(Proc[[#This Row],[Author]],Table4[],2,0))</f>
        <v>LS</v>
      </c>
      <c r="L4661" s="150" t="s">
        <v>6435</v>
      </c>
      <c r="M4661" s="169">
        <v>45973</v>
      </c>
      <c r="N4661" s="169"/>
      <c r="O4661" s="169"/>
      <c r="P4661" s="168" t="str">
        <f ca="1">IF(Proc[[#This Row],[DaysAgeing]]&gt;5,"yep","on track")</f>
        <v>yep</v>
      </c>
      <c r="Q4661" s="3">
        <f ca="1">IF(Proc[[#This Row],[DateClosed]]="",ABS(NETWORKDAYS(Proc[[#This Row],[DateOpened]],TODAY()))-1,ABS(NETWORKDAYS(Proc[[#This Row],[DateOpened]],Proc[[#This Row],[DateClosed]]))-1)</f>
        <v>22</v>
      </c>
      <c r="R4661" s="168" t="s">
        <v>489</v>
      </c>
      <c r="S4661" s="150"/>
    </row>
    <row r="4662" spans="1:19" hidden="1">
      <c r="A4662" s="149" t="s">
        <v>6853</v>
      </c>
      <c r="B4662" s="150" t="str">
        <f>IFERROR(VLOOKUP(Proc[[#This Row],[App]],Table2[],3,0),"open")</f>
        <v>ok</v>
      </c>
      <c r="C4662" s="149" t="s">
        <v>369</v>
      </c>
      <c r="D4662" t="s">
        <v>6835</v>
      </c>
      <c r="E4662" t="s">
        <v>2368</v>
      </c>
      <c r="F4662" s="150" t="s">
        <v>2368</v>
      </c>
      <c r="G4662" s="149" t="s">
        <v>400</v>
      </c>
      <c r="H4662" s="150" t="str">
        <f>IF(Proc[[#This Row],[type]]="LFF (MDG-F)",MID(Proc[[#This Row],[Obj]],13,10),"")</f>
        <v/>
      </c>
      <c r="J4662" s="150" t="b">
        <f>Proc[[#This Row],[Requested]]=Proc[[#This Row],[CurrentParent]]</f>
        <v>1</v>
      </c>
      <c r="K4662" s="150" t="str">
        <f>IF(Proc[[#This Row],[Author]]="Marcela Urrego",VLOOKUP(LEFT(Proc[[#This Row],[Requested]],1),Table3[#All],2,0),VLOOKUP(Proc[[#This Row],[Author]],Table4[],2,0))</f>
        <v>LS</v>
      </c>
      <c r="L4662" s="150" t="s">
        <v>6435</v>
      </c>
      <c r="M4662" s="169">
        <v>45973</v>
      </c>
      <c r="N4662" s="169"/>
      <c r="O4662" s="169"/>
      <c r="P4662" s="168" t="str">
        <f ca="1">IF(Proc[[#This Row],[DaysAgeing]]&gt;5,"yep","on track")</f>
        <v>yep</v>
      </c>
      <c r="Q4662" s="3">
        <f ca="1">IF(Proc[[#This Row],[DateClosed]]="",ABS(NETWORKDAYS(Proc[[#This Row],[DateOpened]],TODAY()))-1,ABS(NETWORKDAYS(Proc[[#This Row],[DateOpened]],Proc[[#This Row],[DateClosed]]))-1)</f>
        <v>22</v>
      </c>
      <c r="R4662" s="168" t="s">
        <v>489</v>
      </c>
      <c r="S4662" s="150"/>
    </row>
    <row r="4663" spans="1:19" hidden="1">
      <c r="A4663" s="149" t="s">
        <v>6853</v>
      </c>
      <c r="B4663" s="150" t="str">
        <f>IFERROR(VLOOKUP(Proc[[#This Row],[App]],Table2[],3,0),"open")</f>
        <v>ok</v>
      </c>
      <c r="C4663" s="149" t="s">
        <v>369</v>
      </c>
      <c r="D4663" t="s">
        <v>6836</v>
      </c>
      <c r="E4663" t="s">
        <v>2368</v>
      </c>
      <c r="F4663" s="150" t="s">
        <v>2368</v>
      </c>
      <c r="G4663" s="149" t="s">
        <v>400</v>
      </c>
      <c r="H4663" s="150" t="str">
        <f>IF(Proc[[#This Row],[type]]="LFF (MDG-F)",MID(Proc[[#This Row],[Obj]],13,10),"")</f>
        <v/>
      </c>
      <c r="J4663" s="150" t="b">
        <f>Proc[[#This Row],[Requested]]=Proc[[#This Row],[CurrentParent]]</f>
        <v>1</v>
      </c>
      <c r="K4663" s="150" t="str">
        <f>IF(Proc[[#This Row],[Author]]="Marcela Urrego",VLOOKUP(LEFT(Proc[[#This Row],[Requested]],1),Table3[#All],2,0),VLOOKUP(Proc[[#This Row],[Author]],Table4[],2,0))</f>
        <v>LS</v>
      </c>
      <c r="L4663" s="150" t="s">
        <v>6435</v>
      </c>
      <c r="M4663" s="169">
        <v>45973</v>
      </c>
      <c r="N4663" s="169"/>
      <c r="O4663" s="169"/>
      <c r="P4663" s="168" t="str">
        <f ca="1">IF(Proc[[#This Row],[DaysAgeing]]&gt;5,"yep","on track")</f>
        <v>yep</v>
      </c>
      <c r="Q4663" s="3">
        <f ca="1">IF(Proc[[#This Row],[DateClosed]]="",ABS(NETWORKDAYS(Proc[[#This Row],[DateOpened]],TODAY()))-1,ABS(NETWORKDAYS(Proc[[#This Row],[DateOpened]],Proc[[#This Row],[DateClosed]]))-1)</f>
        <v>22</v>
      </c>
      <c r="R4663" s="168" t="s">
        <v>489</v>
      </c>
      <c r="S4663" s="150"/>
    </row>
    <row r="4664" spans="1:19" hidden="1">
      <c r="A4664" s="149" t="s">
        <v>6853</v>
      </c>
      <c r="B4664" s="150" t="str">
        <f>IFERROR(VLOOKUP(Proc[[#This Row],[App]],Table2[],3,0),"open")</f>
        <v>ok</v>
      </c>
      <c r="C4664" s="149" t="s">
        <v>369</v>
      </c>
      <c r="D4664" t="s">
        <v>6837</v>
      </c>
      <c r="E4664" t="s">
        <v>2368</v>
      </c>
      <c r="F4664" s="150" t="s">
        <v>2368</v>
      </c>
      <c r="G4664" s="149" t="s">
        <v>400</v>
      </c>
      <c r="H4664" s="150" t="str">
        <f>IF(Proc[[#This Row],[type]]="LFF (MDG-F)",MID(Proc[[#This Row],[Obj]],13,10),"")</f>
        <v/>
      </c>
      <c r="J4664" s="150" t="b">
        <f>Proc[[#This Row],[Requested]]=Proc[[#This Row],[CurrentParent]]</f>
        <v>1</v>
      </c>
      <c r="K4664" s="150" t="str">
        <f>IF(Proc[[#This Row],[Author]]="Marcela Urrego",VLOOKUP(LEFT(Proc[[#This Row],[Requested]],1),Table3[#All],2,0),VLOOKUP(Proc[[#This Row],[Author]],Table4[],2,0))</f>
        <v>LS</v>
      </c>
      <c r="L4664" s="150" t="s">
        <v>6435</v>
      </c>
      <c r="M4664" s="169">
        <v>45973</v>
      </c>
      <c r="N4664" s="169"/>
      <c r="O4664" s="169"/>
      <c r="P4664" s="168" t="str">
        <f ca="1">IF(Proc[[#This Row],[DaysAgeing]]&gt;5,"yep","on track")</f>
        <v>yep</v>
      </c>
      <c r="Q4664" s="3">
        <f ca="1">IF(Proc[[#This Row],[DateClosed]]="",ABS(NETWORKDAYS(Proc[[#This Row],[DateOpened]],TODAY()))-1,ABS(NETWORKDAYS(Proc[[#This Row],[DateOpened]],Proc[[#This Row],[DateClosed]]))-1)</f>
        <v>22</v>
      </c>
      <c r="R4664" s="168" t="s">
        <v>489</v>
      </c>
      <c r="S4664" s="150"/>
    </row>
    <row r="4665" spans="1:19" hidden="1">
      <c r="A4665" s="149" t="s">
        <v>6853</v>
      </c>
      <c r="B4665" s="150" t="str">
        <f>IFERROR(VLOOKUP(Proc[[#This Row],[App]],Table2[],3,0),"open")</f>
        <v>ok</v>
      </c>
      <c r="C4665" s="149" t="s">
        <v>369</v>
      </c>
      <c r="D4665" t="s">
        <v>6838</v>
      </c>
      <c r="E4665" t="s">
        <v>2368</v>
      </c>
      <c r="F4665" s="150" t="s">
        <v>2368</v>
      </c>
      <c r="G4665" s="149" t="s">
        <v>400</v>
      </c>
      <c r="H4665" s="150" t="str">
        <f>IF(Proc[[#This Row],[type]]="LFF (MDG-F)",MID(Proc[[#This Row],[Obj]],13,10),"")</f>
        <v/>
      </c>
      <c r="J4665" s="150" t="b">
        <f>Proc[[#This Row],[Requested]]=Proc[[#This Row],[CurrentParent]]</f>
        <v>1</v>
      </c>
      <c r="K4665" s="150" t="str">
        <f>IF(Proc[[#This Row],[Author]]="Marcela Urrego",VLOOKUP(LEFT(Proc[[#This Row],[Requested]],1),Table3[#All],2,0),VLOOKUP(Proc[[#This Row],[Author]],Table4[],2,0))</f>
        <v>LS</v>
      </c>
      <c r="L4665" s="150" t="s">
        <v>6435</v>
      </c>
      <c r="M4665" s="169">
        <v>45973</v>
      </c>
      <c r="N4665" s="169"/>
      <c r="O4665" s="169"/>
      <c r="P4665" s="168" t="str">
        <f ca="1">IF(Proc[[#This Row],[DaysAgeing]]&gt;5,"yep","on track")</f>
        <v>yep</v>
      </c>
      <c r="Q4665" s="3">
        <f ca="1">IF(Proc[[#This Row],[DateClosed]]="",ABS(NETWORKDAYS(Proc[[#This Row],[DateOpened]],TODAY()))-1,ABS(NETWORKDAYS(Proc[[#This Row],[DateOpened]],Proc[[#This Row],[DateClosed]]))-1)</f>
        <v>22</v>
      </c>
      <c r="R4665" s="168" t="s">
        <v>489</v>
      </c>
      <c r="S4665" s="150"/>
    </row>
    <row r="4666" spans="1:19" hidden="1">
      <c r="A4666" s="149" t="s">
        <v>6853</v>
      </c>
      <c r="B4666" s="150" t="str">
        <f>IFERROR(VLOOKUP(Proc[[#This Row],[App]],Table2[],3,0),"open")</f>
        <v>ok</v>
      </c>
      <c r="C4666" s="149" t="s">
        <v>369</v>
      </c>
      <c r="D4666" t="s">
        <v>6839</v>
      </c>
      <c r="E4666" t="s">
        <v>2368</v>
      </c>
      <c r="F4666" s="150" t="s">
        <v>2368</v>
      </c>
      <c r="G4666" s="149" t="s">
        <v>400</v>
      </c>
      <c r="H4666" s="150" t="str">
        <f>IF(Proc[[#This Row],[type]]="LFF (MDG-F)",MID(Proc[[#This Row],[Obj]],13,10),"")</f>
        <v/>
      </c>
      <c r="J4666" s="150" t="b">
        <f>Proc[[#This Row],[Requested]]=Proc[[#This Row],[CurrentParent]]</f>
        <v>1</v>
      </c>
      <c r="K4666" s="150" t="str">
        <f>IF(Proc[[#This Row],[Author]]="Marcela Urrego",VLOOKUP(LEFT(Proc[[#This Row],[Requested]],1),Table3[#All],2,0),VLOOKUP(Proc[[#This Row],[Author]],Table4[],2,0))</f>
        <v>LS</v>
      </c>
      <c r="L4666" s="150" t="s">
        <v>6435</v>
      </c>
      <c r="M4666" s="169">
        <v>45973</v>
      </c>
      <c r="N4666" s="169"/>
      <c r="O4666" s="169"/>
      <c r="P4666" s="168" t="str">
        <f ca="1">IF(Proc[[#This Row],[DaysAgeing]]&gt;5,"yep","on track")</f>
        <v>yep</v>
      </c>
      <c r="Q4666" s="3">
        <f ca="1">IF(Proc[[#This Row],[DateClosed]]="",ABS(NETWORKDAYS(Proc[[#This Row],[DateOpened]],TODAY()))-1,ABS(NETWORKDAYS(Proc[[#This Row],[DateOpened]],Proc[[#This Row],[DateClosed]]))-1)</f>
        <v>22</v>
      </c>
      <c r="R4666" s="168" t="s">
        <v>489</v>
      </c>
      <c r="S4666" s="150"/>
    </row>
    <row r="4667" spans="1:19" hidden="1">
      <c r="A4667" s="149" t="s">
        <v>6853</v>
      </c>
      <c r="B4667" s="150" t="str">
        <f>IFERROR(VLOOKUP(Proc[[#This Row],[App]],Table2[],3,0),"open")</f>
        <v>ok</v>
      </c>
      <c r="C4667" s="149" t="s">
        <v>369</v>
      </c>
      <c r="D4667" t="s">
        <v>6840</v>
      </c>
      <c r="E4667" t="s">
        <v>6848</v>
      </c>
      <c r="F4667" s="150" t="s">
        <v>6848</v>
      </c>
      <c r="G4667" s="149" t="s">
        <v>400</v>
      </c>
      <c r="H4667" s="150" t="str">
        <f>IF(Proc[[#This Row],[type]]="LFF (MDG-F)",MID(Proc[[#This Row],[Obj]],13,10),"")</f>
        <v/>
      </c>
      <c r="J4667" s="150" t="b">
        <f>Proc[[#This Row],[Requested]]=Proc[[#This Row],[CurrentParent]]</f>
        <v>1</v>
      </c>
      <c r="K4667" s="150" t="str">
        <f>IF(Proc[[#This Row],[Author]]="Marcela Urrego",VLOOKUP(LEFT(Proc[[#This Row],[Requested]],1),Table3[#All],2,0),VLOOKUP(Proc[[#This Row],[Author]],Table4[],2,0))</f>
        <v>LS</v>
      </c>
      <c r="L4667" s="150" t="s">
        <v>6435</v>
      </c>
      <c r="M4667" s="169">
        <v>45973</v>
      </c>
      <c r="N4667" s="169"/>
      <c r="O4667" s="169"/>
      <c r="P4667" s="168" t="str">
        <f ca="1">IF(Proc[[#This Row],[DaysAgeing]]&gt;5,"yep","on track")</f>
        <v>yep</v>
      </c>
      <c r="Q4667" s="3">
        <f ca="1">IF(Proc[[#This Row],[DateClosed]]="",ABS(NETWORKDAYS(Proc[[#This Row],[DateOpened]],TODAY()))-1,ABS(NETWORKDAYS(Proc[[#This Row],[DateOpened]],Proc[[#This Row],[DateClosed]]))-1)</f>
        <v>22</v>
      </c>
      <c r="R4667" s="168" t="s">
        <v>489</v>
      </c>
      <c r="S4667" s="150"/>
    </row>
    <row r="4668" spans="1:19" hidden="1">
      <c r="A4668" s="149" t="s">
        <v>6853</v>
      </c>
      <c r="B4668" s="150" t="str">
        <f>IFERROR(VLOOKUP(Proc[[#This Row],[App]],Table2[],3,0),"open")</f>
        <v>ok</v>
      </c>
      <c r="C4668" s="149" t="s">
        <v>369</v>
      </c>
      <c r="D4668" t="s">
        <v>6841</v>
      </c>
      <c r="E4668" t="s">
        <v>6849</v>
      </c>
      <c r="F4668" s="150" t="s">
        <v>6849</v>
      </c>
      <c r="G4668" s="149" t="s">
        <v>400</v>
      </c>
      <c r="H4668" s="150" t="str">
        <f>IF(Proc[[#This Row],[type]]="LFF (MDG-F)",MID(Proc[[#This Row],[Obj]],13,10),"")</f>
        <v/>
      </c>
      <c r="J4668" s="150" t="b">
        <f>Proc[[#This Row],[Requested]]=Proc[[#This Row],[CurrentParent]]</f>
        <v>1</v>
      </c>
      <c r="K4668" s="150" t="str">
        <f>IF(Proc[[#This Row],[Author]]="Marcela Urrego",VLOOKUP(LEFT(Proc[[#This Row],[Requested]],1),Table3[#All],2,0),VLOOKUP(Proc[[#This Row],[Author]],Table4[],2,0))</f>
        <v>LS</v>
      </c>
      <c r="L4668" s="150" t="s">
        <v>6435</v>
      </c>
      <c r="M4668" s="169">
        <v>45973</v>
      </c>
      <c r="N4668" s="169"/>
      <c r="O4668" s="169"/>
      <c r="P4668" s="168" t="str">
        <f ca="1">IF(Proc[[#This Row],[DaysAgeing]]&gt;5,"yep","on track")</f>
        <v>yep</v>
      </c>
      <c r="Q4668" s="3">
        <f ca="1">IF(Proc[[#This Row],[DateClosed]]="",ABS(NETWORKDAYS(Proc[[#This Row],[DateOpened]],TODAY()))-1,ABS(NETWORKDAYS(Proc[[#This Row],[DateOpened]],Proc[[#This Row],[DateClosed]]))-1)</f>
        <v>22</v>
      </c>
      <c r="R4668" s="168" t="s">
        <v>489</v>
      </c>
      <c r="S4668" s="150"/>
    </row>
    <row r="4669" spans="1:19" hidden="1">
      <c r="A4669" s="149" t="s">
        <v>6853</v>
      </c>
      <c r="B4669" s="150" t="str">
        <f>IFERROR(VLOOKUP(Proc[[#This Row],[App]],Table2[],3,0),"open")</f>
        <v>ok</v>
      </c>
      <c r="C4669" s="149" t="s">
        <v>369</v>
      </c>
      <c r="D4669" t="s">
        <v>6842</v>
      </c>
      <c r="E4669" t="s">
        <v>6531</v>
      </c>
      <c r="F4669" s="150" t="s">
        <v>6531</v>
      </c>
      <c r="G4669" s="149" t="s">
        <v>400</v>
      </c>
      <c r="H4669" s="150" t="str">
        <f>IF(Proc[[#This Row],[type]]="LFF (MDG-F)",MID(Proc[[#This Row],[Obj]],13,10),"")</f>
        <v/>
      </c>
      <c r="J4669" s="150" t="b">
        <f>Proc[[#This Row],[Requested]]=Proc[[#This Row],[CurrentParent]]</f>
        <v>1</v>
      </c>
      <c r="K4669" s="150" t="str">
        <f>IF(Proc[[#This Row],[Author]]="Marcela Urrego",VLOOKUP(LEFT(Proc[[#This Row],[Requested]],1),Table3[#All],2,0),VLOOKUP(Proc[[#This Row],[Author]],Table4[],2,0))</f>
        <v>LS</v>
      </c>
      <c r="L4669" s="150" t="s">
        <v>6435</v>
      </c>
      <c r="M4669" s="169">
        <v>45973</v>
      </c>
      <c r="N4669" s="169"/>
      <c r="O4669" s="169"/>
      <c r="P4669" s="168" t="str">
        <f ca="1">IF(Proc[[#This Row],[DaysAgeing]]&gt;5,"yep","on track")</f>
        <v>yep</v>
      </c>
      <c r="Q4669" s="3">
        <f ca="1">IF(Proc[[#This Row],[DateClosed]]="",ABS(NETWORKDAYS(Proc[[#This Row],[DateOpened]],TODAY()))-1,ABS(NETWORKDAYS(Proc[[#This Row],[DateOpened]],Proc[[#This Row],[DateClosed]]))-1)</f>
        <v>22</v>
      </c>
      <c r="R4669" s="168" t="s">
        <v>489</v>
      </c>
      <c r="S4669" s="150"/>
    </row>
    <row r="4670" spans="1:19" hidden="1">
      <c r="A4670" s="149" t="s">
        <v>6853</v>
      </c>
      <c r="B4670" s="150" t="str">
        <f>IFERROR(VLOOKUP(Proc[[#This Row],[App]],Table2[],3,0),"open")</f>
        <v>ok</v>
      </c>
      <c r="C4670" s="149" t="s">
        <v>369</v>
      </c>
      <c r="D4670" t="s">
        <v>6843</v>
      </c>
      <c r="E4670" t="s">
        <v>6850</v>
      </c>
      <c r="F4670" s="150" t="s">
        <v>6850</v>
      </c>
      <c r="G4670" s="149" t="s">
        <v>400</v>
      </c>
      <c r="H4670" s="150" t="str">
        <f>IF(Proc[[#This Row],[type]]="LFF (MDG-F)",MID(Proc[[#This Row],[Obj]],13,10),"")</f>
        <v/>
      </c>
      <c r="J4670" s="150" t="b">
        <f>Proc[[#This Row],[Requested]]=Proc[[#This Row],[CurrentParent]]</f>
        <v>1</v>
      </c>
      <c r="K4670" s="150" t="str">
        <f>IF(Proc[[#This Row],[Author]]="Marcela Urrego",VLOOKUP(LEFT(Proc[[#This Row],[Requested]],1),Table3[#All],2,0),VLOOKUP(Proc[[#This Row],[Author]],Table4[],2,0))</f>
        <v>LS</v>
      </c>
      <c r="L4670" s="150" t="s">
        <v>6435</v>
      </c>
      <c r="M4670" s="169">
        <v>45973</v>
      </c>
      <c r="N4670" s="169"/>
      <c r="O4670" s="169"/>
      <c r="P4670" s="168" t="str">
        <f ca="1">IF(Proc[[#This Row],[DaysAgeing]]&gt;5,"yep","on track")</f>
        <v>yep</v>
      </c>
      <c r="Q4670" s="3">
        <f ca="1">IF(Proc[[#This Row],[DateClosed]]="",ABS(NETWORKDAYS(Proc[[#This Row],[DateOpened]],TODAY()))-1,ABS(NETWORKDAYS(Proc[[#This Row],[DateOpened]],Proc[[#This Row],[DateClosed]]))-1)</f>
        <v>22</v>
      </c>
      <c r="R4670" s="168" t="s">
        <v>489</v>
      </c>
      <c r="S4670" s="150"/>
    </row>
    <row r="4671" spans="1:19" hidden="1">
      <c r="A4671" s="149" t="s">
        <v>6853</v>
      </c>
      <c r="B4671" s="150" t="str">
        <f>IFERROR(VLOOKUP(Proc[[#This Row],[App]],Table2[],3,0),"open")</f>
        <v>ok</v>
      </c>
      <c r="C4671" s="149" t="s">
        <v>369</v>
      </c>
      <c r="D4671" t="s">
        <v>6844</v>
      </c>
      <c r="E4671" t="s">
        <v>447</v>
      </c>
      <c r="F4671" s="149" t="s">
        <v>447</v>
      </c>
      <c r="G4671" s="149" t="s">
        <v>400</v>
      </c>
      <c r="H4671" s="150" t="str">
        <f>IF(Proc[[#This Row],[type]]="LFF (MDG-F)",MID(Proc[[#This Row],[Obj]],13,10),"")</f>
        <v/>
      </c>
      <c r="J4671" s="150" t="b">
        <f>Proc[[#This Row],[Requested]]=Proc[[#This Row],[CurrentParent]]</f>
        <v>1</v>
      </c>
      <c r="K4671" s="150" t="str">
        <f>IF(Proc[[#This Row],[Author]]="Marcela Urrego",VLOOKUP(LEFT(Proc[[#This Row],[Requested]],1),Table3[#All],2,0),VLOOKUP(Proc[[#This Row],[Author]],Table4[],2,0))</f>
        <v>LS</v>
      </c>
      <c r="L4671" s="150" t="s">
        <v>6435</v>
      </c>
      <c r="M4671" s="169">
        <v>45973</v>
      </c>
      <c r="N4671" s="169"/>
      <c r="O4671" s="169"/>
      <c r="P4671" s="168" t="str">
        <f ca="1">IF(Proc[[#This Row],[DaysAgeing]]&gt;5,"yep","on track")</f>
        <v>yep</v>
      </c>
      <c r="Q4671" s="3">
        <f ca="1">IF(Proc[[#This Row],[DateClosed]]="",ABS(NETWORKDAYS(Proc[[#This Row],[DateOpened]],TODAY()))-1,ABS(NETWORKDAYS(Proc[[#This Row],[DateOpened]],Proc[[#This Row],[DateClosed]]))-1)</f>
        <v>22</v>
      </c>
      <c r="R4671" s="168" t="s">
        <v>489</v>
      </c>
      <c r="S4671" s="150"/>
    </row>
    <row r="4672" spans="1:19" hidden="1">
      <c r="A4672" s="149" t="s">
        <v>6853</v>
      </c>
      <c r="B4672" s="150" t="str">
        <f>IFERROR(VLOOKUP(Proc[[#This Row],[App]],Table2[],3,0),"open")</f>
        <v>ok</v>
      </c>
      <c r="C4672" s="149" t="s">
        <v>369</v>
      </c>
      <c r="D4672" t="s">
        <v>6845</v>
      </c>
      <c r="E4672" t="s">
        <v>496</v>
      </c>
      <c r="F4672" s="150" t="s">
        <v>496</v>
      </c>
      <c r="G4672" s="149" t="s">
        <v>400</v>
      </c>
      <c r="H4672" s="150" t="str">
        <f>IF(Proc[[#This Row],[type]]="LFF (MDG-F)",MID(Proc[[#This Row],[Obj]],13,10),"")</f>
        <v/>
      </c>
      <c r="J4672" s="150" t="b">
        <f>Proc[[#This Row],[Requested]]=Proc[[#This Row],[CurrentParent]]</f>
        <v>1</v>
      </c>
      <c r="K4672" s="150" t="str">
        <f>IF(Proc[[#This Row],[Author]]="Marcela Urrego",VLOOKUP(LEFT(Proc[[#This Row],[Requested]],1),Table3[#All],2,0),VLOOKUP(Proc[[#This Row],[Author]],Table4[],2,0))</f>
        <v>LS</v>
      </c>
      <c r="L4672" s="150" t="s">
        <v>6435</v>
      </c>
      <c r="M4672" s="169">
        <v>45973</v>
      </c>
      <c r="N4672" s="169"/>
      <c r="O4672" s="169"/>
      <c r="P4672" s="168" t="str">
        <f ca="1">IF(Proc[[#This Row],[DaysAgeing]]&gt;5,"yep","on track")</f>
        <v>yep</v>
      </c>
      <c r="Q4672" s="3">
        <f ca="1">IF(Proc[[#This Row],[DateClosed]]="",ABS(NETWORKDAYS(Proc[[#This Row],[DateOpened]],TODAY()))-1,ABS(NETWORKDAYS(Proc[[#This Row],[DateOpened]],Proc[[#This Row],[DateClosed]]))-1)</f>
        <v>22</v>
      </c>
      <c r="R4672" s="168" t="s">
        <v>489</v>
      </c>
      <c r="S4672" s="150"/>
    </row>
    <row r="4673" spans="1:19" hidden="1">
      <c r="A4673" s="149" t="s">
        <v>6853</v>
      </c>
      <c r="B4673" s="150" t="str">
        <f>IFERROR(VLOOKUP(Proc[[#This Row],[App]],Table2[],3,0),"open")</f>
        <v>ok</v>
      </c>
      <c r="C4673" s="149" t="s">
        <v>369</v>
      </c>
      <c r="D4673" t="s">
        <v>6846</v>
      </c>
      <c r="E4673" t="s">
        <v>6851</v>
      </c>
      <c r="F4673" s="150" t="s">
        <v>6851</v>
      </c>
      <c r="G4673" s="149" t="s">
        <v>400</v>
      </c>
      <c r="H4673" s="150" t="str">
        <f>IF(Proc[[#This Row],[type]]="LFF (MDG-F)",MID(Proc[[#This Row],[Obj]],13,10),"")</f>
        <v/>
      </c>
      <c r="J4673" s="150" t="b">
        <f>Proc[[#This Row],[Requested]]=Proc[[#This Row],[CurrentParent]]</f>
        <v>1</v>
      </c>
      <c r="K4673" s="150" t="str">
        <f>IF(Proc[[#This Row],[Author]]="Marcela Urrego",VLOOKUP(LEFT(Proc[[#This Row],[Requested]],1),Table3[#All],2,0),VLOOKUP(Proc[[#This Row],[Author]],Table4[],2,0))</f>
        <v>LS</v>
      </c>
      <c r="L4673" s="150" t="s">
        <v>6435</v>
      </c>
      <c r="M4673" s="169">
        <v>45973</v>
      </c>
      <c r="N4673" s="169"/>
      <c r="O4673" s="169"/>
      <c r="P4673" s="168" t="str">
        <f ca="1">IF(Proc[[#This Row],[DaysAgeing]]&gt;5,"yep","on track")</f>
        <v>yep</v>
      </c>
      <c r="Q4673" s="3">
        <f ca="1">IF(Proc[[#This Row],[DateClosed]]="",ABS(NETWORKDAYS(Proc[[#This Row],[DateOpened]],TODAY()))-1,ABS(NETWORKDAYS(Proc[[#This Row],[DateOpened]],Proc[[#This Row],[DateClosed]]))-1)</f>
        <v>22</v>
      </c>
      <c r="R4673" s="168" t="s">
        <v>489</v>
      </c>
      <c r="S4673" s="150"/>
    </row>
    <row r="4674" spans="1:19" hidden="1">
      <c r="A4674" s="149" t="s">
        <v>6853</v>
      </c>
      <c r="B4674" s="150" t="str">
        <f>IFERROR(VLOOKUP(Proc[[#This Row],[App]],Table2[],3,0),"open")</f>
        <v>ok</v>
      </c>
      <c r="C4674" s="149" t="s">
        <v>369</v>
      </c>
      <c r="D4674" t="s">
        <v>6847</v>
      </c>
      <c r="E4674" t="s">
        <v>6852</v>
      </c>
      <c r="F4674" s="149" t="s">
        <v>6852</v>
      </c>
      <c r="G4674" s="149" t="s">
        <v>400</v>
      </c>
      <c r="H4674" s="150" t="str">
        <f>IF(Proc[[#This Row],[type]]="LFF (MDG-F)",MID(Proc[[#This Row],[Obj]],13,10),"")</f>
        <v/>
      </c>
      <c r="J4674" s="150" t="b">
        <f>Proc[[#This Row],[Requested]]=Proc[[#This Row],[CurrentParent]]</f>
        <v>1</v>
      </c>
      <c r="K4674" s="150" t="str">
        <f>IF(Proc[[#This Row],[Author]]="Marcela Urrego",VLOOKUP(LEFT(Proc[[#This Row],[Requested]],1),Table3[#All],2,0),VLOOKUP(Proc[[#This Row],[Author]],Table4[],2,0))</f>
        <v>LS</v>
      </c>
      <c r="L4674" s="150" t="s">
        <v>6435</v>
      </c>
      <c r="M4674" s="169">
        <v>45973</v>
      </c>
      <c r="N4674" s="169"/>
      <c r="O4674" s="169"/>
      <c r="P4674" s="168" t="str">
        <f ca="1">IF(Proc[[#This Row],[DaysAgeing]]&gt;5,"yep","on track")</f>
        <v>yep</v>
      </c>
      <c r="Q4674" s="3">
        <f ca="1">IF(Proc[[#This Row],[DateClosed]]="",ABS(NETWORKDAYS(Proc[[#This Row],[DateOpened]],TODAY()))-1,ABS(NETWORKDAYS(Proc[[#This Row],[DateOpened]],Proc[[#This Row],[DateClosed]]))-1)</f>
        <v>22</v>
      </c>
      <c r="R4674" s="168" t="s">
        <v>489</v>
      </c>
      <c r="S4674" s="150"/>
    </row>
    <row r="4675" spans="1:19" hidden="1">
      <c r="A4675" s="149" t="s">
        <v>6853</v>
      </c>
      <c r="B4675" s="150" t="str">
        <f>IFERROR(VLOOKUP(Proc[[#This Row],[App]],Table2[],3,0),"open")</f>
        <v>ok</v>
      </c>
      <c r="C4675" s="149" t="s">
        <v>369</v>
      </c>
      <c r="D4675" t="s">
        <v>6831</v>
      </c>
      <c r="E4675" t="s">
        <v>2206</v>
      </c>
      <c r="F4675" s="150" t="s">
        <v>2206</v>
      </c>
      <c r="G4675" s="149" t="s">
        <v>400</v>
      </c>
      <c r="H4675" s="150" t="str">
        <f>IF(Proc[[#This Row],[type]]="LFF (MDG-F)",MID(Proc[[#This Row],[Obj]],13,10),"")</f>
        <v/>
      </c>
      <c r="J4675" s="150" t="b">
        <f>Proc[[#This Row],[Requested]]=Proc[[#This Row],[CurrentParent]]</f>
        <v>1</v>
      </c>
      <c r="K4675" s="150" t="str">
        <f>IF(Proc[[#This Row],[Author]]="Marcela Urrego",VLOOKUP(LEFT(Proc[[#This Row],[Requested]],1),Table3[#All],2,0),VLOOKUP(Proc[[#This Row],[Author]],Table4[],2,0))</f>
        <v>LS</v>
      </c>
      <c r="L4675" s="150" t="s">
        <v>6435</v>
      </c>
      <c r="M4675" s="169">
        <v>45973</v>
      </c>
      <c r="N4675" s="169"/>
      <c r="O4675" s="169"/>
      <c r="P4675" s="168" t="str">
        <f ca="1">IF(Proc[[#This Row],[DaysAgeing]]&gt;5,"yep","on track")</f>
        <v>yep</v>
      </c>
      <c r="Q4675" s="3">
        <f ca="1">IF(Proc[[#This Row],[DateClosed]]="",ABS(NETWORKDAYS(Proc[[#This Row],[DateOpened]],TODAY()))-1,ABS(NETWORKDAYS(Proc[[#This Row],[DateOpened]],Proc[[#This Row],[DateClosed]]))-1)</f>
        <v>22</v>
      </c>
      <c r="R4675" s="168" t="s">
        <v>489</v>
      </c>
      <c r="S4675" s="150"/>
    </row>
    <row r="4676" spans="1:19" hidden="1">
      <c r="A4676" s="149" t="s">
        <v>6853</v>
      </c>
      <c r="B4676" s="150" t="str">
        <f>IFERROR(VLOOKUP(Proc[[#This Row],[App]],Table2[],3,0),"open")</f>
        <v>ok</v>
      </c>
      <c r="C4676" s="149" t="s">
        <v>369</v>
      </c>
      <c r="D4676" t="s">
        <v>6832</v>
      </c>
      <c r="E4676" t="s">
        <v>2206</v>
      </c>
      <c r="F4676" s="150" t="s">
        <v>2206</v>
      </c>
      <c r="G4676" s="149" t="s">
        <v>400</v>
      </c>
      <c r="H4676" s="150" t="str">
        <f>IF(Proc[[#This Row],[type]]="LFF (MDG-F)",MID(Proc[[#This Row],[Obj]],13,10),"")</f>
        <v/>
      </c>
      <c r="J4676" s="150" t="b">
        <f>Proc[[#This Row],[Requested]]=Proc[[#This Row],[CurrentParent]]</f>
        <v>1</v>
      </c>
      <c r="K4676" s="150" t="str">
        <f>IF(Proc[[#This Row],[Author]]="Marcela Urrego",VLOOKUP(LEFT(Proc[[#This Row],[Requested]],1),Table3[#All],2,0),VLOOKUP(Proc[[#This Row],[Author]],Table4[],2,0))</f>
        <v>LS</v>
      </c>
      <c r="L4676" s="150" t="s">
        <v>6435</v>
      </c>
      <c r="M4676" s="169">
        <v>45973</v>
      </c>
      <c r="N4676" s="169"/>
      <c r="O4676" s="169"/>
      <c r="P4676" s="168" t="str">
        <f ca="1">IF(Proc[[#This Row],[DaysAgeing]]&gt;5,"yep","on track")</f>
        <v>yep</v>
      </c>
      <c r="Q4676" s="3">
        <f ca="1">IF(Proc[[#This Row],[DateClosed]]="",ABS(NETWORKDAYS(Proc[[#This Row],[DateOpened]],TODAY()))-1,ABS(NETWORKDAYS(Proc[[#This Row],[DateOpened]],Proc[[#This Row],[DateClosed]]))-1)</f>
        <v>22</v>
      </c>
      <c r="R4676" s="168" t="s">
        <v>489</v>
      </c>
      <c r="S4676" s="150"/>
    </row>
    <row r="4677" spans="1:19" hidden="1">
      <c r="A4677" t="s">
        <v>6854</v>
      </c>
      <c r="B4677" s="150" t="str">
        <f>IFERROR(VLOOKUP(Proc[[#This Row],[App]],Table2[],3,0),"open")</f>
        <v>ok</v>
      </c>
      <c r="C4677" s="149" t="s">
        <v>369</v>
      </c>
      <c r="D4677" t="s">
        <v>6855</v>
      </c>
      <c r="E4677" t="s">
        <v>6914</v>
      </c>
      <c r="F4677" s="150" t="s">
        <v>6914</v>
      </c>
      <c r="G4677" s="149" t="s">
        <v>400</v>
      </c>
      <c r="H4677" s="150" t="str">
        <f>IF(Proc[[#This Row],[type]]="LFF (MDG-F)",MID(Proc[[#This Row],[Obj]],13,10),"")</f>
        <v/>
      </c>
      <c r="J4677" s="150" t="b">
        <f>Proc[[#This Row],[Requested]]=Proc[[#This Row],[CurrentParent]]</f>
        <v>1</v>
      </c>
      <c r="K4677" s="150" t="str">
        <f>IF(Proc[[#This Row],[Author]]="Marcela Urrego",VLOOKUP(LEFT(Proc[[#This Row],[Requested]],1),Table3[#All],2,0),VLOOKUP(Proc[[#This Row],[Author]],Table4[],2,0))</f>
        <v>HC</v>
      </c>
      <c r="L4677" s="150" t="s">
        <v>6435</v>
      </c>
      <c r="M4677" s="169">
        <v>45978</v>
      </c>
      <c r="N4677" s="169"/>
      <c r="O4677" s="169"/>
      <c r="P4677" s="170" t="str">
        <f ca="1">IF(Proc[[#This Row],[DaysAgeing]]&gt;5,"yep","on track")</f>
        <v>yep</v>
      </c>
      <c r="Q4677" s="3">
        <f ca="1">IF(Proc[[#This Row],[DateClosed]]="",ABS(NETWORKDAYS(Proc[[#This Row],[DateOpened]],TODAY()))-1,ABS(NETWORKDAYS(Proc[[#This Row],[DateOpened]],Proc[[#This Row],[DateClosed]]))-1)</f>
        <v>19</v>
      </c>
      <c r="R4677" s="170" t="s">
        <v>6862</v>
      </c>
      <c r="S4677" s="150"/>
    </row>
    <row r="4678" spans="1:19" hidden="1">
      <c r="A4678" t="s">
        <v>6854</v>
      </c>
      <c r="B4678" s="150" t="str">
        <f>IFERROR(VLOOKUP(Proc[[#This Row],[App]],Table2[],3,0),"open")</f>
        <v>ok</v>
      </c>
      <c r="C4678" s="149" t="s">
        <v>369</v>
      </c>
      <c r="D4678" t="s">
        <v>6856</v>
      </c>
      <c r="E4678" t="s">
        <v>6915</v>
      </c>
      <c r="F4678" s="150" t="s">
        <v>6915</v>
      </c>
      <c r="G4678" s="149" t="s">
        <v>400</v>
      </c>
      <c r="H4678" s="150" t="str">
        <f>IF(Proc[[#This Row],[type]]="LFF (MDG-F)",MID(Proc[[#This Row],[Obj]],13,10),"")</f>
        <v/>
      </c>
      <c r="J4678" s="150" t="b">
        <f>Proc[[#This Row],[Requested]]=Proc[[#This Row],[CurrentParent]]</f>
        <v>1</v>
      </c>
      <c r="K4678" s="150" t="str">
        <f>IF(Proc[[#This Row],[Author]]="Marcela Urrego",VLOOKUP(LEFT(Proc[[#This Row],[Requested]],1),Table3[#All],2,0),VLOOKUP(Proc[[#This Row],[Author]],Table4[],2,0))</f>
        <v>HC</v>
      </c>
      <c r="L4678" s="150" t="s">
        <v>6435</v>
      </c>
      <c r="M4678" s="169">
        <v>45978</v>
      </c>
      <c r="N4678" s="169"/>
      <c r="O4678" s="169"/>
      <c r="P4678" s="170" t="str">
        <f ca="1">IF(Proc[[#This Row],[DaysAgeing]]&gt;5,"yep","on track")</f>
        <v>yep</v>
      </c>
      <c r="Q4678" s="3">
        <f ca="1">IF(Proc[[#This Row],[DateClosed]]="",ABS(NETWORKDAYS(Proc[[#This Row],[DateOpened]],TODAY()))-1,ABS(NETWORKDAYS(Proc[[#This Row],[DateOpened]],Proc[[#This Row],[DateClosed]]))-1)</f>
        <v>19</v>
      </c>
      <c r="R4678" s="170" t="s">
        <v>6862</v>
      </c>
      <c r="S4678" s="150"/>
    </row>
    <row r="4679" spans="1:19" hidden="1">
      <c r="A4679" s="149" t="s">
        <v>6854</v>
      </c>
      <c r="B4679" s="150" t="str">
        <f>IFERROR(VLOOKUP(Proc[[#This Row],[App]],Table2[],3,0),"open")</f>
        <v>ok</v>
      </c>
      <c r="C4679" s="149" t="s">
        <v>369</v>
      </c>
      <c r="D4679" t="s">
        <v>6857</v>
      </c>
      <c r="E4679" t="s">
        <v>6914</v>
      </c>
      <c r="F4679" s="150" t="s">
        <v>6914</v>
      </c>
      <c r="G4679" s="149" t="s">
        <v>400</v>
      </c>
      <c r="H4679" s="150" t="str">
        <f>IF(Proc[[#This Row],[type]]="LFF (MDG-F)",MID(Proc[[#This Row],[Obj]],13,10),"")</f>
        <v/>
      </c>
      <c r="J4679" s="150" t="b">
        <f>Proc[[#This Row],[Requested]]=Proc[[#This Row],[CurrentParent]]</f>
        <v>1</v>
      </c>
      <c r="K4679" s="150" t="str">
        <f>IF(Proc[[#This Row],[Author]]="Marcela Urrego",VLOOKUP(LEFT(Proc[[#This Row],[Requested]],1),Table3[#All],2,0),VLOOKUP(Proc[[#This Row],[Author]],Table4[],2,0))</f>
        <v>HC</v>
      </c>
      <c r="L4679" s="150" t="s">
        <v>6435</v>
      </c>
      <c r="M4679" s="169">
        <v>45978</v>
      </c>
      <c r="N4679" s="169"/>
      <c r="O4679" s="169"/>
      <c r="P4679" s="170" t="str">
        <f ca="1">IF(Proc[[#This Row],[DaysAgeing]]&gt;5,"yep","on track")</f>
        <v>yep</v>
      </c>
      <c r="Q4679" s="3">
        <f ca="1">IF(Proc[[#This Row],[DateClosed]]="",ABS(NETWORKDAYS(Proc[[#This Row],[DateOpened]],TODAY()))-1,ABS(NETWORKDAYS(Proc[[#This Row],[DateOpened]],Proc[[#This Row],[DateClosed]]))-1)</f>
        <v>19</v>
      </c>
      <c r="R4679" s="170" t="s">
        <v>6862</v>
      </c>
      <c r="S4679" s="150"/>
    </row>
    <row r="4680" spans="1:19" hidden="1">
      <c r="A4680" s="149" t="s">
        <v>6854</v>
      </c>
      <c r="B4680" s="150" t="str">
        <f>IFERROR(VLOOKUP(Proc[[#This Row],[App]],Table2[],3,0),"open")</f>
        <v>ok</v>
      </c>
      <c r="C4680" s="149" t="s">
        <v>369</v>
      </c>
      <c r="D4680" t="s">
        <v>6858</v>
      </c>
      <c r="E4680" t="s">
        <v>6914</v>
      </c>
      <c r="F4680" s="150" t="s">
        <v>6914</v>
      </c>
      <c r="G4680" s="149" t="s">
        <v>400</v>
      </c>
      <c r="H4680" s="150" t="str">
        <f>IF(Proc[[#This Row],[type]]="LFF (MDG-F)",MID(Proc[[#This Row],[Obj]],13,10),"")</f>
        <v/>
      </c>
      <c r="J4680" s="150" t="b">
        <f>Proc[[#This Row],[Requested]]=Proc[[#This Row],[CurrentParent]]</f>
        <v>1</v>
      </c>
      <c r="K4680" s="150" t="str">
        <f>IF(Proc[[#This Row],[Author]]="Marcela Urrego",VLOOKUP(LEFT(Proc[[#This Row],[Requested]],1),Table3[#All],2,0),VLOOKUP(Proc[[#This Row],[Author]],Table4[],2,0))</f>
        <v>HC</v>
      </c>
      <c r="L4680" s="150" t="s">
        <v>6435</v>
      </c>
      <c r="M4680" s="169">
        <v>45978</v>
      </c>
      <c r="N4680" s="169"/>
      <c r="O4680" s="169"/>
      <c r="P4680" s="170" t="str">
        <f ca="1">IF(Proc[[#This Row],[DaysAgeing]]&gt;5,"yep","on track")</f>
        <v>yep</v>
      </c>
      <c r="Q4680" s="3">
        <f ca="1">IF(Proc[[#This Row],[DateClosed]]="",ABS(NETWORKDAYS(Proc[[#This Row],[DateOpened]],TODAY()))-1,ABS(NETWORKDAYS(Proc[[#This Row],[DateOpened]],Proc[[#This Row],[DateClosed]]))-1)</f>
        <v>19</v>
      </c>
      <c r="R4680" s="170" t="s">
        <v>6862</v>
      </c>
      <c r="S4680" s="150"/>
    </row>
    <row r="4681" spans="1:19" hidden="1">
      <c r="A4681" s="149" t="s">
        <v>6854</v>
      </c>
      <c r="B4681" s="150" t="str">
        <f>IFERROR(VLOOKUP(Proc[[#This Row],[App]],Table2[],3,0),"open")</f>
        <v>ok</v>
      </c>
      <c r="C4681" s="149" t="s">
        <v>369</v>
      </c>
      <c r="D4681" t="s">
        <v>6859</v>
      </c>
      <c r="E4681" t="s">
        <v>6916</v>
      </c>
      <c r="F4681" s="150" t="s">
        <v>6916</v>
      </c>
      <c r="G4681" s="149" t="s">
        <v>400</v>
      </c>
      <c r="H4681" s="150" t="str">
        <f>IF(Proc[[#This Row],[type]]="LFF (MDG-F)",MID(Proc[[#This Row],[Obj]],13,10),"")</f>
        <v/>
      </c>
      <c r="J4681" s="150" t="b">
        <f>Proc[[#This Row],[Requested]]=Proc[[#This Row],[CurrentParent]]</f>
        <v>1</v>
      </c>
      <c r="K4681" s="150" t="str">
        <f>IF(Proc[[#This Row],[Author]]="Marcela Urrego",VLOOKUP(LEFT(Proc[[#This Row],[Requested]],1),Table3[#All],2,0),VLOOKUP(Proc[[#This Row],[Author]],Table4[],2,0))</f>
        <v>HC</v>
      </c>
      <c r="L4681" s="150" t="s">
        <v>6435</v>
      </c>
      <c r="M4681" s="169">
        <v>45978</v>
      </c>
      <c r="N4681" s="169"/>
      <c r="O4681" s="169"/>
      <c r="P4681" s="170" t="str">
        <f ca="1">IF(Proc[[#This Row],[DaysAgeing]]&gt;5,"yep","on track")</f>
        <v>yep</v>
      </c>
      <c r="Q4681" s="3">
        <f ca="1">IF(Proc[[#This Row],[DateClosed]]="",ABS(NETWORKDAYS(Proc[[#This Row],[DateOpened]],TODAY()))-1,ABS(NETWORKDAYS(Proc[[#This Row],[DateOpened]],Proc[[#This Row],[DateClosed]]))-1)</f>
        <v>19</v>
      </c>
      <c r="R4681" s="170" t="s">
        <v>6862</v>
      </c>
      <c r="S4681" s="150"/>
    </row>
    <row r="4682" spans="1:19" hidden="1">
      <c r="A4682" s="149" t="s">
        <v>6854</v>
      </c>
      <c r="B4682" s="150" t="str">
        <f>IFERROR(VLOOKUP(Proc[[#This Row],[App]],Table2[],3,0),"open")</f>
        <v>ok</v>
      </c>
      <c r="C4682" s="149" t="s">
        <v>369</v>
      </c>
      <c r="D4682" t="s">
        <v>6860</v>
      </c>
      <c r="E4682" t="s">
        <v>6917</v>
      </c>
      <c r="F4682" s="150" t="s">
        <v>6917</v>
      </c>
      <c r="G4682" s="149" t="s">
        <v>400</v>
      </c>
      <c r="H4682" s="150" t="str">
        <f>IF(Proc[[#This Row],[type]]="LFF (MDG-F)",MID(Proc[[#This Row],[Obj]],13,10),"")</f>
        <v/>
      </c>
      <c r="J4682" s="150" t="b">
        <f>Proc[[#This Row],[Requested]]=Proc[[#This Row],[CurrentParent]]</f>
        <v>1</v>
      </c>
      <c r="K4682" s="150" t="str">
        <f>IF(Proc[[#This Row],[Author]]="Marcela Urrego",VLOOKUP(LEFT(Proc[[#This Row],[Requested]],1),Table3[#All],2,0),VLOOKUP(Proc[[#This Row],[Author]],Table4[],2,0))</f>
        <v>HC</v>
      </c>
      <c r="L4682" s="150" t="s">
        <v>6435</v>
      </c>
      <c r="M4682" s="169">
        <v>45978</v>
      </c>
      <c r="N4682" s="169"/>
      <c r="O4682" s="169"/>
      <c r="P4682" s="170" t="str">
        <f ca="1">IF(Proc[[#This Row],[DaysAgeing]]&gt;5,"yep","on track")</f>
        <v>yep</v>
      </c>
      <c r="Q4682" s="3">
        <f ca="1">IF(Proc[[#This Row],[DateClosed]]="",ABS(NETWORKDAYS(Proc[[#This Row],[DateOpened]],TODAY()))-1,ABS(NETWORKDAYS(Proc[[#This Row],[DateOpened]],Proc[[#This Row],[DateClosed]]))-1)</f>
        <v>19</v>
      </c>
      <c r="R4682" s="170" t="s">
        <v>6862</v>
      </c>
      <c r="S4682" s="150"/>
    </row>
    <row r="4683" spans="1:19" hidden="1">
      <c r="A4683" s="149" t="s">
        <v>6854</v>
      </c>
      <c r="B4683" s="150" t="str">
        <f>IFERROR(VLOOKUP(Proc[[#This Row],[App]],Table2[],3,0),"open")</f>
        <v>ok</v>
      </c>
      <c r="C4683" s="149" t="s">
        <v>369</v>
      </c>
      <c r="D4683" t="s">
        <v>6861</v>
      </c>
      <c r="E4683" t="s">
        <v>6914</v>
      </c>
      <c r="F4683" s="149" t="s">
        <v>6914</v>
      </c>
      <c r="G4683" s="149" t="s">
        <v>400</v>
      </c>
      <c r="H4683" s="150" t="str">
        <f>IF(Proc[[#This Row],[type]]="LFF (MDG-F)",MID(Proc[[#This Row],[Obj]],13,10),"")</f>
        <v/>
      </c>
      <c r="J4683" s="150" t="b">
        <f>Proc[[#This Row],[Requested]]=Proc[[#This Row],[CurrentParent]]</f>
        <v>1</v>
      </c>
      <c r="K4683" s="150" t="str">
        <f>IF(Proc[[#This Row],[Author]]="Marcela Urrego",VLOOKUP(LEFT(Proc[[#This Row],[Requested]],1),Table3[#All],2,0),VLOOKUP(Proc[[#This Row],[Author]],Table4[],2,0))</f>
        <v>HC</v>
      </c>
      <c r="L4683" s="150" t="s">
        <v>6435</v>
      </c>
      <c r="M4683" s="169">
        <v>45978</v>
      </c>
      <c r="N4683" s="169"/>
      <c r="O4683" s="169"/>
      <c r="P4683" s="170" t="str">
        <f ca="1">IF(Proc[[#This Row],[DaysAgeing]]&gt;5,"yep","on track")</f>
        <v>yep</v>
      </c>
      <c r="Q4683" s="3">
        <f ca="1">IF(Proc[[#This Row],[DateClosed]]="",ABS(NETWORKDAYS(Proc[[#This Row],[DateOpened]],TODAY()))-1,ABS(NETWORKDAYS(Proc[[#This Row],[DateOpened]],Proc[[#This Row],[DateClosed]]))-1)</f>
        <v>19</v>
      </c>
      <c r="R4683" s="170" t="s">
        <v>6862</v>
      </c>
      <c r="S4683" s="150"/>
    </row>
    <row r="4684" spans="1:19" hidden="1">
      <c r="A4684" t="s">
        <v>6864</v>
      </c>
      <c r="B4684" s="150" t="str">
        <f>IFERROR(VLOOKUP(Proc[[#This Row],[App]],Table2[],3,0),"open")</f>
        <v>ok</v>
      </c>
      <c r="C4684" s="149" t="s">
        <v>369</v>
      </c>
      <c r="D4684" t="s">
        <v>6863</v>
      </c>
      <c r="E4684" t="s">
        <v>540</v>
      </c>
      <c r="F4684" s="150" t="s">
        <v>540</v>
      </c>
      <c r="G4684" s="149" t="s">
        <v>400</v>
      </c>
      <c r="H4684" s="150" t="str">
        <f>IF(Proc[[#This Row],[type]]="LFF (MDG-F)",MID(Proc[[#This Row],[Obj]],13,10),"")</f>
        <v/>
      </c>
      <c r="J4684" s="150" t="b">
        <f>Proc[[#This Row],[Requested]]=Proc[[#This Row],[CurrentParent]]</f>
        <v>1</v>
      </c>
      <c r="K4684" s="150" t="str">
        <f>IF(Proc[[#This Row],[Author]]="Marcela Urrego",VLOOKUP(LEFT(Proc[[#This Row],[Requested]],1),Table3[#All],2,0),VLOOKUP(Proc[[#This Row],[Author]],Table4[],2,0))</f>
        <v>MGF</v>
      </c>
      <c r="L4684" s="150" t="s">
        <v>6435</v>
      </c>
      <c r="M4684" s="169">
        <v>45978</v>
      </c>
      <c r="N4684" s="169"/>
      <c r="O4684" s="169"/>
      <c r="P4684" s="170" t="str">
        <f ca="1">IF(Proc[[#This Row],[DaysAgeing]]&gt;5,"yep","on track")</f>
        <v>yep</v>
      </c>
      <c r="Q4684" s="3">
        <f ca="1">IF(Proc[[#This Row],[DateClosed]]="",ABS(NETWORKDAYS(Proc[[#This Row],[DateOpened]],TODAY()))-1,ABS(NETWORKDAYS(Proc[[#This Row],[DateOpened]],Proc[[#This Row],[DateClosed]]))-1)</f>
        <v>19</v>
      </c>
      <c r="R4684" s="170" t="s">
        <v>515</v>
      </c>
      <c r="S4684" s="150"/>
    </row>
    <row r="4685" spans="1:19" hidden="1">
      <c r="A4685" t="s">
        <v>6866</v>
      </c>
      <c r="B4685" s="150" t="str">
        <f>IFERROR(VLOOKUP(Proc[[#This Row],[App]],Table2[],3,0),"open")</f>
        <v>ok</v>
      </c>
      <c r="C4685" s="149" t="s">
        <v>369</v>
      </c>
      <c r="D4685" t="s">
        <v>6865</v>
      </c>
      <c r="E4685" t="s">
        <v>6872</v>
      </c>
      <c r="F4685" s="150" t="s">
        <v>6872</v>
      </c>
      <c r="G4685" s="149" t="s">
        <v>400</v>
      </c>
      <c r="H4685" s="150" t="str">
        <f>IF(Proc[[#This Row],[type]]="LFF (MDG-F)",MID(Proc[[#This Row],[Obj]],13,10),"")</f>
        <v/>
      </c>
      <c r="I4685" t="s">
        <v>6919</v>
      </c>
      <c r="J4685" s="150" t="b">
        <f>Proc[[#This Row],[Requested]]=Proc[[#This Row],[CurrentParent]]</f>
        <v>1</v>
      </c>
      <c r="K4685" s="150" t="str">
        <f>IF(Proc[[#This Row],[Author]]="Marcela Urrego",VLOOKUP(LEFT(Proc[[#This Row],[Requested]],1),Table3[#All],2,0),VLOOKUP(Proc[[#This Row],[Author]],Table4[],2,0))</f>
        <v>HC</v>
      </c>
      <c r="L4685" s="150" t="s">
        <v>6435</v>
      </c>
      <c r="M4685" s="169">
        <v>45978</v>
      </c>
      <c r="N4685" s="169"/>
      <c r="O4685" s="169"/>
      <c r="P4685" s="170" t="str">
        <f ca="1">IF(Proc[[#This Row],[DaysAgeing]]&gt;5,"yep","on track")</f>
        <v>yep</v>
      </c>
      <c r="Q4685" s="3">
        <f ca="1">IF(Proc[[#This Row],[DateClosed]]="",ABS(NETWORKDAYS(Proc[[#This Row],[DateOpened]],TODAY()))-1,ABS(NETWORKDAYS(Proc[[#This Row],[DateOpened]],Proc[[#This Row],[DateClosed]]))-1)</f>
        <v>19</v>
      </c>
      <c r="R4685" s="170" t="s">
        <v>5682</v>
      </c>
      <c r="S4685" s="150"/>
    </row>
    <row r="4686" spans="1:19" hidden="1">
      <c r="A4686" t="s">
        <v>6868</v>
      </c>
      <c r="B4686" s="150" t="str">
        <f>IFERROR(VLOOKUP(Proc[[#This Row],[App]],Table2[],3,0),"open")</f>
        <v>ok</v>
      </c>
      <c r="C4686" s="149" t="s">
        <v>369</v>
      </c>
      <c r="D4686" t="s">
        <v>6867</v>
      </c>
      <c r="E4686" t="s">
        <v>6920</v>
      </c>
      <c r="F4686" s="150" t="s">
        <v>6920</v>
      </c>
      <c r="G4686" s="149" t="s">
        <v>400</v>
      </c>
      <c r="H4686" s="150" t="str">
        <f>IF(Proc[[#This Row],[type]]="LFF (MDG-F)",MID(Proc[[#This Row],[Obj]],13,10),"")</f>
        <v/>
      </c>
      <c r="I4686" s="149" t="s">
        <v>6919</v>
      </c>
      <c r="J4686" s="150" t="b">
        <f>Proc[[#This Row],[Requested]]=Proc[[#This Row],[CurrentParent]]</f>
        <v>1</v>
      </c>
      <c r="K4686" s="150" t="str">
        <f>IF(Proc[[#This Row],[Author]]="Marcela Urrego",VLOOKUP(LEFT(Proc[[#This Row],[Requested]],1),Table3[#All],2,0),VLOOKUP(Proc[[#This Row],[Author]],Table4[],2,0))</f>
        <v>HC</v>
      </c>
      <c r="L4686" s="150" t="s">
        <v>6435</v>
      </c>
      <c r="M4686" s="169">
        <v>45978</v>
      </c>
      <c r="N4686" s="169"/>
      <c r="O4686" s="169"/>
      <c r="P4686" s="170" t="str">
        <f ca="1">IF(Proc[[#This Row],[DaysAgeing]]&gt;5,"yep","on track")</f>
        <v>yep</v>
      </c>
      <c r="Q4686" s="3">
        <f ca="1">IF(Proc[[#This Row],[DateClosed]]="",ABS(NETWORKDAYS(Proc[[#This Row],[DateOpened]],TODAY()))-1,ABS(NETWORKDAYS(Proc[[#This Row],[DateOpened]],Proc[[#This Row],[DateClosed]]))-1)</f>
        <v>19</v>
      </c>
      <c r="R4686" s="170" t="s">
        <v>478</v>
      </c>
      <c r="S4686" s="150"/>
    </row>
    <row r="4687" spans="1:19" hidden="1">
      <c r="A4687" t="s">
        <v>6870</v>
      </c>
      <c r="B4687" s="150" t="str">
        <f>IFERROR(VLOOKUP(Proc[[#This Row],[App]],Table2[],3,0),"open")</f>
        <v>ok</v>
      </c>
      <c r="C4687" s="149" t="s">
        <v>369</v>
      </c>
      <c r="D4687" t="s">
        <v>6869</v>
      </c>
      <c r="E4687" t="s">
        <v>6871</v>
      </c>
      <c r="F4687" s="150" t="s">
        <v>6871</v>
      </c>
      <c r="G4687" s="149" t="s">
        <v>400</v>
      </c>
      <c r="H4687" s="150" t="str">
        <f>IF(Proc[[#This Row],[type]]="LFF (MDG-F)",MID(Proc[[#This Row],[Obj]],13,10),"")</f>
        <v/>
      </c>
      <c r="J4687" s="150" t="b">
        <f>Proc[[#This Row],[Requested]]=Proc[[#This Row],[CurrentParent]]</f>
        <v>1</v>
      </c>
      <c r="K4687" s="150" t="str">
        <f>IF(Proc[[#This Row],[Author]]="Marcela Urrego",VLOOKUP(LEFT(Proc[[#This Row],[Requested]],1),Table3[#All],2,0),VLOOKUP(Proc[[#This Row],[Author]],Table4[],2,0))</f>
        <v>HC</v>
      </c>
      <c r="L4687" s="150" t="s">
        <v>6435</v>
      </c>
      <c r="M4687" s="169">
        <v>45978</v>
      </c>
      <c r="N4687" s="169"/>
      <c r="O4687" s="169"/>
      <c r="P4687" s="170" t="str">
        <f ca="1">IF(Proc[[#This Row],[DaysAgeing]]&gt;5,"yep","on track")</f>
        <v>yep</v>
      </c>
      <c r="Q4687" s="3">
        <f ca="1">IF(Proc[[#This Row],[DateClosed]]="",ABS(NETWORKDAYS(Proc[[#This Row],[DateOpened]],TODAY()))-1,ABS(NETWORKDAYS(Proc[[#This Row],[DateOpened]],Proc[[#This Row],[DateClosed]]))-1)</f>
        <v>19</v>
      </c>
      <c r="R4687" s="170" t="s">
        <v>5682</v>
      </c>
      <c r="S4687" s="150"/>
    </row>
    <row r="4688" spans="1:19" hidden="1">
      <c r="A4688" t="s">
        <v>6884</v>
      </c>
      <c r="B4688" s="150" t="str">
        <f>IFERROR(VLOOKUP(Proc[[#This Row],[App]],Table2[],3,0),"open")</f>
        <v>ok</v>
      </c>
      <c r="C4688" s="149" t="s">
        <v>369</v>
      </c>
      <c r="D4688" t="s">
        <v>6873</v>
      </c>
      <c r="E4688" t="s">
        <v>2883</v>
      </c>
      <c r="F4688" s="150" t="s">
        <v>2883</v>
      </c>
      <c r="G4688" s="149" t="s">
        <v>400</v>
      </c>
      <c r="H4688" s="150" t="str">
        <f>IF(Proc[[#This Row],[type]]="LFF (MDG-F)",MID(Proc[[#This Row],[Obj]],13,10),"")</f>
        <v/>
      </c>
      <c r="J4688" s="150" t="b">
        <f>Proc[[#This Row],[Requested]]=Proc[[#This Row],[CurrentParent]]</f>
        <v>1</v>
      </c>
      <c r="K4688" s="150" t="str">
        <f>IF(Proc[[#This Row],[Author]]="Marcela Urrego",VLOOKUP(LEFT(Proc[[#This Row],[Requested]],1),Table3[#All],2,0),VLOOKUP(Proc[[#This Row],[Author]],Table4[],2,0))</f>
        <v>HC</v>
      </c>
      <c r="L4688" s="150" t="s">
        <v>6435</v>
      </c>
      <c r="M4688" s="169">
        <v>45978</v>
      </c>
      <c r="N4688" s="169"/>
      <c r="O4688" s="169"/>
      <c r="P4688" s="170" t="str">
        <f ca="1">IF(Proc[[#This Row],[DaysAgeing]]&gt;5,"yep","on track")</f>
        <v>yep</v>
      </c>
      <c r="Q4688" s="3">
        <f ca="1">IF(Proc[[#This Row],[DateClosed]]="",ABS(NETWORKDAYS(Proc[[#This Row],[DateOpened]],TODAY()))-1,ABS(NETWORKDAYS(Proc[[#This Row],[DateOpened]],Proc[[#This Row],[DateClosed]]))-1)</f>
        <v>19</v>
      </c>
      <c r="R4688" s="170" t="s">
        <v>738</v>
      </c>
      <c r="S4688" s="150"/>
    </row>
    <row r="4689" spans="1:19" hidden="1">
      <c r="A4689" t="s">
        <v>6884</v>
      </c>
      <c r="B4689" s="150" t="str">
        <f>IFERROR(VLOOKUP(Proc[[#This Row],[App]],Table2[],3,0),"open")</f>
        <v>ok</v>
      </c>
      <c r="C4689" s="149" t="s">
        <v>369</v>
      </c>
      <c r="D4689" t="s">
        <v>6874</v>
      </c>
      <c r="E4689" t="s">
        <v>2117</v>
      </c>
      <c r="F4689" s="150" t="s">
        <v>2117</v>
      </c>
      <c r="G4689" s="149" t="s">
        <v>400</v>
      </c>
      <c r="H4689" s="150" t="str">
        <f>IF(Proc[[#This Row],[type]]="LFF (MDG-F)",MID(Proc[[#This Row],[Obj]],13,10),"")</f>
        <v/>
      </c>
      <c r="J4689" s="150" t="b">
        <f>Proc[[#This Row],[Requested]]=Proc[[#This Row],[CurrentParent]]</f>
        <v>1</v>
      </c>
      <c r="K4689" s="150" t="str">
        <f>IF(Proc[[#This Row],[Author]]="Marcela Urrego",VLOOKUP(LEFT(Proc[[#This Row],[Requested]],1),Table3[#All],2,0),VLOOKUP(Proc[[#This Row],[Author]],Table4[],2,0))</f>
        <v>HC</v>
      </c>
      <c r="L4689" s="150" t="s">
        <v>6435</v>
      </c>
      <c r="M4689" s="169">
        <v>45978</v>
      </c>
      <c r="N4689" s="169"/>
      <c r="O4689" s="169"/>
      <c r="P4689" s="170" t="str">
        <f ca="1">IF(Proc[[#This Row],[DaysAgeing]]&gt;5,"yep","on track")</f>
        <v>yep</v>
      </c>
      <c r="Q4689" s="3">
        <f ca="1">IF(Proc[[#This Row],[DateClosed]]="",ABS(NETWORKDAYS(Proc[[#This Row],[DateOpened]],TODAY()))-1,ABS(NETWORKDAYS(Proc[[#This Row],[DateOpened]],Proc[[#This Row],[DateClosed]]))-1)</f>
        <v>19</v>
      </c>
      <c r="R4689" s="170" t="s">
        <v>738</v>
      </c>
      <c r="S4689" s="150"/>
    </row>
    <row r="4690" spans="1:19" hidden="1">
      <c r="A4690" s="149" t="s">
        <v>6884</v>
      </c>
      <c r="B4690" s="150" t="str">
        <f>IFERROR(VLOOKUP(Proc[[#This Row],[App]],Table2[],3,0),"open")</f>
        <v>ok</v>
      </c>
      <c r="C4690" s="149" t="s">
        <v>369</v>
      </c>
      <c r="D4690" t="s">
        <v>6875</v>
      </c>
      <c r="E4690" s="149" t="s">
        <v>2117</v>
      </c>
      <c r="F4690" s="150" t="s">
        <v>2117</v>
      </c>
      <c r="G4690" s="149" t="s">
        <v>400</v>
      </c>
      <c r="H4690" s="150" t="str">
        <f>IF(Proc[[#This Row],[type]]="LFF (MDG-F)",MID(Proc[[#This Row],[Obj]],13,10),"")</f>
        <v/>
      </c>
      <c r="J4690" s="150" t="b">
        <f>Proc[[#This Row],[Requested]]=Proc[[#This Row],[CurrentParent]]</f>
        <v>1</v>
      </c>
      <c r="K4690" s="150" t="str">
        <f>IF(Proc[[#This Row],[Author]]="Marcela Urrego",VLOOKUP(LEFT(Proc[[#This Row],[Requested]],1),Table3[#All],2,0),VLOOKUP(Proc[[#This Row],[Author]],Table4[],2,0))</f>
        <v>HC</v>
      </c>
      <c r="L4690" s="150" t="s">
        <v>6435</v>
      </c>
      <c r="M4690" s="169">
        <v>45978</v>
      </c>
      <c r="N4690" s="169"/>
      <c r="O4690" s="169"/>
      <c r="P4690" s="170" t="str">
        <f ca="1">IF(Proc[[#This Row],[DaysAgeing]]&gt;5,"yep","on track")</f>
        <v>yep</v>
      </c>
      <c r="Q4690" s="3">
        <f ca="1">IF(Proc[[#This Row],[DateClosed]]="",ABS(NETWORKDAYS(Proc[[#This Row],[DateOpened]],TODAY()))-1,ABS(NETWORKDAYS(Proc[[#This Row],[DateOpened]],Proc[[#This Row],[DateClosed]]))-1)</f>
        <v>19</v>
      </c>
      <c r="R4690" s="170" t="s">
        <v>738</v>
      </c>
      <c r="S4690" s="150"/>
    </row>
    <row r="4691" spans="1:19" hidden="1">
      <c r="A4691" s="149" t="s">
        <v>6884</v>
      </c>
      <c r="B4691" s="150" t="str">
        <f>IFERROR(VLOOKUP(Proc[[#This Row],[App]],Table2[],3,0),"open")</f>
        <v>ok</v>
      </c>
      <c r="C4691" s="149" t="s">
        <v>369</v>
      </c>
      <c r="D4691" t="s">
        <v>6876</v>
      </c>
      <c r="E4691" s="149" t="s">
        <v>2117</v>
      </c>
      <c r="F4691" s="150" t="s">
        <v>2117</v>
      </c>
      <c r="G4691" s="149" t="s">
        <v>400</v>
      </c>
      <c r="H4691" s="150" t="str">
        <f>IF(Proc[[#This Row],[type]]="LFF (MDG-F)",MID(Proc[[#This Row],[Obj]],13,10),"")</f>
        <v/>
      </c>
      <c r="J4691" s="150" t="b">
        <f>Proc[[#This Row],[Requested]]=Proc[[#This Row],[CurrentParent]]</f>
        <v>1</v>
      </c>
      <c r="K4691" s="150" t="str">
        <f>IF(Proc[[#This Row],[Author]]="Marcela Urrego",VLOOKUP(LEFT(Proc[[#This Row],[Requested]],1),Table3[#All],2,0),VLOOKUP(Proc[[#This Row],[Author]],Table4[],2,0))</f>
        <v>HC</v>
      </c>
      <c r="L4691" s="150" t="s">
        <v>6435</v>
      </c>
      <c r="M4691" s="169">
        <v>45978</v>
      </c>
      <c r="N4691" s="169"/>
      <c r="O4691" s="169"/>
      <c r="P4691" s="170" t="str">
        <f ca="1">IF(Proc[[#This Row],[DaysAgeing]]&gt;5,"yep","on track")</f>
        <v>yep</v>
      </c>
      <c r="Q4691" s="3">
        <f ca="1">IF(Proc[[#This Row],[DateClosed]]="",ABS(NETWORKDAYS(Proc[[#This Row],[DateOpened]],TODAY()))-1,ABS(NETWORKDAYS(Proc[[#This Row],[DateOpened]],Proc[[#This Row],[DateClosed]]))-1)</f>
        <v>19</v>
      </c>
      <c r="R4691" s="170" t="s">
        <v>738</v>
      </c>
      <c r="S4691" s="150"/>
    </row>
    <row r="4692" spans="1:19" hidden="1">
      <c r="A4692" s="149" t="s">
        <v>6884</v>
      </c>
      <c r="B4692" s="150" t="str">
        <f>IFERROR(VLOOKUP(Proc[[#This Row],[App]],Table2[],3,0),"open")</f>
        <v>ok</v>
      </c>
      <c r="C4692" s="149" t="s">
        <v>369</v>
      </c>
      <c r="D4692" t="s">
        <v>6877</v>
      </c>
      <c r="E4692" s="149" t="s">
        <v>2117</v>
      </c>
      <c r="F4692" s="150" t="s">
        <v>2117</v>
      </c>
      <c r="G4692" s="149" t="s">
        <v>400</v>
      </c>
      <c r="H4692" s="150" t="str">
        <f>IF(Proc[[#This Row],[type]]="LFF (MDG-F)",MID(Proc[[#This Row],[Obj]],13,10),"")</f>
        <v/>
      </c>
      <c r="J4692" s="150" t="b">
        <f>Proc[[#This Row],[Requested]]=Proc[[#This Row],[CurrentParent]]</f>
        <v>1</v>
      </c>
      <c r="K4692" s="150" t="str">
        <f>IF(Proc[[#This Row],[Author]]="Marcela Urrego",VLOOKUP(LEFT(Proc[[#This Row],[Requested]],1),Table3[#All],2,0),VLOOKUP(Proc[[#This Row],[Author]],Table4[],2,0))</f>
        <v>HC</v>
      </c>
      <c r="L4692" s="150" t="s">
        <v>6435</v>
      </c>
      <c r="M4692" s="169">
        <v>45978</v>
      </c>
      <c r="N4692" s="169"/>
      <c r="O4692" s="169"/>
      <c r="P4692" s="170" t="str">
        <f ca="1">IF(Proc[[#This Row],[DaysAgeing]]&gt;5,"yep","on track")</f>
        <v>yep</v>
      </c>
      <c r="Q4692" s="3">
        <f ca="1">IF(Proc[[#This Row],[DateClosed]]="",ABS(NETWORKDAYS(Proc[[#This Row],[DateOpened]],TODAY()))-1,ABS(NETWORKDAYS(Proc[[#This Row],[DateOpened]],Proc[[#This Row],[DateClosed]]))-1)</f>
        <v>19</v>
      </c>
      <c r="R4692" s="170" t="s">
        <v>738</v>
      </c>
      <c r="S4692" s="150"/>
    </row>
    <row r="4693" spans="1:19" hidden="1">
      <c r="A4693" s="149" t="s">
        <v>6884</v>
      </c>
      <c r="B4693" s="150" t="str">
        <f>IFERROR(VLOOKUP(Proc[[#This Row],[App]],Table2[],3,0),"open")</f>
        <v>ok</v>
      </c>
      <c r="C4693" s="149" t="s">
        <v>369</v>
      </c>
      <c r="D4693" t="s">
        <v>6878</v>
      </c>
      <c r="E4693" s="149" t="s">
        <v>2117</v>
      </c>
      <c r="F4693" s="150" t="s">
        <v>2117</v>
      </c>
      <c r="G4693" s="149" t="s">
        <v>400</v>
      </c>
      <c r="H4693" s="150" t="str">
        <f>IF(Proc[[#This Row],[type]]="LFF (MDG-F)",MID(Proc[[#This Row],[Obj]],13,10),"")</f>
        <v/>
      </c>
      <c r="J4693" s="150" t="b">
        <f>Proc[[#This Row],[Requested]]=Proc[[#This Row],[CurrentParent]]</f>
        <v>1</v>
      </c>
      <c r="K4693" s="150" t="str">
        <f>IF(Proc[[#This Row],[Author]]="Marcela Urrego",VLOOKUP(LEFT(Proc[[#This Row],[Requested]],1),Table3[#All],2,0),VLOOKUP(Proc[[#This Row],[Author]],Table4[],2,0))</f>
        <v>HC</v>
      </c>
      <c r="L4693" s="150" t="s">
        <v>6435</v>
      </c>
      <c r="M4693" s="169">
        <v>45978</v>
      </c>
      <c r="N4693" s="169"/>
      <c r="O4693" s="169"/>
      <c r="P4693" s="170" t="str">
        <f ca="1">IF(Proc[[#This Row],[DaysAgeing]]&gt;5,"yep","on track")</f>
        <v>yep</v>
      </c>
      <c r="Q4693" s="3">
        <f ca="1">IF(Proc[[#This Row],[DateClosed]]="",ABS(NETWORKDAYS(Proc[[#This Row],[DateOpened]],TODAY()))-1,ABS(NETWORKDAYS(Proc[[#This Row],[DateOpened]],Proc[[#This Row],[DateClosed]]))-1)</f>
        <v>19</v>
      </c>
      <c r="R4693" s="170" t="s">
        <v>738</v>
      </c>
      <c r="S4693" s="150"/>
    </row>
    <row r="4694" spans="1:19" hidden="1">
      <c r="A4694" s="149" t="s">
        <v>6884</v>
      </c>
      <c r="B4694" s="150" t="str">
        <f>IFERROR(VLOOKUP(Proc[[#This Row],[App]],Table2[],3,0),"open")</f>
        <v>ok</v>
      </c>
      <c r="C4694" s="149" t="s">
        <v>369</v>
      </c>
      <c r="D4694" t="s">
        <v>6879</v>
      </c>
      <c r="E4694" s="149" t="s">
        <v>2117</v>
      </c>
      <c r="F4694" s="150" t="s">
        <v>2117</v>
      </c>
      <c r="G4694" s="149" t="s">
        <v>400</v>
      </c>
      <c r="H4694" s="150" t="str">
        <f>IF(Proc[[#This Row],[type]]="LFF (MDG-F)",MID(Proc[[#This Row],[Obj]],13,10),"")</f>
        <v/>
      </c>
      <c r="J4694" s="150" t="b">
        <f>Proc[[#This Row],[Requested]]=Proc[[#This Row],[CurrentParent]]</f>
        <v>1</v>
      </c>
      <c r="K4694" s="150" t="str">
        <f>IF(Proc[[#This Row],[Author]]="Marcela Urrego",VLOOKUP(LEFT(Proc[[#This Row],[Requested]],1),Table3[#All],2,0),VLOOKUP(Proc[[#This Row],[Author]],Table4[],2,0))</f>
        <v>HC</v>
      </c>
      <c r="L4694" s="150" t="s">
        <v>6435</v>
      </c>
      <c r="M4694" s="169">
        <v>45978</v>
      </c>
      <c r="N4694" s="169"/>
      <c r="O4694" s="169"/>
      <c r="P4694" s="170" t="str">
        <f ca="1">IF(Proc[[#This Row],[DaysAgeing]]&gt;5,"yep","on track")</f>
        <v>yep</v>
      </c>
      <c r="Q4694" s="3">
        <f ca="1">IF(Proc[[#This Row],[DateClosed]]="",ABS(NETWORKDAYS(Proc[[#This Row],[DateOpened]],TODAY()))-1,ABS(NETWORKDAYS(Proc[[#This Row],[DateOpened]],Proc[[#This Row],[DateClosed]]))-1)</f>
        <v>19</v>
      </c>
      <c r="R4694" s="170" t="s">
        <v>738</v>
      </c>
      <c r="S4694" s="150"/>
    </row>
    <row r="4695" spans="1:19" hidden="1">
      <c r="A4695" s="149" t="s">
        <v>6884</v>
      </c>
      <c r="B4695" s="150" t="str">
        <f>IFERROR(VLOOKUP(Proc[[#This Row],[App]],Table2[],3,0),"open")</f>
        <v>ok</v>
      </c>
      <c r="C4695" s="149" t="s">
        <v>369</v>
      </c>
      <c r="D4695" t="s">
        <v>6880</v>
      </c>
      <c r="E4695" t="s">
        <v>2155</v>
      </c>
      <c r="F4695" s="150" t="s">
        <v>2155</v>
      </c>
      <c r="G4695" s="149" t="s">
        <v>400</v>
      </c>
      <c r="H4695" s="150" t="str">
        <f>IF(Proc[[#This Row],[type]]="LFF (MDG-F)",MID(Proc[[#This Row],[Obj]],13,10),"")</f>
        <v/>
      </c>
      <c r="J4695" s="150" t="b">
        <f>Proc[[#This Row],[Requested]]=Proc[[#This Row],[CurrentParent]]</f>
        <v>1</v>
      </c>
      <c r="K4695" s="150" t="str">
        <f>IF(Proc[[#This Row],[Author]]="Marcela Urrego",VLOOKUP(LEFT(Proc[[#This Row],[Requested]],1),Table3[#All],2,0),VLOOKUP(Proc[[#This Row],[Author]],Table4[],2,0))</f>
        <v>HC</v>
      </c>
      <c r="L4695" s="150" t="s">
        <v>6435</v>
      </c>
      <c r="M4695" s="169">
        <v>45978</v>
      </c>
      <c r="N4695" s="169"/>
      <c r="O4695" s="169"/>
      <c r="P4695" s="170" t="str">
        <f ca="1">IF(Proc[[#This Row],[DaysAgeing]]&gt;5,"yep","on track")</f>
        <v>yep</v>
      </c>
      <c r="Q4695" s="3">
        <f ca="1">IF(Proc[[#This Row],[DateClosed]]="",ABS(NETWORKDAYS(Proc[[#This Row],[DateOpened]],TODAY()))-1,ABS(NETWORKDAYS(Proc[[#This Row],[DateOpened]],Proc[[#This Row],[DateClosed]]))-1)</f>
        <v>19</v>
      </c>
      <c r="R4695" s="170" t="s">
        <v>738</v>
      </c>
      <c r="S4695" s="150"/>
    </row>
    <row r="4696" spans="1:19" hidden="1">
      <c r="A4696" s="149" t="s">
        <v>6884</v>
      </c>
      <c r="B4696" s="150" t="str">
        <f>IFERROR(VLOOKUP(Proc[[#This Row],[App]],Table2[],3,0),"open")</f>
        <v>ok</v>
      </c>
      <c r="C4696" s="149" t="s">
        <v>369</v>
      </c>
      <c r="D4696" t="s">
        <v>6881</v>
      </c>
      <c r="E4696" t="s">
        <v>2144</v>
      </c>
      <c r="F4696" s="150" t="s">
        <v>2144</v>
      </c>
      <c r="G4696" s="149" t="s">
        <v>400</v>
      </c>
      <c r="H4696" s="150" t="str">
        <f>IF(Proc[[#This Row],[type]]="LFF (MDG-F)",MID(Proc[[#This Row],[Obj]],13,10),"")</f>
        <v/>
      </c>
      <c r="J4696" s="150" t="b">
        <f>Proc[[#This Row],[Requested]]=Proc[[#This Row],[CurrentParent]]</f>
        <v>1</v>
      </c>
      <c r="K4696" s="150" t="str">
        <f>IF(Proc[[#This Row],[Author]]="Marcela Urrego",VLOOKUP(LEFT(Proc[[#This Row],[Requested]],1),Table3[#All],2,0),VLOOKUP(Proc[[#This Row],[Author]],Table4[],2,0))</f>
        <v>HC</v>
      </c>
      <c r="L4696" s="150" t="s">
        <v>6435</v>
      </c>
      <c r="M4696" s="169">
        <v>45978</v>
      </c>
      <c r="N4696" s="169"/>
      <c r="O4696" s="169"/>
      <c r="P4696" s="170" t="str">
        <f ca="1">IF(Proc[[#This Row],[DaysAgeing]]&gt;5,"yep","on track")</f>
        <v>yep</v>
      </c>
      <c r="Q4696" s="3">
        <f ca="1">IF(Proc[[#This Row],[DateClosed]]="",ABS(NETWORKDAYS(Proc[[#This Row],[DateOpened]],TODAY()))-1,ABS(NETWORKDAYS(Proc[[#This Row],[DateOpened]],Proc[[#This Row],[DateClosed]]))-1)</f>
        <v>19</v>
      </c>
      <c r="R4696" s="170" t="s">
        <v>738</v>
      </c>
      <c r="S4696" s="150"/>
    </row>
    <row r="4697" spans="1:19" hidden="1">
      <c r="A4697" s="149" t="s">
        <v>6884</v>
      </c>
      <c r="B4697" s="150" t="str">
        <f>IFERROR(VLOOKUP(Proc[[#This Row],[App]],Table2[],3,0),"open")</f>
        <v>ok</v>
      </c>
      <c r="C4697" s="149" t="s">
        <v>369</v>
      </c>
      <c r="D4697" t="s">
        <v>2115</v>
      </c>
      <c r="E4697" t="s">
        <v>2109</v>
      </c>
      <c r="F4697" s="150" t="s">
        <v>2109</v>
      </c>
      <c r="G4697" s="149" t="s">
        <v>400</v>
      </c>
      <c r="H4697" s="150" t="str">
        <f>IF(Proc[[#This Row],[type]]="LFF (MDG-F)",MID(Proc[[#This Row],[Obj]],13,10),"")</f>
        <v/>
      </c>
      <c r="J4697" s="150" t="b">
        <f>Proc[[#This Row],[Requested]]=Proc[[#This Row],[CurrentParent]]</f>
        <v>1</v>
      </c>
      <c r="K4697" s="150" t="str">
        <f>IF(Proc[[#This Row],[Author]]="Marcela Urrego",VLOOKUP(LEFT(Proc[[#This Row],[Requested]],1),Table3[#All],2,0),VLOOKUP(Proc[[#This Row],[Author]],Table4[],2,0))</f>
        <v>HC</v>
      </c>
      <c r="L4697" s="150" t="s">
        <v>6435</v>
      </c>
      <c r="M4697" s="169">
        <v>45978</v>
      </c>
      <c r="N4697" s="169"/>
      <c r="O4697" s="169"/>
      <c r="P4697" s="170" t="str">
        <f ca="1">IF(Proc[[#This Row],[DaysAgeing]]&gt;5,"yep","on track")</f>
        <v>yep</v>
      </c>
      <c r="Q4697" s="3">
        <f ca="1">IF(Proc[[#This Row],[DateClosed]]="",ABS(NETWORKDAYS(Proc[[#This Row],[DateOpened]],TODAY()))-1,ABS(NETWORKDAYS(Proc[[#This Row],[DateOpened]],Proc[[#This Row],[DateClosed]]))-1)</f>
        <v>19</v>
      </c>
      <c r="R4697" s="170" t="s">
        <v>738</v>
      </c>
      <c r="S4697" s="150"/>
    </row>
    <row r="4698" spans="1:19" hidden="1">
      <c r="A4698" s="149" t="s">
        <v>6884</v>
      </c>
      <c r="B4698" s="150" t="str">
        <f>IFERROR(VLOOKUP(Proc[[#This Row],[App]],Table2[],3,0),"open")</f>
        <v>ok</v>
      </c>
      <c r="C4698" s="149" t="s">
        <v>369</v>
      </c>
      <c r="D4698" t="s">
        <v>6882</v>
      </c>
      <c r="E4698" t="s">
        <v>5720</v>
      </c>
      <c r="F4698" s="150" t="s">
        <v>5720</v>
      </c>
      <c r="G4698" s="149" t="s">
        <v>400</v>
      </c>
      <c r="H4698" s="150" t="str">
        <f>IF(Proc[[#This Row],[type]]="LFF (MDG-F)",MID(Proc[[#This Row],[Obj]],13,10),"")</f>
        <v/>
      </c>
      <c r="J4698" s="150" t="b">
        <f>Proc[[#This Row],[Requested]]=Proc[[#This Row],[CurrentParent]]</f>
        <v>1</v>
      </c>
      <c r="K4698" s="150" t="str">
        <f>IF(Proc[[#This Row],[Author]]="Marcela Urrego",VLOOKUP(LEFT(Proc[[#This Row],[Requested]],1),Table3[#All],2,0),VLOOKUP(Proc[[#This Row],[Author]],Table4[],2,0))</f>
        <v>HC</v>
      </c>
      <c r="L4698" s="150" t="s">
        <v>6435</v>
      </c>
      <c r="M4698" s="169">
        <v>45978</v>
      </c>
      <c r="N4698" s="169"/>
      <c r="O4698" s="169"/>
      <c r="P4698" s="170" t="str">
        <f ca="1">IF(Proc[[#This Row],[DaysAgeing]]&gt;5,"yep","on track")</f>
        <v>yep</v>
      </c>
      <c r="Q4698" s="3">
        <f ca="1">IF(Proc[[#This Row],[DateClosed]]="",ABS(NETWORKDAYS(Proc[[#This Row],[DateOpened]],TODAY()))-1,ABS(NETWORKDAYS(Proc[[#This Row],[DateOpened]],Proc[[#This Row],[DateClosed]]))-1)</f>
        <v>19</v>
      </c>
      <c r="R4698" s="170" t="s">
        <v>738</v>
      </c>
      <c r="S4698" s="150"/>
    </row>
    <row r="4699" spans="1:19" hidden="1">
      <c r="A4699" s="149" t="s">
        <v>6884</v>
      </c>
      <c r="B4699" s="150" t="str">
        <f>IFERROR(VLOOKUP(Proc[[#This Row],[App]],Table2[],3,0),"open")</f>
        <v>ok</v>
      </c>
      <c r="C4699" s="149" t="s">
        <v>369</v>
      </c>
      <c r="D4699" t="s">
        <v>6883</v>
      </c>
      <c r="E4699" t="s">
        <v>6918</v>
      </c>
      <c r="F4699" s="150" t="s">
        <v>6918</v>
      </c>
      <c r="G4699" s="149" t="s">
        <v>400</v>
      </c>
      <c r="H4699" s="150" t="str">
        <f>IF(Proc[[#This Row],[type]]="LFF (MDG-F)",MID(Proc[[#This Row],[Obj]],13,10),"")</f>
        <v/>
      </c>
      <c r="J4699" s="150" t="b">
        <f>Proc[[#This Row],[Requested]]=Proc[[#This Row],[CurrentParent]]</f>
        <v>1</v>
      </c>
      <c r="K4699" s="150" t="str">
        <f>IF(Proc[[#This Row],[Author]]="Marcela Urrego",VLOOKUP(LEFT(Proc[[#This Row],[Requested]],1),Table3[#All],2,0),VLOOKUP(Proc[[#This Row],[Author]],Table4[],2,0))</f>
        <v>HC</v>
      </c>
      <c r="L4699" s="150" t="s">
        <v>6435</v>
      </c>
      <c r="M4699" s="169">
        <v>45978</v>
      </c>
      <c r="N4699" s="169"/>
      <c r="O4699" s="169"/>
      <c r="P4699" s="170" t="str">
        <f ca="1">IF(Proc[[#This Row],[DaysAgeing]]&gt;5,"yep","on track")</f>
        <v>yep</v>
      </c>
      <c r="Q4699" s="3">
        <f ca="1">IF(Proc[[#This Row],[DateClosed]]="",ABS(NETWORKDAYS(Proc[[#This Row],[DateOpened]],TODAY()))-1,ABS(NETWORKDAYS(Proc[[#This Row],[DateOpened]],Proc[[#This Row],[DateClosed]]))-1)</f>
        <v>19</v>
      </c>
      <c r="R4699" s="170" t="s">
        <v>738</v>
      </c>
      <c r="S4699" s="150"/>
    </row>
    <row r="4700" spans="1:19" hidden="1">
      <c r="A4700" t="s">
        <v>6885</v>
      </c>
      <c r="B4700" s="150" t="str">
        <f>IFERROR(VLOOKUP(Proc[[#This Row],[App]],Table2[],3,0),"open")</f>
        <v>ok</v>
      </c>
      <c r="C4700" s="149" t="s">
        <v>369</v>
      </c>
      <c r="D4700" t="s">
        <v>6886</v>
      </c>
      <c r="E4700" t="s">
        <v>6887</v>
      </c>
      <c r="F4700" s="150" t="s">
        <v>6887</v>
      </c>
      <c r="G4700" t="s">
        <v>400</v>
      </c>
      <c r="H4700" s="150" t="str">
        <f>IF(Proc[[#This Row],[type]]="LFF (MDG-F)",MID(Proc[[#This Row],[Obj]],13,10),"")</f>
        <v/>
      </c>
      <c r="J4700" s="150" t="b">
        <f>Proc[[#This Row],[Requested]]=Proc[[#This Row],[CurrentParent]]</f>
        <v>1</v>
      </c>
      <c r="K4700" s="150" t="str">
        <f>IF(Proc[[#This Row],[Author]]="Marcela Urrego",VLOOKUP(LEFT(Proc[[#This Row],[Requested]],1),Table3[#All],2,0),VLOOKUP(Proc[[#This Row],[Author]],Table4[],2,0))</f>
        <v>HC</v>
      </c>
      <c r="L4700" s="150" t="s">
        <v>6435</v>
      </c>
      <c r="M4700" s="169">
        <v>45978</v>
      </c>
      <c r="N4700" s="169"/>
      <c r="O4700" s="169"/>
      <c r="P4700" s="170" t="str">
        <f ca="1">IF(Proc[[#This Row],[DaysAgeing]]&gt;5,"yep","on track")</f>
        <v>yep</v>
      </c>
      <c r="Q4700" s="3">
        <f ca="1">IF(Proc[[#This Row],[DateClosed]]="",ABS(NETWORKDAYS(Proc[[#This Row],[DateOpened]],TODAY()))-1,ABS(NETWORKDAYS(Proc[[#This Row],[DateOpened]],Proc[[#This Row],[DateClosed]]))-1)</f>
        <v>19</v>
      </c>
      <c r="R4700" s="170" t="s">
        <v>484</v>
      </c>
      <c r="S4700" s="150"/>
    </row>
    <row r="4701" spans="1:19" hidden="1">
      <c r="A4701" t="s">
        <v>6888</v>
      </c>
      <c r="B4701" s="150" t="str">
        <f>IFERROR(VLOOKUP(Proc[[#This Row],[App]],Table2[],3,0),"open")</f>
        <v>ok</v>
      </c>
      <c r="C4701" s="149" t="s">
        <v>369</v>
      </c>
      <c r="D4701" t="s">
        <v>6889</v>
      </c>
      <c r="E4701" t="s">
        <v>3280</v>
      </c>
      <c r="F4701" s="150" t="s">
        <v>3280</v>
      </c>
      <c r="G4701" s="149" t="s">
        <v>400</v>
      </c>
      <c r="H4701" s="150" t="str">
        <f>IF(Proc[[#This Row],[type]]="LFF (MDG-F)",MID(Proc[[#This Row],[Obj]],13,10),"")</f>
        <v/>
      </c>
      <c r="J4701" s="150" t="b">
        <f>Proc[[#This Row],[Requested]]=Proc[[#This Row],[CurrentParent]]</f>
        <v>1</v>
      </c>
      <c r="K4701" s="150" t="str">
        <f>IF(Proc[[#This Row],[Author]]="Marcela Urrego",VLOOKUP(LEFT(Proc[[#This Row],[Requested]],1),Table3[#All],2,0),VLOOKUP(Proc[[#This Row],[Author]],Table4[],2,0))</f>
        <v>HC</v>
      </c>
      <c r="L4701" s="150" t="s">
        <v>6435</v>
      </c>
      <c r="M4701" s="169">
        <v>45979</v>
      </c>
      <c r="N4701" s="169"/>
      <c r="O4701" s="169"/>
      <c r="P4701" s="170" t="str">
        <f ca="1">IF(Proc[[#This Row],[DaysAgeing]]&gt;5,"yep","on track")</f>
        <v>yep</v>
      </c>
      <c r="Q4701" s="3">
        <f ca="1">IF(Proc[[#This Row],[DateClosed]]="",ABS(NETWORKDAYS(Proc[[#This Row],[DateOpened]],TODAY()))-1,ABS(NETWORKDAYS(Proc[[#This Row],[DateOpened]],Proc[[#This Row],[DateClosed]]))-1)</f>
        <v>18</v>
      </c>
      <c r="R4701" s="170" t="s">
        <v>484</v>
      </c>
      <c r="S4701" s="150"/>
    </row>
    <row r="4702" spans="1:19" hidden="1">
      <c r="A4702" t="s">
        <v>6888</v>
      </c>
      <c r="B4702" s="150" t="str">
        <f>IFERROR(VLOOKUP(Proc[[#This Row],[App]],Table2[],3,0),"open")</f>
        <v>ok</v>
      </c>
      <c r="C4702" s="149" t="s">
        <v>369</v>
      </c>
      <c r="D4702" t="s">
        <v>6890</v>
      </c>
      <c r="E4702" t="s">
        <v>3280</v>
      </c>
      <c r="F4702" s="150" t="s">
        <v>3280</v>
      </c>
      <c r="G4702" s="149" t="s">
        <v>400</v>
      </c>
      <c r="H4702" s="150" t="str">
        <f>IF(Proc[[#This Row],[type]]="LFF (MDG-F)",MID(Proc[[#This Row],[Obj]],13,10),"")</f>
        <v/>
      </c>
      <c r="J4702" s="150" t="b">
        <f>Proc[[#This Row],[Requested]]=Proc[[#This Row],[CurrentParent]]</f>
        <v>1</v>
      </c>
      <c r="K4702" s="150" t="str">
        <f>IF(Proc[[#This Row],[Author]]="Marcela Urrego",VLOOKUP(LEFT(Proc[[#This Row],[Requested]],1),Table3[#All],2,0),VLOOKUP(Proc[[#This Row],[Author]],Table4[],2,0))</f>
        <v>HC</v>
      </c>
      <c r="L4702" s="150" t="s">
        <v>6435</v>
      </c>
      <c r="M4702" s="169">
        <v>45979</v>
      </c>
      <c r="N4702" s="169"/>
      <c r="O4702" s="169"/>
      <c r="P4702" s="170" t="str">
        <f ca="1">IF(Proc[[#This Row],[DaysAgeing]]&gt;5,"yep","on track")</f>
        <v>yep</v>
      </c>
      <c r="Q4702" s="3">
        <f ca="1">IF(Proc[[#This Row],[DateClosed]]="",ABS(NETWORKDAYS(Proc[[#This Row],[DateOpened]],TODAY()))-1,ABS(NETWORKDAYS(Proc[[#This Row],[DateOpened]],Proc[[#This Row],[DateClosed]]))-1)</f>
        <v>18</v>
      </c>
      <c r="R4702" s="170" t="s">
        <v>484</v>
      </c>
      <c r="S4702" s="150"/>
    </row>
    <row r="4703" spans="1:19" hidden="1">
      <c r="A4703" t="s">
        <v>6892</v>
      </c>
      <c r="B4703" s="150" t="str">
        <f>IFERROR(VLOOKUP(Proc[[#This Row],[App]],Table2[],3,0),"open")</f>
        <v>ok</v>
      </c>
      <c r="C4703" s="149" t="s">
        <v>369</v>
      </c>
      <c r="D4703" t="s">
        <v>6891</v>
      </c>
      <c r="E4703" t="s">
        <v>2161</v>
      </c>
      <c r="F4703" s="150" t="s">
        <v>2161</v>
      </c>
      <c r="G4703" s="149" t="s">
        <v>400</v>
      </c>
      <c r="H4703" s="150" t="str">
        <f>IF(Proc[[#This Row],[type]]="LFF (MDG-F)",MID(Proc[[#This Row],[Obj]],13,10),"")</f>
        <v/>
      </c>
      <c r="J4703" s="150" t="b">
        <f>Proc[[#This Row],[Requested]]=Proc[[#This Row],[CurrentParent]]</f>
        <v>1</v>
      </c>
      <c r="K4703" s="150" t="str">
        <f>IF(Proc[[#This Row],[Author]]="Marcela Urrego",VLOOKUP(LEFT(Proc[[#This Row],[Requested]],1),Table3[#All],2,0),VLOOKUP(Proc[[#This Row],[Author]],Table4[],2,0))</f>
        <v>HC</v>
      </c>
      <c r="L4703" s="150" t="s">
        <v>6435</v>
      </c>
      <c r="M4703" s="169">
        <v>45979</v>
      </c>
      <c r="N4703" s="169"/>
      <c r="O4703" s="169"/>
      <c r="P4703" s="170" t="str">
        <f ca="1">IF(Proc[[#This Row],[DaysAgeing]]&gt;5,"yep","on track")</f>
        <v>yep</v>
      </c>
      <c r="Q4703" s="3">
        <f ca="1">IF(Proc[[#This Row],[DateClosed]]="",ABS(NETWORKDAYS(Proc[[#This Row],[DateOpened]],TODAY()))-1,ABS(NETWORKDAYS(Proc[[#This Row],[DateOpened]],Proc[[#This Row],[DateClosed]]))-1)</f>
        <v>18</v>
      </c>
      <c r="R4703" s="170" t="s">
        <v>478</v>
      </c>
      <c r="S4703" s="150"/>
    </row>
    <row r="4704" spans="1:19" hidden="1">
      <c r="A4704" t="s">
        <v>6893</v>
      </c>
      <c r="B4704" s="150" t="str">
        <f>IFERROR(VLOOKUP(Proc[[#This Row],[App]],Table2[],3,0),"open")</f>
        <v>ok</v>
      </c>
      <c r="C4704" s="149" t="s">
        <v>369</v>
      </c>
      <c r="D4704" t="s">
        <v>6894</v>
      </c>
      <c r="E4704" t="s">
        <v>2161</v>
      </c>
      <c r="F4704" s="150" t="s">
        <v>2161</v>
      </c>
      <c r="G4704" s="149" t="s">
        <v>400</v>
      </c>
      <c r="H4704" s="150" t="str">
        <f>IF(Proc[[#This Row],[type]]="LFF (MDG-F)",MID(Proc[[#This Row],[Obj]],13,10),"")</f>
        <v/>
      </c>
      <c r="J4704" s="150" t="b">
        <f>Proc[[#This Row],[Requested]]=Proc[[#This Row],[CurrentParent]]</f>
        <v>1</v>
      </c>
      <c r="K4704" s="150" t="str">
        <f>IF(Proc[[#This Row],[Author]]="Marcela Urrego",VLOOKUP(LEFT(Proc[[#This Row],[Requested]],1),Table3[#All],2,0),VLOOKUP(Proc[[#This Row],[Author]],Table4[],2,0))</f>
        <v>HC</v>
      </c>
      <c r="L4704" s="150" t="s">
        <v>6435</v>
      </c>
      <c r="M4704" s="169">
        <v>45979</v>
      </c>
      <c r="N4704" s="169"/>
      <c r="O4704" s="169"/>
      <c r="P4704" s="170" t="str">
        <f ca="1">IF(Proc[[#This Row],[DaysAgeing]]&gt;5,"yep","on track")</f>
        <v>yep</v>
      </c>
      <c r="Q4704" s="3">
        <f ca="1">IF(Proc[[#This Row],[DateClosed]]="",ABS(NETWORKDAYS(Proc[[#This Row],[DateOpened]],TODAY()))-1,ABS(NETWORKDAYS(Proc[[#This Row],[DateOpened]],Proc[[#This Row],[DateClosed]]))-1)</f>
        <v>18</v>
      </c>
      <c r="R4704" s="170" t="s">
        <v>478</v>
      </c>
      <c r="S4704" s="150"/>
    </row>
    <row r="4705" spans="1:19" hidden="1">
      <c r="A4705" t="s">
        <v>6896</v>
      </c>
      <c r="B4705" s="150" t="str">
        <f>IFERROR(VLOOKUP(Proc[[#This Row],[App]],Table2[],3,0),"open")</f>
        <v>ok</v>
      </c>
      <c r="C4705" s="149" t="s">
        <v>369</v>
      </c>
      <c r="D4705" t="s">
        <v>6895</v>
      </c>
      <c r="E4705" t="s">
        <v>2161</v>
      </c>
      <c r="F4705" s="150" t="s">
        <v>2161</v>
      </c>
      <c r="G4705" s="149" t="s">
        <v>400</v>
      </c>
      <c r="H4705" s="150" t="str">
        <f>IF(Proc[[#This Row],[type]]="LFF (MDG-F)",MID(Proc[[#This Row],[Obj]],13,10),"")</f>
        <v/>
      </c>
      <c r="J4705" s="150" t="b">
        <f>Proc[[#This Row],[Requested]]=Proc[[#This Row],[CurrentParent]]</f>
        <v>1</v>
      </c>
      <c r="K4705" s="150" t="str">
        <f>IF(Proc[[#This Row],[Author]]="Marcela Urrego",VLOOKUP(LEFT(Proc[[#This Row],[Requested]],1),Table3[#All],2,0),VLOOKUP(Proc[[#This Row],[Author]],Table4[],2,0))</f>
        <v>HC</v>
      </c>
      <c r="L4705" s="150" t="s">
        <v>6435</v>
      </c>
      <c r="M4705" s="169">
        <v>45979</v>
      </c>
      <c r="N4705" s="169"/>
      <c r="O4705" s="169"/>
      <c r="P4705" s="170" t="str">
        <f ca="1">IF(Proc[[#This Row],[DaysAgeing]]&gt;5,"yep","on track")</f>
        <v>yep</v>
      </c>
      <c r="Q4705" s="3">
        <f ca="1">IF(Proc[[#This Row],[DateClosed]]="",ABS(NETWORKDAYS(Proc[[#This Row],[DateOpened]],TODAY()))-1,ABS(NETWORKDAYS(Proc[[#This Row],[DateOpened]],Proc[[#This Row],[DateClosed]]))-1)</f>
        <v>18</v>
      </c>
      <c r="R4705" s="170" t="s">
        <v>478</v>
      </c>
      <c r="S4705" s="150"/>
    </row>
    <row r="4706" spans="1:19" hidden="1">
      <c r="A4706" t="s">
        <v>6898</v>
      </c>
      <c r="B4706" s="150" t="str">
        <f>IFERROR(VLOOKUP(Proc[[#This Row],[App]],Table2[],3,0),"open")</f>
        <v>ok</v>
      </c>
      <c r="C4706" s="149" t="s">
        <v>369</v>
      </c>
      <c r="D4706" t="s">
        <v>6897</v>
      </c>
      <c r="E4706" t="s">
        <v>2161</v>
      </c>
      <c r="F4706" s="150" t="s">
        <v>2161</v>
      </c>
      <c r="G4706" s="149" t="s">
        <v>400</v>
      </c>
      <c r="H4706" s="150" t="str">
        <f>IF(Proc[[#This Row],[type]]="LFF (MDG-F)",MID(Proc[[#This Row],[Obj]],13,10),"")</f>
        <v/>
      </c>
      <c r="J4706" s="150" t="b">
        <f>Proc[[#This Row],[Requested]]=Proc[[#This Row],[CurrentParent]]</f>
        <v>1</v>
      </c>
      <c r="K4706" s="150" t="str">
        <f>IF(Proc[[#This Row],[Author]]="Marcela Urrego",VLOOKUP(LEFT(Proc[[#This Row],[Requested]],1),Table3[#All],2,0),VLOOKUP(Proc[[#This Row],[Author]],Table4[],2,0))</f>
        <v>HC</v>
      </c>
      <c r="L4706" s="150" t="s">
        <v>6435</v>
      </c>
      <c r="M4706" s="169">
        <v>45979</v>
      </c>
      <c r="N4706" s="169"/>
      <c r="O4706" s="169"/>
      <c r="P4706" s="170" t="str">
        <f ca="1">IF(Proc[[#This Row],[DaysAgeing]]&gt;5,"yep","on track")</f>
        <v>yep</v>
      </c>
      <c r="Q4706" s="3">
        <f ca="1">IF(Proc[[#This Row],[DateClosed]]="",ABS(NETWORKDAYS(Proc[[#This Row],[DateOpened]],TODAY()))-1,ABS(NETWORKDAYS(Proc[[#This Row],[DateOpened]],Proc[[#This Row],[DateClosed]]))-1)</f>
        <v>18</v>
      </c>
      <c r="R4706" s="170" t="s">
        <v>478</v>
      </c>
      <c r="S4706" s="150"/>
    </row>
    <row r="4707" spans="1:19" hidden="1">
      <c r="A4707" t="s">
        <v>6899</v>
      </c>
      <c r="B4707" s="150" t="str">
        <f>IFERROR(VLOOKUP(Proc[[#This Row],[App]],Table2[],3,0),"open")</f>
        <v>ok</v>
      </c>
      <c r="C4707" s="149" t="s">
        <v>369</v>
      </c>
      <c r="D4707" t="s">
        <v>6900</v>
      </c>
      <c r="E4707" t="s">
        <v>2161</v>
      </c>
      <c r="F4707" s="150" t="s">
        <v>2161</v>
      </c>
      <c r="G4707" s="149" t="s">
        <v>400</v>
      </c>
      <c r="H4707" s="150" t="str">
        <f>IF(Proc[[#This Row],[type]]="LFF (MDG-F)",MID(Proc[[#This Row],[Obj]],13,10),"")</f>
        <v/>
      </c>
      <c r="J4707" s="150" t="b">
        <f>Proc[[#This Row],[Requested]]=Proc[[#This Row],[CurrentParent]]</f>
        <v>1</v>
      </c>
      <c r="K4707" s="150" t="str">
        <f>IF(Proc[[#This Row],[Author]]="Marcela Urrego",VLOOKUP(LEFT(Proc[[#This Row],[Requested]],1),Table3[#All],2,0),VLOOKUP(Proc[[#This Row],[Author]],Table4[],2,0))</f>
        <v>HC</v>
      </c>
      <c r="L4707" s="150" t="s">
        <v>6435</v>
      </c>
      <c r="M4707" s="169">
        <v>45979</v>
      </c>
      <c r="N4707" s="169"/>
      <c r="O4707" s="169"/>
      <c r="P4707" s="170" t="str">
        <f ca="1">IF(Proc[[#This Row],[DaysAgeing]]&gt;5,"yep","on track")</f>
        <v>yep</v>
      </c>
      <c r="Q4707" s="3">
        <f ca="1">IF(Proc[[#This Row],[DateClosed]]="",ABS(NETWORKDAYS(Proc[[#This Row],[DateOpened]],TODAY()))-1,ABS(NETWORKDAYS(Proc[[#This Row],[DateOpened]],Proc[[#This Row],[DateClosed]]))-1)</f>
        <v>18</v>
      </c>
      <c r="R4707" s="170" t="s">
        <v>478</v>
      </c>
      <c r="S4707" s="150"/>
    </row>
    <row r="4708" spans="1:19" hidden="1">
      <c r="A4708" t="s">
        <v>6902</v>
      </c>
      <c r="B4708" s="150" t="str">
        <f>IFERROR(VLOOKUP(Proc[[#This Row],[App]],Table2[],3,0),"open")</f>
        <v>ok</v>
      </c>
      <c r="C4708" s="149" t="s">
        <v>369</v>
      </c>
      <c r="D4708" t="s">
        <v>6901</v>
      </c>
      <c r="E4708" t="s">
        <v>2161</v>
      </c>
      <c r="F4708" s="150" t="s">
        <v>2161</v>
      </c>
      <c r="G4708" s="149" t="s">
        <v>400</v>
      </c>
      <c r="H4708" s="150" t="str">
        <f>IF(Proc[[#This Row],[type]]="LFF (MDG-F)",MID(Proc[[#This Row],[Obj]],13,10),"")</f>
        <v/>
      </c>
      <c r="J4708" s="150" t="b">
        <f>Proc[[#This Row],[Requested]]=Proc[[#This Row],[CurrentParent]]</f>
        <v>1</v>
      </c>
      <c r="K4708" s="150" t="str">
        <f>IF(Proc[[#This Row],[Author]]="Marcela Urrego",VLOOKUP(LEFT(Proc[[#This Row],[Requested]],1),Table3[#All],2,0),VLOOKUP(Proc[[#This Row],[Author]],Table4[],2,0))</f>
        <v>HC</v>
      </c>
      <c r="L4708" s="150" t="s">
        <v>6435</v>
      </c>
      <c r="M4708" s="169">
        <v>45979</v>
      </c>
      <c r="N4708" s="169"/>
      <c r="O4708" s="169"/>
      <c r="P4708" s="170" t="str">
        <f ca="1">IF(Proc[[#This Row],[DaysAgeing]]&gt;5,"yep","on track")</f>
        <v>yep</v>
      </c>
      <c r="Q4708" s="3">
        <f ca="1">IF(Proc[[#This Row],[DateClosed]]="",ABS(NETWORKDAYS(Proc[[#This Row],[DateOpened]],TODAY()))-1,ABS(NETWORKDAYS(Proc[[#This Row],[DateOpened]],Proc[[#This Row],[DateClosed]]))-1)</f>
        <v>18</v>
      </c>
      <c r="R4708" s="170" t="s">
        <v>478</v>
      </c>
      <c r="S4708" s="150"/>
    </row>
    <row r="4709" spans="1:19" hidden="1">
      <c r="A4709" t="s">
        <v>6904</v>
      </c>
      <c r="B4709" s="150" t="str">
        <f>IFERROR(VLOOKUP(Proc[[#This Row],[App]],Table2[],3,0),"open")</f>
        <v>ok</v>
      </c>
      <c r="C4709" s="149" t="s">
        <v>369</v>
      </c>
      <c r="D4709" t="s">
        <v>6903</v>
      </c>
      <c r="E4709" t="s">
        <v>2161</v>
      </c>
      <c r="F4709" s="150" t="s">
        <v>2161</v>
      </c>
      <c r="G4709" s="149" t="s">
        <v>400</v>
      </c>
      <c r="H4709" s="150" t="str">
        <f>IF(Proc[[#This Row],[type]]="LFF (MDG-F)",MID(Proc[[#This Row],[Obj]],13,10),"")</f>
        <v/>
      </c>
      <c r="J4709" s="150" t="b">
        <f>Proc[[#This Row],[Requested]]=Proc[[#This Row],[CurrentParent]]</f>
        <v>1</v>
      </c>
      <c r="K4709" s="150" t="str">
        <f>IF(Proc[[#This Row],[Author]]="Marcela Urrego",VLOOKUP(LEFT(Proc[[#This Row],[Requested]],1),Table3[#All],2,0),VLOOKUP(Proc[[#This Row],[Author]],Table4[],2,0))</f>
        <v>HC</v>
      </c>
      <c r="L4709" s="150" t="s">
        <v>6435</v>
      </c>
      <c r="M4709" s="169">
        <v>45979</v>
      </c>
      <c r="N4709" s="169"/>
      <c r="O4709" s="169"/>
      <c r="P4709" s="170" t="str">
        <f ca="1">IF(Proc[[#This Row],[DaysAgeing]]&gt;5,"yep","on track")</f>
        <v>yep</v>
      </c>
      <c r="Q4709" s="3">
        <f ca="1">IF(Proc[[#This Row],[DateClosed]]="",ABS(NETWORKDAYS(Proc[[#This Row],[DateOpened]],TODAY()))-1,ABS(NETWORKDAYS(Proc[[#This Row],[DateOpened]],Proc[[#This Row],[DateClosed]]))-1)</f>
        <v>18</v>
      </c>
      <c r="R4709" s="170" t="s">
        <v>478</v>
      </c>
      <c r="S4709" s="150"/>
    </row>
    <row r="4710" spans="1:19" hidden="1">
      <c r="A4710" t="s">
        <v>6905</v>
      </c>
      <c r="B4710" s="150" t="str">
        <f>IFERROR(VLOOKUP(Proc[[#This Row],[App]],Table2[],3,0),"open")</f>
        <v>ok</v>
      </c>
      <c r="C4710" s="149" t="s">
        <v>369</v>
      </c>
      <c r="D4710" t="s">
        <v>6906</v>
      </c>
      <c r="E4710" t="s">
        <v>2161</v>
      </c>
      <c r="F4710" s="150" t="s">
        <v>2161</v>
      </c>
      <c r="G4710" s="149" t="s">
        <v>400</v>
      </c>
      <c r="H4710" s="150" t="str">
        <f>IF(Proc[[#This Row],[type]]="LFF (MDG-F)",MID(Proc[[#This Row],[Obj]],13,10),"")</f>
        <v/>
      </c>
      <c r="I4710" s="149"/>
      <c r="J4710" s="150" t="b">
        <f>Proc[[#This Row],[Requested]]=Proc[[#This Row],[CurrentParent]]</f>
        <v>1</v>
      </c>
      <c r="K4710" s="150" t="str">
        <f>IF(Proc[[#This Row],[Author]]="Marcela Urrego",VLOOKUP(LEFT(Proc[[#This Row],[Requested]],1),Table3[#All],2,0),VLOOKUP(Proc[[#This Row],[Author]],Table4[],2,0))</f>
        <v>HC</v>
      </c>
      <c r="L4710" s="150" t="s">
        <v>6435</v>
      </c>
      <c r="M4710" s="169">
        <v>45979</v>
      </c>
      <c r="N4710" s="169"/>
      <c r="O4710" s="169"/>
      <c r="P4710" s="170" t="str">
        <f ca="1">IF(Proc[[#This Row],[DaysAgeing]]&gt;5,"yep","on track")</f>
        <v>yep</v>
      </c>
      <c r="Q4710" s="3">
        <f ca="1">IF(Proc[[#This Row],[DateClosed]]="",ABS(NETWORKDAYS(Proc[[#This Row],[DateOpened]],TODAY()))-1,ABS(NETWORKDAYS(Proc[[#This Row],[DateOpened]],Proc[[#This Row],[DateClosed]]))-1)</f>
        <v>18</v>
      </c>
      <c r="R4710" s="170" t="s">
        <v>478</v>
      </c>
      <c r="S4710" s="150"/>
    </row>
    <row r="4711" spans="1:19" hidden="1">
      <c r="A4711" t="s">
        <v>6908</v>
      </c>
      <c r="B4711" s="150" t="str">
        <f>IFERROR(VLOOKUP(Proc[[#This Row],[App]],Table2[],3,0),"open")</f>
        <v>ok</v>
      </c>
      <c r="C4711" s="149" t="s">
        <v>369</v>
      </c>
      <c r="D4711" t="s">
        <v>6907</v>
      </c>
      <c r="E4711" t="s">
        <v>2161</v>
      </c>
      <c r="F4711" s="150" t="s">
        <v>2161</v>
      </c>
      <c r="G4711" s="149" t="s">
        <v>400</v>
      </c>
      <c r="H4711" s="150" t="str">
        <f>IF(Proc[[#This Row],[type]]="LFF (MDG-F)",MID(Proc[[#This Row],[Obj]],13,10),"")</f>
        <v/>
      </c>
      <c r="I4711" s="149"/>
      <c r="J4711" s="150" t="b">
        <f>Proc[[#This Row],[Requested]]=Proc[[#This Row],[CurrentParent]]</f>
        <v>1</v>
      </c>
      <c r="K4711" s="150" t="str">
        <f>IF(Proc[[#This Row],[Author]]="Marcela Urrego",VLOOKUP(LEFT(Proc[[#This Row],[Requested]],1),Table3[#All],2,0),VLOOKUP(Proc[[#This Row],[Author]],Table4[],2,0))</f>
        <v>HC</v>
      </c>
      <c r="L4711" s="150" t="s">
        <v>6435</v>
      </c>
      <c r="M4711" s="169">
        <v>45979</v>
      </c>
      <c r="N4711" s="169"/>
      <c r="O4711" s="169"/>
      <c r="P4711" s="170" t="str">
        <f ca="1">IF(Proc[[#This Row],[DaysAgeing]]&gt;5,"yep","on track")</f>
        <v>yep</v>
      </c>
      <c r="Q4711" s="3">
        <f ca="1">IF(Proc[[#This Row],[DateClosed]]="",ABS(NETWORKDAYS(Proc[[#This Row],[DateOpened]],TODAY()))-1,ABS(NETWORKDAYS(Proc[[#This Row],[DateOpened]],Proc[[#This Row],[DateClosed]]))-1)</f>
        <v>18</v>
      </c>
      <c r="R4711" s="170" t="s">
        <v>478</v>
      </c>
      <c r="S4711" s="150"/>
    </row>
    <row r="4712" spans="1:19" hidden="1">
      <c r="A4712" t="s">
        <v>6910</v>
      </c>
      <c r="B4712" s="150" t="str">
        <f>IFERROR(VLOOKUP(Proc[[#This Row],[App]],Table2[],3,0),"open")</f>
        <v>ok</v>
      </c>
      <c r="C4712" s="149" t="s">
        <v>369</v>
      </c>
      <c r="D4712" t="s">
        <v>6909</v>
      </c>
      <c r="E4712" t="s">
        <v>6911</v>
      </c>
      <c r="F4712" s="150" t="s">
        <v>6911</v>
      </c>
      <c r="G4712" s="149" t="s">
        <v>400</v>
      </c>
      <c r="H4712" s="150" t="str">
        <f>IF(Proc[[#This Row],[type]]="LFF (MDG-F)",MID(Proc[[#This Row],[Obj]],13,10),"")</f>
        <v/>
      </c>
      <c r="I4712" s="149"/>
      <c r="J4712" s="150" t="b">
        <f>Proc[[#This Row],[Requested]]=Proc[[#This Row],[CurrentParent]]</f>
        <v>1</v>
      </c>
      <c r="K4712" s="150" t="str">
        <f>IF(Proc[[#This Row],[Author]]="Marcela Urrego",VLOOKUP(LEFT(Proc[[#This Row],[Requested]],1),Table3[#All],2,0),VLOOKUP(Proc[[#This Row],[Author]],Table4[],2,0))</f>
        <v>HC</v>
      </c>
      <c r="L4712" s="150" t="s">
        <v>6435</v>
      </c>
      <c r="M4712" s="169">
        <v>45979</v>
      </c>
      <c r="N4712" s="169"/>
      <c r="O4712" s="169"/>
      <c r="P4712" s="170" t="str">
        <f ca="1">IF(Proc[[#This Row],[DaysAgeing]]&gt;5,"yep","on track")</f>
        <v>yep</v>
      </c>
      <c r="Q4712" s="3">
        <f ca="1">IF(Proc[[#This Row],[DateClosed]]="",ABS(NETWORKDAYS(Proc[[#This Row],[DateOpened]],TODAY()))-1,ABS(NETWORKDAYS(Proc[[#This Row],[DateOpened]],Proc[[#This Row],[DateClosed]]))-1)</f>
        <v>18</v>
      </c>
      <c r="R4712" s="170" t="s">
        <v>478</v>
      </c>
      <c r="S4712" s="150"/>
    </row>
    <row r="4713" spans="1:19" hidden="1">
      <c r="A4713" t="s">
        <v>6912</v>
      </c>
      <c r="B4713" s="150" t="str">
        <f>IFERROR(VLOOKUP(Proc[[#This Row],[App]],Table2[],3,0),"open")</f>
        <v>ok</v>
      </c>
      <c r="C4713" s="149" t="s">
        <v>369</v>
      </c>
      <c r="D4713" t="s">
        <v>6865</v>
      </c>
      <c r="E4713" t="s">
        <v>6872</v>
      </c>
      <c r="F4713" s="150" t="s">
        <v>6872</v>
      </c>
      <c r="G4713" s="149" t="s">
        <v>400</v>
      </c>
      <c r="H4713" s="150" t="str">
        <f>IF(Proc[[#This Row],[type]]="LFF (MDG-F)",MID(Proc[[#This Row],[Obj]],13,10),"")</f>
        <v/>
      </c>
      <c r="J4713" s="150" t="b">
        <f>Proc[[#This Row],[Requested]]=Proc[[#This Row],[CurrentParent]]</f>
        <v>1</v>
      </c>
      <c r="K4713" s="150" t="str">
        <f>IF(Proc[[#This Row],[Author]]="Marcela Urrego",VLOOKUP(LEFT(Proc[[#This Row],[Requested]],1),Table3[#All],2,0),VLOOKUP(Proc[[#This Row],[Author]],Table4[],2,0))</f>
        <v>HC</v>
      </c>
      <c r="L4713" s="150" t="s">
        <v>6435</v>
      </c>
      <c r="M4713" s="169">
        <v>45979</v>
      </c>
      <c r="N4713" s="169"/>
      <c r="O4713" s="169"/>
      <c r="P4713" s="170" t="str">
        <f ca="1">IF(Proc[[#This Row],[DaysAgeing]]&gt;5,"yep","on track")</f>
        <v>yep</v>
      </c>
      <c r="Q4713" s="3">
        <f ca="1">IF(Proc[[#This Row],[DateClosed]]="",ABS(NETWORKDAYS(Proc[[#This Row],[DateOpened]],TODAY()))-1,ABS(NETWORKDAYS(Proc[[#This Row],[DateOpened]],Proc[[#This Row],[DateClosed]]))-1)</f>
        <v>18</v>
      </c>
      <c r="R4713" s="170" t="s">
        <v>478</v>
      </c>
      <c r="S4713" s="150"/>
    </row>
    <row r="4714" spans="1:19" hidden="1">
      <c r="A4714" t="s">
        <v>6868</v>
      </c>
      <c r="B4714" s="150" t="str">
        <f>IFERROR(VLOOKUP(Proc[[#This Row],[App]],Table2[],3,0),"open")</f>
        <v>ok</v>
      </c>
      <c r="C4714" s="149" t="s">
        <v>369</v>
      </c>
      <c r="D4714" t="s">
        <v>6867</v>
      </c>
      <c r="E4714" t="s">
        <v>6920</v>
      </c>
      <c r="F4714" s="150" t="s">
        <v>6920</v>
      </c>
      <c r="G4714" s="149" t="s">
        <v>400</v>
      </c>
      <c r="H4714" s="150" t="str">
        <f>IF(Proc[[#This Row],[type]]="LFF (MDG-F)",MID(Proc[[#This Row],[Obj]],13,10),"")</f>
        <v/>
      </c>
      <c r="J4714" s="150" t="b">
        <f>Proc[[#This Row],[Requested]]=Proc[[#This Row],[CurrentParent]]</f>
        <v>1</v>
      </c>
      <c r="K4714" s="150" t="str">
        <f>IF(Proc[[#This Row],[Author]]="Marcela Urrego",VLOOKUP(LEFT(Proc[[#This Row],[Requested]],1),Table3[#All],2,0),VLOOKUP(Proc[[#This Row],[Author]],Table4[],2,0))</f>
        <v>HC</v>
      </c>
      <c r="L4714" s="150" t="s">
        <v>6435</v>
      </c>
      <c r="M4714" s="169">
        <v>45979</v>
      </c>
      <c r="N4714" s="169"/>
      <c r="O4714" s="169"/>
      <c r="P4714" s="170" t="str">
        <f ca="1">IF(Proc[[#This Row],[DaysAgeing]]&gt;5,"yep","on track")</f>
        <v>yep</v>
      </c>
      <c r="Q4714" s="3">
        <f ca="1">IF(Proc[[#This Row],[DateClosed]]="",ABS(NETWORKDAYS(Proc[[#This Row],[DateOpened]],TODAY()))-1,ABS(NETWORKDAYS(Proc[[#This Row],[DateOpened]],Proc[[#This Row],[DateClosed]]))-1)</f>
        <v>18</v>
      </c>
      <c r="R4714" s="170" t="s">
        <v>478</v>
      </c>
      <c r="S4714" s="150"/>
    </row>
    <row r="4715" spans="1:19" hidden="1">
      <c r="A4715" t="s">
        <v>6928</v>
      </c>
      <c r="B4715" s="150" t="str">
        <f>IFERROR(VLOOKUP(Proc[[#This Row],[App]],Table2[],3,0),"open")</f>
        <v>ok</v>
      </c>
      <c r="C4715" s="149" t="s">
        <v>369</v>
      </c>
      <c r="D4715" t="s">
        <v>6921</v>
      </c>
      <c r="E4715" t="s">
        <v>6926</v>
      </c>
      <c r="F4715" s="150" t="s">
        <v>6926</v>
      </c>
      <c r="G4715" t="s">
        <v>400</v>
      </c>
      <c r="H4715" s="150" t="str">
        <f>IF(Proc[[#This Row],[type]]="LFF (MDG-F)",MID(Proc[[#This Row],[Obj]],13,10),"")</f>
        <v/>
      </c>
      <c r="J4715" s="150" t="b">
        <f>Proc[[#This Row],[Requested]]=Proc[[#This Row],[CurrentParent]]</f>
        <v>1</v>
      </c>
      <c r="K4715" s="150" t="str">
        <f>IF(Proc[[#This Row],[Author]]="Marcela Urrego",VLOOKUP(LEFT(Proc[[#This Row],[Requested]],1),Table3[#All],2,0),VLOOKUP(Proc[[#This Row],[Author]],Table4[],2,0))</f>
        <v>MGF</v>
      </c>
      <c r="L4715" s="150" t="s">
        <v>6435</v>
      </c>
      <c r="M4715" s="170">
        <v>45981</v>
      </c>
      <c r="N4715" s="171"/>
      <c r="O4715" s="171"/>
      <c r="P4715" s="170" t="str">
        <f ca="1">IF(Proc[[#This Row],[DaysAgeing]]&gt;5,"yep","on track")</f>
        <v>yep</v>
      </c>
      <c r="Q4715" s="3">
        <f ca="1">IF(Proc[[#This Row],[DateClosed]]="",ABS(NETWORKDAYS(Proc[[#This Row],[DateOpened]],TODAY()))-1,ABS(NETWORKDAYS(Proc[[#This Row],[DateOpened]],Proc[[#This Row],[DateClosed]]))-1)</f>
        <v>16</v>
      </c>
      <c r="R4715" s="170" t="s">
        <v>515</v>
      </c>
      <c r="S4715" s="150"/>
    </row>
    <row r="4716" spans="1:19" hidden="1">
      <c r="A4716" s="149" t="s">
        <v>6928</v>
      </c>
      <c r="B4716" s="150" t="str">
        <f>IFERROR(VLOOKUP(Proc[[#This Row],[App]],Table2[],3,0),"open")</f>
        <v>ok</v>
      </c>
      <c r="C4716" s="149" t="s">
        <v>369</v>
      </c>
      <c r="D4716" t="s">
        <v>6922</v>
      </c>
      <c r="E4716" t="s">
        <v>6927</v>
      </c>
      <c r="F4716" s="150" t="s">
        <v>6927</v>
      </c>
      <c r="G4716" s="149" t="s">
        <v>400</v>
      </c>
      <c r="H4716" s="150" t="str">
        <f>IF(Proc[[#This Row],[type]]="LFF (MDG-F)",MID(Proc[[#This Row],[Obj]],13,10),"")</f>
        <v/>
      </c>
      <c r="J4716" s="150" t="b">
        <f>Proc[[#This Row],[Requested]]=Proc[[#This Row],[CurrentParent]]</f>
        <v>1</v>
      </c>
      <c r="K4716" s="150" t="str">
        <f>IF(Proc[[#This Row],[Author]]="Marcela Urrego",VLOOKUP(LEFT(Proc[[#This Row],[Requested]],1),Table3[#All],2,0),VLOOKUP(Proc[[#This Row],[Author]],Table4[],2,0))</f>
        <v>MGF</v>
      </c>
      <c r="L4716" s="150" t="s">
        <v>6435</v>
      </c>
      <c r="M4716" s="170">
        <v>45981</v>
      </c>
      <c r="N4716" s="171"/>
      <c r="O4716" s="171"/>
      <c r="P4716" s="170" t="str">
        <f ca="1">IF(Proc[[#This Row],[DaysAgeing]]&gt;5,"yep","on track")</f>
        <v>yep</v>
      </c>
      <c r="Q4716" s="3">
        <f ca="1">IF(Proc[[#This Row],[DateClosed]]="",ABS(NETWORKDAYS(Proc[[#This Row],[DateOpened]],TODAY()))-1,ABS(NETWORKDAYS(Proc[[#This Row],[DateOpened]],Proc[[#This Row],[DateClosed]]))-1)</f>
        <v>16</v>
      </c>
      <c r="R4716" s="170" t="s">
        <v>515</v>
      </c>
      <c r="S4716" s="150"/>
    </row>
    <row r="4717" spans="1:19" hidden="1">
      <c r="A4717" s="149" t="s">
        <v>6928</v>
      </c>
      <c r="B4717" s="150" t="str">
        <f>IFERROR(VLOOKUP(Proc[[#This Row],[App]],Table2[],3,0),"open")</f>
        <v>ok</v>
      </c>
      <c r="C4717" s="149" t="s">
        <v>369</v>
      </c>
      <c r="D4717" t="s">
        <v>6923</v>
      </c>
      <c r="E4717" t="s">
        <v>6926</v>
      </c>
      <c r="F4717" s="150" t="s">
        <v>6926</v>
      </c>
      <c r="G4717" s="149" t="s">
        <v>400</v>
      </c>
      <c r="H4717" s="150" t="str">
        <f>IF(Proc[[#This Row],[type]]="LFF (MDG-F)",MID(Proc[[#This Row],[Obj]],13,10),"")</f>
        <v/>
      </c>
      <c r="J4717" s="150" t="b">
        <f>Proc[[#This Row],[Requested]]=Proc[[#This Row],[CurrentParent]]</f>
        <v>1</v>
      </c>
      <c r="K4717" s="150" t="str">
        <f>IF(Proc[[#This Row],[Author]]="Marcela Urrego",VLOOKUP(LEFT(Proc[[#This Row],[Requested]],1),Table3[#All],2,0),VLOOKUP(Proc[[#This Row],[Author]],Table4[],2,0))</f>
        <v>MGF</v>
      </c>
      <c r="L4717" s="150" t="s">
        <v>6435</v>
      </c>
      <c r="M4717" s="170">
        <v>45981</v>
      </c>
      <c r="N4717" s="171"/>
      <c r="O4717" s="171"/>
      <c r="P4717" s="170" t="str">
        <f ca="1">IF(Proc[[#This Row],[DaysAgeing]]&gt;5,"yep","on track")</f>
        <v>yep</v>
      </c>
      <c r="Q4717" s="3">
        <f ca="1">IF(Proc[[#This Row],[DateClosed]]="",ABS(NETWORKDAYS(Proc[[#This Row],[DateOpened]],TODAY()))-1,ABS(NETWORKDAYS(Proc[[#This Row],[DateOpened]],Proc[[#This Row],[DateClosed]]))-1)</f>
        <v>16</v>
      </c>
      <c r="R4717" s="170" t="s">
        <v>515</v>
      </c>
      <c r="S4717" s="150"/>
    </row>
    <row r="4718" spans="1:19" hidden="1">
      <c r="A4718" s="149" t="s">
        <v>6928</v>
      </c>
      <c r="B4718" s="150" t="str">
        <f>IFERROR(VLOOKUP(Proc[[#This Row],[App]],Table2[],3,0),"open")</f>
        <v>ok</v>
      </c>
      <c r="C4718" s="149" t="s">
        <v>369</v>
      </c>
      <c r="D4718" t="s">
        <v>6924</v>
      </c>
      <c r="E4718" t="s">
        <v>6926</v>
      </c>
      <c r="F4718" s="150" t="s">
        <v>6926</v>
      </c>
      <c r="G4718" s="149" t="s">
        <v>400</v>
      </c>
      <c r="H4718" s="150" t="str">
        <f>IF(Proc[[#This Row],[type]]="LFF (MDG-F)",MID(Proc[[#This Row],[Obj]],13,10),"")</f>
        <v/>
      </c>
      <c r="J4718" s="150" t="b">
        <f>Proc[[#This Row],[Requested]]=Proc[[#This Row],[CurrentParent]]</f>
        <v>1</v>
      </c>
      <c r="K4718" s="150" t="str">
        <f>IF(Proc[[#This Row],[Author]]="Marcela Urrego",VLOOKUP(LEFT(Proc[[#This Row],[Requested]],1),Table3[#All],2,0),VLOOKUP(Proc[[#This Row],[Author]],Table4[],2,0))</f>
        <v>MGF</v>
      </c>
      <c r="L4718" s="150" t="s">
        <v>6435</v>
      </c>
      <c r="M4718" s="170">
        <v>45981</v>
      </c>
      <c r="N4718" s="171"/>
      <c r="O4718" s="171"/>
      <c r="P4718" s="170" t="str">
        <f ca="1">IF(Proc[[#This Row],[DaysAgeing]]&gt;5,"yep","on track")</f>
        <v>yep</v>
      </c>
      <c r="Q4718" s="3">
        <f ca="1">IF(Proc[[#This Row],[DateClosed]]="",ABS(NETWORKDAYS(Proc[[#This Row],[DateOpened]],TODAY()))-1,ABS(NETWORKDAYS(Proc[[#This Row],[DateOpened]],Proc[[#This Row],[DateClosed]]))-1)</f>
        <v>16</v>
      </c>
      <c r="R4718" s="170" t="s">
        <v>515</v>
      </c>
      <c r="S4718" s="150"/>
    </row>
    <row r="4719" spans="1:19" hidden="1">
      <c r="A4719" s="149" t="s">
        <v>6928</v>
      </c>
      <c r="B4719" s="150" t="str">
        <f>IFERROR(VLOOKUP(Proc[[#This Row],[App]],Table2[],3,0),"open")</f>
        <v>ok</v>
      </c>
      <c r="C4719" s="149" t="s">
        <v>369</v>
      </c>
      <c r="D4719" t="s">
        <v>1132</v>
      </c>
      <c r="E4719" t="s">
        <v>6927</v>
      </c>
      <c r="F4719" s="150" t="s">
        <v>6927</v>
      </c>
      <c r="G4719" s="149" t="s">
        <v>400</v>
      </c>
      <c r="H4719" s="150" t="str">
        <f>IF(Proc[[#This Row],[type]]="LFF (MDG-F)",MID(Proc[[#This Row],[Obj]],13,10),"")</f>
        <v/>
      </c>
      <c r="J4719" s="150" t="b">
        <f>Proc[[#This Row],[Requested]]=Proc[[#This Row],[CurrentParent]]</f>
        <v>1</v>
      </c>
      <c r="K4719" s="150" t="str">
        <f>IF(Proc[[#This Row],[Author]]="Marcela Urrego",VLOOKUP(LEFT(Proc[[#This Row],[Requested]],1),Table3[#All],2,0),VLOOKUP(Proc[[#This Row],[Author]],Table4[],2,0))</f>
        <v>MGF</v>
      </c>
      <c r="L4719" s="150" t="s">
        <v>6435</v>
      </c>
      <c r="M4719" s="170">
        <v>45981</v>
      </c>
      <c r="N4719" s="171"/>
      <c r="O4719" s="171"/>
      <c r="P4719" s="170" t="str">
        <f ca="1">IF(Proc[[#This Row],[DaysAgeing]]&gt;5,"yep","on track")</f>
        <v>yep</v>
      </c>
      <c r="Q4719" s="3">
        <f ca="1">IF(Proc[[#This Row],[DateClosed]]="",ABS(NETWORKDAYS(Proc[[#This Row],[DateOpened]],TODAY()))-1,ABS(NETWORKDAYS(Proc[[#This Row],[DateOpened]],Proc[[#This Row],[DateClosed]]))-1)</f>
        <v>16</v>
      </c>
      <c r="R4719" s="170" t="s">
        <v>515</v>
      </c>
      <c r="S4719" s="150"/>
    </row>
    <row r="4720" spans="1:19" hidden="1">
      <c r="A4720" s="149" t="s">
        <v>6928</v>
      </c>
      <c r="B4720" s="150" t="str">
        <f>IFERROR(VLOOKUP(Proc[[#This Row],[App]],Table2[],3,0),"open")</f>
        <v>ok</v>
      </c>
      <c r="C4720" s="149" t="s">
        <v>369</v>
      </c>
      <c r="D4720" t="s">
        <v>1820</v>
      </c>
      <c r="E4720" t="s">
        <v>6927</v>
      </c>
      <c r="F4720" s="150" t="s">
        <v>6927</v>
      </c>
      <c r="G4720" s="149" t="s">
        <v>406</v>
      </c>
      <c r="H4720" s="150" t="str">
        <f>IF(Proc[[#This Row],[type]]="LFF (MDG-F)",MID(Proc[[#This Row],[Obj]],13,10),"")</f>
        <v>DE10G69660</v>
      </c>
      <c r="J4720" s="150" t="b">
        <f>Proc[[#This Row],[Requested]]=Proc[[#This Row],[CurrentParent]]</f>
        <v>1</v>
      </c>
      <c r="K4720" s="150" t="str">
        <f>IF(Proc[[#This Row],[Author]]="Marcela Urrego",VLOOKUP(LEFT(Proc[[#This Row],[Requested]],1),Table3[#All],2,0),VLOOKUP(Proc[[#This Row],[Author]],Table4[],2,0))</f>
        <v>MGF</v>
      </c>
      <c r="L4720" s="150" t="s">
        <v>6435</v>
      </c>
      <c r="M4720" s="170">
        <v>45981</v>
      </c>
      <c r="N4720" s="171"/>
      <c r="O4720" s="171"/>
      <c r="P4720" s="170" t="str">
        <f ca="1">IF(Proc[[#This Row],[DaysAgeing]]&gt;5,"yep","on track")</f>
        <v>yep</v>
      </c>
      <c r="Q4720" s="3">
        <f ca="1">IF(Proc[[#This Row],[DateClosed]]="",ABS(NETWORKDAYS(Proc[[#This Row],[DateOpened]],TODAY()))-1,ABS(NETWORKDAYS(Proc[[#This Row],[DateOpened]],Proc[[#This Row],[DateClosed]]))-1)</f>
        <v>16</v>
      </c>
      <c r="R4720" s="170" t="s">
        <v>515</v>
      </c>
      <c r="S4720" s="150"/>
    </row>
    <row r="4721" spans="1:19" hidden="1">
      <c r="A4721" s="149" t="s">
        <v>6928</v>
      </c>
      <c r="B4721" s="150" t="str">
        <f>IFERROR(VLOOKUP(Proc[[#This Row],[App]],Table2[],3,0),"open")</f>
        <v>ok</v>
      </c>
      <c r="C4721" s="149" t="s">
        <v>369</v>
      </c>
      <c r="D4721" t="s">
        <v>6925</v>
      </c>
      <c r="E4721" t="s">
        <v>6926</v>
      </c>
      <c r="F4721" s="150" t="s">
        <v>6926</v>
      </c>
      <c r="G4721" s="149" t="s">
        <v>400</v>
      </c>
      <c r="H4721" s="150" t="str">
        <f>IF(Proc[[#This Row],[type]]="LFF (MDG-F)",MID(Proc[[#This Row],[Obj]],13,10),"")</f>
        <v/>
      </c>
      <c r="J4721" s="150" t="b">
        <f>Proc[[#This Row],[Requested]]=Proc[[#This Row],[CurrentParent]]</f>
        <v>1</v>
      </c>
      <c r="K4721" s="150" t="str">
        <f>IF(Proc[[#This Row],[Author]]="Marcela Urrego",VLOOKUP(LEFT(Proc[[#This Row],[Requested]],1),Table3[#All],2,0),VLOOKUP(Proc[[#This Row],[Author]],Table4[],2,0))</f>
        <v>MGF</v>
      </c>
      <c r="L4721" s="150" t="s">
        <v>6435</v>
      </c>
      <c r="M4721" s="170">
        <v>45981</v>
      </c>
      <c r="N4721" s="171"/>
      <c r="O4721" s="171"/>
      <c r="P4721" s="170" t="str">
        <f ca="1">IF(Proc[[#This Row],[DaysAgeing]]&gt;5,"yep","on track")</f>
        <v>yep</v>
      </c>
      <c r="Q4721" s="3">
        <f ca="1">IF(Proc[[#This Row],[DateClosed]]="",ABS(NETWORKDAYS(Proc[[#This Row],[DateOpened]],TODAY()))-1,ABS(NETWORKDAYS(Proc[[#This Row],[DateOpened]],Proc[[#This Row],[DateClosed]]))-1)</f>
        <v>16</v>
      </c>
      <c r="R4721" s="170" t="s">
        <v>515</v>
      </c>
      <c r="S4721" s="150"/>
    </row>
    <row r="4722" spans="1:19" hidden="1">
      <c r="A4722" t="s">
        <v>6929</v>
      </c>
      <c r="B4722" s="150" t="str">
        <f>IFERROR(VLOOKUP(Proc[[#This Row],[App]],Table2[],3,0),"open")</f>
        <v>ok</v>
      </c>
      <c r="C4722" s="149" t="s">
        <v>369</v>
      </c>
      <c r="D4722" t="s">
        <v>6847</v>
      </c>
      <c r="E4722" t="s">
        <v>6852</v>
      </c>
      <c r="F4722" s="150" t="s">
        <v>6852</v>
      </c>
      <c r="G4722" t="s">
        <v>400</v>
      </c>
      <c r="H4722" s="150" t="str">
        <f>IF(Proc[[#This Row],[type]]="LFF (MDG-F)",MID(Proc[[#This Row],[Obj]],13,10),"")</f>
        <v/>
      </c>
      <c r="J4722" s="150" t="b">
        <f>Proc[[#This Row],[Requested]]=Proc[[#This Row],[CurrentParent]]</f>
        <v>1</v>
      </c>
      <c r="K4722" s="150" t="str">
        <f>IF(Proc[[#This Row],[Author]]="Marcela Urrego",VLOOKUP(LEFT(Proc[[#This Row],[Requested]],1),Table3[#All],2,0),VLOOKUP(Proc[[#This Row],[Author]],Table4[],2,0))</f>
        <v>LS</v>
      </c>
      <c r="L4722" s="150" t="s">
        <v>6435</v>
      </c>
      <c r="M4722" s="170">
        <v>45983</v>
      </c>
      <c r="N4722" s="171"/>
      <c r="O4722" s="171"/>
      <c r="P4722" s="170" t="str">
        <f ca="1">IF(Proc[[#This Row],[DaysAgeing]]&gt;5,"yep","on track")</f>
        <v>yep</v>
      </c>
      <c r="Q4722" s="3">
        <f ca="1">IF(Proc[[#This Row],[DateClosed]]="",ABS(NETWORKDAYS(Proc[[#This Row],[DateOpened]],TODAY()))-1,ABS(NETWORKDAYS(Proc[[#This Row],[DateOpened]],Proc[[#This Row],[DateClosed]]))-1)</f>
        <v>14</v>
      </c>
      <c r="R4722" s="170" t="s">
        <v>489</v>
      </c>
      <c r="S4722" s="150"/>
    </row>
    <row r="4723" spans="1:19" hidden="1">
      <c r="A4723" s="149" t="s">
        <v>6929</v>
      </c>
      <c r="B4723" s="150" t="str">
        <f>IFERROR(VLOOKUP(Proc[[#This Row],[App]],Table2[],3,0),"open")</f>
        <v>ok</v>
      </c>
      <c r="C4723" s="149" t="s">
        <v>369</v>
      </c>
      <c r="D4723" t="s">
        <v>6831</v>
      </c>
      <c r="E4723" t="s">
        <v>2206</v>
      </c>
      <c r="F4723" s="150" t="s">
        <v>2206</v>
      </c>
      <c r="G4723" s="149" t="s">
        <v>400</v>
      </c>
      <c r="H4723" s="150" t="str">
        <f>IF(Proc[[#This Row],[type]]="LFF (MDG-F)",MID(Proc[[#This Row],[Obj]],13,10),"")</f>
        <v/>
      </c>
      <c r="J4723" s="150" t="b">
        <f>Proc[[#This Row],[Requested]]=Proc[[#This Row],[CurrentParent]]</f>
        <v>1</v>
      </c>
      <c r="K4723" s="150" t="str">
        <f>IF(Proc[[#This Row],[Author]]="Marcela Urrego",VLOOKUP(LEFT(Proc[[#This Row],[Requested]],1),Table3[#All],2,0),VLOOKUP(Proc[[#This Row],[Author]],Table4[],2,0))</f>
        <v>LS</v>
      </c>
      <c r="L4723" s="150" t="s">
        <v>6435</v>
      </c>
      <c r="M4723" s="170">
        <v>45983</v>
      </c>
      <c r="N4723" s="171"/>
      <c r="O4723" s="171"/>
      <c r="P4723" s="170" t="str">
        <f ca="1">IF(Proc[[#This Row],[DaysAgeing]]&gt;5,"yep","on track")</f>
        <v>yep</v>
      </c>
      <c r="Q4723" s="3">
        <f ca="1">IF(Proc[[#This Row],[DateClosed]]="",ABS(NETWORKDAYS(Proc[[#This Row],[DateOpened]],TODAY()))-1,ABS(NETWORKDAYS(Proc[[#This Row],[DateOpened]],Proc[[#This Row],[DateClosed]]))-1)</f>
        <v>14</v>
      </c>
      <c r="R4723" s="170" t="s">
        <v>489</v>
      </c>
      <c r="S4723" s="150"/>
    </row>
    <row r="4724" spans="1:19" hidden="1">
      <c r="A4724" s="149" t="s">
        <v>6929</v>
      </c>
      <c r="B4724" s="150" t="str">
        <f>IFERROR(VLOOKUP(Proc[[#This Row],[App]],Table2[],3,0),"open")</f>
        <v>ok</v>
      </c>
      <c r="C4724" s="149" t="s">
        <v>369</v>
      </c>
      <c r="D4724" t="s">
        <v>6832</v>
      </c>
      <c r="E4724" t="s">
        <v>2206</v>
      </c>
      <c r="F4724" s="150" t="s">
        <v>2206</v>
      </c>
      <c r="G4724" s="149" t="s">
        <v>400</v>
      </c>
      <c r="H4724" s="150" t="str">
        <f>IF(Proc[[#This Row],[type]]="LFF (MDG-F)",MID(Proc[[#This Row],[Obj]],13,10),"")</f>
        <v/>
      </c>
      <c r="J4724" s="150" t="b">
        <f>Proc[[#This Row],[Requested]]=Proc[[#This Row],[CurrentParent]]</f>
        <v>1</v>
      </c>
      <c r="K4724" s="150" t="str">
        <f>IF(Proc[[#This Row],[Author]]="Marcela Urrego",VLOOKUP(LEFT(Proc[[#This Row],[Requested]],1),Table3[#All],2,0),VLOOKUP(Proc[[#This Row],[Author]],Table4[],2,0))</f>
        <v>LS</v>
      </c>
      <c r="L4724" s="150" t="s">
        <v>6435</v>
      </c>
      <c r="M4724" s="170">
        <v>45983</v>
      </c>
      <c r="N4724" s="171"/>
      <c r="O4724" s="171"/>
      <c r="P4724" s="170" t="str">
        <f ca="1">IF(Proc[[#This Row],[DaysAgeing]]&gt;5,"yep","on track")</f>
        <v>yep</v>
      </c>
      <c r="Q4724" s="3">
        <f ca="1">IF(Proc[[#This Row],[DateClosed]]="",ABS(NETWORKDAYS(Proc[[#This Row],[DateOpened]],TODAY()))-1,ABS(NETWORKDAYS(Proc[[#This Row],[DateOpened]],Proc[[#This Row],[DateClosed]]))-1)</f>
        <v>14</v>
      </c>
      <c r="R4724" s="170" t="s">
        <v>489</v>
      </c>
      <c r="S4724" s="150"/>
    </row>
    <row r="4725" spans="1:19" hidden="1">
      <c r="A4725" s="149" t="s">
        <v>6929</v>
      </c>
      <c r="B4725" s="150" t="str">
        <f>IFERROR(VLOOKUP(Proc[[#This Row],[App]],Table2[],3,0),"open")</f>
        <v>ok</v>
      </c>
      <c r="C4725" s="149" t="s">
        <v>369</v>
      </c>
      <c r="D4725" t="s">
        <v>6930</v>
      </c>
      <c r="E4725" t="s">
        <v>2191</v>
      </c>
      <c r="F4725" s="150" t="s">
        <v>2191</v>
      </c>
      <c r="G4725" s="149" t="s">
        <v>400</v>
      </c>
      <c r="H4725" s="150" t="str">
        <f>IF(Proc[[#This Row],[type]]="LFF (MDG-F)",MID(Proc[[#This Row],[Obj]],13,10),"")</f>
        <v/>
      </c>
      <c r="J4725" s="150" t="b">
        <f>Proc[[#This Row],[Requested]]=Proc[[#This Row],[CurrentParent]]</f>
        <v>1</v>
      </c>
      <c r="K4725" s="150" t="str">
        <f>IF(Proc[[#This Row],[Author]]="Marcela Urrego",VLOOKUP(LEFT(Proc[[#This Row],[Requested]],1),Table3[#All],2,0),VLOOKUP(Proc[[#This Row],[Author]],Table4[],2,0))</f>
        <v>LS</v>
      </c>
      <c r="L4725" s="150" t="s">
        <v>6435</v>
      </c>
      <c r="M4725" s="170">
        <v>45983</v>
      </c>
      <c r="N4725" s="171"/>
      <c r="O4725" s="171"/>
      <c r="P4725" s="170" t="str">
        <f ca="1">IF(Proc[[#This Row],[DaysAgeing]]&gt;5,"yep","on track")</f>
        <v>yep</v>
      </c>
      <c r="Q4725" s="3">
        <f ca="1">IF(Proc[[#This Row],[DateClosed]]="",ABS(NETWORKDAYS(Proc[[#This Row],[DateOpened]],TODAY()))-1,ABS(NETWORKDAYS(Proc[[#This Row],[DateOpened]],Proc[[#This Row],[DateClosed]]))-1)</f>
        <v>14</v>
      </c>
      <c r="R4725" s="170" t="s">
        <v>489</v>
      </c>
      <c r="S4725" s="150"/>
    </row>
    <row r="4726" spans="1:19" hidden="1">
      <c r="A4726" s="149" t="s">
        <v>6929</v>
      </c>
      <c r="B4726" s="150" t="str">
        <f>IFERROR(VLOOKUP(Proc[[#This Row],[App]],Table2[],3,0),"open")</f>
        <v>ok</v>
      </c>
      <c r="C4726" s="149" t="s">
        <v>369</v>
      </c>
      <c r="D4726" t="s">
        <v>6967</v>
      </c>
      <c r="E4726" t="s">
        <v>6932</v>
      </c>
      <c r="F4726" s="150" t="s">
        <v>6932</v>
      </c>
      <c r="G4726" s="149" t="s">
        <v>400</v>
      </c>
      <c r="H4726" s="150" t="str">
        <f>IF(Proc[[#This Row],[type]]="LFF (MDG-F)",MID(Proc[[#This Row],[Obj]],13,10),"")</f>
        <v/>
      </c>
      <c r="J4726" s="150" t="b">
        <f>Proc[[#This Row],[Requested]]=Proc[[#This Row],[CurrentParent]]</f>
        <v>1</v>
      </c>
      <c r="K4726" s="150" t="str">
        <f>IF(Proc[[#This Row],[Author]]="Marcela Urrego",VLOOKUP(LEFT(Proc[[#This Row],[Requested]],1),Table3[#All],2,0),VLOOKUP(Proc[[#This Row],[Author]],Table4[],2,0))</f>
        <v>LS</v>
      </c>
      <c r="L4726" s="150" t="s">
        <v>6435</v>
      </c>
      <c r="M4726" s="170">
        <v>45983</v>
      </c>
      <c r="N4726" s="171"/>
      <c r="O4726" s="171"/>
      <c r="P4726" s="170" t="str">
        <f ca="1">IF(Proc[[#This Row],[DaysAgeing]]&gt;5,"yep","on track")</f>
        <v>yep</v>
      </c>
      <c r="Q4726" s="3">
        <f ca="1">IF(Proc[[#This Row],[DateClosed]]="",ABS(NETWORKDAYS(Proc[[#This Row],[DateOpened]],TODAY()))-1,ABS(NETWORKDAYS(Proc[[#This Row],[DateOpened]],Proc[[#This Row],[DateClosed]]))-1)</f>
        <v>14</v>
      </c>
      <c r="R4726" s="170" t="s">
        <v>489</v>
      </c>
      <c r="S4726" s="150"/>
    </row>
    <row r="4727" spans="1:19" hidden="1">
      <c r="A4727" s="149" t="s">
        <v>6929</v>
      </c>
      <c r="B4727" s="150" t="str">
        <f>IFERROR(VLOOKUP(Proc[[#This Row],[App]],Table2[],3,0),"open")</f>
        <v>ok</v>
      </c>
      <c r="C4727" s="149" t="s">
        <v>369</v>
      </c>
      <c r="D4727" t="s">
        <v>6931</v>
      </c>
      <c r="E4727" t="s">
        <v>6933</v>
      </c>
      <c r="F4727" s="150" t="s">
        <v>6933</v>
      </c>
      <c r="G4727" s="149" t="s">
        <v>400</v>
      </c>
      <c r="H4727" s="150" t="str">
        <f>IF(Proc[[#This Row],[type]]="LFF (MDG-F)",MID(Proc[[#This Row],[Obj]],13,10),"")</f>
        <v/>
      </c>
      <c r="J4727" s="150" t="b">
        <f>Proc[[#This Row],[Requested]]=Proc[[#This Row],[CurrentParent]]</f>
        <v>1</v>
      </c>
      <c r="K4727" s="150" t="str">
        <f>IF(Proc[[#This Row],[Author]]="Marcela Urrego",VLOOKUP(LEFT(Proc[[#This Row],[Requested]],1),Table3[#All],2,0),VLOOKUP(Proc[[#This Row],[Author]],Table4[],2,0))</f>
        <v>LS</v>
      </c>
      <c r="L4727" s="150" t="s">
        <v>6435</v>
      </c>
      <c r="M4727" s="170">
        <v>45983</v>
      </c>
      <c r="N4727" s="171"/>
      <c r="O4727" s="171"/>
      <c r="P4727" s="170" t="str">
        <f ca="1">IF(Proc[[#This Row],[DaysAgeing]]&gt;5,"yep","on track")</f>
        <v>yep</v>
      </c>
      <c r="Q4727" s="3">
        <f ca="1">IF(Proc[[#This Row],[DateClosed]]="",ABS(NETWORKDAYS(Proc[[#This Row],[DateOpened]],TODAY()))-1,ABS(NETWORKDAYS(Proc[[#This Row],[DateOpened]],Proc[[#This Row],[DateClosed]]))-1)</f>
        <v>14</v>
      </c>
      <c r="R4727" s="170" t="s">
        <v>489</v>
      </c>
      <c r="S4727" s="150"/>
    </row>
    <row r="4728" spans="1:19" hidden="1">
      <c r="A4728" t="s">
        <v>6934</v>
      </c>
      <c r="B4728" s="150" t="str">
        <f>IFERROR(VLOOKUP(Proc[[#This Row],[App]],Table2[],3,0),"open")</f>
        <v>ok</v>
      </c>
      <c r="C4728" s="149" t="s">
        <v>369</v>
      </c>
      <c r="D4728" t="s">
        <v>3494</v>
      </c>
      <c r="E4728" t="s">
        <v>1974</v>
      </c>
      <c r="F4728" s="150" t="s">
        <v>1974</v>
      </c>
      <c r="G4728" s="149" t="s">
        <v>400</v>
      </c>
      <c r="H4728" s="150" t="str">
        <f>IF(Proc[[#This Row],[type]]="LFF (MDG-F)",MID(Proc[[#This Row],[Obj]],13,10),"")</f>
        <v/>
      </c>
      <c r="J4728" s="150" t="b">
        <f>Proc[[#This Row],[Requested]]=Proc[[#This Row],[CurrentParent]]</f>
        <v>1</v>
      </c>
      <c r="K4728" s="150" t="str">
        <f>IF(Proc[[#This Row],[Author]]="Marcela Urrego",VLOOKUP(LEFT(Proc[[#This Row],[Requested]],1),Table3[#All],2,0),VLOOKUP(Proc[[#This Row],[Author]],Table4[],2,0))</f>
        <v>LS</v>
      </c>
      <c r="L4728" s="150" t="s">
        <v>6435</v>
      </c>
      <c r="M4728" s="170">
        <v>45983</v>
      </c>
      <c r="N4728" s="171"/>
      <c r="O4728" s="171"/>
      <c r="P4728" s="170" t="str">
        <f ca="1">IF(Proc[[#This Row],[DaysAgeing]]&gt;5,"yep","on track")</f>
        <v>yep</v>
      </c>
      <c r="Q4728" s="3">
        <f ca="1">IF(Proc[[#This Row],[DateClosed]]="",ABS(NETWORKDAYS(Proc[[#This Row],[DateOpened]],TODAY()))-1,ABS(NETWORKDAYS(Proc[[#This Row],[DateOpened]],Proc[[#This Row],[DateClosed]]))-1)</f>
        <v>14</v>
      </c>
      <c r="R4728" s="170" t="s">
        <v>489</v>
      </c>
      <c r="S4728" s="150"/>
    </row>
    <row r="4729" spans="1:19" hidden="1">
      <c r="A4729" s="149" t="s">
        <v>6934</v>
      </c>
      <c r="B4729" s="150" t="str">
        <f>IFERROR(VLOOKUP(Proc[[#This Row],[App]],Table2[],3,0),"open")</f>
        <v>ok</v>
      </c>
      <c r="C4729" s="149" t="s">
        <v>369</v>
      </c>
      <c r="D4729" t="s">
        <v>6935</v>
      </c>
      <c r="E4729" t="s">
        <v>6954</v>
      </c>
      <c r="F4729" s="150" t="s">
        <v>6954</v>
      </c>
      <c r="G4729" s="149" t="s">
        <v>400</v>
      </c>
      <c r="H4729" s="150" t="str">
        <f>IF(Proc[[#This Row],[type]]="LFF (MDG-F)",MID(Proc[[#This Row],[Obj]],13,10),"")</f>
        <v/>
      </c>
      <c r="J4729" s="150" t="b">
        <f>Proc[[#This Row],[Requested]]=Proc[[#This Row],[CurrentParent]]</f>
        <v>1</v>
      </c>
      <c r="K4729" s="150" t="str">
        <f>IF(Proc[[#This Row],[Author]]="Marcela Urrego",VLOOKUP(LEFT(Proc[[#This Row],[Requested]],1),Table3[#All],2,0),VLOOKUP(Proc[[#This Row],[Author]],Table4[],2,0))</f>
        <v>LS</v>
      </c>
      <c r="L4729" s="150" t="s">
        <v>6435</v>
      </c>
      <c r="M4729" s="170">
        <v>45983</v>
      </c>
      <c r="N4729" s="171"/>
      <c r="O4729" s="171"/>
      <c r="P4729" s="170" t="str">
        <f ca="1">IF(Proc[[#This Row],[DaysAgeing]]&gt;5,"yep","on track")</f>
        <v>yep</v>
      </c>
      <c r="Q4729" s="3">
        <f ca="1">IF(Proc[[#This Row],[DateClosed]]="",ABS(NETWORKDAYS(Proc[[#This Row],[DateOpened]],TODAY()))-1,ABS(NETWORKDAYS(Proc[[#This Row],[DateOpened]],Proc[[#This Row],[DateClosed]]))-1)</f>
        <v>14</v>
      </c>
      <c r="R4729" s="170" t="s">
        <v>489</v>
      </c>
      <c r="S4729" s="150"/>
    </row>
    <row r="4730" spans="1:19" hidden="1">
      <c r="A4730" s="149" t="s">
        <v>6934</v>
      </c>
      <c r="B4730" s="150" t="str">
        <f>IFERROR(VLOOKUP(Proc[[#This Row],[App]],Table2[],3,0),"open")</f>
        <v>ok</v>
      </c>
      <c r="C4730" s="149" t="s">
        <v>369</v>
      </c>
      <c r="D4730" t="s">
        <v>6936</v>
      </c>
      <c r="E4730" t="s">
        <v>3521</v>
      </c>
      <c r="F4730" s="150" t="s">
        <v>3521</v>
      </c>
      <c r="G4730" s="149" t="s">
        <v>400</v>
      </c>
      <c r="H4730" s="150" t="str">
        <f>IF(Proc[[#This Row],[type]]="LFF (MDG-F)",MID(Proc[[#This Row],[Obj]],13,10),"")</f>
        <v/>
      </c>
      <c r="J4730" s="150" t="b">
        <f>Proc[[#This Row],[Requested]]=Proc[[#This Row],[CurrentParent]]</f>
        <v>1</v>
      </c>
      <c r="K4730" s="150" t="str">
        <f>IF(Proc[[#This Row],[Author]]="Marcela Urrego",VLOOKUP(LEFT(Proc[[#This Row],[Requested]],1),Table3[#All],2,0),VLOOKUP(Proc[[#This Row],[Author]],Table4[],2,0))</f>
        <v>LS</v>
      </c>
      <c r="L4730" s="150" t="s">
        <v>6435</v>
      </c>
      <c r="M4730" s="170">
        <v>45983</v>
      </c>
      <c r="N4730" s="171"/>
      <c r="O4730" s="171"/>
      <c r="P4730" s="170" t="str">
        <f ca="1">IF(Proc[[#This Row],[DaysAgeing]]&gt;5,"yep","on track")</f>
        <v>yep</v>
      </c>
      <c r="Q4730" s="3">
        <f ca="1">IF(Proc[[#This Row],[DateClosed]]="",ABS(NETWORKDAYS(Proc[[#This Row],[DateOpened]],TODAY()))-1,ABS(NETWORKDAYS(Proc[[#This Row],[DateOpened]],Proc[[#This Row],[DateClosed]]))-1)</f>
        <v>14</v>
      </c>
      <c r="R4730" s="170" t="s">
        <v>489</v>
      </c>
      <c r="S4730" s="150"/>
    </row>
    <row r="4731" spans="1:19" hidden="1">
      <c r="A4731" s="149" t="s">
        <v>6934</v>
      </c>
      <c r="B4731" s="150" t="str">
        <f>IFERROR(VLOOKUP(Proc[[#This Row],[App]],Table2[],3,0),"open")</f>
        <v>ok</v>
      </c>
      <c r="C4731" s="149" t="s">
        <v>369</v>
      </c>
      <c r="D4731" t="s">
        <v>6937</v>
      </c>
      <c r="E4731" t="s">
        <v>3521</v>
      </c>
      <c r="F4731" s="150" t="s">
        <v>3521</v>
      </c>
      <c r="G4731" s="149" t="s">
        <v>400</v>
      </c>
      <c r="H4731" s="150" t="str">
        <f>IF(Proc[[#This Row],[type]]="LFF (MDG-F)",MID(Proc[[#This Row],[Obj]],13,10),"")</f>
        <v/>
      </c>
      <c r="J4731" s="150" t="b">
        <f>Proc[[#This Row],[Requested]]=Proc[[#This Row],[CurrentParent]]</f>
        <v>1</v>
      </c>
      <c r="K4731" s="150" t="str">
        <f>IF(Proc[[#This Row],[Author]]="Marcela Urrego",VLOOKUP(LEFT(Proc[[#This Row],[Requested]],1),Table3[#All],2,0),VLOOKUP(Proc[[#This Row],[Author]],Table4[],2,0))</f>
        <v>LS</v>
      </c>
      <c r="L4731" s="150" t="s">
        <v>6435</v>
      </c>
      <c r="M4731" s="170">
        <v>45983</v>
      </c>
      <c r="N4731" s="171"/>
      <c r="O4731" s="171"/>
      <c r="P4731" s="170" t="str">
        <f ca="1">IF(Proc[[#This Row],[DaysAgeing]]&gt;5,"yep","on track")</f>
        <v>yep</v>
      </c>
      <c r="Q4731" s="3">
        <f ca="1">IF(Proc[[#This Row],[DateClosed]]="",ABS(NETWORKDAYS(Proc[[#This Row],[DateOpened]],TODAY()))-1,ABS(NETWORKDAYS(Proc[[#This Row],[DateOpened]],Proc[[#This Row],[DateClosed]]))-1)</f>
        <v>14</v>
      </c>
      <c r="R4731" s="170" t="s">
        <v>489</v>
      </c>
      <c r="S4731" s="150"/>
    </row>
    <row r="4732" spans="1:19" hidden="1">
      <c r="A4732" s="149" t="s">
        <v>6934</v>
      </c>
      <c r="B4732" s="150" t="str">
        <f>IFERROR(VLOOKUP(Proc[[#This Row],[App]],Table2[],3,0),"open")</f>
        <v>ok</v>
      </c>
      <c r="C4732" s="149" t="s">
        <v>369</v>
      </c>
      <c r="D4732" t="s">
        <v>6938</v>
      </c>
      <c r="E4732" t="s">
        <v>3521</v>
      </c>
      <c r="F4732" s="150" t="s">
        <v>3521</v>
      </c>
      <c r="G4732" s="149" t="s">
        <v>400</v>
      </c>
      <c r="H4732" s="150" t="str">
        <f>IF(Proc[[#This Row],[type]]="LFF (MDG-F)",MID(Proc[[#This Row],[Obj]],13,10),"")</f>
        <v/>
      </c>
      <c r="J4732" s="150" t="b">
        <f>Proc[[#This Row],[Requested]]=Proc[[#This Row],[CurrentParent]]</f>
        <v>1</v>
      </c>
      <c r="K4732" s="150" t="str">
        <f>IF(Proc[[#This Row],[Author]]="Marcela Urrego",VLOOKUP(LEFT(Proc[[#This Row],[Requested]],1),Table3[#All],2,0),VLOOKUP(Proc[[#This Row],[Author]],Table4[],2,0))</f>
        <v>LS</v>
      </c>
      <c r="L4732" s="150" t="s">
        <v>6435</v>
      </c>
      <c r="M4732" s="170">
        <v>45983</v>
      </c>
      <c r="N4732" s="171"/>
      <c r="O4732" s="171"/>
      <c r="P4732" s="170" t="str">
        <f ca="1">IF(Proc[[#This Row],[DaysAgeing]]&gt;5,"yep","on track")</f>
        <v>yep</v>
      </c>
      <c r="Q4732" s="3">
        <f ca="1">IF(Proc[[#This Row],[DateClosed]]="",ABS(NETWORKDAYS(Proc[[#This Row],[DateOpened]],TODAY()))-1,ABS(NETWORKDAYS(Proc[[#This Row],[DateOpened]],Proc[[#This Row],[DateClosed]]))-1)</f>
        <v>14</v>
      </c>
      <c r="R4732" s="170" t="s">
        <v>489</v>
      </c>
      <c r="S4732" s="150"/>
    </row>
    <row r="4733" spans="1:19" hidden="1">
      <c r="A4733" s="149" t="s">
        <v>6934</v>
      </c>
      <c r="B4733" s="150" t="str">
        <f>IFERROR(VLOOKUP(Proc[[#This Row],[App]],Table2[],3,0),"open")</f>
        <v>ok</v>
      </c>
      <c r="C4733" s="149" t="s">
        <v>369</v>
      </c>
      <c r="D4733" t="s">
        <v>5789</v>
      </c>
      <c r="E4733" t="s">
        <v>6955</v>
      </c>
      <c r="F4733" s="150" t="s">
        <v>6955</v>
      </c>
      <c r="G4733" s="149" t="s">
        <v>400</v>
      </c>
      <c r="H4733" s="150" t="str">
        <f>IF(Proc[[#This Row],[type]]="LFF (MDG-F)",MID(Proc[[#This Row],[Obj]],13,10),"")</f>
        <v/>
      </c>
      <c r="J4733" s="150" t="b">
        <f>Proc[[#This Row],[Requested]]=Proc[[#This Row],[CurrentParent]]</f>
        <v>1</v>
      </c>
      <c r="K4733" s="150" t="str">
        <f>IF(Proc[[#This Row],[Author]]="Marcela Urrego",VLOOKUP(LEFT(Proc[[#This Row],[Requested]],1),Table3[#All],2,0),VLOOKUP(Proc[[#This Row],[Author]],Table4[],2,0))</f>
        <v>LS</v>
      </c>
      <c r="L4733" s="150" t="s">
        <v>6435</v>
      </c>
      <c r="M4733" s="170">
        <v>45983</v>
      </c>
      <c r="N4733" s="171"/>
      <c r="O4733" s="171"/>
      <c r="P4733" s="170" t="str">
        <f ca="1">IF(Proc[[#This Row],[DaysAgeing]]&gt;5,"yep","on track")</f>
        <v>yep</v>
      </c>
      <c r="Q4733" s="3">
        <f ca="1">IF(Proc[[#This Row],[DateClosed]]="",ABS(NETWORKDAYS(Proc[[#This Row],[DateOpened]],TODAY()))-1,ABS(NETWORKDAYS(Proc[[#This Row],[DateOpened]],Proc[[#This Row],[DateClosed]]))-1)</f>
        <v>14</v>
      </c>
      <c r="R4733" s="170" t="s">
        <v>489</v>
      </c>
      <c r="S4733" s="150"/>
    </row>
    <row r="4734" spans="1:19" hidden="1">
      <c r="A4734" s="149" t="s">
        <v>6934</v>
      </c>
      <c r="B4734" s="150" t="str">
        <f>IFERROR(VLOOKUP(Proc[[#This Row],[App]],Table2[],3,0),"open")</f>
        <v>ok</v>
      </c>
      <c r="C4734" s="149" t="s">
        <v>369</v>
      </c>
      <c r="D4734" t="s">
        <v>3485</v>
      </c>
      <c r="E4734" t="s">
        <v>3532</v>
      </c>
      <c r="F4734" s="150" t="s">
        <v>3532</v>
      </c>
      <c r="G4734" s="149" t="s">
        <v>400</v>
      </c>
      <c r="H4734" s="150" t="str">
        <f>IF(Proc[[#This Row],[type]]="LFF (MDG-F)",MID(Proc[[#This Row],[Obj]],13,10),"")</f>
        <v/>
      </c>
      <c r="J4734" s="150" t="b">
        <f>Proc[[#This Row],[Requested]]=Proc[[#This Row],[CurrentParent]]</f>
        <v>1</v>
      </c>
      <c r="K4734" s="150" t="str">
        <f>IF(Proc[[#This Row],[Author]]="Marcela Urrego",VLOOKUP(LEFT(Proc[[#This Row],[Requested]],1),Table3[#All],2,0),VLOOKUP(Proc[[#This Row],[Author]],Table4[],2,0))</f>
        <v>LS</v>
      </c>
      <c r="L4734" s="150" t="s">
        <v>6435</v>
      </c>
      <c r="M4734" s="170">
        <v>45983</v>
      </c>
      <c r="N4734" s="171"/>
      <c r="O4734" s="171"/>
      <c r="P4734" s="170" t="str">
        <f ca="1">IF(Proc[[#This Row],[DaysAgeing]]&gt;5,"yep","on track")</f>
        <v>yep</v>
      </c>
      <c r="Q4734" s="3">
        <f ca="1">IF(Proc[[#This Row],[DateClosed]]="",ABS(NETWORKDAYS(Proc[[#This Row],[DateOpened]],TODAY()))-1,ABS(NETWORKDAYS(Proc[[#This Row],[DateOpened]],Proc[[#This Row],[DateClosed]]))-1)</f>
        <v>14</v>
      </c>
      <c r="R4734" s="170" t="s">
        <v>489</v>
      </c>
      <c r="S4734" s="150"/>
    </row>
    <row r="4735" spans="1:19" hidden="1">
      <c r="A4735" s="149" t="s">
        <v>6934</v>
      </c>
      <c r="B4735" s="150" t="str">
        <f>IFERROR(VLOOKUP(Proc[[#This Row],[App]],Table2[],3,0),"open")</f>
        <v>ok</v>
      </c>
      <c r="C4735" s="149" t="s">
        <v>369</v>
      </c>
      <c r="D4735" t="s">
        <v>3454</v>
      </c>
      <c r="E4735" t="s">
        <v>6956</v>
      </c>
      <c r="F4735" s="150" t="s">
        <v>6956</v>
      </c>
      <c r="G4735" s="149" t="s">
        <v>400</v>
      </c>
      <c r="H4735" s="150" t="str">
        <f>IF(Proc[[#This Row],[type]]="LFF (MDG-F)",MID(Proc[[#This Row],[Obj]],13,10),"")</f>
        <v/>
      </c>
      <c r="J4735" s="150" t="b">
        <f>Proc[[#This Row],[Requested]]=Proc[[#This Row],[CurrentParent]]</f>
        <v>1</v>
      </c>
      <c r="K4735" s="150" t="str">
        <f>IF(Proc[[#This Row],[Author]]="Marcela Urrego",VLOOKUP(LEFT(Proc[[#This Row],[Requested]],1),Table3[#All],2,0),VLOOKUP(Proc[[#This Row],[Author]],Table4[],2,0))</f>
        <v>LS</v>
      </c>
      <c r="L4735" s="150" t="s">
        <v>6435</v>
      </c>
      <c r="M4735" s="170">
        <v>45983</v>
      </c>
      <c r="N4735" s="171"/>
      <c r="O4735" s="171"/>
      <c r="P4735" s="170" t="str">
        <f ca="1">IF(Proc[[#This Row],[DaysAgeing]]&gt;5,"yep","on track")</f>
        <v>yep</v>
      </c>
      <c r="Q4735" s="3">
        <f ca="1">IF(Proc[[#This Row],[DateClosed]]="",ABS(NETWORKDAYS(Proc[[#This Row],[DateOpened]],TODAY()))-1,ABS(NETWORKDAYS(Proc[[#This Row],[DateOpened]],Proc[[#This Row],[DateClosed]]))-1)</f>
        <v>14</v>
      </c>
      <c r="R4735" s="170" t="s">
        <v>489</v>
      </c>
      <c r="S4735" s="150"/>
    </row>
    <row r="4736" spans="1:19" hidden="1">
      <c r="A4736" s="149" t="s">
        <v>6934</v>
      </c>
      <c r="B4736" s="150" t="str">
        <f>IFERROR(VLOOKUP(Proc[[#This Row],[App]],Table2[],3,0),"open")</f>
        <v>ok</v>
      </c>
      <c r="C4736" s="149" t="s">
        <v>369</v>
      </c>
      <c r="D4736" t="s">
        <v>6939</v>
      </c>
      <c r="E4736" t="s">
        <v>6957</v>
      </c>
      <c r="F4736" s="150" t="s">
        <v>6957</v>
      </c>
      <c r="G4736" s="149" t="s">
        <v>400</v>
      </c>
      <c r="H4736" s="150" t="str">
        <f>IF(Proc[[#This Row],[type]]="LFF (MDG-F)",MID(Proc[[#This Row],[Obj]],13,10),"")</f>
        <v/>
      </c>
      <c r="J4736" s="150" t="b">
        <f>Proc[[#This Row],[Requested]]=Proc[[#This Row],[CurrentParent]]</f>
        <v>1</v>
      </c>
      <c r="K4736" s="150" t="str">
        <f>IF(Proc[[#This Row],[Author]]="Marcela Urrego",VLOOKUP(LEFT(Proc[[#This Row],[Requested]],1),Table3[#All],2,0),VLOOKUP(Proc[[#This Row],[Author]],Table4[],2,0))</f>
        <v>LS</v>
      </c>
      <c r="L4736" s="150" t="s">
        <v>6435</v>
      </c>
      <c r="M4736" s="170">
        <v>45983</v>
      </c>
      <c r="N4736" s="171"/>
      <c r="O4736" s="171"/>
      <c r="P4736" s="170" t="str">
        <f ca="1">IF(Proc[[#This Row],[DaysAgeing]]&gt;5,"yep","on track")</f>
        <v>yep</v>
      </c>
      <c r="Q4736" s="3">
        <f ca="1">IF(Proc[[#This Row],[DateClosed]]="",ABS(NETWORKDAYS(Proc[[#This Row],[DateOpened]],TODAY()))-1,ABS(NETWORKDAYS(Proc[[#This Row],[DateOpened]],Proc[[#This Row],[DateClosed]]))-1)</f>
        <v>14</v>
      </c>
      <c r="R4736" s="170" t="s">
        <v>489</v>
      </c>
      <c r="S4736" s="150"/>
    </row>
    <row r="4737" spans="1:19" hidden="1">
      <c r="A4737" s="149" t="s">
        <v>6934</v>
      </c>
      <c r="B4737" s="150" t="str">
        <f>IFERROR(VLOOKUP(Proc[[#This Row],[App]],Table2[],3,0),"open")</f>
        <v>ok</v>
      </c>
      <c r="C4737" s="149" t="s">
        <v>369</v>
      </c>
      <c r="D4737" t="s">
        <v>3427</v>
      </c>
      <c r="E4737" t="s">
        <v>6958</v>
      </c>
      <c r="F4737" s="150" t="s">
        <v>6958</v>
      </c>
      <c r="G4737" s="149" t="s">
        <v>400</v>
      </c>
      <c r="H4737" s="150" t="str">
        <f>IF(Proc[[#This Row],[type]]="LFF (MDG-F)",MID(Proc[[#This Row],[Obj]],13,10),"")</f>
        <v/>
      </c>
      <c r="J4737" s="150" t="b">
        <f>Proc[[#This Row],[Requested]]=Proc[[#This Row],[CurrentParent]]</f>
        <v>1</v>
      </c>
      <c r="K4737" s="150" t="str">
        <f>IF(Proc[[#This Row],[Author]]="Marcela Urrego",VLOOKUP(LEFT(Proc[[#This Row],[Requested]],1),Table3[#All],2,0),VLOOKUP(Proc[[#This Row],[Author]],Table4[],2,0))</f>
        <v>LS</v>
      </c>
      <c r="L4737" s="150" t="s">
        <v>6435</v>
      </c>
      <c r="M4737" s="170">
        <v>45983</v>
      </c>
      <c r="N4737" s="171"/>
      <c r="O4737" s="171"/>
      <c r="P4737" s="170" t="str">
        <f ca="1">IF(Proc[[#This Row],[DaysAgeing]]&gt;5,"yep","on track")</f>
        <v>yep</v>
      </c>
      <c r="Q4737" s="3">
        <f ca="1">IF(Proc[[#This Row],[DateClosed]]="",ABS(NETWORKDAYS(Proc[[#This Row],[DateOpened]],TODAY()))-1,ABS(NETWORKDAYS(Proc[[#This Row],[DateOpened]],Proc[[#This Row],[DateClosed]]))-1)</f>
        <v>14</v>
      </c>
      <c r="R4737" s="170" t="s">
        <v>489</v>
      </c>
      <c r="S4737" s="150"/>
    </row>
    <row r="4738" spans="1:19" hidden="1">
      <c r="A4738" s="149" t="s">
        <v>6934</v>
      </c>
      <c r="B4738" s="150" t="str">
        <f>IFERROR(VLOOKUP(Proc[[#This Row],[App]],Table2[],3,0),"open")</f>
        <v>ok</v>
      </c>
      <c r="C4738" s="149" t="s">
        <v>369</v>
      </c>
      <c r="D4738" t="s">
        <v>6940</v>
      </c>
      <c r="E4738" t="s">
        <v>6959</v>
      </c>
      <c r="F4738" s="150" t="s">
        <v>6959</v>
      </c>
      <c r="G4738" s="149" t="s">
        <v>400</v>
      </c>
      <c r="H4738" s="150" t="str">
        <f>IF(Proc[[#This Row],[type]]="LFF (MDG-F)",MID(Proc[[#This Row],[Obj]],13,10),"")</f>
        <v/>
      </c>
      <c r="J4738" s="150" t="b">
        <f>Proc[[#This Row],[Requested]]=Proc[[#This Row],[CurrentParent]]</f>
        <v>1</v>
      </c>
      <c r="K4738" s="150" t="str">
        <f>IF(Proc[[#This Row],[Author]]="Marcela Urrego",VLOOKUP(LEFT(Proc[[#This Row],[Requested]],1),Table3[#All],2,0),VLOOKUP(Proc[[#This Row],[Author]],Table4[],2,0))</f>
        <v>LS</v>
      </c>
      <c r="L4738" s="150" t="s">
        <v>6435</v>
      </c>
      <c r="M4738" s="170">
        <v>45983</v>
      </c>
      <c r="N4738" s="171"/>
      <c r="O4738" s="171"/>
      <c r="P4738" s="170" t="str">
        <f ca="1">IF(Proc[[#This Row],[DaysAgeing]]&gt;5,"yep","on track")</f>
        <v>yep</v>
      </c>
      <c r="Q4738" s="3">
        <f ca="1">IF(Proc[[#This Row],[DateClosed]]="",ABS(NETWORKDAYS(Proc[[#This Row],[DateOpened]],TODAY()))-1,ABS(NETWORKDAYS(Proc[[#This Row],[DateOpened]],Proc[[#This Row],[DateClosed]]))-1)</f>
        <v>14</v>
      </c>
      <c r="R4738" s="170" t="s">
        <v>489</v>
      </c>
      <c r="S4738" s="150"/>
    </row>
    <row r="4739" spans="1:19" hidden="1">
      <c r="A4739" s="149" t="s">
        <v>6934</v>
      </c>
      <c r="B4739" s="150" t="str">
        <f>IFERROR(VLOOKUP(Proc[[#This Row],[App]],Table2[],3,0),"open")</f>
        <v>ok</v>
      </c>
      <c r="C4739" s="149" t="s">
        <v>369</v>
      </c>
      <c r="D4739" t="s">
        <v>6941</v>
      </c>
      <c r="E4739" t="s">
        <v>6960</v>
      </c>
      <c r="F4739" s="150" t="s">
        <v>6960</v>
      </c>
      <c r="G4739" s="149" t="s">
        <v>400</v>
      </c>
      <c r="H4739" s="150" t="str">
        <f>IF(Proc[[#This Row],[type]]="LFF (MDG-F)",MID(Proc[[#This Row],[Obj]],13,10),"")</f>
        <v/>
      </c>
      <c r="J4739" s="150" t="b">
        <f>Proc[[#This Row],[Requested]]=Proc[[#This Row],[CurrentParent]]</f>
        <v>1</v>
      </c>
      <c r="K4739" s="150" t="str">
        <f>IF(Proc[[#This Row],[Author]]="Marcela Urrego",VLOOKUP(LEFT(Proc[[#This Row],[Requested]],1),Table3[#All],2,0),VLOOKUP(Proc[[#This Row],[Author]],Table4[],2,0))</f>
        <v>LS</v>
      </c>
      <c r="L4739" s="150" t="s">
        <v>6435</v>
      </c>
      <c r="M4739" s="170">
        <v>45983</v>
      </c>
      <c r="N4739" s="171"/>
      <c r="O4739" s="171"/>
      <c r="P4739" s="170" t="str">
        <f ca="1">IF(Proc[[#This Row],[DaysAgeing]]&gt;5,"yep","on track")</f>
        <v>yep</v>
      </c>
      <c r="Q4739" s="3">
        <f ca="1">IF(Proc[[#This Row],[DateClosed]]="",ABS(NETWORKDAYS(Proc[[#This Row],[DateOpened]],TODAY()))-1,ABS(NETWORKDAYS(Proc[[#This Row],[DateOpened]],Proc[[#This Row],[DateClosed]]))-1)</f>
        <v>14</v>
      </c>
      <c r="R4739" s="170" t="s">
        <v>489</v>
      </c>
      <c r="S4739" s="150"/>
    </row>
    <row r="4740" spans="1:19" hidden="1">
      <c r="A4740" s="149" t="s">
        <v>6934</v>
      </c>
      <c r="B4740" s="150" t="str">
        <f>IFERROR(VLOOKUP(Proc[[#This Row],[App]],Table2[],3,0),"open")</f>
        <v>ok</v>
      </c>
      <c r="C4740" s="149" t="s">
        <v>369</v>
      </c>
      <c r="D4740" t="s">
        <v>6942</v>
      </c>
      <c r="E4740" t="s">
        <v>2385</v>
      </c>
      <c r="F4740" s="150" t="s">
        <v>2385</v>
      </c>
      <c r="G4740" s="149" t="s">
        <v>400</v>
      </c>
      <c r="H4740" s="150" t="str">
        <f>IF(Proc[[#This Row],[type]]="LFF (MDG-F)",MID(Proc[[#This Row],[Obj]],13,10),"")</f>
        <v/>
      </c>
      <c r="J4740" s="150" t="b">
        <f>Proc[[#This Row],[Requested]]=Proc[[#This Row],[CurrentParent]]</f>
        <v>1</v>
      </c>
      <c r="K4740" s="150" t="str">
        <f>IF(Proc[[#This Row],[Author]]="Marcela Urrego",VLOOKUP(LEFT(Proc[[#This Row],[Requested]],1),Table3[#All],2,0),VLOOKUP(Proc[[#This Row],[Author]],Table4[],2,0))</f>
        <v>LS</v>
      </c>
      <c r="L4740" s="150" t="s">
        <v>6435</v>
      </c>
      <c r="M4740" s="170">
        <v>45983</v>
      </c>
      <c r="N4740" s="171"/>
      <c r="O4740" s="171"/>
      <c r="P4740" s="170" t="str">
        <f ca="1">IF(Proc[[#This Row],[DaysAgeing]]&gt;5,"yep","on track")</f>
        <v>yep</v>
      </c>
      <c r="Q4740" s="3">
        <f ca="1">IF(Proc[[#This Row],[DateClosed]]="",ABS(NETWORKDAYS(Proc[[#This Row],[DateOpened]],TODAY()))-1,ABS(NETWORKDAYS(Proc[[#This Row],[DateOpened]],Proc[[#This Row],[DateClosed]]))-1)</f>
        <v>14</v>
      </c>
      <c r="R4740" s="170" t="s">
        <v>489</v>
      </c>
      <c r="S4740" s="150"/>
    </row>
    <row r="4741" spans="1:19" hidden="1">
      <c r="A4741" s="149" t="s">
        <v>6934</v>
      </c>
      <c r="B4741" s="150" t="str">
        <f>IFERROR(VLOOKUP(Proc[[#This Row],[App]],Table2[],3,0),"open")</f>
        <v>ok</v>
      </c>
      <c r="C4741" s="149" t="s">
        <v>369</v>
      </c>
      <c r="D4741" t="s">
        <v>6943</v>
      </c>
      <c r="E4741" t="s">
        <v>6961</v>
      </c>
      <c r="F4741" s="150" t="s">
        <v>6961</v>
      </c>
      <c r="G4741" s="149" t="s">
        <v>400</v>
      </c>
      <c r="H4741" s="150" t="str">
        <f>IF(Proc[[#This Row],[type]]="LFF (MDG-F)",MID(Proc[[#This Row],[Obj]],13,10),"")</f>
        <v/>
      </c>
      <c r="J4741" s="150" t="b">
        <f>Proc[[#This Row],[Requested]]=Proc[[#This Row],[CurrentParent]]</f>
        <v>1</v>
      </c>
      <c r="K4741" s="150" t="str">
        <f>IF(Proc[[#This Row],[Author]]="Marcela Urrego",VLOOKUP(LEFT(Proc[[#This Row],[Requested]],1),Table3[#All],2,0),VLOOKUP(Proc[[#This Row],[Author]],Table4[],2,0))</f>
        <v>LS</v>
      </c>
      <c r="L4741" s="150" t="s">
        <v>6435</v>
      </c>
      <c r="M4741" s="170">
        <v>45983</v>
      </c>
      <c r="N4741" s="171"/>
      <c r="O4741" s="171"/>
      <c r="P4741" s="170" t="str">
        <f ca="1">IF(Proc[[#This Row],[DaysAgeing]]&gt;5,"yep","on track")</f>
        <v>yep</v>
      </c>
      <c r="Q4741" s="3">
        <f ca="1">IF(Proc[[#This Row],[DateClosed]]="",ABS(NETWORKDAYS(Proc[[#This Row],[DateOpened]],TODAY()))-1,ABS(NETWORKDAYS(Proc[[#This Row],[DateOpened]],Proc[[#This Row],[DateClosed]]))-1)</f>
        <v>14</v>
      </c>
      <c r="R4741" s="170" t="s">
        <v>489</v>
      </c>
      <c r="S4741" s="150"/>
    </row>
    <row r="4742" spans="1:19" hidden="1">
      <c r="A4742" s="149" t="s">
        <v>6934</v>
      </c>
      <c r="B4742" s="150" t="str">
        <f>IFERROR(VLOOKUP(Proc[[#This Row],[App]],Table2[],3,0),"open")</f>
        <v>ok</v>
      </c>
      <c r="C4742" s="149" t="s">
        <v>369</v>
      </c>
      <c r="D4742" t="s">
        <v>6944</v>
      </c>
      <c r="E4742" t="s">
        <v>6962</v>
      </c>
      <c r="F4742" s="150" t="s">
        <v>6962</v>
      </c>
      <c r="G4742" s="149" t="s">
        <v>400</v>
      </c>
      <c r="H4742" s="150" t="str">
        <f>IF(Proc[[#This Row],[type]]="LFF (MDG-F)",MID(Proc[[#This Row],[Obj]],13,10),"")</f>
        <v/>
      </c>
      <c r="J4742" s="150" t="b">
        <f>Proc[[#This Row],[Requested]]=Proc[[#This Row],[CurrentParent]]</f>
        <v>1</v>
      </c>
      <c r="K4742" s="150" t="str">
        <f>IF(Proc[[#This Row],[Author]]="Marcela Urrego",VLOOKUP(LEFT(Proc[[#This Row],[Requested]],1),Table3[#All],2,0),VLOOKUP(Proc[[#This Row],[Author]],Table4[],2,0))</f>
        <v>LS</v>
      </c>
      <c r="L4742" s="150" t="s">
        <v>6435</v>
      </c>
      <c r="M4742" s="170">
        <v>45983</v>
      </c>
      <c r="N4742" s="171"/>
      <c r="O4742" s="171"/>
      <c r="P4742" s="170" t="str">
        <f ca="1">IF(Proc[[#This Row],[DaysAgeing]]&gt;5,"yep","on track")</f>
        <v>yep</v>
      </c>
      <c r="Q4742" s="3">
        <f ca="1">IF(Proc[[#This Row],[DateClosed]]="",ABS(NETWORKDAYS(Proc[[#This Row],[DateOpened]],TODAY()))-1,ABS(NETWORKDAYS(Proc[[#This Row],[DateOpened]],Proc[[#This Row],[DateClosed]]))-1)</f>
        <v>14</v>
      </c>
      <c r="R4742" s="170" t="s">
        <v>489</v>
      </c>
      <c r="S4742" s="150"/>
    </row>
    <row r="4743" spans="1:19" hidden="1">
      <c r="A4743" s="149" t="s">
        <v>6934</v>
      </c>
      <c r="B4743" s="150" t="str">
        <f>IFERROR(VLOOKUP(Proc[[#This Row],[App]],Table2[],3,0),"open")</f>
        <v>ok</v>
      </c>
      <c r="C4743" s="149" t="s">
        <v>369</v>
      </c>
      <c r="D4743" t="s">
        <v>6945</v>
      </c>
      <c r="E4743" t="s">
        <v>6963</v>
      </c>
      <c r="F4743" s="150" t="s">
        <v>6963</v>
      </c>
      <c r="G4743" s="149" t="s">
        <v>400</v>
      </c>
      <c r="H4743" s="150" t="str">
        <f>IF(Proc[[#This Row],[type]]="LFF (MDG-F)",MID(Proc[[#This Row],[Obj]],13,10),"")</f>
        <v/>
      </c>
      <c r="J4743" s="150" t="b">
        <f>Proc[[#This Row],[Requested]]=Proc[[#This Row],[CurrentParent]]</f>
        <v>1</v>
      </c>
      <c r="K4743" s="150" t="str">
        <f>IF(Proc[[#This Row],[Author]]="Marcela Urrego",VLOOKUP(LEFT(Proc[[#This Row],[Requested]],1),Table3[#All],2,0),VLOOKUP(Proc[[#This Row],[Author]],Table4[],2,0))</f>
        <v>LS</v>
      </c>
      <c r="L4743" s="150" t="s">
        <v>6435</v>
      </c>
      <c r="M4743" s="170">
        <v>45983</v>
      </c>
      <c r="N4743" s="171"/>
      <c r="O4743" s="171"/>
      <c r="P4743" s="170" t="str">
        <f ca="1">IF(Proc[[#This Row],[DaysAgeing]]&gt;5,"yep","on track")</f>
        <v>yep</v>
      </c>
      <c r="Q4743" s="3">
        <f ca="1">IF(Proc[[#This Row],[DateClosed]]="",ABS(NETWORKDAYS(Proc[[#This Row],[DateOpened]],TODAY()))-1,ABS(NETWORKDAYS(Proc[[#This Row],[DateOpened]],Proc[[#This Row],[DateClosed]]))-1)</f>
        <v>14</v>
      </c>
      <c r="R4743" s="170" t="s">
        <v>489</v>
      </c>
      <c r="S4743" s="150"/>
    </row>
    <row r="4744" spans="1:19" hidden="1">
      <c r="A4744" s="149" t="s">
        <v>6934</v>
      </c>
      <c r="B4744" s="150" t="str">
        <f>IFERROR(VLOOKUP(Proc[[#This Row],[App]],Table2[],3,0),"open")</f>
        <v>ok</v>
      </c>
      <c r="C4744" s="149" t="s">
        <v>369</v>
      </c>
      <c r="D4744" t="s">
        <v>6946</v>
      </c>
      <c r="E4744" t="s">
        <v>6963</v>
      </c>
      <c r="F4744" s="150" t="s">
        <v>6963</v>
      </c>
      <c r="G4744" s="149" t="s">
        <v>400</v>
      </c>
      <c r="H4744" s="150" t="str">
        <f>IF(Proc[[#This Row],[type]]="LFF (MDG-F)",MID(Proc[[#This Row],[Obj]],13,10),"")</f>
        <v/>
      </c>
      <c r="J4744" s="150" t="b">
        <f>Proc[[#This Row],[Requested]]=Proc[[#This Row],[CurrentParent]]</f>
        <v>1</v>
      </c>
      <c r="K4744" s="150" t="str">
        <f>IF(Proc[[#This Row],[Author]]="Marcela Urrego",VLOOKUP(LEFT(Proc[[#This Row],[Requested]],1),Table3[#All],2,0),VLOOKUP(Proc[[#This Row],[Author]],Table4[],2,0))</f>
        <v>LS</v>
      </c>
      <c r="L4744" s="150" t="s">
        <v>6435</v>
      </c>
      <c r="M4744" s="170">
        <v>45983</v>
      </c>
      <c r="N4744" s="171"/>
      <c r="O4744" s="171"/>
      <c r="P4744" s="170" t="str">
        <f ca="1">IF(Proc[[#This Row],[DaysAgeing]]&gt;5,"yep","on track")</f>
        <v>yep</v>
      </c>
      <c r="Q4744" s="3">
        <f ca="1">IF(Proc[[#This Row],[DateClosed]]="",ABS(NETWORKDAYS(Proc[[#This Row],[DateOpened]],TODAY()))-1,ABS(NETWORKDAYS(Proc[[#This Row],[DateOpened]],Proc[[#This Row],[DateClosed]]))-1)</f>
        <v>14</v>
      </c>
      <c r="R4744" s="170" t="s">
        <v>489</v>
      </c>
      <c r="S4744" s="150"/>
    </row>
    <row r="4745" spans="1:19" hidden="1">
      <c r="A4745" s="149" t="s">
        <v>6934</v>
      </c>
      <c r="B4745" s="150" t="str">
        <f>IFERROR(VLOOKUP(Proc[[#This Row],[App]],Table2[],3,0),"open")</f>
        <v>ok</v>
      </c>
      <c r="C4745" s="149" t="s">
        <v>369</v>
      </c>
      <c r="D4745" t="s">
        <v>6947</v>
      </c>
      <c r="E4745" t="s">
        <v>6964</v>
      </c>
      <c r="F4745" s="150" t="s">
        <v>6964</v>
      </c>
      <c r="G4745" s="149" t="s">
        <v>406</v>
      </c>
      <c r="H4745" s="150" t="str">
        <f>IF(Proc[[#This Row],[type]]="LFF (MDG-F)",MID(Proc[[#This Row],[Obj]],13,10),"")</f>
        <v>2125C03326</v>
      </c>
      <c r="J4745" s="150" t="b">
        <f>Proc[[#This Row],[Requested]]=Proc[[#This Row],[CurrentParent]]</f>
        <v>1</v>
      </c>
      <c r="K4745" s="150" t="str">
        <f>IF(Proc[[#This Row],[Author]]="Marcela Urrego",VLOOKUP(LEFT(Proc[[#This Row],[Requested]],1),Table3[#All],2,0),VLOOKUP(Proc[[#This Row],[Author]],Table4[],2,0))</f>
        <v>LS</v>
      </c>
      <c r="L4745" s="150" t="s">
        <v>6435</v>
      </c>
      <c r="M4745" s="170">
        <v>45983</v>
      </c>
      <c r="N4745" s="171"/>
      <c r="O4745" s="171"/>
      <c r="P4745" s="170" t="str">
        <f ca="1">IF(Proc[[#This Row],[DaysAgeing]]&gt;5,"yep","on track")</f>
        <v>yep</v>
      </c>
      <c r="Q4745" s="3">
        <f ca="1">IF(Proc[[#This Row],[DateClosed]]="",ABS(NETWORKDAYS(Proc[[#This Row],[DateOpened]],TODAY()))-1,ABS(NETWORKDAYS(Proc[[#This Row],[DateOpened]],Proc[[#This Row],[DateClosed]]))-1)</f>
        <v>14</v>
      </c>
      <c r="R4745" s="170" t="s">
        <v>489</v>
      </c>
      <c r="S4745" s="150"/>
    </row>
    <row r="4746" spans="1:19" hidden="1">
      <c r="A4746" s="149" t="s">
        <v>6934</v>
      </c>
      <c r="B4746" s="150" t="str">
        <f>IFERROR(VLOOKUP(Proc[[#This Row],[App]],Table2[],3,0),"open")</f>
        <v>ok</v>
      </c>
      <c r="C4746" s="149" t="s">
        <v>369</v>
      </c>
      <c r="D4746" t="s">
        <v>6948</v>
      </c>
      <c r="E4746" t="s">
        <v>6965</v>
      </c>
      <c r="F4746" s="150" t="s">
        <v>6965</v>
      </c>
      <c r="G4746" s="149" t="s">
        <v>406</v>
      </c>
      <c r="H4746" s="150" t="str">
        <f>IF(Proc[[#This Row],[type]]="LFF (MDG-F)",MID(Proc[[#This Row],[Obj]],13,10),"")</f>
        <v>2022TQAZ93</v>
      </c>
      <c r="J4746" s="150" t="b">
        <f>Proc[[#This Row],[Requested]]=Proc[[#This Row],[CurrentParent]]</f>
        <v>1</v>
      </c>
      <c r="K4746" s="150" t="str">
        <f>IF(Proc[[#This Row],[Author]]="Marcela Urrego",VLOOKUP(LEFT(Proc[[#This Row],[Requested]],1),Table3[#All],2,0),VLOOKUP(Proc[[#This Row],[Author]],Table4[],2,0))</f>
        <v>LS</v>
      </c>
      <c r="L4746" s="150" t="s">
        <v>6435</v>
      </c>
      <c r="M4746" s="170">
        <v>45983</v>
      </c>
      <c r="N4746" s="171"/>
      <c r="O4746" s="171"/>
      <c r="P4746" s="170" t="str">
        <f ca="1">IF(Proc[[#This Row],[DaysAgeing]]&gt;5,"yep","on track")</f>
        <v>yep</v>
      </c>
      <c r="Q4746" s="3">
        <f ca="1">IF(Proc[[#This Row],[DateClosed]]="",ABS(NETWORKDAYS(Proc[[#This Row],[DateOpened]],TODAY()))-1,ABS(NETWORKDAYS(Proc[[#This Row],[DateOpened]],Proc[[#This Row],[DateClosed]]))-1)</f>
        <v>14</v>
      </c>
      <c r="R4746" s="170" t="s">
        <v>489</v>
      </c>
      <c r="S4746" s="150"/>
    </row>
    <row r="4747" spans="1:19" hidden="1">
      <c r="A4747" s="149" t="s">
        <v>6934</v>
      </c>
      <c r="B4747" s="150" t="str">
        <f>IFERROR(VLOOKUP(Proc[[#This Row],[App]],Table2[],3,0),"open")</f>
        <v>ok</v>
      </c>
      <c r="C4747" s="149" t="s">
        <v>369</v>
      </c>
      <c r="D4747" t="s">
        <v>6949</v>
      </c>
      <c r="E4747" t="s">
        <v>6966</v>
      </c>
      <c r="F4747" s="150" t="s">
        <v>6966</v>
      </c>
      <c r="G4747" s="149" t="s">
        <v>400</v>
      </c>
      <c r="H4747" s="150" t="str">
        <f>IF(Proc[[#This Row],[type]]="LFF (MDG-F)",MID(Proc[[#This Row],[Obj]],13,10),"")</f>
        <v/>
      </c>
      <c r="J4747" s="150" t="b">
        <f>Proc[[#This Row],[Requested]]=Proc[[#This Row],[CurrentParent]]</f>
        <v>1</v>
      </c>
      <c r="K4747" s="150" t="str">
        <f>IF(Proc[[#This Row],[Author]]="Marcela Urrego",VLOOKUP(LEFT(Proc[[#This Row],[Requested]],1),Table3[#All],2,0),VLOOKUP(Proc[[#This Row],[Author]],Table4[],2,0))</f>
        <v>LS</v>
      </c>
      <c r="L4747" s="150" t="s">
        <v>6435</v>
      </c>
      <c r="M4747" s="170">
        <v>45983</v>
      </c>
      <c r="N4747" s="171"/>
      <c r="O4747" s="171"/>
      <c r="P4747" s="170" t="str">
        <f ca="1">IF(Proc[[#This Row],[DaysAgeing]]&gt;5,"yep","on track")</f>
        <v>yep</v>
      </c>
      <c r="Q4747" s="3">
        <f ca="1">IF(Proc[[#This Row],[DateClosed]]="",ABS(NETWORKDAYS(Proc[[#This Row],[DateOpened]],TODAY()))-1,ABS(NETWORKDAYS(Proc[[#This Row],[DateOpened]],Proc[[#This Row],[DateClosed]]))-1)</f>
        <v>14</v>
      </c>
      <c r="R4747" s="170" t="s">
        <v>489</v>
      </c>
      <c r="S4747" s="150"/>
    </row>
    <row r="4748" spans="1:19" hidden="1">
      <c r="A4748" s="149" t="s">
        <v>6934</v>
      </c>
      <c r="B4748" s="150" t="str">
        <f>IFERROR(VLOOKUP(Proc[[#This Row],[App]],Table2[],3,0),"open")</f>
        <v>ok</v>
      </c>
      <c r="C4748" s="149" t="s">
        <v>369</v>
      </c>
      <c r="D4748" t="s">
        <v>6950</v>
      </c>
      <c r="E4748" t="s">
        <v>6966</v>
      </c>
      <c r="F4748" s="150" t="s">
        <v>6966</v>
      </c>
      <c r="G4748" s="149" t="s">
        <v>400</v>
      </c>
      <c r="H4748" s="150" t="str">
        <f>IF(Proc[[#This Row],[type]]="LFF (MDG-F)",MID(Proc[[#This Row],[Obj]],13,10),"")</f>
        <v/>
      </c>
      <c r="J4748" s="150" t="b">
        <f>Proc[[#This Row],[Requested]]=Proc[[#This Row],[CurrentParent]]</f>
        <v>1</v>
      </c>
      <c r="K4748" s="150" t="str">
        <f>IF(Proc[[#This Row],[Author]]="Marcela Urrego",VLOOKUP(LEFT(Proc[[#This Row],[Requested]],1),Table3[#All],2,0),VLOOKUP(Proc[[#This Row],[Author]],Table4[],2,0))</f>
        <v>LS</v>
      </c>
      <c r="L4748" s="150" t="s">
        <v>6435</v>
      </c>
      <c r="M4748" s="170">
        <v>45983</v>
      </c>
      <c r="N4748" s="171"/>
      <c r="O4748" s="171"/>
      <c r="P4748" s="170" t="str">
        <f ca="1">IF(Proc[[#This Row],[DaysAgeing]]&gt;5,"yep","on track")</f>
        <v>yep</v>
      </c>
      <c r="Q4748" s="3">
        <f ca="1">IF(Proc[[#This Row],[DateClosed]]="",ABS(NETWORKDAYS(Proc[[#This Row],[DateOpened]],TODAY()))-1,ABS(NETWORKDAYS(Proc[[#This Row],[DateOpened]],Proc[[#This Row],[DateClosed]]))-1)</f>
        <v>14</v>
      </c>
      <c r="R4748" s="170" t="s">
        <v>489</v>
      </c>
      <c r="S4748" s="150"/>
    </row>
    <row r="4749" spans="1:19" hidden="1">
      <c r="A4749" s="149" t="s">
        <v>6934</v>
      </c>
      <c r="B4749" s="150" t="str">
        <f>IFERROR(VLOOKUP(Proc[[#This Row],[App]],Table2[],3,0),"open")</f>
        <v>ok</v>
      </c>
      <c r="C4749" s="149" t="s">
        <v>369</v>
      </c>
      <c r="D4749" t="s">
        <v>6951</v>
      </c>
      <c r="E4749" t="s">
        <v>4797</v>
      </c>
      <c r="F4749" s="150" t="s">
        <v>4797</v>
      </c>
      <c r="G4749" s="149" t="s">
        <v>406</v>
      </c>
      <c r="H4749" s="150" t="str">
        <f>IF(Proc[[#This Row],[type]]="LFF (MDG-F)",MID(Proc[[#This Row],[Obj]],13,10),"")</f>
        <v>1937TQCZ91</v>
      </c>
      <c r="J4749" s="150" t="b">
        <f>Proc[[#This Row],[Requested]]=Proc[[#This Row],[CurrentParent]]</f>
        <v>1</v>
      </c>
      <c r="K4749" s="150" t="str">
        <f>IF(Proc[[#This Row],[Author]]="Marcela Urrego",VLOOKUP(LEFT(Proc[[#This Row],[Requested]],1),Table3[#All],2,0),VLOOKUP(Proc[[#This Row],[Author]],Table4[],2,0))</f>
        <v>LS</v>
      </c>
      <c r="L4749" s="150" t="s">
        <v>6435</v>
      </c>
      <c r="M4749" s="170">
        <v>45983</v>
      </c>
      <c r="N4749" s="171"/>
      <c r="O4749" s="171"/>
      <c r="P4749" s="170" t="str">
        <f ca="1">IF(Proc[[#This Row],[DaysAgeing]]&gt;5,"yep","on track")</f>
        <v>yep</v>
      </c>
      <c r="Q4749" s="3">
        <f ca="1">IF(Proc[[#This Row],[DateClosed]]="",ABS(NETWORKDAYS(Proc[[#This Row],[DateOpened]],TODAY()))-1,ABS(NETWORKDAYS(Proc[[#This Row],[DateOpened]],Proc[[#This Row],[DateClosed]]))-1)</f>
        <v>14</v>
      </c>
      <c r="R4749" s="170" t="s">
        <v>489</v>
      </c>
      <c r="S4749" s="150"/>
    </row>
    <row r="4750" spans="1:19" hidden="1">
      <c r="A4750" s="149" t="s">
        <v>6934</v>
      </c>
      <c r="B4750" s="150" t="str">
        <f>IFERROR(VLOOKUP(Proc[[#This Row],[App]],Table2[],3,0),"open")</f>
        <v>ok</v>
      </c>
      <c r="C4750" s="149" t="s">
        <v>369</v>
      </c>
      <c r="D4750" t="s">
        <v>6952</v>
      </c>
      <c r="E4750" t="s">
        <v>3615</v>
      </c>
      <c r="F4750" s="150" t="s">
        <v>3615</v>
      </c>
      <c r="G4750" s="149" t="s">
        <v>400</v>
      </c>
      <c r="H4750" s="150" t="str">
        <f>IF(Proc[[#This Row],[type]]="LFF (MDG-F)",MID(Proc[[#This Row],[Obj]],13,10),"")</f>
        <v/>
      </c>
      <c r="J4750" s="150" t="b">
        <f>Proc[[#This Row],[Requested]]=Proc[[#This Row],[CurrentParent]]</f>
        <v>1</v>
      </c>
      <c r="K4750" s="150" t="str">
        <f>IF(Proc[[#This Row],[Author]]="Marcela Urrego",VLOOKUP(LEFT(Proc[[#This Row],[Requested]],1),Table3[#All],2,0),VLOOKUP(Proc[[#This Row],[Author]],Table4[],2,0))</f>
        <v>LS</v>
      </c>
      <c r="L4750" s="150" t="s">
        <v>6435</v>
      </c>
      <c r="M4750" s="170">
        <v>45983</v>
      </c>
      <c r="N4750" s="171"/>
      <c r="O4750" s="171"/>
      <c r="P4750" s="170" t="str">
        <f ca="1">IF(Proc[[#This Row],[DaysAgeing]]&gt;5,"yep","on track")</f>
        <v>yep</v>
      </c>
      <c r="Q4750" s="3">
        <f ca="1">IF(Proc[[#This Row],[DateClosed]]="",ABS(NETWORKDAYS(Proc[[#This Row],[DateOpened]],TODAY()))-1,ABS(NETWORKDAYS(Proc[[#This Row],[DateOpened]],Proc[[#This Row],[DateClosed]]))-1)</f>
        <v>14</v>
      </c>
      <c r="R4750" s="170" t="s">
        <v>489</v>
      </c>
      <c r="S4750" s="150"/>
    </row>
    <row r="4751" spans="1:19" hidden="1">
      <c r="A4751" s="149" t="s">
        <v>6934</v>
      </c>
      <c r="B4751" s="150" t="str">
        <f>IFERROR(VLOOKUP(Proc[[#This Row],[App]],Table2[],3,0),"open")</f>
        <v>ok</v>
      </c>
      <c r="C4751" s="149" t="s">
        <v>369</v>
      </c>
      <c r="D4751" t="s">
        <v>6953</v>
      </c>
      <c r="E4751" t="s">
        <v>6473</v>
      </c>
      <c r="F4751" s="150" t="s">
        <v>6473</v>
      </c>
      <c r="G4751" s="149" t="s">
        <v>406</v>
      </c>
      <c r="H4751" s="150" t="str">
        <f>IF(Proc[[#This Row],[type]]="LFF (MDG-F)",MID(Proc[[#This Row],[Obj]],13,10),"")</f>
        <v>1937TMCZ9J</v>
      </c>
      <c r="J4751" s="150" t="b">
        <f>Proc[[#This Row],[Requested]]=Proc[[#This Row],[CurrentParent]]</f>
        <v>1</v>
      </c>
      <c r="K4751" s="150" t="str">
        <f>IF(Proc[[#This Row],[Author]]="Marcela Urrego",VLOOKUP(LEFT(Proc[[#This Row],[Requested]],1),Table3[#All],2,0),VLOOKUP(Proc[[#This Row],[Author]],Table4[],2,0))</f>
        <v>LS</v>
      </c>
      <c r="L4751" s="150" t="s">
        <v>6435</v>
      </c>
      <c r="M4751" s="170">
        <v>45983</v>
      </c>
      <c r="N4751" s="171"/>
      <c r="O4751" s="171"/>
      <c r="P4751" s="170" t="str">
        <f ca="1">IF(Proc[[#This Row],[DaysAgeing]]&gt;5,"yep","on track")</f>
        <v>yep</v>
      </c>
      <c r="Q4751" s="3">
        <f ca="1">IF(Proc[[#This Row],[DateClosed]]="",ABS(NETWORKDAYS(Proc[[#This Row],[DateOpened]],TODAY()))-1,ABS(NETWORKDAYS(Proc[[#This Row],[DateOpened]],Proc[[#This Row],[DateClosed]]))-1)</f>
        <v>14</v>
      </c>
      <c r="R4751" s="170" t="s">
        <v>489</v>
      </c>
      <c r="S4751" s="150"/>
    </row>
    <row r="4752" spans="1:19" hidden="1">
      <c r="A4752" t="s">
        <v>6968</v>
      </c>
      <c r="B4752" s="150" t="str">
        <f>IFERROR(VLOOKUP(Proc[[#This Row],[App]],Table2[],3,0),"open")</f>
        <v>ok</v>
      </c>
      <c r="C4752" s="149" t="s">
        <v>369</v>
      </c>
      <c r="D4752" t="s">
        <v>6969</v>
      </c>
      <c r="E4752" t="s">
        <v>6972</v>
      </c>
      <c r="F4752" s="150" t="s">
        <v>6972</v>
      </c>
      <c r="G4752" t="s">
        <v>400</v>
      </c>
      <c r="H4752" s="150" t="str">
        <f>IF(Proc[[#This Row],[type]]="LFF (MDG-F)",MID(Proc[[#This Row],[Obj]],13,10),"")</f>
        <v/>
      </c>
      <c r="J4752" s="150" t="b">
        <f>Proc[[#This Row],[Requested]]=Proc[[#This Row],[CurrentParent]]</f>
        <v>1</v>
      </c>
      <c r="K4752" s="150" t="str">
        <f>IF(Proc[[#This Row],[Author]]="Marcela Urrego",VLOOKUP(LEFT(Proc[[#This Row],[Requested]],1),Table3[#All],2,0),VLOOKUP(Proc[[#This Row],[Author]],Table4[],2,0))</f>
        <v>MGF</v>
      </c>
      <c r="L4752" s="150" t="s">
        <v>6435</v>
      </c>
      <c r="M4752" s="171">
        <v>45985</v>
      </c>
      <c r="N4752" s="171"/>
      <c r="O4752" s="171"/>
      <c r="P4752" s="172" t="str">
        <f ca="1">IF(Proc[[#This Row],[DaysAgeing]]&gt;5,"yep","on track")</f>
        <v>yep</v>
      </c>
      <c r="Q4752" s="3">
        <f ca="1">IF(Proc[[#This Row],[DateClosed]]="",ABS(NETWORKDAYS(Proc[[#This Row],[DateOpened]],TODAY()))-1,ABS(NETWORKDAYS(Proc[[#This Row],[DateOpened]],Proc[[#This Row],[DateClosed]]))-1)</f>
        <v>14</v>
      </c>
      <c r="R4752" s="172" t="s">
        <v>515</v>
      </c>
      <c r="S4752" s="150"/>
    </row>
    <row r="4753" spans="1:19" hidden="1">
      <c r="A4753" t="s">
        <v>6968</v>
      </c>
      <c r="B4753" s="150" t="str">
        <f>IFERROR(VLOOKUP(Proc[[#This Row],[App]],Table2[],3,0),"open")</f>
        <v>ok</v>
      </c>
      <c r="C4753" s="149" t="s">
        <v>369</v>
      </c>
      <c r="D4753" t="s">
        <v>6970</v>
      </c>
      <c r="E4753" t="s">
        <v>6973</v>
      </c>
      <c r="F4753" s="150" t="s">
        <v>6973</v>
      </c>
      <c r="G4753" t="s">
        <v>400</v>
      </c>
      <c r="H4753" s="150" t="str">
        <f>IF(Proc[[#This Row],[type]]="LFF (MDG-F)",MID(Proc[[#This Row],[Obj]],13,10),"")</f>
        <v/>
      </c>
      <c r="J4753" s="150" t="b">
        <f>Proc[[#This Row],[Requested]]=Proc[[#This Row],[CurrentParent]]</f>
        <v>1</v>
      </c>
      <c r="K4753" s="150" t="str">
        <f>IF(Proc[[#This Row],[Author]]="Marcela Urrego",VLOOKUP(LEFT(Proc[[#This Row],[Requested]],1),Table3[#All],2,0),VLOOKUP(Proc[[#This Row],[Author]],Table4[],2,0))</f>
        <v>MGF</v>
      </c>
      <c r="L4753" s="150" t="s">
        <v>6435</v>
      </c>
      <c r="M4753" s="171">
        <v>45985</v>
      </c>
      <c r="N4753" s="171"/>
      <c r="O4753" s="171"/>
      <c r="P4753" s="172" t="str">
        <f ca="1">IF(Proc[[#This Row],[DaysAgeing]]&gt;5,"yep","on track")</f>
        <v>yep</v>
      </c>
      <c r="Q4753" s="3">
        <f ca="1">IF(Proc[[#This Row],[DateClosed]]="",ABS(NETWORKDAYS(Proc[[#This Row],[DateOpened]],TODAY()))-1,ABS(NETWORKDAYS(Proc[[#This Row],[DateOpened]],Proc[[#This Row],[DateClosed]]))-1)</f>
        <v>14</v>
      </c>
      <c r="R4753" s="172" t="s">
        <v>515</v>
      </c>
      <c r="S4753" s="150"/>
    </row>
    <row r="4754" spans="1:19" hidden="1">
      <c r="A4754" t="s">
        <v>6968</v>
      </c>
      <c r="B4754" s="150" t="str">
        <f>IFERROR(VLOOKUP(Proc[[#This Row],[App]],Table2[],3,0),"open")</f>
        <v>ok</v>
      </c>
      <c r="C4754" s="149" t="s">
        <v>369</v>
      </c>
      <c r="D4754" t="s">
        <v>6971</v>
      </c>
      <c r="E4754" t="s">
        <v>6973</v>
      </c>
      <c r="F4754" s="150" t="s">
        <v>6973</v>
      </c>
      <c r="G4754" t="s">
        <v>400</v>
      </c>
      <c r="H4754" s="150" t="str">
        <f>IF(Proc[[#This Row],[type]]="LFF (MDG-F)",MID(Proc[[#This Row],[Obj]],13,10),"")</f>
        <v/>
      </c>
      <c r="J4754" s="150" t="b">
        <f>Proc[[#This Row],[Requested]]=Proc[[#This Row],[CurrentParent]]</f>
        <v>1</v>
      </c>
      <c r="K4754" s="150" t="str">
        <f>IF(Proc[[#This Row],[Author]]="Marcela Urrego",VLOOKUP(LEFT(Proc[[#This Row],[Requested]],1),Table3[#All],2,0),VLOOKUP(Proc[[#This Row],[Author]],Table4[],2,0))</f>
        <v>MGF</v>
      </c>
      <c r="L4754" s="150" t="s">
        <v>6435</v>
      </c>
      <c r="M4754" s="171">
        <v>45985</v>
      </c>
      <c r="N4754" s="171"/>
      <c r="O4754" s="171"/>
      <c r="P4754" s="172" t="str">
        <f ca="1">IF(Proc[[#This Row],[DaysAgeing]]&gt;5,"yep","on track")</f>
        <v>yep</v>
      </c>
      <c r="Q4754" s="3">
        <f ca="1">IF(Proc[[#This Row],[DateClosed]]="",ABS(NETWORKDAYS(Proc[[#This Row],[DateOpened]],TODAY()))-1,ABS(NETWORKDAYS(Proc[[#This Row],[DateOpened]],Proc[[#This Row],[DateClosed]]))-1)</f>
        <v>14</v>
      </c>
      <c r="R4754" s="172" t="s">
        <v>515</v>
      </c>
      <c r="S4754" s="150"/>
    </row>
    <row r="4755" spans="1:19" hidden="1">
      <c r="A4755" t="s">
        <v>6974</v>
      </c>
      <c r="B4755" s="150" t="str">
        <f>IFERROR(VLOOKUP(Proc[[#This Row],[App]],Table2[],3,0),"open")</f>
        <v>ok</v>
      </c>
      <c r="C4755" s="149" t="s">
        <v>369</v>
      </c>
      <c r="D4755" t="s">
        <v>6751</v>
      </c>
      <c r="E4755" t="s">
        <v>6983</v>
      </c>
      <c r="F4755" s="150" t="s">
        <v>6983</v>
      </c>
      <c r="G4755" t="s">
        <v>406</v>
      </c>
      <c r="H4755" s="150" t="str">
        <f>IF(Proc[[#This Row],[type]]="LFF (MDG-F)",MID(Proc[[#This Row],[Obj]],13,10),"")</f>
        <v>CN01TPAZ08</v>
      </c>
      <c r="J4755" s="150" t="b">
        <f>Proc[[#This Row],[Requested]]=Proc[[#This Row],[CurrentParent]]</f>
        <v>1</v>
      </c>
      <c r="K4755" s="150" t="str">
        <f>IF(Proc[[#This Row],[Author]]="Marcela Urrego",VLOOKUP(LEFT(Proc[[#This Row],[Requested]],1),Table3[#All],2,0),VLOOKUP(Proc[[#This Row],[Author]],Table4[],2,0))</f>
        <v>EL</v>
      </c>
      <c r="L4755" s="150" t="s">
        <v>6435</v>
      </c>
      <c r="M4755" s="171">
        <v>45985</v>
      </c>
      <c r="N4755" s="171"/>
      <c r="O4755" s="171"/>
      <c r="P4755" s="172" t="str">
        <f ca="1">IF(Proc[[#This Row],[DaysAgeing]]&gt;5,"yep","on track")</f>
        <v>yep</v>
      </c>
      <c r="Q4755" s="3">
        <f ca="1">IF(Proc[[#This Row],[DateClosed]]="",ABS(NETWORKDAYS(Proc[[#This Row],[DateOpened]],TODAY()))-1,ABS(NETWORKDAYS(Proc[[#This Row],[DateOpened]],Proc[[#This Row],[DateClosed]]))-1)</f>
        <v>14</v>
      </c>
      <c r="R4755" s="172" t="s">
        <v>5709</v>
      </c>
      <c r="S4755" s="150"/>
    </row>
    <row r="4756" spans="1:19" hidden="1">
      <c r="A4756" t="s">
        <v>6974</v>
      </c>
      <c r="B4756" s="150" t="str">
        <f>IFERROR(VLOOKUP(Proc[[#This Row],[App]],Table2[],3,0),"open")</f>
        <v>ok</v>
      </c>
      <c r="C4756" s="149" t="s">
        <v>369</v>
      </c>
      <c r="D4756" t="s">
        <v>6752</v>
      </c>
      <c r="E4756" s="149" t="s">
        <v>6983</v>
      </c>
      <c r="F4756" s="150" t="s">
        <v>6983</v>
      </c>
      <c r="G4756" t="s">
        <v>406</v>
      </c>
      <c r="H4756" s="150" t="str">
        <f>IF(Proc[[#This Row],[type]]="LFF (MDG-F)",MID(Proc[[#This Row],[Obj]],13,10),"")</f>
        <v>CN01OF0161</v>
      </c>
      <c r="J4756" s="150" t="b">
        <f>Proc[[#This Row],[Requested]]=Proc[[#This Row],[CurrentParent]]</f>
        <v>1</v>
      </c>
      <c r="K4756" s="150" t="str">
        <f>IF(Proc[[#This Row],[Author]]="Marcela Urrego",VLOOKUP(LEFT(Proc[[#This Row],[Requested]],1),Table3[#All],2,0),VLOOKUP(Proc[[#This Row],[Author]],Table4[],2,0))</f>
        <v>EL</v>
      </c>
      <c r="L4756" s="150" t="s">
        <v>6435</v>
      </c>
      <c r="M4756" s="171">
        <v>45985</v>
      </c>
      <c r="N4756" s="171"/>
      <c r="O4756" s="171"/>
      <c r="P4756" s="172" t="str">
        <f ca="1">IF(Proc[[#This Row],[DaysAgeing]]&gt;5,"yep","on track")</f>
        <v>yep</v>
      </c>
      <c r="Q4756" s="3">
        <f ca="1">IF(Proc[[#This Row],[DateClosed]]="",ABS(NETWORKDAYS(Proc[[#This Row],[DateOpened]],TODAY()))-1,ABS(NETWORKDAYS(Proc[[#This Row],[DateOpened]],Proc[[#This Row],[DateClosed]]))-1)</f>
        <v>14</v>
      </c>
      <c r="R4756" s="172" t="s">
        <v>5709</v>
      </c>
      <c r="S4756" s="150"/>
    </row>
    <row r="4757" spans="1:19" hidden="1">
      <c r="A4757" s="149" t="s">
        <v>6974</v>
      </c>
      <c r="B4757" s="150" t="str">
        <f>IFERROR(VLOOKUP(Proc[[#This Row],[App]],Table2[],3,0),"open")</f>
        <v>ok</v>
      </c>
      <c r="C4757" s="149" t="s">
        <v>369</v>
      </c>
      <c r="D4757" t="s">
        <v>6753</v>
      </c>
      <c r="E4757" s="149" t="s">
        <v>6983</v>
      </c>
      <c r="F4757" s="150" t="s">
        <v>6983</v>
      </c>
      <c r="G4757" s="149" t="s">
        <v>406</v>
      </c>
      <c r="H4757" s="150" t="str">
        <f>IF(Proc[[#This Row],[type]]="LFF (MDG-F)",MID(Proc[[#This Row],[Obj]],13,10),"")</f>
        <v>CN01TPAZ06</v>
      </c>
      <c r="J4757" s="150" t="b">
        <f>Proc[[#This Row],[Requested]]=Proc[[#This Row],[CurrentParent]]</f>
        <v>1</v>
      </c>
      <c r="K4757" s="150" t="str">
        <f>IF(Proc[[#This Row],[Author]]="Marcela Urrego",VLOOKUP(LEFT(Proc[[#This Row],[Requested]],1),Table3[#All],2,0),VLOOKUP(Proc[[#This Row],[Author]],Table4[],2,0))</f>
        <v>EL</v>
      </c>
      <c r="L4757" s="150" t="s">
        <v>6435</v>
      </c>
      <c r="M4757" s="171">
        <v>45985</v>
      </c>
      <c r="N4757" s="171"/>
      <c r="O4757" s="171"/>
      <c r="P4757" s="172" t="str">
        <f ca="1">IF(Proc[[#This Row],[DaysAgeing]]&gt;5,"yep","on track")</f>
        <v>yep</v>
      </c>
      <c r="Q4757" s="3">
        <f ca="1">IF(Proc[[#This Row],[DateClosed]]="",ABS(NETWORKDAYS(Proc[[#This Row],[DateOpened]],TODAY()))-1,ABS(NETWORKDAYS(Proc[[#This Row],[DateOpened]],Proc[[#This Row],[DateClosed]]))-1)</f>
        <v>14</v>
      </c>
      <c r="R4757" s="172" t="s">
        <v>5709</v>
      </c>
      <c r="S4757" s="150"/>
    </row>
    <row r="4758" spans="1:19" hidden="1">
      <c r="A4758" s="149" t="s">
        <v>6974</v>
      </c>
      <c r="B4758" s="150" t="str">
        <f>IFERROR(VLOOKUP(Proc[[#This Row],[App]],Table2[],3,0),"open")</f>
        <v>ok</v>
      </c>
      <c r="C4758" s="149" t="s">
        <v>369</v>
      </c>
      <c r="D4758" t="s">
        <v>6754</v>
      </c>
      <c r="E4758" s="149" t="s">
        <v>6983</v>
      </c>
      <c r="F4758" s="150" t="s">
        <v>6983</v>
      </c>
      <c r="G4758" s="149" t="s">
        <v>406</v>
      </c>
      <c r="H4758" s="150" t="str">
        <f>IF(Proc[[#This Row],[type]]="LFF (MDG-F)",MID(Proc[[#This Row],[Obj]],13,10),"")</f>
        <v>CN02TPZZ05</v>
      </c>
      <c r="J4758" s="150" t="b">
        <f>Proc[[#This Row],[Requested]]=Proc[[#This Row],[CurrentParent]]</f>
        <v>1</v>
      </c>
      <c r="K4758" s="150" t="str">
        <f>IF(Proc[[#This Row],[Author]]="Marcela Urrego",VLOOKUP(LEFT(Proc[[#This Row],[Requested]],1),Table3[#All],2,0),VLOOKUP(Proc[[#This Row],[Author]],Table4[],2,0))</f>
        <v>EL</v>
      </c>
      <c r="L4758" s="150" t="s">
        <v>6435</v>
      </c>
      <c r="M4758" s="171">
        <v>45985</v>
      </c>
      <c r="N4758" s="171"/>
      <c r="O4758" s="171"/>
      <c r="P4758" s="172" t="str">
        <f ca="1">IF(Proc[[#This Row],[DaysAgeing]]&gt;5,"yep","on track")</f>
        <v>yep</v>
      </c>
      <c r="Q4758" s="3">
        <f ca="1">IF(Proc[[#This Row],[DateClosed]]="",ABS(NETWORKDAYS(Proc[[#This Row],[DateOpened]],TODAY()))-1,ABS(NETWORKDAYS(Proc[[#This Row],[DateOpened]],Proc[[#This Row],[DateClosed]]))-1)</f>
        <v>14</v>
      </c>
      <c r="R4758" s="172" t="s">
        <v>5709</v>
      </c>
      <c r="S4758" s="150"/>
    </row>
    <row r="4759" spans="1:19" hidden="1">
      <c r="A4759" s="149" t="s">
        <v>6974</v>
      </c>
      <c r="B4759" s="150" t="str">
        <f>IFERROR(VLOOKUP(Proc[[#This Row],[App]],Table2[],3,0),"open")</f>
        <v>ok</v>
      </c>
      <c r="C4759" s="149" t="s">
        <v>369</v>
      </c>
      <c r="D4759" t="s">
        <v>6755</v>
      </c>
      <c r="E4759" s="149" t="s">
        <v>6983</v>
      </c>
      <c r="F4759" s="150" t="s">
        <v>6983</v>
      </c>
      <c r="G4759" s="149" t="s">
        <v>406</v>
      </c>
      <c r="H4759" s="150" t="str">
        <f>IF(Proc[[#This Row],[type]]="LFF (MDG-F)",MID(Proc[[#This Row],[Obj]],13,10),"")</f>
        <v>CN02TPZZ08</v>
      </c>
      <c r="J4759" s="150" t="b">
        <f>Proc[[#This Row],[Requested]]=Proc[[#This Row],[CurrentParent]]</f>
        <v>1</v>
      </c>
      <c r="K4759" s="150" t="str">
        <f>IF(Proc[[#This Row],[Author]]="Marcela Urrego",VLOOKUP(LEFT(Proc[[#This Row],[Requested]],1),Table3[#All],2,0),VLOOKUP(Proc[[#This Row],[Author]],Table4[],2,0))</f>
        <v>EL</v>
      </c>
      <c r="L4759" s="150" t="s">
        <v>6435</v>
      </c>
      <c r="M4759" s="171">
        <v>45985</v>
      </c>
      <c r="N4759" s="171"/>
      <c r="O4759" s="171"/>
      <c r="P4759" s="172" t="str">
        <f ca="1">IF(Proc[[#This Row],[DaysAgeing]]&gt;5,"yep","on track")</f>
        <v>yep</v>
      </c>
      <c r="Q4759" s="3">
        <f ca="1">IF(Proc[[#This Row],[DateClosed]]="",ABS(NETWORKDAYS(Proc[[#This Row],[DateOpened]],TODAY()))-1,ABS(NETWORKDAYS(Proc[[#This Row],[DateOpened]],Proc[[#This Row],[DateClosed]]))-1)</f>
        <v>14</v>
      </c>
      <c r="R4759" s="172" t="s">
        <v>5709</v>
      </c>
      <c r="S4759" s="150"/>
    </row>
    <row r="4760" spans="1:19" hidden="1">
      <c r="A4760" s="149" t="s">
        <v>6974</v>
      </c>
      <c r="B4760" s="150" t="str">
        <f>IFERROR(VLOOKUP(Proc[[#This Row],[App]],Table2[],3,0),"open")</f>
        <v>ok</v>
      </c>
      <c r="C4760" s="149" t="s">
        <v>369</v>
      </c>
      <c r="D4760" t="s">
        <v>6756</v>
      </c>
      <c r="E4760" s="149" t="s">
        <v>6983</v>
      </c>
      <c r="F4760" s="150" t="s">
        <v>6983</v>
      </c>
      <c r="G4760" s="149" t="s">
        <v>406</v>
      </c>
      <c r="H4760" s="150" t="str">
        <f>IF(Proc[[#This Row],[type]]="LFF (MDG-F)",MID(Proc[[#This Row],[Obj]],13,10),"")</f>
        <v>CN03TPZZ01</v>
      </c>
      <c r="J4760" s="150" t="b">
        <f>Proc[[#This Row],[Requested]]=Proc[[#This Row],[CurrentParent]]</f>
        <v>1</v>
      </c>
      <c r="K4760" s="150" t="str">
        <f>IF(Proc[[#This Row],[Author]]="Marcela Urrego",VLOOKUP(LEFT(Proc[[#This Row],[Requested]],1),Table3[#All],2,0),VLOOKUP(Proc[[#This Row],[Author]],Table4[],2,0))</f>
        <v>EL</v>
      </c>
      <c r="L4760" s="150" t="s">
        <v>6435</v>
      </c>
      <c r="M4760" s="171">
        <v>45985</v>
      </c>
      <c r="N4760" s="171"/>
      <c r="O4760" s="171"/>
      <c r="P4760" s="172" t="str">
        <f ca="1">IF(Proc[[#This Row],[DaysAgeing]]&gt;5,"yep","on track")</f>
        <v>yep</v>
      </c>
      <c r="Q4760" s="3">
        <f ca="1">IF(Proc[[#This Row],[DateClosed]]="",ABS(NETWORKDAYS(Proc[[#This Row],[DateOpened]],TODAY()))-1,ABS(NETWORKDAYS(Proc[[#This Row],[DateOpened]],Proc[[#This Row],[DateClosed]]))-1)</f>
        <v>14</v>
      </c>
      <c r="R4760" s="172" t="s">
        <v>5709</v>
      </c>
      <c r="S4760" s="150"/>
    </row>
    <row r="4761" spans="1:19" hidden="1">
      <c r="A4761" s="149" t="s">
        <v>6974</v>
      </c>
      <c r="B4761" s="150" t="str">
        <f>IFERROR(VLOOKUP(Proc[[#This Row],[App]],Table2[],3,0),"open")</f>
        <v>ok</v>
      </c>
      <c r="C4761" s="149" t="s">
        <v>369</v>
      </c>
      <c r="D4761" t="s">
        <v>6757</v>
      </c>
      <c r="E4761" s="149" t="s">
        <v>6983</v>
      </c>
      <c r="F4761" s="150" t="s">
        <v>6983</v>
      </c>
      <c r="G4761" s="149" t="s">
        <v>406</v>
      </c>
      <c r="H4761" s="150" t="str">
        <f>IF(Proc[[#This Row],[type]]="LFF (MDG-F)",MID(Proc[[#This Row],[Obj]],13,10),"")</f>
        <v>CN03TPZZ03</v>
      </c>
      <c r="J4761" s="150" t="b">
        <f>Proc[[#This Row],[Requested]]=Proc[[#This Row],[CurrentParent]]</f>
        <v>1</v>
      </c>
      <c r="K4761" s="150" t="str">
        <f>IF(Proc[[#This Row],[Author]]="Marcela Urrego",VLOOKUP(LEFT(Proc[[#This Row],[Requested]],1),Table3[#All],2,0),VLOOKUP(Proc[[#This Row],[Author]],Table4[],2,0))</f>
        <v>EL</v>
      </c>
      <c r="L4761" s="150" t="s">
        <v>6435</v>
      </c>
      <c r="M4761" s="171">
        <v>45985</v>
      </c>
      <c r="N4761" s="171"/>
      <c r="O4761" s="171"/>
      <c r="P4761" s="172" t="str">
        <f ca="1">IF(Proc[[#This Row],[DaysAgeing]]&gt;5,"yep","on track")</f>
        <v>yep</v>
      </c>
      <c r="Q4761" s="3">
        <f ca="1">IF(Proc[[#This Row],[DateClosed]]="",ABS(NETWORKDAYS(Proc[[#This Row],[DateOpened]],TODAY()))-1,ABS(NETWORKDAYS(Proc[[#This Row],[DateOpened]],Proc[[#This Row],[DateClosed]]))-1)</f>
        <v>14</v>
      </c>
      <c r="R4761" s="172" t="s">
        <v>5709</v>
      </c>
      <c r="S4761" s="150"/>
    </row>
    <row r="4762" spans="1:19" hidden="1">
      <c r="A4762" s="149" t="s">
        <v>6974</v>
      </c>
      <c r="B4762" s="150" t="str">
        <f>IFERROR(VLOOKUP(Proc[[#This Row],[App]],Table2[],3,0),"open")</f>
        <v>ok</v>
      </c>
      <c r="C4762" s="149" t="s">
        <v>369</v>
      </c>
      <c r="D4762" t="s">
        <v>6758</v>
      </c>
      <c r="E4762" s="149" t="s">
        <v>6983</v>
      </c>
      <c r="F4762" s="150" t="s">
        <v>6983</v>
      </c>
      <c r="G4762" s="149" t="s">
        <v>406</v>
      </c>
      <c r="H4762" s="150" t="str">
        <f>IF(Proc[[#This Row],[type]]="LFF (MDG-F)",MID(Proc[[#This Row],[Obj]],13,10),"")</f>
        <v>CN02TPZZ02</v>
      </c>
      <c r="J4762" s="150" t="b">
        <f>Proc[[#This Row],[Requested]]=Proc[[#This Row],[CurrentParent]]</f>
        <v>1</v>
      </c>
      <c r="K4762" s="150" t="str">
        <f>IF(Proc[[#This Row],[Author]]="Marcela Urrego",VLOOKUP(LEFT(Proc[[#This Row],[Requested]],1),Table3[#All],2,0),VLOOKUP(Proc[[#This Row],[Author]],Table4[],2,0))</f>
        <v>EL</v>
      </c>
      <c r="L4762" s="150" t="s">
        <v>6435</v>
      </c>
      <c r="M4762" s="171">
        <v>45985</v>
      </c>
      <c r="N4762" s="171"/>
      <c r="O4762" s="171"/>
      <c r="P4762" s="172" t="str">
        <f ca="1">IF(Proc[[#This Row],[DaysAgeing]]&gt;5,"yep","on track")</f>
        <v>yep</v>
      </c>
      <c r="Q4762" s="3">
        <f ca="1">IF(Proc[[#This Row],[DateClosed]]="",ABS(NETWORKDAYS(Proc[[#This Row],[DateOpened]],TODAY()))-1,ABS(NETWORKDAYS(Proc[[#This Row],[DateOpened]],Proc[[#This Row],[DateClosed]]))-1)</f>
        <v>14</v>
      </c>
      <c r="R4762" s="172" t="s">
        <v>5709</v>
      </c>
      <c r="S4762" s="150"/>
    </row>
    <row r="4763" spans="1:19" hidden="1">
      <c r="A4763" s="149" t="s">
        <v>6974</v>
      </c>
      <c r="B4763" s="150" t="str">
        <f>IFERROR(VLOOKUP(Proc[[#This Row],[App]],Table2[],3,0),"open")</f>
        <v>ok</v>
      </c>
      <c r="C4763" s="149" t="s">
        <v>369</v>
      </c>
      <c r="D4763" t="s">
        <v>6759</v>
      </c>
      <c r="E4763" s="149" t="s">
        <v>6983</v>
      </c>
      <c r="F4763" s="150" t="s">
        <v>6983</v>
      </c>
      <c r="G4763" s="149" t="s">
        <v>406</v>
      </c>
      <c r="H4763" s="150" t="str">
        <f>IF(Proc[[#This Row],[type]]="LFF (MDG-F)",MID(Proc[[#This Row],[Obj]],13,10),"")</f>
        <v>CN02TQ1001</v>
      </c>
      <c r="J4763" s="150" t="b">
        <f>Proc[[#This Row],[Requested]]=Proc[[#This Row],[CurrentParent]]</f>
        <v>1</v>
      </c>
      <c r="K4763" s="150" t="str">
        <f>IF(Proc[[#This Row],[Author]]="Marcela Urrego",VLOOKUP(LEFT(Proc[[#This Row],[Requested]],1),Table3[#All],2,0),VLOOKUP(Proc[[#This Row],[Author]],Table4[],2,0))</f>
        <v>EL</v>
      </c>
      <c r="L4763" s="150" t="s">
        <v>6435</v>
      </c>
      <c r="M4763" s="171">
        <v>45985</v>
      </c>
      <c r="N4763" s="171"/>
      <c r="O4763" s="171"/>
      <c r="P4763" s="172" t="str">
        <f ca="1">IF(Proc[[#This Row],[DaysAgeing]]&gt;5,"yep","on track")</f>
        <v>yep</v>
      </c>
      <c r="Q4763" s="3">
        <f ca="1">IF(Proc[[#This Row],[DateClosed]]="",ABS(NETWORKDAYS(Proc[[#This Row],[DateOpened]],TODAY()))-1,ABS(NETWORKDAYS(Proc[[#This Row],[DateOpened]],Proc[[#This Row],[DateClosed]]))-1)</f>
        <v>14</v>
      </c>
      <c r="R4763" s="172" t="s">
        <v>5709</v>
      </c>
      <c r="S4763" s="150"/>
    </row>
    <row r="4764" spans="1:19" hidden="1">
      <c r="A4764" s="149" t="s">
        <v>6974</v>
      </c>
      <c r="B4764" s="150" t="str">
        <f>IFERROR(VLOOKUP(Proc[[#This Row],[App]],Table2[],3,0),"open")</f>
        <v>ok</v>
      </c>
      <c r="C4764" s="149" t="s">
        <v>369</v>
      </c>
      <c r="D4764" t="s">
        <v>6760</v>
      </c>
      <c r="E4764" s="149" t="s">
        <v>6983</v>
      </c>
      <c r="F4764" s="150" t="s">
        <v>6983</v>
      </c>
      <c r="G4764" s="149" t="s">
        <v>406</v>
      </c>
      <c r="H4764" s="150" t="str">
        <f>IF(Proc[[#This Row],[type]]="LFF (MDG-F)",MID(Proc[[#This Row],[Obj]],13,10),"")</f>
        <v>CN02TQ1002</v>
      </c>
      <c r="J4764" s="150" t="b">
        <f>Proc[[#This Row],[Requested]]=Proc[[#This Row],[CurrentParent]]</f>
        <v>1</v>
      </c>
      <c r="K4764" s="150" t="str">
        <f>IF(Proc[[#This Row],[Author]]="Marcela Urrego",VLOOKUP(LEFT(Proc[[#This Row],[Requested]],1),Table3[#All],2,0),VLOOKUP(Proc[[#This Row],[Author]],Table4[],2,0))</f>
        <v>EL</v>
      </c>
      <c r="L4764" s="150" t="s">
        <v>6435</v>
      </c>
      <c r="M4764" s="171">
        <v>45985</v>
      </c>
      <c r="N4764" s="171"/>
      <c r="O4764" s="171"/>
      <c r="P4764" s="172" t="str">
        <f ca="1">IF(Proc[[#This Row],[DaysAgeing]]&gt;5,"yep","on track")</f>
        <v>yep</v>
      </c>
      <c r="Q4764" s="3">
        <f ca="1">IF(Proc[[#This Row],[DateClosed]]="",ABS(NETWORKDAYS(Proc[[#This Row],[DateOpened]],TODAY()))-1,ABS(NETWORKDAYS(Proc[[#This Row],[DateOpened]],Proc[[#This Row],[DateClosed]]))-1)</f>
        <v>14</v>
      </c>
      <c r="R4764" s="172" t="s">
        <v>5709</v>
      </c>
      <c r="S4764" s="150"/>
    </row>
    <row r="4765" spans="1:19" hidden="1">
      <c r="A4765" s="149" t="s">
        <v>6974</v>
      </c>
      <c r="B4765" s="150" t="str">
        <f>IFERROR(VLOOKUP(Proc[[#This Row],[App]],Table2[],3,0),"open")</f>
        <v>ok</v>
      </c>
      <c r="C4765" s="149" t="s">
        <v>369</v>
      </c>
      <c r="D4765" t="s">
        <v>6761</v>
      </c>
      <c r="E4765" s="149" t="s">
        <v>6983</v>
      </c>
      <c r="F4765" s="150" t="s">
        <v>6983</v>
      </c>
      <c r="G4765" s="149" t="s">
        <v>406</v>
      </c>
      <c r="H4765" s="150" t="str">
        <f>IF(Proc[[#This Row],[type]]="LFF (MDG-F)",MID(Proc[[#This Row],[Obj]],13,10),"")</f>
        <v>CN02TQ1003</v>
      </c>
      <c r="J4765" s="150" t="b">
        <f>Proc[[#This Row],[Requested]]=Proc[[#This Row],[CurrentParent]]</f>
        <v>1</v>
      </c>
      <c r="K4765" s="150" t="str">
        <f>IF(Proc[[#This Row],[Author]]="Marcela Urrego",VLOOKUP(LEFT(Proc[[#This Row],[Requested]],1),Table3[#All],2,0),VLOOKUP(Proc[[#This Row],[Author]],Table4[],2,0))</f>
        <v>EL</v>
      </c>
      <c r="L4765" s="150" t="s">
        <v>6435</v>
      </c>
      <c r="M4765" s="171">
        <v>45985</v>
      </c>
      <c r="N4765" s="171"/>
      <c r="O4765" s="171"/>
      <c r="P4765" s="172" t="str">
        <f ca="1">IF(Proc[[#This Row],[DaysAgeing]]&gt;5,"yep","on track")</f>
        <v>yep</v>
      </c>
      <c r="Q4765" s="3">
        <f ca="1">IF(Proc[[#This Row],[DateClosed]]="",ABS(NETWORKDAYS(Proc[[#This Row],[DateOpened]],TODAY()))-1,ABS(NETWORKDAYS(Proc[[#This Row],[DateOpened]],Proc[[#This Row],[DateClosed]]))-1)</f>
        <v>14</v>
      </c>
      <c r="R4765" s="172" t="s">
        <v>5709</v>
      </c>
      <c r="S4765" s="150"/>
    </row>
    <row r="4766" spans="1:19" hidden="1">
      <c r="A4766" s="149" t="s">
        <v>6974</v>
      </c>
      <c r="B4766" s="150" t="str">
        <f>IFERROR(VLOOKUP(Proc[[#This Row],[App]],Table2[],3,0),"open")</f>
        <v>ok</v>
      </c>
      <c r="C4766" s="149" t="s">
        <v>369</v>
      </c>
      <c r="D4766" t="s">
        <v>6762</v>
      </c>
      <c r="E4766" s="149" t="s">
        <v>6983</v>
      </c>
      <c r="F4766" s="150" t="s">
        <v>6983</v>
      </c>
      <c r="G4766" s="149" t="s">
        <v>406</v>
      </c>
      <c r="H4766" s="150" t="str">
        <f>IF(Proc[[#This Row],[type]]="LFF (MDG-F)",MID(Proc[[#This Row],[Obj]],13,10),"")</f>
        <v>CN03TPZZ02</v>
      </c>
      <c r="J4766" s="150" t="b">
        <f>Proc[[#This Row],[Requested]]=Proc[[#This Row],[CurrentParent]]</f>
        <v>1</v>
      </c>
      <c r="K4766" s="150" t="str">
        <f>IF(Proc[[#This Row],[Author]]="Marcela Urrego",VLOOKUP(LEFT(Proc[[#This Row],[Requested]],1),Table3[#All],2,0),VLOOKUP(Proc[[#This Row],[Author]],Table4[],2,0))</f>
        <v>EL</v>
      </c>
      <c r="L4766" s="150" t="s">
        <v>6435</v>
      </c>
      <c r="M4766" s="171">
        <v>45985</v>
      </c>
      <c r="N4766" s="171"/>
      <c r="O4766" s="171"/>
      <c r="P4766" s="172" t="str">
        <f ca="1">IF(Proc[[#This Row],[DaysAgeing]]&gt;5,"yep","on track")</f>
        <v>yep</v>
      </c>
      <c r="Q4766" s="3">
        <f ca="1">IF(Proc[[#This Row],[DateClosed]]="",ABS(NETWORKDAYS(Proc[[#This Row],[DateOpened]],TODAY()))-1,ABS(NETWORKDAYS(Proc[[#This Row],[DateOpened]],Proc[[#This Row],[DateClosed]]))-1)</f>
        <v>14</v>
      </c>
      <c r="R4766" s="172" t="s">
        <v>5709</v>
      </c>
      <c r="S4766" s="150"/>
    </row>
    <row r="4767" spans="1:19" hidden="1">
      <c r="A4767" s="149" t="s">
        <v>6974</v>
      </c>
      <c r="B4767" s="150" t="str">
        <f>IFERROR(VLOOKUP(Proc[[#This Row],[App]],Table2[],3,0),"open")</f>
        <v>ok</v>
      </c>
      <c r="C4767" s="149" t="s">
        <v>369</v>
      </c>
      <c r="D4767" t="s">
        <v>6763</v>
      </c>
      <c r="E4767" s="149" t="s">
        <v>6983</v>
      </c>
      <c r="F4767" s="150" t="s">
        <v>6983</v>
      </c>
      <c r="G4767" s="149" t="s">
        <v>406</v>
      </c>
      <c r="H4767" s="150" t="str">
        <f>IF(Proc[[#This Row],[type]]="LFF (MDG-F)",MID(Proc[[#This Row],[Obj]],13,10),"")</f>
        <v>CN10DB1001</v>
      </c>
      <c r="J4767" s="150" t="b">
        <f>Proc[[#This Row],[Requested]]=Proc[[#This Row],[CurrentParent]]</f>
        <v>1</v>
      </c>
      <c r="K4767" s="150" t="str">
        <f>IF(Proc[[#This Row],[Author]]="Marcela Urrego",VLOOKUP(LEFT(Proc[[#This Row],[Requested]],1),Table3[#All],2,0),VLOOKUP(Proc[[#This Row],[Author]],Table4[],2,0))</f>
        <v>EL</v>
      </c>
      <c r="L4767" s="150" t="s">
        <v>6435</v>
      </c>
      <c r="M4767" s="171">
        <v>45985</v>
      </c>
      <c r="N4767" s="171"/>
      <c r="O4767" s="171"/>
      <c r="P4767" s="172" t="str">
        <f ca="1">IF(Proc[[#This Row],[DaysAgeing]]&gt;5,"yep","on track")</f>
        <v>yep</v>
      </c>
      <c r="Q4767" s="3">
        <f ca="1">IF(Proc[[#This Row],[DateClosed]]="",ABS(NETWORKDAYS(Proc[[#This Row],[DateOpened]],TODAY()))-1,ABS(NETWORKDAYS(Proc[[#This Row],[DateOpened]],Proc[[#This Row],[DateClosed]]))-1)</f>
        <v>14</v>
      </c>
      <c r="R4767" s="172" t="s">
        <v>5709</v>
      </c>
      <c r="S4767" s="150"/>
    </row>
    <row r="4768" spans="1:19" hidden="1">
      <c r="A4768" s="149" t="s">
        <v>6974</v>
      </c>
      <c r="B4768" s="150" t="str">
        <f>IFERROR(VLOOKUP(Proc[[#This Row],[App]],Table2[],3,0),"open")</f>
        <v>ok</v>
      </c>
      <c r="C4768" s="149" t="s">
        <v>369</v>
      </c>
      <c r="D4768" t="s">
        <v>6764</v>
      </c>
      <c r="E4768" s="149" t="s">
        <v>6983</v>
      </c>
      <c r="F4768" s="150" t="s">
        <v>6983</v>
      </c>
      <c r="G4768" s="149" t="s">
        <v>406</v>
      </c>
      <c r="H4768" s="150" t="str">
        <f>IF(Proc[[#This Row],[type]]="LFF (MDG-F)",MID(Proc[[#This Row],[Obj]],13,10),"")</f>
        <v>CN10DB1002</v>
      </c>
      <c r="J4768" s="150" t="b">
        <f>Proc[[#This Row],[Requested]]=Proc[[#This Row],[CurrentParent]]</f>
        <v>1</v>
      </c>
      <c r="K4768" s="150" t="str">
        <f>IF(Proc[[#This Row],[Author]]="Marcela Urrego",VLOOKUP(LEFT(Proc[[#This Row],[Requested]],1),Table3[#All],2,0),VLOOKUP(Proc[[#This Row],[Author]],Table4[],2,0))</f>
        <v>EL</v>
      </c>
      <c r="L4768" s="150" t="s">
        <v>6435</v>
      </c>
      <c r="M4768" s="171">
        <v>45985</v>
      </c>
      <c r="N4768" s="171"/>
      <c r="O4768" s="171"/>
      <c r="P4768" s="172" t="str">
        <f ca="1">IF(Proc[[#This Row],[DaysAgeing]]&gt;5,"yep","on track")</f>
        <v>yep</v>
      </c>
      <c r="Q4768" s="3">
        <f ca="1">IF(Proc[[#This Row],[DateClosed]]="",ABS(NETWORKDAYS(Proc[[#This Row],[DateOpened]],TODAY()))-1,ABS(NETWORKDAYS(Proc[[#This Row],[DateOpened]],Proc[[#This Row],[DateClosed]]))-1)</f>
        <v>14</v>
      </c>
      <c r="R4768" s="172" t="s">
        <v>5709</v>
      </c>
      <c r="S4768" s="150"/>
    </row>
    <row r="4769" spans="1:19" hidden="1">
      <c r="A4769" s="149" t="s">
        <v>6974</v>
      </c>
      <c r="B4769" s="150" t="str">
        <f>IFERROR(VLOOKUP(Proc[[#This Row],[App]],Table2[],3,0),"open")</f>
        <v>ok</v>
      </c>
      <c r="C4769" s="149" t="s">
        <v>369</v>
      </c>
      <c r="D4769" t="s">
        <v>6765</v>
      </c>
      <c r="E4769" s="149" t="s">
        <v>6983</v>
      </c>
      <c r="F4769" s="150" t="s">
        <v>6983</v>
      </c>
      <c r="G4769" s="149" t="s">
        <v>406</v>
      </c>
      <c r="H4769" s="150" t="str">
        <f>IF(Proc[[#This Row],[type]]="LFF (MDG-F)",MID(Proc[[#This Row],[Obj]],13,10),"")</f>
        <v>CN10DB1004</v>
      </c>
      <c r="J4769" s="150" t="b">
        <f>Proc[[#This Row],[Requested]]=Proc[[#This Row],[CurrentParent]]</f>
        <v>1</v>
      </c>
      <c r="K4769" s="150" t="str">
        <f>IF(Proc[[#This Row],[Author]]="Marcela Urrego",VLOOKUP(LEFT(Proc[[#This Row],[Requested]],1),Table3[#All],2,0),VLOOKUP(Proc[[#This Row],[Author]],Table4[],2,0))</f>
        <v>EL</v>
      </c>
      <c r="L4769" s="150" t="s">
        <v>6435</v>
      </c>
      <c r="M4769" s="171">
        <v>45985</v>
      </c>
      <c r="N4769" s="171"/>
      <c r="O4769" s="171"/>
      <c r="P4769" s="172" t="str">
        <f ca="1">IF(Proc[[#This Row],[DaysAgeing]]&gt;5,"yep","on track")</f>
        <v>yep</v>
      </c>
      <c r="Q4769" s="3">
        <f ca="1">IF(Proc[[#This Row],[DateClosed]]="",ABS(NETWORKDAYS(Proc[[#This Row],[DateOpened]],TODAY()))-1,ABS(NETWORKDAYS(Proc[[#This Row],[DateOpened]],Proc[[#This Row],[DateClosed]]))-1)</f>
        <v>14</v>
      </c>
      <c r="R4769" s="172" t="s">
        <v>5709</v>
      </c>
      <c r="S4769" s="150"/>
    </row>
    <row r="4770" spans="1:19" hidden="1">
      <c r="A4770" s="149" t="s">
        <v>6974</v>
      </c>
      <c r="B4770" s="150" t="str">
        <f>IFERROR(VLOOKUP(Proc[[#This Row],[App]],Table2[],3,0),"open")</f>
        <v>ok</v>
      </c>
      <c r="C4770" s="149" t="s">
        <v>369</v>
      </c>
      <c r="D4770" t="s">
        <v>6766</v>
      </c>
      <c r="E4770" s="149" t="s">
        <v>6983</v>
      </c>
      <c r="F4770" s="150" t="s">
        <v>6983</v>
      </c>
      <c r="G4770" s="149" t="s">
        <v>406</v>
      </c>
      <c r="H4770" s="150" t="str">
        <f>IF(Proc[[#This Row],[type]]="LFF (MDG-F)",MID(Proc[[#This Row],[Obj]],13,10),"")</f>
        <v>CN09DB3303</v>
      </c>
      <c r="J4770" s="150" t="b">
        <f>Proc[[#This Row],[Requested]]=Proc[[#This Row],[CurrentParent]]</f>
        <v>1</v>
      </c>
      <c r="K4770" s="150" t="str">
        <f>IF(Proc[[#This Row],[Author]]="Marcela Urrego",VLOOKUP(LEFT(Proc[[#This Row],[Requested]],1),Table3[#All],2,0),VLOOKUP(Proc[[#This Row],[Author]],Table4[],2,0))</f>
        <v>EL</v>
      </c>
      <c r="L4770" s="150" t="s">
        <v>6435</v>
      </c>
      <c r="M4770" s="171">
        <v>45985</v>
      </c>
      <c r="N4770" s="171"/>
      <c r="O4770" s="171"/>
      <c r="P4770" s="172" t="str">
        <f ca="1">IF(Proc[[#This Row],[DaysAgeing]]&gt;5,"yep","on track")</f>
        <v>yep</v>
      </c>
      <c r="Q4770" s="3">
        <f ca="1">IF(Proc[[#This Row],[DateClosed]]="",ABS(NETWORKDAYS(Proc[[#This Row],[DateOpened]],TODAY()))-1,ABS(NETWORKDAYS(Proc[[#This Row],[DateOpened]],Proc[[#This Row],[DateClosed]]))-1)</f>
        <v>14</v>
      </c>
      <c r="R4770" s="172" t="s">
        <v>5709</v>
      </c>
      <c r="S4770" s="150"/>
    </row>
    <row r="4771" spans="1:19" hidden="1">
      <c r="A4771" s="149" t="s">
        <v>6974</v>
      </c>
      <c r="B4771" s="150" t="str">
        <f>IFERROR(VLOOKUP(Proc[[#This Row],[App]],Table2[],3,0),"open")</f>
        <v>ok</v>
      </c>
      <c r="C4771" s="149" t="s">
        <v>369</v>
      </c>
      <c r="D4771" t="s">
        <v>6767</v>
      </c>
      <c r="E4771" s="149" t="s">
        <v>6983</v>
      </c>
      <c r="F4771" s="150" t="s">
        <v>6983</v>
      </c>
      <c r="G4771" s="149" t="s">
        <v>406</v>
      </c>
      <c r="H4771" s="150" t="str">
        <f>IF(Proc[[#This Row],[type]]="LFF (MDG-F)",MID(Proc[[#This Row],[Obj]],13,10),"")</f>
        <v>CN09DB3305</v>
      </c>
      <c r="J4771" s="150" t="b">
        <f>Proc[[#This Row],[Requested]]=Proc[[#This Row],[CurrentParent]]</f>
        <v>1</v>
      </c>
      <c r="K4771" s="150" t="str">
        <f>IF(Proc[[#This Row],[Author]]="Marcela Urrego",VLOOKUP(LEFT(Proc[[#This Row],[Requested]],1),Table3[#All],2,0),VLOOKUP(Proc[[#This Row],[Author]],Table4[],2,0))</f>
        <v>EL</v>
      </c>
      <c r="L4771" s="150" t="s">
        <v>6435</v>
      </c>
      <c r="M4771" s="171">
        <v>45985</v>
      </c>
      <c r="N4771" s="171"/>
      <c r="O4771" s="171"/>
      <c r="P4771" s="172" t="str">
        <f ca="1">IF(Proc[[#This Row],[DaysAgeing]]&gt;5,"yep","on track")</f>
        <v>yep</v>
      </c>
      <c r="Q4771" s="3">
        <f ca="1">IF(Proc[[#This Row],[DateClosed]]="",ABS(NETWORKDAYS(Proc[[#This Row],[DateOpened]],TODAY()))-1,ABS(NETWORKDAYS(Proc[[#This Row],[DateOpened]],Proc[[#This Row],[DateClosed]]))-1)</f>
        <v>14</v>
      </c>
      <c r="R4771" s="172" t="s">
        <v>5709</v>
      </c>
      <c r="S4771" s="150"/>
    </row>
    <row r="4772" spans="1:19" hidden="1">
      <c r="A4772" s="149" t="s">
        <v>6974</v>
      </c>
      <c r="B4772" s="150" t="str">
        <f>IFERROR(VLOOKUP(Proc[[#This Row],[App]],Table2[],3,0),"open")</f>
        <v>ok</v>
      </c>
      <c r="C4772" s="149" t="s">
        <v>369</v>
      </c>
      <c r="D4772" t="s">
        <v>6768</v>
      </c>
      <c r="E4772" s="149" t="s">
        <v>6983</v>
      </c>
      <c r="F4772" s="150" t="s">
        <v>6983</v>
      </c>
      <c r="G4772" s="149" t="s">
        <v>406</v>
      </c>
      <c r="H4772" s="150" t="str">
        <f>IF(Proc[[#This Row],[type]]="LFF (MDG-F)",MID(Proc[[#This Row],[Obj]],13,10),"")</f>
        <v>CN09TQ1001</v>
      </c>
      <c r="J4772" s="150" t="b">
        <f>Proc[[#This Row],[Requested]]=Proc[[#This Row],[CurrentParent]]</f>
        <v>1</v>
      </c>
      <c r="K4772" s="150" t="str">
        <f>IF(Proc[[#This Row],[Author]]="Marcela Urrego",VLOOKUP(LEFT(Proc[[#This Row],[Requested]],1),Table3[#All],2,0),VLOOKUP(Proc[[#This Row],[Author]],Table4[],2,0))</f>
        <v>EL</v>
      </c>
      <c r="L4772" s="150" t="s">
        <v>6435</v>
      </c>
      <c r="M4772" s="171">
        <v>45985</v>
      </c>
      <c r="N4772" s="171"/>
      <c r="O4772" s="171"/>
      <c r="P4772" s="172" t="str">
        <f ca="1">IF(Proc[[#This Row],[DaysAgeing]]&gt;5,"yep","on track")</f>
        <v>yep</v>
      </c>
      <c r="Q4772" s="3">
        <f ca="1">IF(Proc[[#This Row],[DateClosed]]="",ABS(NETWORKDAYS(Proc[[#This Row],[DateOpened]],TODAY()))-1,ABS(NETWORKDAYS(Proc[[#This Row],[DateOpened]],Proc[[#This Row],[DateClosed]]))-1)</f>
        <v>14</v>
      </c>
      <c r="R4772" s="172" t="s">
        <v>5709</v>
      </c>
      <c r="S4772" s="150"/>
    </row>
    <row r="4773" spans="1:19" hidden="1">
      <c r="A4773" s="149" t="s">
        <v>6974</v>
      </c>
      <c r="B4773" s="150" t="str">
        <f>IFERROR(VLOOKUP(Proc[[#This Row],[App]],Table2[],3,0),"open")</f>
        <v>ok</v>
      </c>
      <c r="C4773" s="149" t="s">
        <v>369</v>
      </c>
      <c r="D4773" t="s">
        <v>6769</v>
      </c>
      <c r="E4773" s="149" t="s">
        <v>6983</v>
      </c>
      <c r="F4773" s="150" t="s">
        <v>6983</v>
      </c>
      <c r="G4773" s="149" t="s">
        <v>406</v>
      </c>
      <c r="H4773" s="150" t="str">
        <f>IF(Proc[[#This Row],[type]]="LFF (MDG-F)",MID(Proc[[#This Row],[Obj]],13,10),"")</f>
        <v>CN09TQ1002</v>
      </c>
      <c r="J4773" s="150" t="b">
        <f>Proc[[#This Row],[Requested]]=Proc[[#This Row],[CurrentParent]]</f>
        <v>1</v>
      </c>
      <c r="K4773" s="150" t="str">
        <f>IF(Proc[[#This Row],[Author]]="Marcela Urrego",VLOOKUP(LEFT(Proc[[#This Row],[Requested]],1),Table3[#All],2,0),VLOOKUP(Proc[[#This Row],[Author]],Table4[],2,0))</f>
        <v>EL</v>
      </c>
      <c r="L4773" s="150" t="s">
        <v>6435</v>
      </c>
      <c r="M4773" s="171">
        <v>45985</v>
      </c>
      <c r="N4773" s="171"/>
      <c r="O4773" s="171"/>
      <c r="P4773" s="172" t="str">
        <f ca="1">IF(Proc[[#This Row],[DaysAgeing]]&gt;5,"yep","on track")</f>
        <v>yep</v>
      </c>
      <c r="Q4773" s="3">
        <f ca="1">IF(Proc[[#This Row],[DateClosed]]="",ABS(NETWORKDAYS(Proc[[#This Row],[DateOpened]],TODAY()))-1,ABS(NETWORKDAYS(Proc[[#This Row],[DateOpened]],Proc[[#This Row],[DateClosed]]))-1)</f>
        <v>14</v>
      </c>
      <c r="R4773" s="172" t="s">
        <v>5709</v>
      </c>
      <c r="S4773" s="150"/>
    </row>
    <row r="4774" spans="1:19" hidden="1">
      <c r="A4774" s="149" t="s">
        <v>6974</v>
      </c>
      <c r="B4774" s="150" t="str">
        <f>IFERROR(VLOOKUP(Proc[[#This Row],[App]],Table2[],3,0),"open")</f>
        <v>ok</v>
      </c>
      <c r="C4774" s="149" t="s">
        <v>369</v>
      </c>
      <c r="D4774" t="s">
        <v>6770</v>
      </c>
      <c r="E4774" s="149" t="s">
        <v>6983</v>
      </c>
      <c r="F4774" s="150" t="s">
        <v>6983</v>
      </c>
      <c r="G4774" s="149" t="s">
        <v>406</v>
      </c>
      <c r="H4774" s="150" t="str">
        <f>IF(Proc[[#This Row],[type]]="LFF (MDG-F)",MID(Proc[[#This Row],[Obj]],13,10),"")</f>
        <v>CN09TQ1003</v>
      </c>
      <c r="J4774" s="150" t="b">
        <f>Proc[[#This Row],[Requested]]=Proc[[#This Row],[CurrentParent]]</f>
        <v>1</v>
      </c>
      <c r="K4774" s="150" t="str">
        <f>IF(Proc[[#This Row],[Author]]="Marcela Urrego",VLOOKUP(LEFT(Proc[[#This Row],[Requested]],1),Table3[#All],2,0),VLOOKUP(Proc[[#This Row],[Author]],Table4[],2,0))</f>
        <v>EL</v>
      </c>
      <c r="L4774" s="150" t="s">
        <v>6435</v>
      </c>
      <c r="M4774" s="171">
        <v>45985</v>
      </c>
      <c r="N4774" s="171"/>
      <c r="O4774" s="171"/>
      <c r="P4774" s="172" t="str">
        <f ca="1">IF(Proc[[#This Row],[DaysAgeing]]&gt;5,"yep","on track")</f>
        <v>yep</v>
      </c>
      <c r="Q4774" s="3">
        <f ca="1">IF(Proc[[#This Row],[DateClosed]]="",ABS(NETWORKDAYS(Proc[[#This Row],[DateOpened]],TODAY()))-1,ABS(NETWORKDAYS(Proc[[#This Row],[DateOpened]],Proc[[#This Row],[DateClosed]]))-1)</f>
        <v>14</v>
      </c>
      <c r="R4774" s="172" t="s">
        <v>5709</v>
      </c>
      <c r="S4774" s="150"/>
    </row>
    <row r="4775" spans="1:19" hidden="1">
      <c r="A4775" s="149" t="s">
        <v>6974</v>
      </c>
      <c r="B4775" s="150" t="str">
        <f>IFERROR(VLOOKUP(Proc[[#This Row],[App]],Table2[],3,0),"open")</f>
        <v>ok</v>
      </c>
      <c r="C4775" s="149" t="s">
        <v>369</v>
      </c>
      <c r="D4775" t="s">
        <v>6771</v>
      </c>
      <c r="E4775" s="149" t="s">
        <v>6983</v>
      </c>
      <c r="F4775" s="150" t="s">
        <v>6983</v>
      </c>
      <c r="G4775" s="149" t="s">
        <v>406</v>
      </c>
      <c r="H4775" s="150" t="str">
        <f>IF(Proc[[#This Row],[type]]="LFF (MDG-F)",MID(Proc[[#This Row],[Obj]],13,10),"")</f>
        <v>CN09DB3309</v>
      </c>
      <c r="J4775" s="150" t="b">
        <f>Proc[[#This Row],[Requested]]=Proc[[#This Row],[CurrentParent]]</f>
        <v>1</v>
      </c>
      <c r="K4775" s="150" t="str">
        <f>IF(Proc[[#This Row],[Author]]="Marcela Urrego",VLOOKUP(LEFT(Proc[[#This Row],[Requested]],1),Table3[#All],2,0),VLOOKUP(Proc[[#This Row],[Author]],Table4[],2,0))</f>
        <v>EL</v>
      </c>
      <c r="L4775" s="150" t="s">
        <v>6435</v>
      </c>
      <c r="M4775" s="171">
        <v>45985</v>
      </c>
      <c r="N4775" s="171"/>
      <c r="O4775" s="171"/>
      <c r="P4775" s="172" t="str">
        <f ca="1">IF(Proc[[#This Row],[DaysAgeing]]&gt;5,"yep","on track")</f>
        <v>yep</v>
      </c>
      <c r="Q4775" s="3">
        <f ca="1">IF(Proc[[#This Row],[DateClosed]]="",ABS(NETWORKDAYS(Proc[[#This Row],[DateOpened]],TODAY()))-1,ABS(NETWORKDAYS(Proc[[#This Row],[DateOpened]],Proc[[#This Row],[DateClosed]]))-1)</f>
        <v>14</v>
      </c>
      <c r="R4775" s="172" t="s">
        <v>5709</v>
      </c>
      <c r="S4775" s="150"/>
    </row>
    <row r="4776" spans="1:19" hidden="1">
      <c r="A4776" s="149" t="s">
        <v>6974</v>
      </c>
      <c r="B4776" s="150" t="str">
        <f>IFERROR(VLOOKUP(Proc[[#This Row],[App]],Table2[],3,0),"open")</f>
        <v>ok</v>
      </c>
      <c r="C4776" s="149" t="s">
        <v>369</v>
      </c>
      <c r="D4776" t="s">
        <v>6772</v>
      </c>
      <c r="E4776" s="149" t="s">
        <v>6983</v>
      </c>
      <c r="F4776" s="150" t="s">
        <v>6983</v>
      </c>
      <c r="G4776" s="149" t="s">
        <v>406</v>
      </c>
      <c r="H4776" s="150" t="str">
        <f>IF(Proc[[#This Row],[type]]="LFF (MDG-F)",MID(Proc[[#This Row],[Obj]],13,10),"")</f>
        <v>CN09DB3300</v>
      </c>
      <c r="J4776" s="150" t="b">
        <f>Proc[[#This Row],[Requested]]=Proc[[#This Row],[CurrentParent]]</f>
        <v>1</v>
      </c>
      <c r="K4776" s="150" t="str">
        <f>IF(Proc[[#This Row],[Author]]="Marcela Urrego",VLOOKUP(LEFT(Proc[[#This Row],[Requested]],1),Table3[#All],2,0),VLOOKUP(Proc[[#This Row],[Author]],Table4[],2,0))</f>
        <v>EL</v>
      </c>
      <c r="L4776" s="150" t="s">
        <v>6435</v>
      </c>
      <c r="M4776" s="171">
        <v>45985</v>
      </c>
      <c r="N4776" s="171"/>
      <c r="O4776" s="171"/>
      <c r="P4776" s="172" t="str">
        <f ca="1">IF(Proc[[#This Row],[DaysAgeing]]&gt;5,"yep","on track")</f>
        <v>yep</v>
      </c>
      <c r="Q4776" s="3">
        <f ca="1">IF(Proc[[#This Row],[DateClosed]]="",ABS(NETWORKDAYS(Proc[[#This Row],[DateOpened]],TODAY()))-1,ABS(NETWORKDAYS(Proc[[#This Row],[DateOpened]],Proc[[#This Row],[DateClosed]]))-1)</f>
        <v>14</v>
      </c>
      <c r="R4776" s="172" t="s">
        <v>5709</v>
      </c>
      <c r="S4776" s="150"/>
    </row>
    <row r="4777" spans="1:19" hidden="1">
      <c r="A4777" s="149" t="s">
        <v>6974</v>
      </c>
      <c r="B4777" s="150" t="str">
        <f>IFERROR(VLOOKUP(Proc[[#This Row],[App]],Table2[],3,0),"open")</f>
        <v>ok</v>
      </c>
      <c r="C4777" s="149" t="s">
        <v>369</v>
      </c>
      <c r="D4777" t="s">
        <v>6773</v>
      </c>
      <c r="E4777" s="149" t="s">
        <v>6983</v>
      </c>
      <c r="F4777" s="150" t="s">
        <v>6983</v>
      </c>
      <c r="G4777" s="149" t="s">
        <v>406</v>
      </c>
      <c r="H4777" s="150" t="str">
        <f>IF(Proc[[#This Row],[type]]="LFF (MDG-F)",MID(Proc[[#This Row],[Obj]],13,10),"")</f>
        <v>CN09TM3000</v>
      </c>
      <c r="J4777" s="150" t="b">
        <f>Proc[[#This Row],[Requested]]=Proc[[#This Row],[CurrentParent]]</f>
        <v>1</v>
      </c>
      <c r="K4777" s="150" t="str">
        <f>IF(Proc[[#This Row],[Author]]="Marcela Urrego",VLOOKUP(LEFT(Proc[[#This Row],[Requested]],1),Table3[#All],2,0),VLOOKUP(Proc[[#This Row],[Author]],Table4[],2,0))</f>
        <v>EL</v>
      </c>
      <c r="L4777" s="150" t="s">
        <v>6435</v>
      </c>
      <c r="M4777" s="171">
        <v>45985</v>
      </c>
      <c r="N4777" s="171"/>
      <c r="O4777" s="171"/>
      <c r="P4777" s="172" t="str">
        <f ca="1">IF(Proc[[#This Row],[DaysAgeing]]&gt;5,"yep","on track")</f>
        <v>yep</v>
      </c>
      <c r="Q4777" s="3">
        <f ca="1">IF(Proc[[#This Row],[DateClosed]]="",ABS(NETWORKDAYS(Proc[[#This Row],[DateOpened]],TODAY()))-1,ABS(NETWORKDAYS(Proc[[#This Row],[DateOpened]],Proc[[#This Row],[DateClosed]]))-1)</f>
        <v>14</v>
      </c>
      <c r="R4777" s="172" t="s">
        <v>5709</v>
      </c>
      <c r="S4777" s="150"/>
    </row>
    <row r="4778" spans="1:19" hidden="1">
      <c r="A4778" s="149" t="s">
        <v>6974</v>
      </c>
      <c r="B4778" s="150" t="str">
        <f>IFERROR(VLOOKUP(Proc[[#This Row],[App]],Table2[],3,0),"open")</f>
        <v>ok</v>
      </c>
      <c r="C4778" s="149" t="s">
        <v>369</v>
      </c>
      <c r="D4778" t="s">
        <v>6774</v>
      </c>
      <c r="E4778" s="149" t="s">
        <v>6983</v>
      </c>
      <c r="F4778" s="150" t="s">
        <v>6983</v>
      </c>
      <c r="G4778" s="149" t="s">
        <v>406</v>
      </c>
      <c r="H4778" s="150" t="str">
        <f>IF(Proc[[#This Row],[type]]="LFF (MDG-F)",MID(Proc[[#This Row],[Obj]],13,10),"")</f>
        <v>CN09DB3301</v>
      </c>
      <c r="J4778" s="150" t="b">
        <f>Proc[[#This Row],[Requested]]=Proc[[#This Row],[CurrentParent]]</f>
        <v>1</v>
      </c>
      <c r="K4778" s="150" t="str">
        <f>IF(Proc[[#This Row],[Author]]="Marcela Urrego",VLOOKUP(LEFT(Proc[[#This Row],[Requested]],1),Table3[#All],2,0),VLOOKUP(Proc[[#This Row],[Author]],Table4[],2,0))</f>
        <v>EL</v>
      </c>
      <c r="L4778" s="150" t="s">
        <v>6435</v>
      </c>
      <c r="M4778" s="171">
        <v>45985</v>
      </c>
      <c r="N4778" s="171"/>
      <c r="O4778" s="171"/>
      <c r="P4778" s="172" t="str">
        <f ca="1">IF(Proc[[#This Row],[DaysAgeing]]&gt;5,"yep","on track")</f>
        <v>yep</v>
      </c>
      <c r="Q4778" s="3">
        <f ca="1">IF(Proc[[#This Row],[DateClosed]]="",ABS(NETWORKDAYS(Proc[[#This Row],[DateOpened]],TODAY()))-1,ABS(NETWORKDAYS(Proc[[#This Row],[DateOpened]],Proc[[#This Row],[DateClosed]]))-1)</f>
        <v>14</v>
      </c>
      <c r="R4778" s="172" t="s">
        <v>5709</v>
      </c>
      <c r="S4778" s="150"/>
    </row>
    <row r="4779" spans="1:19" hidden="1">
      <c r="A4779" s="149" t="s">
        <v>6974</v>
      </c>
      <c r="B4779" s="150" t="str">
        <f>IFERROR(VLOOKUP(Proc[[#This Row],[App]],Table2[],3,0),"open")</f>
        <v>ok</v>
      </c>
      <c r="C4779" s="149" t="s">
        <v>369</v>
      </c>
      <c r="D4779" t="s">
        <v>6775</v>
      </c>
      <c r="E4779" s="149" t="s">
        <v>6983</v>
      </c>
      <c r="F4779" s="150" t="s">
        <v>6983</v>
      </c>
      <c r="G4779" s="149" t="s">
        <v>406</v>
      </c>
      <c r="H4779" s="150" t="str">
        <f>IF(Proc[[#This Row],[type]]="LFF (MDG-F)",MID(Proc[[#This Row],[Obj]],13,10),"")</f>
        <v>CN09DB3307</v>
      </c>
      <c r="J4779" s="150" t="b">
        <f>Proc[[#This Row],[Requested]]=Proc[[#This Row],[CurrentParent]]</f>
        <v>1</v>
      </c>
      <c r="K4779" s="150" t="str">
        <f>IF(Proc[[#This Row],[Author]]="Marcela Urrego",VLOOKUP(LEFT(Proc[[#This Row],[Requested]],1),Table3[#All],2,0),VLOOKUP(Proc[[#This Row],[Author]],Table4[],2,0))</f>
        <v>EL</v>
      </c>
      <c r="L4779" s="150" t="s">
        <v>6435</v>
      </c>
      <c r="M4779" s="171">
        <v>45985</v>
      </c>
      <c r="N4779" s="171"/>
      <c r="O4779" s="171"/>
      <c r="P4779" s="172" t="str">
        <f ca="1">IF(Proc[[#This Row],[DaysAgeing]]&gt;5,"yep","on track")</f>
        <v>yep</v>
      </c>
      <c r="Q4779" s="3">
        <f ca="1">IF(Proc[[#This Row],[DateClosed]]="",ABS(NETWORKDAYS(Proc[[#This Row],[DateOpened]],TODAY()))-1,ABS(NETWORKDAYS(Proc[[#This Row],[DateOpened]],Proc[[#This Row],[DateClosed]]))-1)</f>
        <v>14</v>
      </c>
      <c r="R4779" s="172" t="s">
        <v>5709</v>
      </c>
      <c r="S4779" s="150"/>
    </row>
    <row r="4780" spans="1:19" hidden="1">
      <c r="A4780" t="s">
        <v>6975</v>
      </c>
      <c r="B4780" s="150" t="str">
        <f>IFERROR(VLOOKUP(Proc[[#This Row],[App]],Table2[],3,0),"open")</f>
        <v>ok</v>
      </c>
      <c r="C4780" s="149" t="s">
        <v>369</v>
      </c>
      <c r="D4780" t="s">
        <v>6976</v>
      </c>
      <c r="E4780" t="s">
        <v>1012</v>
      </c>
      <c r="F4780" s="150" t="s">
        <v>1012</v>
      </c>
      <c r="G4780" t="s">
        <v>400</v>
      </c>
      <c r="H4780" s="150" t="str">
        <f>IF(Proc[[#This Row],[type]]="LFF (MDG-F)",MID(Proc[[#This Row],[Obj]],13,10),"")</f>
        <v/>
      </c>
      <c r="J4780" s="150" t="b">
        <f>Proc[[#This Row],[Requested]]=Proc[[#This Row],[CurrentParent]]</f>
        <v>1</v>
      </c>
      <c r="K4780" s="150" t="str">
        <f>IF(Proc[[#This Row],[Author]]="Marcela Urrego",VLOOKUP(LEFT(Proc[[#This Row],[Requested]],1),Table3[#All],2,0),VLOOKUP(Proc[[#This Row],[Author]],Table4[],2,0))</f>
        <v>HC</v>
      </c>
      <c r="L4780" s="150" t="s">
        <v>6435</v>
      </c>
      <c r="M4780" s="171">
        <v>45985</v>
      </c>
      <c r="N4780" s="171"/>
      <c r="O4780" s="171"/>
      <c r="P4780" s="172" t="str">
        <f ca="1">IF(Proc[[#This Row],[DaysAgeing]]&gt;5,"yep","on track")</f>
        <v>yep</v>
      </c>
      <c r="Q4780" s="3">
        <f ca="1">IF(Proc[[#This Row],[DateClosed]]="",ABS(NETWORKDAYS(Proc[[#This Row],[DateOpened]],TODAY()))-1,ABS(NETWORKDAYS(Proc[[#This Row],[DateOpened]],Proc[[#This Row],[DateClosed]]))-1)</f>
        <v>14</v>
      </c>
      <c r="R4780" s="172" t="s">
        <v>6982</v>
      </c>
      <c r="S4780" s="150"/>
    </row>
    <row r="4781" spans="1:19" hidden="1">
      <c r="A4781" t="s">
        <v>6975</v>
      </c>
      <c r="B4781" s="150" t="str">
        <f>IFERROR(VLOOKUP(Proc[[#This Row],[App]],Table2[],3,0),"open")</f>
        <v>ok</v>
      </c>
      <c r="C4781" s="149" t="s">
        <v>369</v>
      </c>
      <c r="D4781" t="s">
        <v>6977</v>
      </c>
      <c r="E4781" t="s">
        <v>555</v>
      </c>
      <c r="F4781" s="150" t="s">
        <v>555</v>
      </c>
      <c r="G4781" s="149" t="s">
        <v>400</v>
      </c>
      <c r="H4781" s="150" t="str">
        <f>IF(Proc[[#This Row],[type]]="LFF (MDG-F)",MID(Proc[[#This Row],[Obj]],13,10),"")</f>
        <v/>
      </c>
      <c r="J4781" s="150" t="b">
        <f>Proc[[#This Row],[Requested]]=Proc[[#This Row],[CurrentParent]]</f>
        <v>1</v>
      </c>
      <c r="K4781" s="150" t="str">
        <f>IF(Proc[[#This Row],[Author]]="Marcela Urrego",VLOOKUP(LEFT(Proc[[#This Row],[Requested]],1),Table3[#All],2,0),VLOOKUP(Proc[[#This Row],[Author]],Table4[],2,0))</f>
        <v>HC</v>
      </c>
      <c r="L4781" s="150" t="s">
        <v>6435</v>
      </c>
      <c r="M4781" s="171">
        <v>45985</v>
      </c>
      <c r="N4781" s="171"/>
      <c r="O4781" s="171"/>
      <c r="P4781" s="172" t="str">
        <f ca="1">IF(Proc[[#This Row],[DaysAgeing]]&gt;5,"yep","on track")</f>
        <v>yep</v>
      </c>
      <c r="Q4781" s="3">
        <f ca="1">IF(Proc[[#This Row],[DateClosed]]="",ABS(NETWORKDAYS(Proc[[#This Row],[DateOpened]],TODAY()))-1,ABS(NETWORKDAYS(Proc[[#This Row],[DateOpened]],Proc[[#This Row],[DateClosed]]))-1)</f>
        <v>14</v>
      </c>
      <c r="R4781" s="172" t="s">
        <v>6982</v>
      </c>
      <c r="S4781" s="150"/>
    </row>
    <row r="4782" spans="1:19" hidden="1">
      <c r="A4782" s="149" t="s">
        <v>6975</v>
      </c>
      <c r="B4782" s="150" t="str">
        <f>IFERROR(VLOOKUP(Proc[[#This Row],[App]],Table2[],3,0),"open")</f>
        <v>ok</v>
      </c>
      <c r="C4782" s="149" t="s">
        <v>369</v>
      </c>
      <c r="D4782" t="s">
        <v>6978</v>
      </c>
      <c r="E4782" t="s">
        <v>1012</v>
      </c>
      <c r="F4782" s="150" t="s">
        <v>1012</v>
      </c>
      <c r="G4782" s="149" t="s">
        <v>400</v>
      </c>
      <c r="H4782" s="150" t="str">
        <f>IF(Proc[[#This Row],[type]]="LFF (MDG-F)",MID(Proc[[#This Row],[Obj]],13,10),"")</f>
        <v/>
      </c>
      <c r="J4782" s="150" t="b">
        <f>Proc[[#This Row],[Requested]]=Proc[[#This Row],[CurrentParent]]</f>
        <v>1</v>
      </c>
      <c r="K4782" s="150" t="str">
        <f>IF(Proc[[#This Row],[Author]]="Marcela Urrego",VLOOKUP(LEFT(Proc[[#This Row],[Requested]],1),Table3[#All],2,0),VLOOKUP(Proc[[#This Row],[Author]],Table4[],2,0))</f>
        <v>HC</v>
      </c>
      <c r="L4782" s="150" t="s">
        <v>6435</v>
      </c>
      <c r="M4782" s="171">
        <v>45985</v>
      </c>
      <c r="N4782" s="171"/>
      <c r="O4782" s="171"/>
      <c r="P4782" s="172" t="str">
        <f ca="1">IF(Proc[[#This Row],[DaysAgeing]]&gt;5,"yep","on track")</f>
        <v>yep</v>
      </c>
      <c r="Q4782" s="3">
        <f ca="1">IF(Proc[[#This Row],[DateClosed]]="",ABS(NETWORKDAYS(Proc[[#This Row],[DateOpened]],TODAY()))-1,ABS(NETWORKDAYS(Proc[[#This Row],[DateOpened]],Proc[[#This Row],[DateClosed]]))-1)</f>
        <v>14</v>
      </c>
      <c r="R4782" s="172" t="s">
        <v>6982</v>
      </c>
      <c r="S4782" s="150"/>
    </row>
    <row r="4783" spans="1:19" hidden="1">
      <c r="A4783" s="149" t="s">
        <v>6975</v>
      </c>
      <c r="B4783" s="150" t="str">
        <f>IFERROR(VLOOKUP(Proc[[#This Row],[App]],Table2[],3,0),"open")</f>
        <v>ok</v>
      </c>
      <c r="C4783" s="149" t="s">
        <v>369</v>
      </c>
      <c r="D4783" t="s">
        <v>6979</v>
      </c>
      <c r="E4783" t="s">
        <v>1012</v>
      </c>
      <c r="F4783" s="150" t="s">
        <v>1012</v>
      </c>
      <c r="G4783" s="149" t="s">
        <v>400</v>
      </c>
      <c r="H4783" s="150" t="str">
        <f>IF(Proc[[#This Row],[type]]="LFF (MDG-F)",MID(Proc[[#This Row],[Obj]],13,10),"")</f>
        <v/>
      </c>
      <c r="J4783" s="150" t="b">
        <f>Proc[[#This Row],[Requested]]=Proc[[#This Row],[CurrentParent]]</f>
        <v>1</v>
      </c>
      <c r="K4783" s="150" t="str">
        <f>IF(Proc[[#This Row],[Author]]="Marcela Urrego",VLOOKUP(LEFT(Proc[[#This Row],[Requested]],1),Table3[#All],2,0),VLOOKUP(Proc[[#This Row],[Author]],Table4[],2,0))</f>
        <v>HC</v>
      </c>
      <c r="L4783" s="150" t="s">
        <v>6435</v>
      </c>
      <c r="M4783" s="171">
        <v>45985</v>
      </c>
      <c r="N4783" s="171"/>
      <c r="O4783" s="171"/>
      <c r="P4783" s="172" t="str">
        <f ca="1">IF(Proc[[#This Row],[DaysAgeing]]&gt;5,"yep","on track")</f>
        <v>yep</v>
      </c>
      <c r="Q4783" s="3">
        <f ca="1">IF(Proc[[#This Row],[DateClosed]]="",ABS(NETWORKDAYS(Proc[[#This Row],[DateOpened]],TODAY()))-1,ABS(NETWORKDAYS(Proc[[#This Row],[DateOpened]],Proc[[#This Row],[DateClosed]]))-1)</f>
        <v>14</v>
      </c>
      <c r="R4783" s="172" t="s">
        <v>6982</v>
      </c>
      <c r="S4783" s="150"/>
    </row>
    <row r="4784" spans="1:19" hidden="1">
      <c r="A4784" s="149" t="s">
        <v>6975</v>
      </c>
      <c r="B4784" s="150" t="str">
        <f>IFERROR(VLOOKUP(Proc[[#This Row],[App]],Table2[],3,0),"open")</f>
        <v>ok</v>
      </c>
      <c r="C4784" s="149" t="s">
        <v>369</v>
      </c>
      <c r="D4784" t="s">
        <v>6980</v>
      </c>
      <c r="E4784" t="s">
        <v>1012</v>
      </c>
      <c r="F4784" s="150" t="s">
        <v>1012</v>
      </c>
      <c r="G4784" s="149" t="s">
        <v>400</v>
      </c>
      <c r="H4784" s="150" t="str">
        <f>IF(Proc[[#This Row],[type]]="LFF (MDG-F)",MID(Proc[[#This Row],[Obj]],13,10),"")</f>
        <v/>
      </c>
      <c r="J4784" s="150" t="b">
        <f>Proc[[#This Row],[Requested]]=Proc[[#This Row],[CurrentParent]]</f>
        <v>1</v>
      </c>
      <c r="K4784" s="150" t="str">
        <f>IF(Proc[[#This Row],[Author]]="Marcela Urrego",VLOOKUP(LEFT(Proc[[#This Row],[Requested]],1),Table3[#All],2,0),VLOOKUP(Proc[[#This Row],[Author]],Table4[],2,0))</f>
        <v>HC</v>
      </c>
      <c r="L4784" s="150" t="s">
        <v>6435</v>
      </c>
      <c r="M4784" s="171">
        <v>45985</v>
      </c>
      <c r="N4784" s="171"/>
      <c r="O4784" s="171"/>
      <c r="P4784" s="172" t="str">
        <f ca="1">IF(Proc[[#This Row],[DaysAgeing]]&gt;5,"yep","on track")</f>
        <v>yep</v>
      </c>
      <c r="Q4784" s="3">
        <f ca="1">IF(Proc[[#This Row],[DateClosed]]="",ABS(NETWORKDAYS(Proc[[#This Row],[DateOpened]],TODAY()))-1,ABS(NETWORKDAYS(Proc[[#This Row],[DateOpened]],Proc[[#This Row],[DateClosed]]))-1)</f>
        <v>14</v>
      </c>
      <c r="R4784" s="172" t="s">
        <v>6982</v>
      </c>
      <c r="S4784" s="150"/>
    </row>
    <row r="4785" spans="1:19" hidden="1">
      <c r="A4785" s="149" t="s">
        <v>6975</v>
      </c>
      <c r="B4785" s="150" t="str">
        <f>IFERROR(VLOOKUP(Proc[[#This Row],[App]],Table2[],3,0),"open")</f>
        <v>ok</v>
      </c>
      <c r="C4785" s="149" t="s">
        <v>369</v>
      </c>
      <c r="D4785" t="s">
        <v>6981</v>
      </c>
      <c r="E4785" t="s">
        <v>554</v>
      </c>
      <c r="F4785" s="150" t="s">
        <v>554</v>
      </c>
      <c r="G4785" s="149" t="s">
        <v>400</v>
      </c>
      <c r="H4785" s="150" t="str">
        <f>IF(Proc[[#This Row],[type]]="LFF (MDG-F)",MID(Proc[[#This Row],[Obj]],13,10),"")</f>
        <v/>
      </c>
      <c r="J4785" s="150" t="b">
        <f>Proc[[#This Row],[Requested]]=Proc[[#This Row],[CurrentParent]]</f>
        <v>1</v>
      </c>
      <c r="K4785" s="150" t="str">
        <f>IF(Proc[[#This Row],[Author]]="Marcela Urrego",VLOOKUP(LEFT(Proc[[#This Row],[Requested]],1),Table3[#All],2,0),VLOOKUP(Proc[[#This Row],[Author]],Table4[],2,0))</f>
        <v>HC</v>
      </c>
      <c r="L4785" s="150" t="s">
        <v>6435</v>
      </c>
      <c r="M4785" s="171">
        <v>45985</v>
      </c>
      <c r="N4785" s="171"/>
      <c r="O4785" s="171"/>
      <c r="P4785" s="172" t="str">
        <f ca="1">IF(Proc[[#This Row],[DaysAgeing]]&gt;5,"yep","on track")</f>
        <v>yep</v>
      </c>
      <c r="Q4785" s="3">
        <f ca="1">IF(Proc[[#This Row],[DateClosed]]="",ABS(NETWORKDAYS(Proc[[#This Row],[DateOpened]],TODAY()))-1,ABS(NETWORKDAYS(Proc[[#This Row],[DateOpened]],Proc[[#This Row],[DateClosed]]))-1)</f>
        <v>14</v>
      </c>
      <c r="R4785" s="172" t="s">
        <v>6982</v>
      </c>
      <c r="S4785" s="150"/>
    </row>
    <row r="4786" spans="1:19" hidden="1">
      <c r="A4786" t="s">
        <v>6984</v>
      </c>
      <c r="B4786" s="150" t="str">
        <f>IFERROR(VLOOKUP(Proc[[#This Row],[App]],Table2[],3,0),"open")</f>
        <v>ok</v>
      </c>
      <c r="C4786" s="149" t="s">
        <v>369</v>
      </c>
      <c r="D4786" t="s">
        <v>6985</v>
      </c>
      <c r="E4786" t="s">
        <v>812</v>
      </c>
      <c r="F4786" s="150" t="s">
        <v>812</v>
      </c>
      <c r="G4786" s="149" t="s">
        <v>400</v>
      </c>
      <c r="H4786" s="150" t="str">
        <f>IF(Proc[[#This Row],[type]]="LFF (MDG-F)",MID(Proc[[#This Row],[Obj]],13,10),"")</f>
        <v/>
      </c>
      <c r="J4786" s="150" t="b">
        <f>Proc[[#This Row],[Requested]]=Proc[[#This Row],[CurrentParent]]</f>
        <v>1</v>
      </c>
      <c r="K4786" s="150" t="str">
        <f>IF(Proc[[#This Row],[Author]]="Marcela Urrego",VLOOKUP(LEFT(Proc[[#This Row],[Requested]],1),Table3[#All],2,0),VLOOKUP(Proc[[#This Row],[Author]],Table4[],2,0))</f>
        <v>LS?</v>
      </c>
      <c r="L4786" s="150" t="s">
        <v>6435</v>
      </c>
      <c r="M4786" s="172">
        <v>45986</v>
      </c>
      <c r="N4786" s="172"/>
      <c r="O4786" s="172"/>
      <c r="P4786" s="173" t="str">
        <f ca="1">IF(Proc[[#This Row],[DaysAgeing]]&gt;5,"yep","on track")</f>
        <v>yep</v>
      </c>
      <c r="Q4786" s="3">
        <f ca="1">IF(Proc[[#This Row],[DateClosed]]="",ABS(NETWORKDAYS(Proc[[#This Row],[DateOpened]],TODAY()))-1,ABS(NETWORKDAYS(Proc[[#This Row],[DateOpened]],Proc[[#This Row],[DateClosed]]))-1)</f>
        <v>13</v>
      </c>
      <c r="R4786" s="173" t="s">
        <v>6990</v>
      </c>
      <c r="S4786" s="150"/>
    </row>
    <row r="4787" spans="1:19" hidden="1">
      <c r="A4787" t="s">
        <v>6984</v>
      </c>
      <c r="B4787" s="150" t="str">
        <f>IFERROR(VLOOKUP(Proc[[#This Row],[App]],Table2[],3,0),"open")</f>
        <v>ok</v>
      </c>
      <c r="C4787" s="149" t="s">
        <v>369</v>
      </c>
      <c r="D4787" t="s">
        <v>6986</v>
      </c>
      <c r="E4787" t="s">
        <v>6744</v>
      </c>
      <c r="F4787" s="150" t="s">
        <v>6744</v>
      </c>
      <c r="G4787" s="149" t="s">
        <v>400</v>
      </c>
      <c r="H4787" s="150" t="str">
        <f>IF(Proc[[#This Row],[type]]="LFF (MDG-F)",MID(Proc[[#This Row],[Obj]],13,10),"")</f>
        <v/>
      </c>
      <c r="J4787" s="150" t="b">
        <f>Proc[[#This Row],[Requested]]=Proc[[#This Row],[CurrentParent]]</f>
        <v>1</v>
      </c>
      <c r="K4787" s="150" t="str">
        <f>IF(Proc[[#This Row],[Author]]="Marcela Urrego",VLOOKUP(LEFT(Proc[[#This Row],[Requested]],1),Table3[#All],2,0),VLOOKUP(Proc[[#This Row],[Author]],Table4[],2,0))</f>
        <v>LS?</v>
      </c>
      <c r="L4787" s="150" t="s">
        <v>6435</v>
      </c>
      <c r="M4787" s="172">
        <v>45986</v>
      </c>
      <c r="N4787" s="172"/>
      <c r="O4787" s="172"/>
      <c r="P4787" s="173" t="str">
        <f ca="1">IF(Proc[[#This Row],[DaysAgeing]]&gt;5,"yep","on track")</f>
        <v>yep</v>
      </c>
      <c r="Q4787" s="3">
        <f ca="1">IF(Proc[[#This Row],[DateClosed]]="",ABS(NETWORKDAYS(Proc[[#This Row],[DateOpened]],TODAY()))-1,ABS(NETWORKDAYS(Proc[[#This Row],[DateOpened]],Proc[[#This Row],[DateClosed]]))-1)</f>
        <v>13</v>
      </c>
      <c r="R4787" s="173" t="s">
        <v>6990</v>
      </c>
      <c r="S4787" s="150"/>
    </row>
    <row r="4788" spans="1:19" hidden="1">
      <c r="A4788" s="149" t="s">
        <v>6984</v>
      </c>
      <c r="B4788" s="150" t="str">
        <f>IFERROR(VLOOKUP(Proc[[#This Row],[App]],Table2[],3,0),"open")</f>
        <v>ok</v>
      </c>
      <c r="C4788" s="149" t="s">
        <v>369</v>
      </c>
      <c r="D4788" t="s">
        <v>6987</v>
      </c>
      <c r="E4788" t="s">
        <v>6989</v>
      </c>
      <c r="F4788" s="150" t="s">
        <v>6989</v>
      </c>
      <c r="G4788" s="149" t="s">
        <v>400</v>
      </c>
      <c r="H4788" s="150" t="str">
        <f>IF(Proc[[#This Row],[type]]="LFF (MDG-F)",MID(Proc[[#This Row],[Obj]],13,10),"")</f>
        <v/>
      </c>
      <c r="J4788" s="150" t="b">
        <f>Proc[[#This Row],[Requested]]=Proc[[#This Row],[CurrentParent]]</f>
        <v>1</v>
      </c>
      <c r="K4788" s="150" t="str">
        <f>IF(Proc[[#This Row],[Author]]="Marcela Urrego",VLOOKUP(LEFT(Proc[[#This Row],[Requested]],1),Table3[#All],2,0),VLOOKUP(Proc[[#This Row],[Author]],Table4[],2,0))</f>
        <v>LS?</v>
      </c>
      <c r="L4788" s="150" t="s">
        <v>6435</v>
      </c>
      <c r="M4788" s="172">
        <v>45986</v>
      </c>
      <c r="N4788" s="172"/>
      <c r="O4788" s="172"/>
      <c r="P4788" s="173" t="str">
        <f ca="1">IF(Proc[[#This Row],[DaysAgeing]]&gt;5,"yep","on track")</f>
        <v>yep</v>
      </c>
      <c r="Q4788" s="3">
        <f ca="1">IF(Proc[[#This Row],[DateClosed]]="",ABS(NETWORKDAYS(Proc[[#This Row],[DateOpened]],TODAY()))-1,ABS(NETWORKDAYS(Proc[[#This Row],[DateOpened]],Proc[[#This Row],[DateClosed]]))-1)</f>
        <v>13</v>
      </c>
      <c r="R4788" s="173" t="s">
        <v>6990</v>
      </c>
      <c r="S4788" s="150"/>
    </row>
    <row r="4789" spans="1:19" hidden="1">
      <c r="A4789" s="149" t="s">
        <v>6984</v>
      </c>
      <c r="B4789" s="150" t="str">
        <f>IFERROR(VLOOKUP(Proc[[#This Row],[App]],Table2[],3,0),"open")</f>
        <v>ok</v>
      </c>
      <c r="C4789" s="149" t="s">
        <v>369</v>
      </c>
      <c r="D4789" t="s">
        <v>6988</v>
      </c>
      <c r="E4789" t="s">
        <v>556</v>
      </c>
      <c r="F4789" s="150" t="s">
        <v>556</v>
      </c>
      <c r="G4789" s="149" t="s">
        <v>400</v>
      </c>
      <c r="H4789" s="150" t="str">
        <f>IF(Proc[[#This Row],[type]]="LFF (MDG-F)",MID(Proc[[#This Row],[Obj]],13,10),"")</f>
        <v/>
      </c>
      <c r="J4789" s="150" t="b">
        <f>Proc[[#This Row],[Requested]]=Proc[[#This Row],[CurrentParent]]</f>
        <v>1</v>
      </c>
      <c r="K4789" s="150" t="str">
        <f>IF(Proc[[#This Row],[Author]]="Marcela Urrego",VLOOKUP(LEFT(Proc[[#This Row],[Requested]],1),Table3[#All],2,0),VLOOKUP(Proc[[#This Row],[Author]],Table4[],2,0))</f>
        <v>LS?</v>
      </c>
      <c r="L4789" s="150" t="s">
        <v>6435</v>
      </c>
      <c r="M4789" s="172">
        <v>45986</v>
      </c>
      <c r="N4789" s="172"/>
      <c r="O4789" s="172"/>
      <c r="P4789" s="173" t="str">
        <f ca="1">IF(Proc[[#This Row],[DaysAgeing]]&gt;5,"yep","on track")</f>
        <v>yep</v>
      </c>
      <c r="Q4789" s="3">
        <f ca="1">IF(Proc[[#This Row],[DateClosed]]="",ABS(NETWORKDAYS(Proc[[#This Row],[DateOpened]],TODAY()))-1,ABS(NETWORKDAYS(Proc[[#This Row],[DateOpened]],Proc[[#This Row],[DateClosed]]))-1)</f>
        <v>13</v>
      </c>
      <c r="R4789" s="173" t="s">
        <v>6990</v>
      </c>
      <c r="S4789" s="150"/>
    </row>
    <row r="4790" spans="1:19" hidden="1">
      <c r="A4790" t="s">
        <v>6991</v>
      </c>
      <c r="B4790" s="150" t="str">
        <f>IFERROR(VLOOKUP(Proc[[#This Row],[App]],Table2[],3,0),"open")</f>
        <v>ok</v>
      </c>
      <c r="C4790" s="149" t="s">
        <v>369</v>
      </c>
      <c r="D4790" t="s">
        <v>6992</v>
      </c>
      <c r="E4790" t="s">
        <v>6997</v>
      </c>
      <c r="F4790" s="150" t="s">
        <v>6997</v>
      </c>
      <c r="G4790" t="s">
        <v>406</v>
      </c>
      <c r="H4790" s="150" t="str">
        <f>IF(Proc[[#This Row],[type]]="LFF (MDG-F)",MID(Proc[[#This Row],[Obj]],13,10),"")</f>
        <v>ES50Y54321</v>
      </c>
      <c r="J4790" s="150" t="b">
        <f>Proc[[#This Row],[Requested]]=Proc[[#This Row],[CurrentParent]]</f>
        <v>1</v>
      </c>
      <c r="K4790" s="150" t="str">
        <f>IF(Proc[[#This Row],[Author]]="Marcela Urrego",VLOOKUP(LEFT(Proc[[#This Row],[Requested]],1),Table3[#All],2,0),VLOOKUP(Proc[[#This Row],[Author]],Table4[],2,0))</f>
        <v>MGF</v>
      </c>
      <c r="L4790" s="150" t="s">
        <v>6435</v>
      </c>
      <c r="M4790" s="172">
        <v>45986</v>
      </c>
      <c r="N4790" s="172"/>
      <c r="O4790" s="172"/>
      <c r="P4790" s="173" t="str">
        <f ca="1">IF(Proc[[#This Row],[DaysAgeing]]&gt;5,"yep","on track")</f>
        <v>yep</v>
      </c>
      <c r="Q4790" s="3">
        <f ca="1">IF(Proc[[#This Row],[DateClosed]]="",ABS(NETWORKDAYS(Proc[[#This Row],[DateOpened]],TODAY()))-1,ABS(NETWORKDAYS(Proc[[#This Row],[DateOpened]],Proc[[#This Row],[DateClosed]]))-1)</f>
        <v>13</v>
      </c>
      <c r="R4790" s="172" t="s">
        <v>515</v>
      </c>
      <c r="S4790" s="150"/>
    </row>
    <row r="4791" spans="1:19" hidden="1">
      <c r="A4791" s="149" t="s">
        <v>6991</v>
      </c>
      <c r="B4791" s="150" t="str">
        <f>IFERROR(VLOOKUP(Proc[[#This Row],[App]],Table2[],3,0),"open")</f>
        <v>ok</v>
      </c>
      <c r="C4791" s="149" t="s">
        <v>369</v>
      </c>
      <c r="D4791" t="s">
        <v>6993</v>
      </c>
      <c r="E4791" t="s">
        <v>6997</v>
      </c>
      <c r="F4791" s="150" t="s">
        <v>6997</v>
      </c>
      <c r="G4791" t="s">
        <v>406</v>
      </c>
      <c r="H4791" s="150" t="str">
        <f>IF(Proc[[#This Row],[type]]="LFF (MDG-F)",MID(Proc[[#This Row],[Obj]],13,10),"")</f>
        <v>IT50Y54321</v>
      </c>
      <c r="J4791" s="150" t="b">
        <f>Proc[[#This Row],[Requested]]=Proc[[#This Row],[CurrentParent]]</f>
        <v>1</v>
      </c>
      <c r="K4791" s="150" t="str">
        <f>IF(Proc[[#This Row],[Author]]="Marcela Urrego",VLOOKUP(LEFT(Proc[[#This Row],[Requested]],1),Table3[#All],2,0),VLOOKUP(Proc[[#This Row],[Author]],Table4[],2,0))</f>
        <v>MGF</v>
      </c>
      <c r="L4791" s="150" t="s">
        <v>6435</v>
      </c>
      <c r="M4791" s="172">
        <v>45986</v>
      </c>
      <c r="N4791" s="172"/>
      <c r="O4791" s="172"/>
      <c r="P4791" s="173" t="str">
        <f ca="1">IF(Proc[[#This Row],[DaysAgeing]]&gt;5,"yep","on track")</f>
        <v>yep</v>
      </c>
      <c r="Q4791" s="3">
        <f ca="1">IF(Proc[[#This Row],[DateClosed]]="",ABS(NETWORKDAYS(Proc[[#This Row],[DateOpened]],TODAY()))-1,ABS(NETWORKDAYS(Proc[[#This Row],[DateOpened]],Proc[[#This Row],[DateClosed]]))-1)</f>
        <v>13</v>
      </c>
      <c r="R4791" s="172" t="s">
        <v>515</v>
      </c>
      <c r="S4791" s="150"/>
    </row>
    <row r="4792" spans="1:19" hidden="1">
      <c r="A4792" s="149" t="s">
        <v>6991</v>
      </c>
      <c r="B4792" s="150" t="str">
        <f>IFERROR(VLOOKUP(Proc[[#This Row],[App]],Table2[],3,0),"open")</f>
        <v>ok</v>
      </c>
      <c r="C4792" s="149" t="s">
        <v>369</v>
      </c>
      <c r="D4792" t="s">
        <v>6994</v>
      </c>
      <c r="E4792" t="s">
        <v>6997</v>
      </c>
      <c r="F4792" s="150" t="s">
        <v>6997</v>
      </c>
      <c r="G4792" t="s">
        <v>406</v>
      </c>
      <c r="H4792" s="150" t="str">
        <f>IF(Proc[[#This Row],[type]]="LFF (MDG-F)",MID(Proc[[#This Row],[Obj]],13,10),"")</f>
        <v>2123Y54321</v>
      </c>
      <c r="J4792" s="150" t="b">
        <f>Proc[[#This Row],[Requested]]=Proc[[#This Row],[CurrentParent]]</f>
        <v>1</v>
      </c>
      <c r="K4792" s="150" t="str">
        <f>IF(Proc[[#This Row],[Author]]="Marcela Urrego",VLOOKUP(LEFT(Proc[[#This Row],[Requested]],1),Table3[#All],2,0),VLOOKUP(Proc[[#This Row],[Author]],Table4[],2,0))</f>
        <v>MGF</v>
      </c>
      <c r="L4792" s="150" t="s">
        <v>6435</v>
      </c>
      <c r="M4792" s="172">
        <v>45986</v>
      </c>
      <c r="N4792" s="172"/>
      <c r="O4792" s="172"/>
      <c r="P4792" s="173" t="str">
        <f ca="1">IF(Proc[[#This Row],[DaysAgeing]]&gt;5,"yep","on track")</f>
        <v>yep</v>
      </c>
      <c r="Q4792" s="3">
        <f ca="1">IF(Proc[[#This Row],[DateClosed]]="",ABS(NETWORKDAYS(Proc[[#This Row],[DateOpened]],TODAY()))-1,ABS(NETWORKDAYS(Proc[[#This Row],[DateOpened]],Proc[[#This Row],[DateClosed]]))-1)</f>
        <v>13</v>
      </c>
      <c r="R4792" s="172" t="s">
        <v>515</v>
      </c>
      <c r="S4792" s="150"/>
    </row>
    <row r="4793" spans="1:19" hidden="1">
      <c r="A4793" s="149" t="s">
        <v>6991</v>
      </c>
      <c r="B4793" s="150" t="str">
        <f>IFERROR(VLOOKUP(Proc[[#This Row],[App]],Table2[],3,0),"open")</f>
        <v>ok</v>
      </c>
      <c r="C4793" s="149" t="s">
        <v>369</v>
      </c>
      <c r="D4793" t="s">
        <v>6995</v>
      </c>
      <c r="E4793" t="s">
        <v>6997</v>
      </c>
      <c r="F4793" s="150" t="s">
        <v>6997</v>
      </c>
      <c r="G4793" t="s">
        <v>400</v>
      </c>
      <c r="H4793" s="150" t="str">
        <f>IF(Proc[[#This Row],[type]]="LFF (MDG-F)",MID(Proc[[#This Row],[Obj]],13,10),"")</f>
        <v/>
      </c>
      <c r="J4793" s="150" t="b">
        <f>Proc[[#This Row],[Requested]]=Proc[[#This Row],[CurrentParent]]</f>
        <v>1</v>
      </c>
      <c r="K4793" s="150" t="str">
        <f>IF(Proc[[#This Row],[Author]]="Marcela Urrego",VLOOKUP(LEFT(Proc[[#This Row],[Requested]],1),Table3[#All],2,0),VLOOKUP(Proc[[#This Row],[Author]],Table4[],2,0))</f>
        <v>MGF</v>
      </c>
      <c r="L4793" s="150" t="s">
        <v>6435</v>
      </c>
      <c r="M4793" s="172">
        <v>45986</v>
      </c>
      <c r="N4793" s="172"/>
      <c r="O4793" s="172"/>
      <c r="P4793" s="173" t="str">
        <f ca="1">IF(Proc[[#This Row],[DaysAgeing]]&gt;5,"yep","on track")</f>
        <v>yep</v>
      </c>
      <c r="Q4793" s="3">
        <f ca="1">IF(Proc[[#This Row],[DateClosed]]="",ABS(NETWORKDAYS(Proc[[#This Row],[DateOpened]],TODAY()))-1,ABS(NETWORKDAYS(Proc[[#This Row],[DateOpened]],Proc[[#This Row],[DateClosed]]))-1)</f>
        <v>13</v>
      </c>
      <c r="R4793" s="172" t="s">
        <v>515</v>
      </c>
      <c r="S4793" s="150"/>
    </row>
    <row r="4794" spans="1:19" hidden="1">
      <c r="A4794" s="149" t="s">
        <v>6991</v>
      </c>
      <c r="B4794" s="150" t="str">
        <f>IFERROR(VLOOKUP(Proc[[#This Row],[App]],Table2[],3,0),"open")</f>
        <v>ok</v>
      </c>
      <c r="C4794" s="149" t="s">
        <v>369</v>
      </c>
      <c r="D4794" t="s">
        <v>6996</v>
      </c>
      <c r="E4794" t="s">
        <v>6997</v>
      </c>
      <c r="F4794" s="150" t="s">
        <v>6997</v>
      </c>
      <c r="G4794" t="s">
        <v>400</v>
      </c>
      <c r="H4794" s="150" t="str">
        <f>IF(Proc[[#This Row],[type]]="LFF (MDG-F)",MID(Proc[[#This Row],[Obj]],13,10),"")</f>
        <v/>
      </c>
      <c r="J4794" s="150" t="b">
        <f>Proc[[#This Row],[Requested]]=Proc[[#This Row],[CurrentParent]]</f>
        <v>1</v>
      </c>
      <c r="K4794" s="150" t="str">
        <f>IF(Proc[[#This Row],[Author]]="Marcela Urrego",VLOOKUP(LEFT(Proc[[#This Row],[Requested]],1),Table3[#All],2,0),VLOOKUP(Proc[[#This Row],[Author]],Table4[],2,0))</f>
        <v>MGF</v>
      </c>
      <c r="L4794" s="150" t="s">
        <v>6435</v>
      </c>
      <c r="M4794" s="172">
        <v>45986</v>
      </c>
      <c r="N4794" s="172"/>
      <c r="O4794" s="172"/>
      <c r="P4794" s="173" t="str">
        <f ca="1">IF(Proc[[#This Row],[DaysAgeing]]&gt;5,"yep","on track")</f>
        <v>yep</v>
      </c>
      <c r="Q4794" s="3">
        <f ca="1">IF(Proc[[#This Row],[DateClosed]]="",ABS(NETWORKDAYS(Proc[[#This Row],[DateOpened]],TODAY()))-1,ABS(NETWORKDAYS(Proc[[#This Row],[DateOpened]],Proc[[#This Row],[DateClosed]]))-1)</f>
        <v>13</v>
      </c>
      <c r="R4794" s="172" t="s">
        <v>515</v>
      </c>
      <c r="S4794" s="150"/>
    </row>
    <row r="4795" spans="1:19" hidden="1">
      <c r="A4795" t="s">
        <v>6999</v>
      </c>
      <c r="B4795" s="150" t="str">
        <f>IFERROR(VLOOKUP(Proc[[#This Row],[App]],Table2[],3,0),"open")</f>
        <v>ok</v>
      </c>
      <c r="C4795" s="149" t="s">
        <v>369</v>
      </c>
      <c r="D4795" t="s">
        <v>7000</v>
      </c>
      <c r="E4795" t="s">
        <v>6498</v>
      </c>
      <c r="F4795" s="150" t="s">
        <v>6498</v>
      </c>
      <c r="G4795" t="s">
        <v>400</v>
      </c>
      <c r="H4795" s="150" t="str">
        <f>IF(Proc[[#This Row],[type]]="LFF (MDG-F)",MID(Proc[[#This Row],[Obj]],13,10),"")</f>
        <v/>
      </c>
      <c r="J4795" s="150" t="b">
        <f>Proc[[#This Row],[Requested]]=Proc[[#This Row],[CurrentParent]]</f>
        <v>1</v>
      </c>
      <c r="K4795" s="150" t="str">
        <f>IF(Proc[[#This Row],[Author]]="Marcela Urrego",VLOOKUP(LEFT(Proc[[#This Row],[Requested]],1),Table3[#All],2,0),VLOOKUP(Proc[[#This Row],[Author]],Table4[],2,0))</f>
        <v>LS</v>
      </c>
      <c r="L4795" s="150" t="s">
        <v>6435</v>
      </c>
      <c r="M4795" s="172">
        <v>45986</v>
      </c>
      <c r="N4795" s="173"/>
      <c r="O4795" s="173"/>
      <c r="P4795" s="173" t="str">
        <f ca="1">IF(Proc[[#This Row],[DaysAgeing]]&gt;5,"yep","on track")</f>
        <v>yep</v>
      </c>
      <c r="Q4795" s="3">
        <f ca="1">IF(Proc[[#This Row],[DateClosed]]="",ABS(NETWORKDAYS(Proc[[#This Row],[DateOpened]],TODAY()))-1,ABS(NETWORKDAYS(Proc[[#This Row],[DateOpened]],Proc[[#This Row],[DateClosed]]))-1)</f>
        <v>13</v>
      </c>
      <c r="R4795" s="173" t="s">
        <v>489</v>
      </c>
      <c r="S4795" s="150"/>
    </row>
    <row r="4796" spans="1:19" hidden="1">
      <c r="A4796" t="s">
        <v>7001</v>
      </c>
      <c r="B4796" s="150" t="str">
        <f>IFERROR(VLOOKUP(Proc[[#This Row],[App]],Table2[],3,0),"open")</f>
        <v>ok</v>
      </c>
      <c r="C4796" s="149" t="s">
        <v>369</v>
      </c>
      <c r="D4796" t="s">
        <v>7005</v>
      </c>
      <c r="E4796" t="s">
        <v>7002</v>
      </c>
      <c r="F4796" s="150" t="s">
        <v>7002</v>
      </c>
      <c r="G4796" s="149" t="s">
        <v>406</v>
      </c>
      <c r="H4796" s="150" t="str">
        <f>IF(Proc[[#This Row],[type]]="LFF (MDG-F)",MID(Proc[[#This Row],[Obj]],13,10),"")</f>
        <v>DE10F27300</v>
      </c>
      <c r="I4796" s="149"/>
      <c r="J4796" s="150" t="b">
        <f>Proc[[#This Row],[Requested]]=Proc[[#This Row],[CurrentParent]]</f>
        <v>1</v>
      </c>
      <c r="K4796" s="150" t="str">
        <f>IF(Proc[[#This Row],[Author]]="Marcela Urrego",VLOOKUP(LEFT(Proc[[#This Row],[Requested]],1),Table3[#All],2,0),VLOOKUP(Proc[[#This Row],[Author]],Table4[],2,0))</f>
        <v>MGF</v>
      </c>
      <c r="L4796" s="150" t="s">
        <v>6435</v>
      </c>
      <c r="M4796" s="173">
        <v>45988</v>
      </c>
      <c r="N4796" s="174"/>
      <c r="O4796" s="174"/>
      <c r="P4796" s="174" t="str">
        <f ca="1">IF(Proc[[#This Row],[DaysAgeing]]&gt;5,"yep","on track")</f>
        <v>yep</v>
      </c>
      <c r="Q4796" s="3">
        <f ca="1">IF(Proc[[#This Row],[DateClosed]]="",ABS(NETWORKDAYS(Proc[[#This Row],[DateOpened]],TODAY()))-1,ABS(NETWORKDAYS(Proc[[#This Row],[DateOpened]],Proc[[#This Row],[DateClosed]]))-1)</f>
        <v>11</v>
      </c>
      <c r="R4796" s="174" t="s">
        <v>485</v>
      </c>
      <c r="S4796" s="150"/>
    </row>
    <row r="4797" spans="1:19" hidden="1">
      <c r="A4797" t="s">
        <v>7001</v>
      </c>
      <c r="B4797" s="150" t="str">
        <f>IFERROR(VLOOKUP(Proc[[#This Row],[App]],Table2[],3,0),"open")</f>
        <v>ok</v>
      </c>
      <c r="C4797" s="149" t="s">
        <v>369</v>
      </c>
      <c r="D4797" t="s">
        <v>7006</v>
      </c>
      <c r="E4797" t="s">
        <v>7003</v>
      </c>
      <c r="F4797" s="150" t="s">
        <v>7003</v>
      </c>
      <c r="G4797" s="149" t="s">
        <v>406</v>
      </c>
      <c r="H4797" s="150" t="str">
        <f>IF(Proc[[#This Row],[type]]="LFF (MDG-F)",MID(Proc[[#This Row],[Obj]],13,10),"")</f>
        <v>DE10566115</v>
      </c>
      <c r="I4797" s="149"/>
      <c r="J4797" s="150" t="b">
        <f>Proc[[#This Row],[Requested]]=Proc[[#This Row],[CurrentParent]]</f>
        <v>1</v>
      </c>
      <c r="K4797" s="150" t="str">
        <f>IF(Proc[[#This Row],[Author]]="Marcela Urrego",VLOOKUP(LEFT(Proc[[#This Row],[Requested]],1),Table3[#All],2,0),VLOOKUP(Proc[[#This Row],[Author]],Table4[],2,0))</f>
        <v>MGF</v>
      </c>
      <c r="L4797" s="150" t="s">
        <v>6435</v>
      </c>
      <c r="M4797" s="173">
        <v>45988</v>
      </c>
      <c r="N4797" s="174"/>
      <c r="O4797" s="174"/>
      <c r="P4797" s="174" t="str">
        <f ca="1">IF(Proc[[#This Row],[DaysAgeing]]&gt;5,"yep","on track")</f>
        <v>yep</v>
      </c>
      <c r="Q4797" s="3">
        <f ca="1">IF(Proc[[#This Row],[DateClosed]]="",ABS(NETWORKDAYS(Proc[[#This Row],[DateOpened]],TODAY()))-1,ABS(NETWORKDAYS(Proc[[#This Row],[DateOpened]],Proc[[#This Row],[DateClosed]]))-1)</f>
        <v>11</v>
      </c>
      <c r="R4797" s="174" t="s">
        <v>485</v>
      </c>
      <c r="S4797" s="150"/>
    </row>
    <row r="4798" spans="1:19" hidden="1">
      <c r="A4798" s="149" t="s">
        <v>7001</v>
      </c>
      <c r="B4798" s="150" t="str">
        <f>IFERROR(VLOOKUP(Proc[[#This Row],[App]],Table2[],3,0),"open")</f>
        <v>ok</v>
      </c>
      <c r="C4798" s="149" t="s">
        <v>369</v>
      </c>
      <c r="D4798" t="s">
        <v>7007</v>
      </c>
      <c r="E4798" t="s">
        <v>7003</v>
      </c>
      <c r="F4798" s="150" t="s">
        <v>7003</v>
      </c>
      <c r="G4798" s="149" t="s">
        <v>406</v>
      </c>
      <c r="H4798" s="150" t="str">
        <f>IF(Proc[[#This Row],[type]]="LFF (MDG-F)",MID(Proc[[#This Row],[Obj]],13,10),"")</f>
        <v>DE10566116</v>
      </c>
      <c r="I4798" s="149"/>
      <c r="J4798" s="150" t="b">
        <f>Proc[[#This Row],[Requested]]=Proc[[#This Row],[CurrentParent]]</f>
        <v>1</v>
      </c>
      <c r="K4798" s="150" t="str">
        <f>IF(Proc[[#This Row],[Author]]="Marcela Urrego",VLOOKUP(LEFT(Proc[[#This Row],[Requested]],1),Table3[#All],2,0),VLOOKUP(Proc[[#This Row],[Author]],Table4[],2,0))</f>
        <v>MGF</v>
      </c>
      <c r="L4798" s="150" t="s">
        <v>6435</v>
      </c>
      <c r="M4798" s="173">
        <v>45988</v>
      </c>
      <c r="N4798" s="174"/>
      <c r="O4798" s="174"/>
      <c r="P4798" s="174" t="str">
        <f ca="1">IF(Proc[[#This Row],[DaysAgeing]]&gt;5,"yep","on track")</f>
        <v>yep</v>
      </c>
      <c r="Q4798" s="3">
        <f ca="1">IF(Proc[[#This Row],[DateClosed]]="",ABS(NETWORKDAYS(Proc[[#This Row],[DateOpened]],TODAY()))-1,ABS(NETWORKDAYS(Proc[[#This Row],[DateOpened]],Proc[[#This Row],[DateClosed]]))-1)</f>
        <v>11</v>
      </c>
      <c r="R4798" s="174" t="s">
        <v>485</v>
      </c>
      <c r="S4798" s="150"/>
    </row>
    <row r="4799" spans="1:19" hidden="1">
      <c r="A4799" s="149" t="s">
        <v>7001</v>
      </c>
      <c r="B4799" s="150" t="str">
        <f>IFERROR(VLOOKUP(Proc[[#This Row],[App]],Table2[],3,0),"open")</f>
        <v>ok</v>
      </c>
      <c r="C4799" s="149" t="s">
        <v>369</v>
      </c>
      <c r="D4799" t="s">
        <v>7008</v>
      </c>
      <c r="E4799" t="s">
        <v>7003</v>
      </c>
      <c r="F4799" s="150" t="s">
        <v>7003</v>
      </c>
      <c r="G4799" s="149" t="s">
        <v>406</v>
      </c>
      <c r="H4799" s="150" t="str">
        <f>IF(Proc[[#This Row],[type]]="LFF (MDG-F)",MID(Proc[[#This Row],[Obj]],13,10),"")</f>
        <v>DE10566118</v>
      </c>
      <c r="I4799" s="149"/>
      <c r="J4799" s="150" t="b">
        <f>Proc[[#This Row],[Requested]]=Proc[[#This Row],[CurrentParent]]</f>
        <v>1</v>
      </c>
      <c r="K4799" s="150" t="str">
        <f>IF(Proc[[#This Row],[Author]]="Marcela Urrego",VLOOKUP(LEFT(Proc[[#This Row],[Requested]],1),Table3[#All],2,0),VLOOKUP(Proc[[#This Row],[Author]],Table4[],2,0))</f>
        <v>MGF</v>
      </c>
      <c r="L4799" s="150" t="s">
        <v>6435</v>
      </c>
      <c r="M4799" s="173">
        <v>45988</v>
      </c>
      <c r="N4799" s="174"/>
      <c r="O4799" s="174"/>
      <c r="P4799" s="174" t="str">
        <f ca="1">IF(Proc[[#This Row],[DaysAgeing]]&gt;5,"yep","on track")</f>
        <v>yep</v>
      </c>
      <c r="Q4799" s="3">
        <f ca="1">IF(Proc[[#This Row],[DateClosed]]="",ABS(NETWORKDAYS(Proc[[#This Row],[DateOpened]],TODAY()))-1,ABS(NETWORKDAYS(Proc[[#This Row],[DateOpened]],Proc[[#This Row],[DateClosed]]))-1)</f>
        <v>11</v>
      </c>
      <c r="R4799" s="174" t="s">
        <v>485</v>
      </c>
      <c r="S4799" s="150"/>
    </row>
    <row r="4800" spans="1:19" hidden="1">
      <c r="A4800" s="149" t="s">
        <v>7001</v>
      </c>
      <c r="B4800" s="150" t="str">
        <f>IFERROR(VLOOKUP(Proc[[#This Row],[App]],Table2[],3,0),"open")</f>
        <v>ok</v>
      </c>
      <c r="C4800" s="149" t="s">
        <v>369</v>
      </c>
      <c r="D4800" t="s">
        <v>7009</v>
      </c>
      <c r="E4800" t="s">
        <v>7003</v>
      </c>
      <c r="F4800" s="150" t="s">
        <v>7003</v>
      </c>
      <c r="G4800" s="149" t="s">
        <v>406</v>
      </c>
      <c r="H4800" s="150" t="str">
        <f>IF(Proc[[#This Row],[type]]="LFF (MDG-F)",MID(Proc[[#This Row],[Obj]],13,10),"")</f>
        <v>DE10566120</v>
      </c>
      <c r="I4800" s="149"/>
      <c r="J4800" s="150" t="b">
        <f>Proc[[#This Row],[Requested]]=Proc[[#This Row],[CurrentParent]]</f>
        <v>1</v>
      </c>
      <c r="K4800" s="150" t="str">
        <f>IF(Proc[[#This Row],[Author]]="Marcela Urrego",VLOOKUP(LEFT(Proc[[#This Row],[Requested]],1),Table3[#All],2,0),VLOOKUP(Proc[[#This Row],[Author]],Table4[],2,0))</f>
        <v>MGF</v>
      </c>
      <c r="L4800" s="150" t="s">
        <v>6435</v>
      </c>
      <c r="M4800" s="173">
        <v>45988</v>
      </c>
      <c r="N4800" s="174"/>
      <c r="O4800" s="174"/>
      <c r="P4800" s="174" t="str">
        <f ca="1">IF(Proc[[#This Row],[DaysAgeing]]&gt;5,"yep","on track")</f>
        <v>yep</v>
      </c>
      <c r="Q4800" s="3">
        <f ca="1">IF(Proc[[#This Row],[DateClosed]]="",ABS(NETWORKDAYS(Proc[[#This Row],[DateOpened]],TODAY()))-1,ABS(NETWORKDAYS(Proc[[#This Row],[DateOpened]],Proc[[#This Row],[DateClosed]]))-1)</f>
        <v>11</v>
      </c>
      <c r="R4800" s="174" t="s">
        <v>485</v>
      </c>
      <c r="S4800" s="150"/>
    </row>
    <row r="4801" spans="1:19" hidden="1">
      <c r="A4801" s="149" t="s">
        <v>7001</v>
      </c>
      <c r="B4801" s="150" t="str">
        <f>IFERROR(VLOOKUP(Proc[[#This Row],[App]],Table2[],3,0),"open")</f>
        <v>ok</v>
      </c>
      <c r="C4801" s="149" t="s">
        <v>369</v>
      </c>
      <c r="D4801" t="s">
        <v>7010</v>
      </c>
      <c r="E4801" t="s">
        <v>7003</v>
      </c>
      <c r="F4801" s="150" t="s">
        <v>7003</v>
      </c>
      <c r="G4801" s="149" t="s">
        <v>406</v>
      </c>
      <c r="H4801" s="150" t="str">
        <f>IF(Proc[[#This Row],[type]]="LFF (MDG-F)",MID(Proc[[#This Row],[Obj]],13,10),"")</f>
        <v>DE10566121</v>
      </c>
      <c r="I4801" s="149"/>
      <c r="J4801" s="150" t="b">
        <f>Proc[[#This Row],[Requested]]=Proc[[#This Row],[CurrentParent]]</f>
        <v>1</v>
      </c>
      <c r="K4801" s="150" t="str">
        <f>IF(Proc[[#This Row],[Author]]="Marcela Urrego",VLOOKUP(LEFT(Proc[[#This Row],[Requested]],1),Table3[#All],2,0),VLOOKUP(Proc[[#This Row],[Author]],Table4[],2,0))</f>
        <v>MGF</v>
      </c>
      <c r="L4801" s="150" t="s">
        <v>6435</v>
      </c>
      <c r="M4801" s="173">
        <v>45988</v>
      </c>
      <c r="N4801" s="174"/>
      <c r="O4801" s="174"/>
      <c r="P4801" s="174" t="str">
        <f ca="1">IF(Proc[[#This Row],[DaysAgeing]]&gt;5,"yep","on track")</f>
        <v>yep</v>
      </c>
      <c r="Q4801" s="3">
        <f ca="1">IF(Proc[[#This Row],[DateClosed]]="",ABS(NETWORKDAYS(Proc[[#This Row],[DateOpened]],TODAY()))-1,ABS(NETWORKDAYS(Proc[[#This Row],[DateOpened]],Proc[[#This Row],[DateClosed]]))-1)</f>
        <v>11</v>
      </c>
      <c r="R4801" s="174" t="s">
        <v>485</v>
      </c>
      <c r="S4801" s="150"/>
    </row>
    <row r="4802" spans="1:19" hidden="1">
      <c r="A4802" s="149" t="s">
        <v>7001</v>
      </c>
      <c r="B4802" s="150" t="str">
        <f>IFERROR(VLOOKUP(Proc[[#This Row],[App]],Table2[],3,0),"open")</f>
        <v>ok</v>
      </c>
      <c r="C4802" s="149" t="s">
        <v>369</v>
      </c>
      <c r="D4802" t="s">
        <v>7011</v>
      </c>
      <c r="E4802" t="s">
        <v>7003</v>
      </c>
      <c r="F4802" s="150" t="s">
        <v>7003</v>
      </c>
      <c r="G4802" s="149" t="s">
        <v>406</v>
      </c>
      <c r="H4802" s="150" t="str">
        <f>IF(Proc[[#This Row],[type]]="LFF (MDG-F)",MID(Proc[[#This Row],[Obj]],13,10),"")</f>
        <v>DE10566122</v>
      </c>
      <c r="I4802" s="149"/>
      <c r="J4802" s="150" t="b">
        <f>Proc[[#This Row],[Requested]]=Proc[[#This Row],[CurrentParent]]</f>
        <v>1</v>
      </c>
      <c r="K4802" s="150" t="str">
        <f>IF(Proc[[#This Row],[Author]]="Marcela Urrego",VLOOKUP(LEFT(Proc[[#This Row],[Requested]],1),Table3[#All],2,0),VLOOKUP(Proc[[#This Row],[Author]],Table4[],2,0))</f>
        <v>MGF</v>
      </c>
      <c r="L4802" s="150" t="s">
        <v>6435</v>
      </c>
      <c r="M4802" s="173">
        <v>45988</v>
      </c>
      <c r="N4802" s="174"/>
      <c r="O4802" s="174"/>
      <c r="P4802" s="174" t="str">
        <f ca="1">IF(Proc[[#This Row],[DaysAgeing]]&gt;5,"yep","on track")</f>
        <v>yep</v>
      </c>
      <c r="Q4802" s="3">
        <f ca="1">IF(Proc[[#This Row],[DateClosed]]="",ABS(NETWORKDAYS(Proc[[#This Row],[DateOpened]],TODAY()))-1,ABS(NETWORKDAYS(Proc[[#This Row],[DateOpened]],Proc[[#This Row],[DateClosed]]))-1)</f>
        <v>11</v>
      </c>
      <c r="R4802" s="174" t="s">
        <v>485</v>
      </c>
      <c r="S4802" s="150"/>
    </row>
    <row r="4803" spans="1:19" hidden="1">
      <c r="A4803" s="149" t="s">
        <v>7001</v>
      </c>
      <c r="B4803" s="150" t="str">
        <f>IFERROR(VLOOKUP(Proc[[#This Row],[App]],Table2[],3,0),"open")</f>
        <v>ok</v>
      </c>
      <c r="C4803" s="149" t="s">
        <v>369</v>
      </c>
      <c r="D4803" t="s">
        <v>7012</v>
      </c>
      <c r="E4803" t="s">
        <v>7003</v>
      </c>
      <c r="F4803" s="150" t="s">
        <v>7003</v>
      </c>
      <c r="G4803" s="149" t="s">
        <v>406</v>
      </c>
      <c r="H4803" s="150" t="str">
        <f>IF(Proc[[#This Row],[type]]="LFF (MDG-F)",MID(Proc[[#This Row],[Obj]],13,10),"")</f>
        <v>DE10566125</v>
      </c>
      <c r="I4803" s="149"/>
      <c r="J4803" s="150" t="b">
        <f>Proc[[#This Row],[Requested]]=Proc[[#This Row],[CurrentParent]]</f>
        <v>1</v>
      </c>
      <c r="K4803" s="150" t="str">
        <f>IF(Proc[[#This Row],[Author]]="Marcela Urrego",VLOOKUP(LEFT(Proc[[#This Row],[Requested]],1),Table3[#All],2,0),VLOOKUP(Proc[[#This Row],[Author]],Table4[],2,0))</f>
        <v>MGF</v>
      </c>
      <c r="L4803" s="150" t="s">
        <v>6435</v>
      </c>
      <c r="M4803" s="173">
        <v>45988</v>
      </c>
      <c r="N4803" s="174"/>
      <c r="O4803" s="174"/>
      <c r="P4803" s="174" t="str">
        <f ca="1">IF(Proc[[#This Row],[DaysAgeing]]&gt;5,"yep","on track")</f>
        <v>yep</v>
      </c>
      <c r="Q4803" s="3">
        <f ca="1">IF(Proc[[#This Row],[DateClosed]]="",ABS(NETWORKDAYS(Proc[[#This Row],[DateOpened]],TODAY()))-1,ABS(NETWORKDAYS(Proc[[#This Row],[DateOpened]],Proc[[#This Row],[DateClosed]]))-1)</f>
        <v>11</v>
      </c>
      <c r="R4803" s="174" t="s">
        <v>485</v>
      </c>
      <c r="S4803" s="150"/>
    </row>
    <row r="4804" spans="1:19" hidden="1">
      <c r="A4804" s="149" t="s">
        <v>7001</v>
      </c>
      <c r="B4804" s="150" t="str">
        <f>IFERROR(VLOOKUP(Proc[[#This Row],[App]],Table2[],3,0),"open")</f>
        <v>ok</v>
      </c>
      <c r="C4804" s="149" t="s">
        <v>369</v>
      </c>
      <c r="D4804" t="s">
        <v>7013</v>
      </c>
      <c r="E4804" t="s">
        <v>7003</v>
      </c>
      <c r="F4804" s="150" t="s">
        <v>7003</v>
      </c>
      <c r="G4804" s="149" t="s">
        <v>406</v>
      </c>
      <c r="H4804" s="150" t="str">
        <f>IF(Proc[[#This Row],[type]]="LFF (MDG-F)",MID(Proc[[#This Row],[Obj]],13,10),"")</f>
        <v>DE10566127</v>
      </c>
      <c r="I4804" s="149"/>
      <c r="J4804" s="150" t="b">
        <f>Proc[[#This Row],[Requested]]=Proc[[#This Row],[CurrentParent]]</f>
        <v>1</v>
      </c>
      <c r="K4804" s="150" t="str">
        <f>IF(Proc[[#This Row],[Author]]="Marcela Urrego",VLOOKUP(LEFT(Proc[[#This Row],[Requested]],1),Table3[#All],2,0),VLOOKUP(Proc[[#This Row],[Author]],Table4[],2,0))</f>
        <v>MGF</v>
      </c>
      <c r="L4804" s="150" t="s">
        <v>6435</v>
      </c>
      <c r="M4804" s="173">
        <v>45988</v>
      </c>
      <c r="N4804" s="174"/>
      <c r="O4804" s="174"/>
      <c r="P4804" s="174" t="str">
        <f ca="1">IF(Proc[[#This Row],[DaysAgeing]]&gt;5,"yep","on track")</f>
        <v>yep</v>
      </c>
      <c r="Q4804" s="3">
        <f ca="1">IF(Proc[[#This Row],[DateClosed]]="",ABS(NETWORKDAYS(Proc[[#This Row],[DateOpened]],TODAY()))-1,ABS(NETWORKDAYS(Proc[[#This Row],[DateOpened]],Proc[[#This Row],[DateClosed]]))-1)</f>
        <v>11</v>
      </c>
      <c r="R4804" s="174" t="s">
        <v>485</v>
      </c>
      <c r="S4804" s="150"/>
    </row>
    <row r="4805" spans="1:19" hidden="1">
      <c r="A4805" s="149" t="s">
        <v>7001</v>
      </c>
      <c r="B4805" s="150" t="str">
        <f>IFERROR(VLOOKUP(Proc[[#This Row],[App]],Table2[],3,0),"open")</f>
        <v>ok</v>
      </c>
      <c r="C4805" s="149" t="s">
        <v>369</v>
      </c>
      <c r="D4805" t="s">
        <v>7014</v>
      </c>
      <c r="E4805" t="s">
        <v>7002</v>
      </c>
      <c r="F4805" s="150" t="s">
        <v>7002</v>
      </c>
      <c r="G4805" s="149" t="s">
        <v>406</v>
      </c>
      <c r="H4805" s="150" t="str">
        <f>IF(Proc[[#This Row],[type]]="LFF (MDG-F)",MID(Proc[[#This Row],[Obj]],13,10),"")</f>
        <v>DE10E16300</v>
      </c>
      <c r="I4805" s="149"/>
      <c r="J4805" s="150" t="b">
        <f>Proc[[#This Row],[Requested]]=Proc[[#This Row],[CurrentParent]]</f>
        <v>1</v>
      </c>
      <c r="K4805" s="150" t="str">
        <f>IF(Proc[[#This Row],[Author]]="Marcela Urrego",VLOOKUP(LEFT(Proc[[#This Row],[Requested]],1),Table3[#All],2,0),VLOOKUP(Proc[[#This Row],[Author]],Table4[],2,0))</f>
        <v>MGF</v>
      </c>
      <c r="L4805" s="150" t="s">
        <v>6435</v>
      </c>
      <c r="M4805" s="173">
        <v>45988</v>
      </c>
      <c r="N4805" s="174"/>
      <c r="O4805" s="174"/>
      <c r="P4805" s="174" t="str">
        <f ca="1">IF(Proc[[#This Row],[DaysAgeing]]&gt;5,"yep","on track")</f>
        <v>yep</v>
      </c>
      <c r="Q4805" s="3">
        <f ca="1">IF(Proc[[#This Row],[DateClosed]]="",ABS(NETWORKDAYS(Proc[[#This Row],[DateOpened]],TODAY()))-1,ABS(NETWORKDAYS(Proc[[#This Row],[DateOpened]],Proc[[#This Row],[DateClosed]]))-1)</f>
        <v>11</v>
      </c>
      <c r="R4805" s="174" t="s">
        <v>485</v>
      </c>
      <c r="S4805" s="150"/>
    </row>
    <row r="4806" spans="1:19" hidden="1">
      <c r="A4806" s="149" t="s">
        <v>7001</v>
      </c>
      <c r="B4806" s="150" t="str">
        <f>IFERROR(VLOOKUP(Proc[[#This Row],[App]],Table2[],3,0),"open")</f>
        <v>ok</v>
      </c>
      <c r="C4806" s="149" t="s">
        <v>369</v>
      </c>
      <c r="D4806" t="s">
        <v>7015</v>
      </c>
      <c r="E4806" t="s">
        <v>7002</v>
      </c>
      <c r="F4806" s="150" t="s">
        <v>7002</v>
      </c>
      <c r="G4806" s="149" t="s">
        <v>406</v>
      </c>
      <c r="H4806" s="150" t="str">
        <f>IF(Proc[[#This Row],[type]]="LFF (MDG-F)",MID(Proc[[#This Row],[Obj]],13,10),"")</f>
        <v>DE10E16600</v>
      </c>
      <c r="I4806" s="149"/>
      <c r="J4806" s="150" t="b">
        <f>Proc[[#This Row],[Requested]]=Proc[[#This Row],[CurrentParent]]</f>
        <v>1</v>
      </c>
      <c r="K4806" s="150" t="str">
        <f>IF(Proc[[#This Row],[Author]]="Marcela Urrego",VLOOKUP(LEFT(Proc[[#This Row],[Requested]],1),Table3[#All],2,0),VLOOKUP(Proc[[#This Row],[Author]],Table4[],2,0))</f>
        <v>MGF</v>
      </c>
      <c r="L4806" s="150" t="s">
        <v>6435</v>
      </c>
      <c r="M4806" s="173">
        <v>45988</v>
      </c>
      <c r="N4806" s="174"/>
      <c r="O4806" s="174"/>
      <c r="P4806" s="174" t="str">
        <f ca="1">IF(Proc[[#This Row],[DaysAgeing]]&gt;5,"yep","on track")</f>
        <v>yep</v>
      </c>
      <c r="Q4806" s="3">
        <f ca="1">IF(Proc[[#This Row],[DateClosed]]="",ABS(NETWORKDAYS(Proc[[#This Row],[DateOpened]],TODAY()))-1,ABS(NETWORKDAYS(Proc[[#This Row],[DateOpened]],Proc[[#This Row],[DateClosed]]))-1)</f>
        <v>11</v>
      </c>
      <c r="R4806" s="174" t="s">
        <v>485</v>
      </c>
      <c r="S4806" s="150"/>
    </row>
    <row r="4807" spans="1:19" hidden="1">
      <c r="A4807" s="149" t="s">
        <v>7001</v>
      </c>
      <c r="B4807" s="150" t="str">
        <f>IFERROR(VLOOKUP(Proc[[#This Row],[App]],Table2[],3,0),"open")</f>
        <v>ok</v>
      </c>
      <c r="C4807" s="149" t="s">
        <v>369</v>
      </c>
      <c r="D4807" t="s">
        <v>7016</v>
      </c>
      <c r="E4807" t="s">
        <v>7002</v>
      </c>
      <c r="F4807" s="150" t="s">
        <v>7002</v>
      </c>
      <c r="G4807" s="149" t="s">
        <v>406</v>
      </c>
      <c r="H4807" s="150" t="str">
        <f>IF(Proc[[#This Row],[type]]="LFF (MDG-F)",MID(Proc[[#This Row],[Obj]],13,10),"")</f>
        <v>DE10E38020</v>
      </c>
      <c r="I4807" s="149"/>
      <c r="J4807" s="150" t="b">
        <f>Proc[[#This Row],[Requested]]=Proc[[#This Row],[CurrentParent]]</f>
        <v>1</v>
      </c>
      <c r="K4807" s="150" t="str">
        <f>IF(Proc[[#This Row],[Author]]="Marcela Urrego",VLOOKUP(LEFT(Proc[[#This Row],[Requested]],1),Table3[#All],2,0),VLOOKUP(Proc[[#This Row],[Author]],Table4[],2,0))</f>
        <v>MGF</v>
      </c>
      <c r="L4807" s="150" t="s">
        <v>6435</v>
      </c>
      <c r="M4807" s="173">
        <v>45988</v>
      </c>
      <c r="N4807" s="174"/>
      <c r="O4807" s="174"/>
      <c r="P4807" s="174" t="str">
        <f ca="1">IF(Proc[[#This Row],[DaysAgeing]]&gt;5,"yep","on track")</f>
        <v>yep</v>
      </c>
      <c r="Q4807" s="3">
        <f ca="1">IF(Proc[[#This Row],[DateClosed]]="",ABS(NETWORKDAYS(Proc[[#This Row],[DateOpened]],TODAY()))-1,ABS(NETWORKDAYS(Proc[[#This Row],[DateOpened]],Proc[[#This Row],[DateClosed]]))-1)</f>
        <v>11</v>
      </c>
      <c r="R4807" s="174" t="s">
        <v>485</v>
      </c>
      <c r="S4807" s="150"/>
    </row>
    <row r="4808" spans="1:19" hidden="1">
      <c r="A4808" s="149" t="s">
        <v>7001</v>
      </c>
      <c r="B4808" s="150" t="str">
        <f>IFERROR(VLOOKUP(Proc[[#This Row],[App]],Table2[],3,0),"open")</f>
        <v>ok</v>
      </c>
      <c r="C4808" s="149" t="s">
        <v>369</v>
      </c>
      <c r="D4808" t="s">
        <v>7017</v>
      </c>
      <c r="E4808" t="s">
        <v>7004</v>
      </c>
      <c r="F4808" s="150" t="s">
        <v>7004</v>
      </c>
      <c r="G4808" s="149" t="s">
        <v>406</v>
      </c>
      <c r="H4808" s="150" t="str">
        <f>IF(Proc[[#This Row],[type]]="LFF (MDG-F)",MID(Proc[[#This Row],[Obj]],13,10),"")</f>
        <v>DE10E38800</v>
      </c>
      <c r="I4808" s="149"/>
      <c r="J4808" s="150" t="b">
        <f>Proc[[#This Row],[Requested]]=Proc[[#This Row],[CurrentParent]]</f>
        <v>1</v>
      </c>
      <c r="K4808" s="150" t="str">
        <f>IF(Proc[[#This Row],[Author]]="Marcela Urrego",VLOOKUP(LEFT(Proc[[#This Row],[Requested]],1),Table3[#All],2,0),VLOOKUP(Proc[[#This Row],[Author]],Table4[],2,0))</f>
        <v>MGF</v>
      </c>
      <c r="L4808" s="150" t="s">
        <v>6435</v>
      </c>
      <c r="M4808" s="173">
        <v>45988</v>
      </c>
      <c r="N4808" s="174"/>
      <c r="O4808" s="174"/>
      <c r="P4808" s="174" t="str">
        <f ca="1">IF(Proc[[#This Row],[DaysAgeing]]&gt;5,"yep","on track")</f>
        <v>yep</v>
      </c>
      <c r="Q4808" s="3">
        <f ca="1">IF(Proc[[#This Row],[DateClosed]]="",ABS(NETWORKDAYS(Proc[[#This Row],[DateOpened]],TODAY()))-1,ABS(NETWORKDAYS(Proc[[#This Row],[DateOpened]],Proc[[#This Row],[DateClosed]]))-1)</f>
        <v>11</v>
      </c>
      <c r="R4808" s="174" t="s">
        <v>485</v>
      </c>
      <c r="S4808" s="150"/>
    </row>
    <row r="4809" spans="1:19" hidden="1">
      <c r="A4809" s="149" t="s">
        <v>7001</v>
      </c>
      <c r="B4809" s="150" t="str">
        <f>IFERROR(VLOOKUP(Proc[[#This Row],[App]],Table2[],3,0),"open")</f>
        <v>ok</v>
      </c>
      <c r="C4809" s="149" t="s">
        <v>369</v>
      </c>
      <c r="D4809" t="s">
        <v>7018</v>
      </c>
      <c r="E4809" t="s">
        <v>7002</v>
      </c>
      <c r="F4809" s="150" t="s">
        <v>7002</v>
      </c>
      <c r="G4809" s="149" t="s">
        <v>406</v>
      </c>
      <c r="H4809" s="150" t="str">
        <f>IF(Proc[[#This Row],[type]]="LFF (MDG-F)",MID(Proc[[#This Row],[Obj]],13,10),"")</f>
        <v>DE10E38810</v>
      </c>
      <c r="I4809" s="149"/>
      <c r="J4809" s="150" t="b">
        <f>Proc[[#This Row],[Requested]]=Proc[[#This Row],[CurrentParent]]</f>
        <v>1</v>
      </c>
      <c r="K4809" s="150" t="str">
        <f>IF(Proc[[#This Row],[Author]]="Marcela Urrego",VLOOKUP(LEFT(Proc[[#This Row],[Requested]],1),Table3[#All],2,0),VLOOKUP(Proc[[#This Row],[Author]],Table4[],2,0))</f>
        <v>MGF</v>
      </c>
      <c r="L4809" s="150" t="s">
        <v>6435</v>
      </c>
      <c r="M4809" s="173">
        <v>45988</v>
      </c>
      <c r="N4809" s="174"/>
      <c r="O4809" s="174"/>
      <c r="P4809" s="174" t="str">
        <f ca="1">IF(Proc[[#This Row],[DaysAgeing]]&gt;5,"yep","on track")</f>
        <v>yep</v>
      </c>
      <c r="Q4809" s="3">
        <f ca="1">IF(Proc[[#This Row],[DateClosed]]="",ABS(NETWORKDAYS(Proc[[#This Row],[DateOpened]],TODAY()))-1,ABS(NETWORKDAYS(Proc[[#This Row],[DateOpened]],Proc[[#This Row],[DateClosed]]))-1)</f>
        <v>11</v>
      </c>
      <c r="R4809" s="174" t="s">
        <v>485</v>
      </c>
      <c r="S4809" s="150"/>
    </row>
    <row r="4810" spans="1:19" hidden="1">
      <c r="A4810" s="149" t="s">
        <v>7001</v>
      </c>
      <c r="B4810" s="150" t="str">
        <f>IFERROR(VLOOKUP(Proc[[#This Row],[App]],Table2[],3,0),"open")</f>
        <v>ok</v>
      </c>
      <c r="C4810" s="149" t="s">
        <v>369</v>
      </c>
      <c r="D4810" t="s">
        <v>7019</v>
      </c>
      <c r="E4810" t="s">
        <v>7002</v>
      </c>
      <c r="F4810" s="150" t="s">
        <v>7002</v>
      </c>
      <c r="G4810" s="149" t="s">
        <v>406</v>
      </c>
      <c r="H4810" s="150" t="str">
        <f>IF(Proc[[#This Row],[type]]="LFF (MDG-F)",MID(Proc[[#This Row],[Obj]],13,10),"")</f>
        <v>DE10E61000</v>
      </c>
      <c r="I4810" s="149"/>
      <c r="J4810" s="150" t="b">
        <f>Proc[[#This Row],[Requested]]=Proc[[#This Row],[CurrentParent]]</f>
        <v>1</v>
      </c>
      <c r="K4810" s="150" t="str">
        <f>IF(Proc[[#This Row],[Author]]="Marcela Urrego",VLOOKUP(LEFT(Proc[[#This Row],[Requested]],1),Table3[#All],2,0),VLOOKUP(Proc[[#This Row],[Author]],Table4[],2,0))</f>
        <v>MGF</v>
      </c>
      <c r="L4810" s="150" t="s">
        <v>6435</v>
      </c>
      <c r="M4810" s="173">
        <v>45988</v>
      </c>
      <c r="N4810" s="174"/>
      <c r="O4810" s="174"/>
      <c r="P4810" s="174" t="str">
        <f ca="1">IF(Proc[[#This Row],[DaysAgeing]]&gt;5,"yep","on track")</f>
        <v>yep</v>
      </c>
      <c r="Q4810" s="3">
        <f ca="1">IF(Proc[[#This Row],[DateClosed]]="",ABS(NETWORKDAYS(Proc[[#This Row],[DateOpened]],TODAY()))-1,ABS(NETWORKDAYS(Proc[[#This Row],[DateOpened]],Proc[[#This Row],[DateClosed]]))-1)</f>
        <v>11</v>
      </c>
      <c r="R4810" s="174" t="s">
        <v>485</v>
      </c>
      <c r="S4810" s="150"/>
    </row>
    <row r="4811" spans="1:19" hidden="1">
      <c r="A4811" s="149" t="s">
        <v>7001</v>
      </c>
      <c r="B4811" s="150" t="str">
        <f>IFERROR(VLOOKUP(Proc[[#This Row],[App]],Table2[],3,0),"open")</f>
        <v>ok</v>
      </c>
      <c r="C4811" s="149" t="s">
        <v>369</v>
      </c>
      <c r="D4811" t="s">
        <v>7020</v>
      </c>
      <c r="E4811" t="s">
        <v>7002</v>
      </c>
      <c r="F4811" s="150" t="s">
        <v>7002</v>
      </c>
      <c r="G4811" s="149" t="s">
        <v>406</v>
      </c>
      <c r="H4811" s="150" t="str">
        <f>IF(Proc[[#This Row],[type]]="LFF (MDG-F)",MID(Proc[[#This Row],[Obj]],13,10),"")</f>
        <v>DE10E61100</v>
      </c>
      <c r="I4811" s="149"/>
      <c r="J4811" s="150" t="b">
        <f>Proc[[#This Row],[Requested]]=Proc[[#This Row],[CurrentParent]]</f>
        <v>1</v>
      </c>
      <c r="K4811" s="150" t="str">
        <f>IF(Proc[[#This Row],[Author]]="Marcela Urrego",VLOOKUP(LEFT(Proc[[#This Row],[Requested]],1),Table3[#All],2,0),VLOOKUP(Proc[[#This Row],[Author]],Table4[],2,0))</f>
        <v>MGF</v>
      </c>
      <c r="L4811" s="150" t="s">
        <v>6435</v>
      </c>
      <c r="M4811" s="173">
        <v>45988</v>
      </c>
      <c r="N4811" s="174"/>
      <c r="O4811" s="174"/>
      <c r="P4811" s="174" t="str">
        <f ca="1">IF(Proc[[#This Row],[DaysAgeing]]&gt;5,"yep","on track")</f>
        <v>yep</v>
      </c>
      <c r="Q4811" s="3">
        <f ca="1">IF(Proc[[#This Row],[DateClosed]]="",ABS(NETWORKDAYS(Proc[[#This Row],[DateOpened]],TODAY()))-1,ABS(NETWORKDAYS(Proc[[#This Row],[DateOpened]],Proc[[#This Row],[DateClosed]]))-1)</f>
        <v>11</v>
      </c>
      <c r="R4811" s="174" t="s">
        <v>485</v>
      </c>
      <c r="S4811" s="150"/>
    </row>
    <row r="4812" spans="1:19" hidden="1">
      <c r="A4812" s="149" t="s">
        <v>7001</v>
      </c>
      <c r="B4812" s="150" t="str">
        <f>IFERROR(VLOOKUP(Proc[[#This Row],[App]],Table2[],3,0),"open")</f>
        <v>ok</v>
      </c>
      <c r="C4812" s="149" t="s">
        <v>369</v>
      </c>
      <c r="D4812" t="s">
        <v>7021</v>
      </c>
      <c r="E4812" t="s">
        <v>7002</v>
      </c>
      <c r="F4812" s="150" t="s">
        <v>7002</v>
      </c>
      <c r="G4812" s="149" t="s">
        <v>406</v>
      </c>
      <c r="H4812" s="150" t="str">
        <f>IF(Proc[[#This Row],[type]]="LFF (MDG-F)",MID(Proc[[#This Row],[Obj]],13,10),"")</f>
        <v>DE10E61200</v>
      </c>
      <c r="I4812" s="149"/>
      <c r="J4812" s="150" t="b">
        <f>Proc[[#This Row],[Requested]]=Proc[[#This Row],[CurrentParent]]</f>
        <v>1</v>
      </c>
      <c r="K4812" s="150" t="str">
        <f>IF(Proc[[#This Row],[Author]]="Marcela Urrego",VLOOKUP(LEFT(Proc[[#This Row],[Requested]],1),Table3[#All],2,0),VLOOKUP(Proc[[#This Row],[Author]],Table4[],2,0))</f>
        <v>MGF</v>
      </c>
      <c r="L4812" s="150" t="s">
        <v>6435</v>
      </c>
      <c r="M4812" s="173">
        <v>45988</v>
      </c>
      <c r="N4812" s="174"/>
      <c r="O4812" s="174"/>
      <c r="P4812" s="174" t="str">
        <f ca="1">IF(Proc[[#This Row],[DaysAgeing]]&gt;5,"yep","on track")</f>
        <v>yep</v>
      </c>
      <c r="Q4812" s="3">
        <f ca="1">IF(Proc[[#This Row],[DateClosed]]="",ABS(NETWORKDAYS(Proc[[#This Row],[DateOpened]],TODAY()))-1,ABS(NETWORKDAYS(Proc[[#This Row],[DateOpened]],Proc[[#This Row],[DateClosed]]))-1)</f>
        <v>11</v>
      </c>
      <c r="R4812" s="174" t="s">
        <v>485</v>
      </c>
      <c r="S4812" s="150"/>
    </row>
    <row r="4813" spans="1:19" hidden="1">
      <c r="A4813" s="149" t="s">
        <v>7001</v>
      </c>
      <c r="B4813" s="150" t="str">
        <f>IFERROR(VLOOKUP(Proc[[#This Row],[App]],Table2[],3,0),"open")</f>
        <v>ok</v>
      </c>
      <c r="C4813" s="149" t="s">
        <v>369</v>
      </c>
      <c r="D4813" t="s">
        <v>7022</v>
      </c>
      <c r="E4813" t="s">
        <v>7002</v>
      </c>
      <c r="F4813" s="150" t="s">
        <v>7002</v>
      </c>
      <c r="G4813" s="149" t="s">
        <v>406</v>
      </c>
      <c r="H4813" s="150" t="str">
        <f>IF(Proc[[#This Row],[type]]="LFF (MDG-F)",MID(Proc[[#This Row],[Obj]],13,10),"")</f>
        <v>DE10E61900</v>
      </c>
      <c r="I4813" s="149"/>
      <c r="J4813" s="150" t="b">
        <f>Proc[[#This Row],[Requested]]=Proc[[#This Row],[CurrentParent]]</f>
        <v>1</v>
      </c>
      <c r="K4813" s="150" t="str">
        <f>IF(Proc[[#This Row],[Author]]="Marcela Urrego",VLOOKUP(LEFT(Proc[[#This Row],[Requested]],1),Table3[#All],2,0),VLOOKUP(Proc[[#This Row],[Author]],Table4[],2,0))</f>
        <v>MGF</v>
      </c>
      <c r="L4813" s="150" t="s">
        <v>6435</v>
      </c>
      <c r="M4813" s="173">
        <v>45988</v>
      </c>
      <c r="N4813" s="174"/>
      <c r="O4813" s="174"/>
      <c r="P4813" s="174" t="str">
        <f ca="1">IF(Proc[[#This Row],[DaysAgeing]]&gt;5,"yep","on track")</f>
        <v>yep</v>
      </c>
      <c r="Q4813" s="3">
        <f ca="1">IF(Proc[[#This Row],[DateClosed]]="",ABS(NETWORKDAYS(Proc[[#This Row],[DateOpened]],TODAY()))-1,ABS(NETWORKDAYS(Proc[[#This Row],[DateOpened]],Proc[[#This Row],[DateClosed]]))-1)</f>
        <v>11</v>
      </c>
      <c r="R4813" s="174" t="s">
        <v>485</v>
      </c>
      <c r="S4813" s="150"/>
    </row>
    <row r="4814" spans="1:19" hidden="1">
      <c r="A4814" s="149" t="s">
        <v>7001</v>
      </c>
      <c r="B4814" s="150" t="str">
        <f>IFERROR(VLOOKUP(Proc[[#This Row],[App]],Table2[],3,0),"open")</f>
        <v>ok</v>
      </c>
      <c r="C4814" s="149" t="s">
        <v>369</v>
      </c>
      <c r="D4814" t="s">
        <v>7023</v>
      </c>
      <c r="E4814" t="s">
        <v>7002</v>
      </c>
      <c r="F4814" s="150" t="s">
        <v>7002</v>
      </c>
      <c r="G4814" s="149" t="s">
        <v>406</v>
      </c>
      <c r="H4814" s="150" t="str">
        <f>IF(Proc[[#This Row],[type]]="LFF (MDG-F)",MID(Proc[[#This Row],[Obj]],13,10),"")</f>
        <v>DE10F11900</v>
      </c>
      <c r="I4814" s="149"/>
      <c r="J4814" s="150" t="b">
        <f>Proc[[#This Row],[Requested]]=Proc[[#This Row],[CurrentParent]]</f>
        <v>1</v>
      </c>
      <c r="K4814" s="150" t="str">
        <f>IF(Proc[[#This Row],[Author]]="Marcela Urrego",VLOOKUP(LEFT(Proc[[#This Row],[Requested]],1),Table3[#All],2,0),VLOOKUP(Proc[[#This Row],[Author]],Table4[],2,0))</f>
        <v>MGF</v>
      </c>
      <c r="L4814" s="150" t="s">
        <v>6435</v>
      </c>
      <c r="M4814" s="173">
        <v>45988</v>
      </c>
      <c r="N4814" s="174"/>
      <c r="O4814" s="174"/>
      <c r="P4814" s="174" t="str">
        <f ca="1">IF(Proc[[#This Row],[DaysAgeing]]&gt;5,"yep","on track")</f>
        <v>yep</v>
      </c>
      <c r="Q4814" s="3">
        <f ca="1">IF(Proc[[#This Row],[DateClosed]]="",ABS(NETWORKDAYS(Proc[[#This Row],[DateOpened]],TODAY()))-1,ABS(NETWORKDAYS(Proc[[#This Row],[DateOpened]],Proc[[#This Row],[DateClosed]]))-1)</f>
        <v>11</v>
      </c>
      <c r="R4814" s="174" t="s">
        <v>485</v>
      </c>
      <c r="S4814" s="150"/>
    </row>
    <row r="4815" spans="1:19" hidden="1">
      <c r="A4815" s="149" t="s">
        <v>7001</v>
      </c>
      <c r="B4815" s="150" t="str">
        <f>IFERROR(VLOOKUP(Proc[[#This Row],[App]],Table2[],3,0),"open")</f>
        <v>ok</v>
      </c>
      <c r="C4815" s="149" t="s">
        <v>369</v>
      </c>
      <c r="D4815" t="s">
        <v>7024</v>
      </c>
      <c r="E4815" t="s">
        <v>7004</v>
      </c>
      <c r="F4815" s="150" t="s">
        <v>7004</v>
      </c>
      <c r="G4815" s="149" t="s">
        <v>406</v>
      </c>
      <c r="H4815" s="150" t="str">
        <f>IF(Proc[[#This Row],[type]]="LFF (MDG-F)",MID(Proc[[#This Row],[Obj]],13,10),"")</f>
        <v>DE10F16000</v>
      </c>
      <c r="I4815" s="149"/>
      <c r="J4815" s="150" t="b">
        <f>Proc[[#This Row],[Requested]]=Proc[[#This Row],[CurrentParent]]</f>
        <v>1</v>
      </c>
      <c r="K4815" s="150" t="str">
        <f>IF(Proc[[#This Row],[Author]]="Marcela Urrego",VLOOKUP(LEFT(Proc[[#This Row],[Requested]],1),Table3[#All],2,0),VLOOKUP(Proc[[#This Row],[Author]],Table4[],2,0))</f>
        <v>MGF</v>
      </c>
      <c r="L4815" s="150" t="s">
        <v>6435</v>
      </c>
      <c r="M4815" s="173">
        <v>45988</v>
      </c>
      <c r="N4815" s="174"/>
      <c r="O4815" s="174"/>
      <c r="P4815" s="174" t="str">
        <f ca="1">IF(Proc[[#This Row],[DaysAgeing]]&gt;5,"yep","on track")</f>
        <v>yep</v>
      </c>
      <c r="Q4815" s="3">
        <f ca="1">IF(Proc[[#This Row],[DateClosed]]="",ABS(NETWORKDAYS(Proc[[#This Row],[DateOpened]],TODAY()))-1,ABS(NETWORKDAYS(Proc[[#This Row],[DateOpened]],Proc[[#This Row],[DateClosed]]))-1)</f>
        <v>11</v>
      </c>
      <c r="R4815" s="174" t="s">
        <v>485</v>
      </c>
      <c r="S4815" s="150"/>
    </row>
    <row r="4816" spans="1:19" hidden="1">
      <c r="A4816" s="149" t="s">
        <v>7001</v>
      </c>
      <c r="B4816" s="150" t="str">
        <f>IFERROR(VLOOKUP(Proc[[#This Row],[App]],Table2[],3,0),"open")</f>
        <v>ok</v>
      </c>
      <c r="C4816" s="149" t="s">
        <v>369</v>
      </c>
      <c r="D4816" t="s">
        <v>7025</v>
      </c>
      <c r="E4816" t="s">
        <v>7002</v>
      </c>
      <c r="F4816" s="150" t="s">
        <v>7002</v>
      </c>
      <c r="G4816" s="149" t="s">
        <v>406</v>
      </c>
      <c r="H4816" s="150" t="str">
        <f>IF(Proc[[#This Row],[type]]="LFF (MDG-F)",MID(Proc[[#This Row],[Obj]],13,10),"")</f>
        <v>DE10F16010</v>
      </c>
      <c r="I4816" s="149"/>
      <c r="J4816" s="150" t="b">
        <f>Proc[[#This Row],[Requested]]=Proc[[#This Row],[CurrentParent]]</f>
        <v>1</v>
      </c>
      <c r="K4816" s="150" t="str">
        <f>IF(Proc[[#This Row],[Author]]="Marcela Urrego",VLOOKUP(LEFT(Proc[[#This Row],[Requested]],1),Table3[#All],2,0),VLOOKUP(Proc[[#This Row],[Author]],Table4[],2,0))</f>
        <v>MGF</v>
      </c>
      <c r="L4816" s="150" t="s">
        <v>6435</v>
      </c>
      <c r="M4816" s="173">
        <v>45988</v>
      </c>
      <c r="N4816" s="174"/>
      <c r="O4816" s="174"/>
      <c r="P4816" s="174" t="str">
        <f ca="1">IF(Proc[[#This Row],[DaysAgeing]]&gt;5,"yep","on track")</f>
        <v>yep</v>
      </c>
      <c r="Q4816" s="3">
        <f ca="1">IF(Proc[[#This Row],[DateClosed]]="",ABS(NETWORKDAYS(Proc[[#This Row],[DateOpened]],TODAY()))-1,ABS(NETWORKDAYS(Proc[[#This Row],[DateOpened]],Proc[[#This Row],[DateClosed]]))-1)</f>
        <v>11</v>
      </c>
      <c r="R4816" s="174" t="s">
        <v>485</v>
      </c>
      <c r="S4816" s="150"/>
    </row>
    <row r="4817" spans="1:19" hidden="1">
      <c r="A4817" s="149" t="s">
        <v>7001</v>
      </c>
      <c r="B4817" s="150" t="str">
        <f>IFERROR(VLOOKUP(Proc[[#This Row],[App]],Table2[],3,0),"open")</f>
        <v>ok</v>
      </c>
      <c r="C4817" s="149" t="s">
        <v>369</v>
      </c>
      <c r="D4817" t="s">
        <v>7026</v>
      </c>
      <c r="E4817" t="s">
        <v>7002</v>
      </c>
      <c r="F4817" s="150" t="s">
        <v>7002</v>
      </c>
      <c r="G4817" s="149" t="s">
        <v>406</v>
      </c>
      <c r="H4817" s="150" t="str">
        <f>IF(Proc[[#This Row],[type]]="LFF (MDG-F)",MID(Proc[[#This Row],[Obj]],13,10),"")</f>
        <v>DE10F16100</v>
      </c>
      <c r="I4817" s="149"/>
      <c r="J4817" s="150" t="b">
        <f>Proc[[#This Row],[Requested]]=Proc[[#This Row],[CurrentParent]]</f>
        <v>1</v>
      </c>
      <c r="K4817" s="150" t="str">
        <f>IF(Proc[[#This Row],[Author]]="Marcela Urrego",VLOOKUP(LEFT(Proc[[#This Row],[Requested]],1),Table3[#All],2,0),VLOOKUP(Proc[[#This Row],[Author]],Table4[],2,0))</f>
        <v>MGF</v>
      </c>
      <c r="L4817" s="150" t="s">
        <v>6435</v>
      </c>
      <c r="M4817" s="173">
        <v>45988</v>
      </c>
      <c r="N4817" s="174"/>
      <c r="O4817" s="174"/>
      <c r="P4817" s="174" t="str">
        <f ca="1">IF(Proc[[#This Row],[DaysAgeing]]&gt;5,"yep","on track")</f>
        <v>yep</v>
      </c>
      <c r="Q4817" s="3">
        <f ca="1">IF(Proc[[#This Row],[DateClosed]]="",ABS(NETWORKDAYS(Proc[[#This Row],[DateOpened]],TODAY()))-1,ABS(NETWORKDAYS(Proc[[#This Row],[DateOpened]],Proc[[#This Row],[DateClosed]]))-1)</f>
        <v>11</v>
      </c>
      <c r="R4817" s="174" t="s">
        <v>485</v>
      </c>
      <c r="S4817" s="150"/>
    </row>
    <row r="4818" spans="1:19" hidden="1">
      <c r="A4818" s="149" t="s">
        <v>7001</v>
      </c>
      <c r="B4818" s="150" t="str">
        <f>IFERROR(VLOOKUP(Proc[[#This Row],[App]],Table2[],3,0),"open")</f>
        <v>ok</v>
      </c>
      <c r="C4818" s="149" t="s">
        <v>369</v>
      </c>
      <c r="D4818" t="s">
        <v>7027</v>
      </c>
      <c r="E4818" t="s">
        <v>7002</v>
      </c>
      <c r="F4818" s="150" t="s">
        <v>7002</v>
      </c>
      <c r="G4818" s="149" t="s">
        <v>406</v>
      </c>
      <c r="H4818" s="150" t="str">
        <f>IF(Proc[[#This Row],[type]]="LFF (MDG-F)",MID(Proc[[#This Row],[Obj]],13,10),"")</f>
        <v>DE10F16200</v>
      </c>
      <c r="I4818" s="149"/>
      <c r="J4818" s="150" t="b">
        <f>Proc[[#This Row],[Requested]]=Proc[[#This Row],[CurrentParent]]</f>
        <v>1</v>
      </c>
      <c r="K4818" s="150" t="str">
        <f>IF(Proc[[#This Row],[Author]]="Marcela Urrego",VLOOKUP(LEFT(Proc[[#This Row],[Requested]],1),Table3[#All],2,0),VLOOKUP(Proc[[#This Row],[Author]],Table4[],2,0))</f>
        <v>MGF</v>
      </c>
      <c r="L4818" s="150" t="s">
        <v>6435</v>
      </c>
      <c r="M4818" s="173">
        <v>45988</v>
      </c>
      <c r="N4818" s="174"/>
      <c r="O4818" s="174"/>
      <c r="P4818" s="174" t="str">
        <f ca="1">IF(Proc[[#This Row],[DaysAgeing]]&gt;5,"yep","on track")</f>
        <v>yep</v>
      </c>
      <c r="Q4818" s="3">
        <f ca="1">IF(Proc[[#This Row],[DateClosed]]="",ABS(NETWORKDAYS(Proc[[#This Row],[DateOpened]],TODAY()))-1,ABS(NETWORKDAYS(Proc[[#This Row],[DateOpened]],Proc[[#This Row],[DateClosed]]))-1)</f>
        <v>11</v>
      </c>
      <c r="R4818" s="174" t="s">
        <v>485</v>
      </c>
      <c r="S4818" s="150"/>
    </row>
    <row r="4819" spans="1:19" hidden="1">
      <c r="A4819" s="149" t="s">
        <v>7001</v>
      </c>
      <c r="B4819" s="150" t="str">
        <f>IFERROR(VLOOKUP(Proc[[#This Row],[App]],Table2[],3,0),"open")</f>
        <v>ok</v>
      </c>
      <c r="C4819" s="149" t="s">
        <v>369</v>
      </c>
      <c r="D4819" t="s">
        <v>7028</v>
      </c>
      <c r="E4819" t="s">
        <v>7002</v>
      </c>
      <c r="F4819" s="150" t="s">
        <v>7002</v>
      </c>
      <c r="G4819" s="149" t="s">
        <v>406</v>
      </c>
      <c r="H4819" s="150" t="str">
        <f>IF(Proc[[#This Row],[type]]="LFF (MDG-F)",MID(Proc[[#This Row],[Obj]],13,10),"")</f>
        <v>DE10F16300</v>
      </c>
      <c r="I4819" s="149"/>
      <c r="J4819" s="150" t="b">
        <f>Proc[[#This Row],[Requested]]=Proc[[#This Row],[CurrentParent]]</f>
        <v>1</v>
      </c>
      <c r="K4819" s="150" t="str">
        <f>IF(Proc[[#This Row],[Author]]="Marcela Urrego",VLOOKUP(LEFT(Proc[[#This Row],[Requested]],1),Table3[#All],2,0),VLOOKUP(Proc[[#This Row],[Author]],Table4[],2,0))</f>
        <v>MGF</v>
      </c>
      <c r="L4819" s="150" t="s">
        <v>6435</v>
      </c>
      <c r="M4819" s="173">
        <v>45988</v>
      </c>
      <c r="N4819" s="174"/>
      <c r="O4819" s="174"/>
      <c r="P4819" s="174" t="str">
        <f ca="1">IF(Proc[[#This Row],[DaysAgeing]]&gt;5,"yep","on track")</f>
        <v>yep</v>
      </c>
      <c r="Q4819" s="3">
        <f ca="1">IF(Proc[[#This Row],[DateClosed]]="",ABS(NETWORKDAYS(Proc[[#This Row],[DateOpened]],TODAY()))-1,ABS(NETWORKDAYS(Proc[[#This Row],[DateOpened]],Proc[[#This Row],[DateClosed]]))-1)</f>
        <v>11</v>
      </c>
      <c r="R4819" s="174" t="s">
        <v>485</v>
      </c>
      <c r="S4819" s="150"/>
    </row>
    <row r="4820" spans="1:19" hidden="1">
      <c r="A4820" s="149" t="s">
        <v>7001</v>
      </c>
      <c r="B4820" s="150" t="str">
        <f>IFERROR(VLOOKUP(Proc[[#This Row],[App]],Table2[],3,0),"open")</f>
        <v>ok</v>
      </c>
      <c r="C4820" s="149" t="s">
        <v>369</v>
      </c>
      <c r="D4820" t="s">
        <v>7029</v>
      </c>
      <c r="E4820" t="s">
        <v>7002</v>
      </c>
      <c r="F4820" s="150" t="s">
        <v>7002</v>
      </c>
      <c r="G4820" s="149" t="s">
        <v>406</v>
      </c>
      <c r="H4820" s="150" t="str">
        <f>IF(Proc[[#This Row],[type]]="LFF (MDG-F)",MID(Proc[[#This Row],[Obj]],13,10),"")</f>
        <v>DE10F16500</v>
      </c>
      <c r="I4820" s="149"/>
      <c r="J4820" s="150" t="b">
        <f>Proc[[#This Row],[Requested]]=Proc[[#This Row],[CurrentParent]]</f>
        <v>1</v>
      </c>
      <c r="K4820" s="150" t="str">
        <f>IF(Proc[[#This Row],[Author]]="Marcela Urrego",VLOOKUP(LEFT(Proc[[#This Row],[Requested]],1),Table3[#All],2,0),VLOOKUP(Proc[[#This Row],[Author]],Table4[],2,0))</f>
        <v>MGF</v>
      </c>
      <c r="L4820" s="150" t="s">
        <v>6435</v>
      </c>
      <c r="M4820" s="173">
        <v>45988</v>
      </c>
      <c r="N4820" s="174"/>
      <c r="O4820" s="174"/>
      <c r="P4820" s="174" t="str">
        <f ca="1">IF(Proc[[#This Row],[DaysAgeing]]&gt;5,"yep","on track")</f>
        <v>yep</v>
      </c>
      <c r="Q4820" s="3">
        <f ca="1">IF(Proc[[#This Row],[DateClosed]]="",ABS(NETWORKDAYS(Proc[[#This Row],[DateOpened]],TODAY()))-1,ABS(NETWORKDAYS(Proc[[#This Row],[DateOpened]],Proc[[#This Row],[DateClosed]]))-1)</f>
        <v>11</v>
      </c>
      <c r="R4820" s="174" t="s">
        <v>485</v>
      </c>
      <c r="S4820" s="150"/>
    </row>
    <row r="4821" spans="1:19" hidden="1">
      <c r="A4821" s="149" t="s">
        <v>7001</v>
      </c>
      <c r="B4821" s="150" t="str">
        <f>IFERROR(VLOOKUP(Proc[[#This Row],[App]],Table2[],3,0),"open")</f>
        <v>ok</v>
      </c>
      <c r="C4821" s="149" t="s">
        <v>369</v>
      </c>
      <c r="D4821" t="s">
        <v>7030</v>
      </c>
      <c r="E4821" t="s">
        <v>7002</v>
      </c>
      <c r="F4821" s="150" t="s">
        <v>7002</v>
      </c>
      <c r="G4821" s="149" t="s">
        <v>406</v>
      </c>
      <c r="H4821" s="150" t="str">
        <f>IF(Proc[[#This Row],[type]]="LFF (MDG-F)",MID(Proc[[#This Row],[Obj]],13,10),"")</f>
        <v>DE10F16600</v>
      </c>
      <c r="I4821" s="149"/>
      <c r="J4821" s="150" t="b">
        <f>Proc[[#This Row],[Requested]]=Proc[[#This Row],[CurrentParent]]</f>
        <v>1</v>
      </c>
      <c r="K4821" s="150" t="str">
        <f>IF(Proc[[#This Row],[Author]]="Marcela Urrego",VLOOKUP(LEFT(Proc[[#This Row],[Requested]],1),Table3[#All],2,0),VLOOKUP(Proc[[#This Row],[Author]],Table4[],2,0))</f>
        <v>MGF</v>
      </c>
      <c r="L4821" s="150" t="s">
        <v>6435</v>
      </c>
      <c r="M4821" s="173">
        <v>45988</v>
      </c>
      <c r="N4821" s="174"/>
      <c r="O4821" s="174"/>
      <c r="P4821" s="174" t="str">
        <f ca="1">IF(Proc[[#This Row],[DaysAgeing]]&gt;5,"yep","on track")</f>
        <v>yep</v>
      </c>
      <c r="Q4821" s="3">
        <f ca="1">IF(Proc[[#This Row],[DateClosed]]="",ABS(NETWORKDAYS(Proc[[#This Row],[DateOpened]],TODAY()))-1,ABS(NETWORKDAYS(Proc[[#This Row],[DateOpened]],Proc[[#This Row],[DateClosed]]))-1)</f>
        <v>11</v>
      </c>
      <c r="R4821" s="174" t="s">
        <v>485</v>
      </c>
      <c r="S4821" s="150"/>
    </row>
    <row r="4822" spans="1:19" hidden="1">
      <c r="A4822" s="149" t="s">
        <v>7001</v>
      </c>
      <c r="B4822" s="150" t="str">
        <f>IFERROR(VLOOKUP(Proc[[#This Row],[App]],Table2[],3,0),"open")</f>
        <v>ok</v>
      </c>
      <c r="C4822" s="149" t="s">
        <v>369</v>
      </c>
      <c r="D4822" t="s">
        <v>7031</v>
      </c>
      <c r="E4822" t="s">
        <v>7002</v>
      </c>
      <c r="F4822" s="150" t="s">
        <v>7002</v>
      </c>
      <c r="G4822" s="149" t="s">
        <v>406</v>
      </c>
      <c r="H4822" s="150" t="str">
        <f>IF(Proc[[#This Row],[type]]="LFF (MDG-F)",MID(Proc[[#This Row],[Obj]],13,10),"")</f>
        <v>DE10F16700</v>
      </c>
      <c r="I4822" s="149"/>
      <c r="J4822" s="150" t="b">
        <f>Proc[[#This Row],[Requested]]=Proc[[#This Row],[CurrentParent]]</f>
        <v>1</v>
      </c>
      <c r="K4822" s="150" t="str">
        <f>IF(Proc[[#This Row],[Author]]="Marcela Urrego",VLOOKUP(LEFT(Proc[[#This Row],[Requested]],1),Table3[#All],2,0),VLOOKUP(Proc[[#This Row],[Author]],Table4[],2,0))</f>
        <v>MGF</v>
      </c>
      <c r="L4822" s="150" t="s">
        <v>6435</v>
      </c>
      <c r="M4822" s="173">
        <v>45988</v>
      </c>
      <c r="N4822" s="174"/>
      <c r="O4822" s="174"/>
      <c r="P4822" s="174" t="str">
        <f ca="1">IF(Proc[[#This Row],[DaysAgeing]]&gt;5,"yep","on track")</f>
        <v>yep</v>
      </c>
      <c r="Q4822" s="3">
        <f ca="1">IF(Proc[[#This Row],[DateClosed]]="",ABS(NETWORKDAYS(Proc[[#This Row],[DateOpened]],TODAY()))-1,ABS(NETWORKDAYS(Proc[[#This Row],[DateOpened]],Proc[[#This Row],[DateClosed]]))-1)</f>
        <v>11</v>
      </c>
      <c r="R4822" s="174" t="s">
        <v>485</v>
      </c>
      <c r="S4822" s="150"/>
    </row>
    <row r="4823" spans="1:19" hidden="1">
      <c r="A4823" s="149" t="s">
        <v>7001</v>
      </c>
      <c r="B4823" s="150" t="str">
        <f>IFERROR(VLOOKUP(Proc[[#This Row],[App]],Table2[],3,0),"open")</f>
        <v>ok</v>
      </c>
      <c r="C4823" s="149" t="s">
        <v>369</v>
      </c>
      <c r="D4823" t="s">
        <v>7032</v>
      </c>
      <c r="E4823" t="s">
        <v>7004</v>
      </c>
      <c r="F4823" s="150" t="s">
        <v>7004</v>
      </c>
      <c r="G4823" s="149" t="s">
        <v>406</v>
      </c>
      <c r="H4823" s="150" t="str">
        <f>IF(Proc[[#This Row],[type]]="LFF (MDG-F)",MID(Proc[[#This Row],[Obj]],13,10),"")</f>
        <v>DE10F27301</v>
      </c>
      <c r="I4823" s="149"/>
      <c r="J4823" s="150" t="b">
        <f>Proc[[#This Row],[Requested]]=Proc[[#This Row],[CurrentParent]]</f>
        <v>1</v>
      </c>
      <c r="K4823" s="150" t="str">
        <f>IF(Proc[[#This Row],[Author]]="Marcela Urrego",VLOOKUP(LEFT(Proc[[#This Row],[Requested]],1),Table3[#All],2,0),VLOOKUP(Proc[[#This Row],[Author]],Table4[],2,0))</f>
        <v>MGF</v>
      </c>
      <c r="L4823" s="150" t="s">
        <v>6435</v>
      </c>
      <c r="M4823" s="173">
        <v>45988</v>
      </c>
      <c r="N4823" s="174"/>
      <c r="O4823" s="174"/>
      <c r="P4823" s="174" t="str">
        <f ca="1">IF(Proc[[#This Row],[DaysAgeing]]&gt;5,"yep","on track")</f>
        <v>yep</v>
      </c>
      <c r="Q4823" s="3">
        <f ca="1">IF(Proc[[#This Row],[DateClosed]]="",ABS(NETWORKDAYS(Proc[[#This Row],[DateOpened]],TODAY()))-1,ABS(NETWORKDAYS(Proc[[#This Row],[DateOpened]],Proc[[#This Row],[DateClosed]]))-1)</f>
        <v>11</v>
      </c>
      <c r="R4823" s="174" t="s">
        <v>485</v>
      </c>
      <c r="S4823" s="150"/>
    </row>
    <row r="4824" spans="1:19" hidden="1">
      <c r="A4824" s="149" t="s">
        <v>7001</v>
      </c>
      <c r="B4824" s="150" t="str">
        <f>IFERROR(VLOOKUP(Proc[[#This Row],[App]],Table2[],3,0),"open")</f>
        <v>ok</v>
      </c>
      <c r="C4824" s="149" t="s">
        <v>369</v>
      </c>
      <c r="D4824" t="s">
        <v>7033</v>
      </c>
      <c r="E4824" t="s">
        <v>7004</v>
      </c>
      <c r="F4824" s="150" t="s">
        <v>7004</v>
      </c>
      <c r="G4824" s="149" t="s">
        <v>406</v>
      </c>
      <c r="H4824" s="150" t="str">
        <f>IF(Proc[[#This Row],[type]]="LFF (MDG-F)",MID(Proc[[#This Row],[Obj]],13,10),"")</f>
        <v>DE10E09200</v>
      </c>
      <c r="I4824" s="149"/>
      <c r="J4824" s="150" t="b">
        <f>Proc[[#This Row],[Requested]]=Proc[[#This Row],[CurrentParent]]</f>
        <v>1</v>
      </c>
      <c r="K4824" s="150" t="str">
        <f>IF(Proc[[#This Row],[Author]]="Marcela Urrego",VLOOKUP(LEFT(Proc[[#This Row],[Requested]],1),Table3[#All],2,0),VLOOKUP(Proc[[#This Row],[Author]],Table4[],2,0))</f>
        <v>MGF</v>
      </c>
      <c r="L4824" s="150" t="s">
        <v>6435</v>
      </c>
      <c r="M4824" s="173">
        <v>45988</v>
      </c>
      <c r="N4824" s="174"/>
      <c r="O4824" s="174"/>
      <c r="P4824" s="174" t="str">
        <f ca="1">IF(Proc[[#This Row],[DaysAgeing]]&gt;5,"yep","on track")</f>
        <v>yep</v>
      </c>
      <c r="Q4824" s="3">
        <f ca="1">IF(Proc[[#This Row],[DateClosed]]="",ABS(NETWORKDAYS(Proc[[#This Row],[DateOpened]],TODAY()))-1,ABS(NETWORKDAYS(Proc[[#This Row],[DateOpened]],Proc[[#This Row],[DateClosed]]))-1)</f>
        <v>11</v>
      </c>
      <c r="R4824" s="174" t="s">
        <v>485</v>
      </c>
      <c r="S4824" s="150"/>
    </row>
    <row r="4825" spans="1:19" hidden="1">
      <c r="A4825" s="149" t="s">
        <v>7001</v>
      </c>
      <c r="B4825" s="150" t="str">
        <f>IFERROR(VLOOKUP(Proc[[#This Row],[App]],Table2[],3,0),"open")</f>
        <v>ok</v>
      </c>
      <c r="C4825" s="149" t="s">
        <v>369</v>
      </c>
      <c r="D4825" t="s">
        <v>7034</v>
      </c>
      <c r="E4825" t="s">
        <v>7002</v>
      </c>
      <c r="F4825" s="150" t="s">
        <v>7002</v>
      </c>
      <c r="G4825" s="149" t="s">
        <v>406</v>
      </c>
      <c r="H4825" s="150" t="str">
        <f>IF(Proc[[#This Row],[type]]="LFF (MDG-F)",MID(Proc[[#This Row],[Obj]],13,10),"")</f>
        <v>DE10E47200</v>
      </c>
      <c r="I4825" s="149"/>
      <c r="J4825" s="150" t="b">
        <f>Proc[[#This Row],[Requested]]=Proc[[#This Row],[CurrentParent]]</f>
        <v>1</v>
      </c>
      <c r="K4825" s="150" t="str">
        <f>IF(Proc[[#This Row],[Author]]="Marcela Urrego",VLOOKUP(LEFT(Proc[[#This Row],[Requested]],1),Table3[#All],2,0),VLOOKUP(Proc[[#This Row],[Author]],Table4[],2,0))</f>
        <v>MGF</v>
      </c>
      <c r="L4825" s="150" t="s">
        <v>6435</v>
      </c>
      <c r="M4825" s="173">
        <v>45988</v>
      </c>
      <c r="N4825" s="174"/>
      <c r="O4825" s="174"/>
      <c r="P4825" s="174" t="str">
        <f ca="1">IF(Proc[[#This Row],[DaysAgeing]]&gt;5,"yep","on track")</f>
        <v>yep</v>
      </c>
      <c r="Q4825" s="3">
        <f ca="1">IF(Proc[[#This Row],[DateClosed]]="",ABS(NETWORKDAYS(Proc[[#This Row],[DateOpened]],TODAY()))-1,ABS(NETWORKDAYS(Proc[[#This Row],[DateOpened]],Proc[[#This Row],[DateClosed]]))-1)</f>
        <v>11</v>
      </c>
      <c r="R4825" s="174" t="s">
        <v>485</v>
      </c>
      <c r="S4825" s="150"/>
    </row>
    <row r="4826" spans="1:19" hidden="1">
      <c r="A4826" s="149" t="s">
        <v>7001</v>
      </c>
      <c r="B4826" s="150" t="str">
        <f>IFERROR(VLOOKUP(Proc[[#This Row],[App]],Table2[],3,0),"open")</f>
        <v>ok</v>
      </c>
      <c r="C4826" s="149" t="s">
        <v>369</v>
      </c>
      <c r="D4826" t="s">
        <v>7035</v>
      </c>
      <c r="E4826" t="s">
        <v>7002</v>
      </c>
      <c r="F4826" s="150" t="s">
        <v>7002</v>
      </c>
      <c r="G4826" s="149" t="s">
        <v>406</v>
      </c>
      <c r="H4826" s="150" t="str">
        <f>IF(Proc[[#This Row],[type]]="LFF (MDG-F)",MID(Proc[[#This Row],[Obj]],13,10),"")</f>
        <v>DE10F10600</v>
      </c>
      <c r="I4826" s="149"/>
      <c r="J4826" s="150" t="b">
        <f>Proc[[#This Row],[Requested]]=Proc[[#This Row],[CurrentParent]]</f>
        <v>1</v>
      </c>
      <c r="K4826" s="150" t="str">
        <f>IF(Proc[[#This Row],[Author]]="Marcela Urrego",VLOOKUP(LEFT(Proc[[#This Row],[Requested]],1),Table3[#All],2,0),VLOOKUP(Proc[[#This Row],[Author]],Table4[],2,0))</f>
        <v>MGF</v>
      </c>
      <c r="L4826" s="150" t="s">
        <v>6435</v>
      </c>
      <c r="M4826" s="173">
        <v>45988</v>
      </c>
      <c r="N4826" s="174"/>
      <c r="O4826" s="174"/>
      <c r="P4826" s="174" t="str">
        <f ca="1">IF(Proc[[#This Row],[DaysAgeing]]&gt;5,"yep","on track")</f>
        <v>yep</v>
      </c>
      <c r="Q4826" s="3">
        <f ca="1">IF(Proc[[#This Row],[DateClosed]]="",ABS(NETWORKDAYS(Proc[[#This Row],[DateOpened]],TODAY()))-1,ABS(NETWORKDAYS(Proc[[#This Row],[DateOpened]],Proc[[#This Row],[DateClosed]]))-1)</f>
        <v>11</v>
      </c>
      <c r="R4826" s="174" t="s">
        <v>485</v>
      </c>
      <c r="S4826" s="150"/>
    </row>
    <row r="4827" spans="1:19" hidden="1">
      <c r="A4827" s="149" t="s">
        <v>7001</v>
      </c>
      <c r="B4827" s="150" t="str">
        <f>IFERROR(VLOOKUP(Proc[[#This Row],[App]],Table2[],3,0),"open")</f>
        <v>ok</v>
      </c>
      <c r="C4827" s="149" t="s">
        <v>369</v>
      </c>
      <c r="D4827" t="s">
        <v>7036</v>
      </c>
      <c r="E4827" t="s">
        <v>7002</v>
      </c>
      <c r="F4827" s="150" t="s">
        <v>7002</v>
      </c>
      <c r="G4827" s="149" t="s">
        <v>406</v>
      </c>
      <c r="H4827" s="150" t="str">
        <f>IF(Proc[[#This Row],[type]]="LFF (MDG-F)",MID(Proc[[#This Row],[Obj]],13,10),"")</f>
        <v>DE10F10900</v>
      </c>
      <c r="I4827" s="149"/>
      <c r="J4827" s="150" t="b">
        <f>Proc[[#This Row],[Requested]]=Proc[[#This Row],[CurrentParent]]</f>
        <v>1</v>
      </c>
      <c r="K4827" s="150" t="str">
        <f>IF(Proc[[#This Row],[Author]]="Marcela Urrego",VLOOKUP(LEFT(Proc[[#This Row],[Requested]],1),Table3[#All],2,0),VLOOKUP(Proc[[#This Row],[Author]],Table4[],2,0))</f>
        <v>MGF</v>
      </c>
      <c r="L4827" s="150" t="s">
        <v>6435</v>
      </c>
      <c r="M4827" s="173">
        <v>45988</v>
      </c>
      <c r="N4827" s="174"/>
      <c r="O4827" s="174"/>
      <c r="P4827" s="174" t="str">
        <f ca="1">IF(Proc[[#This Row],[DaysAgeing]]&gt;5,"yep","on track")</f>
        <v>yep</v>
      </c>
      <c r="Q4827" s="3">
        <f ca="1">IF(Proc[[#This Row],[DateClosed]]="",ABS(NETWORKDAYS(Proc[[#This Row],[DateOpened]],TODAY()))-1,ABS(NETWORKDAYS(Proc[[#This Row],[DateOpened]],Proc[[#This Row],[DateClosed]]))-1)</f>
        <v>11</v>
      </c>
      <c r="R4827" s="174" t="s">
        <v>485</v>
      </c>
      <c r="S4827" s="150"/>
    </row>
    <row r="4828" spans="1:19" hidden="1">
      <c r="A4828" s="149" t="s">
        <v>7001</v>
      </c>
      <c r="B4828" s="150" t="str">
        <f>IFERROR(VLOOKUP(Proc[[#This Row],[App]],Table2[],3,0),"open")</f>
        <v>ok</v>
      </c>
      <c r="C4828" s="149" t="s">
        <v>369</v>
      </c>
      <c r="D4828" t="s">
        <v>7037</v>
      </c>
      <c r="E4828" t="s">
        <v>7004</v>
      </c>
      <c r="F4828" s="150" t="s">
        <v>7004</v>
      </c>
      <c r="G4828" s="149" t="s">
        <v>406</v>
      </c>
      <c r="H4828" s="150" t="str">
        <f>IF(Proc[[#This Row],[type]]="LFF (MDG-F)",MID(Proc[[#This Row],[Obj]],13,10),"")</f>
        <v>DE10F15400</v>
      </c>
      <c r="I4828" s="149"/>
      <c r="J4828" s="150" t="b">
        <f>Proc[[#This Row],[Requested]]=Proc[[#This Row],[CurrentParent]]</f>
        <v>1</v>
      </c>
      <c r="K4828" s="150" t="str">
        <f>IF(Proc[[#This Row],[Author]]="Marcela Urrego",VLOOKUP(LEFT(Proc[[#This Row],[Requested]],1),Table3[#All],2,0),VLOOKUP(Proc[[#This Row],[Author]],Table4[],2,0))</f>
        <v>MGF</v>
      </c>
      <c r="L4828" s="150" t="s">
        <v>6435</v>
      </c>
      <c r="M4828" s="173">
        <v>45988</v>
      </c>
      <c r="N4828" s="174"/>
      <c r="O4828" s="174"/>
      <c r="P4828" s="174" t="str">
        <f ca="1">IF(Proc[[#This Row],[DaysAgeing]]&gt;5,"yep","on track")</f>
        <v>yep</v>
      </c>
      <c r="Q4828" s="3">
        <f ca="1">IF(Proc[[#This Row],[DateClosed]]="",ABS(NETWORKDAYS(Proc[[#This Row],[DateOpened]],TODAY()))-1,ABS(NETWORKDAYS(Proc[[#This Row],[DateOpened]],Proc[[#This Row],[DateClosed]]))-1)</f>
        <v>11</v>
      </c>
      <c r="R4828" s="174" t="s">
        <v>485</v>
      </c>
      <c r="S4828" s="150"/>
    </row>
    <row r="4829" spans="1:19" hidden="1">
      <c r="A4829" s="149" t="s">
        <v>7001</v>
      </c>
      <c r="B4829" s="150" t="str">
        <f>IFERROR(VLOOKUP(Proc[[#This Row],[App]],Table2[],3,0),"open")</f>
        <v>ok</v>
      </c>
      <c r="C4829" s="149" t="s">
        <v>369</v>
      </c>
      <c r="D4829" t="s">
        <v>7038</v>
      </c>
      <c r="E4829" t="s">
        <v>7002</v>
      </c>
      <c r="F4829" s="150" t="s">
        <v>7002</v>
      </c>
      <c r="G4829" s="149" t="s">
        <v>406</v>
      </c>
      <c r="H4829" s="150" t="str">
        <f>IF(Proc[[#This Row],[type]]="LFF (MDG-F)",MID(Proc[[#This Row],[Obj]],13,10),"")</f>
        <v>DE10F15410</v>
      </c>
      <c r="I4829" s="149"/>
      <c r="J4829" s="150" t="b">
        <f>Proc[[#This Row],[Requested]]=Proc[[#This Row],[CurrentParent]]</f>
        <v>1</v>
      </c>
      <c r="K4829" s="150" t="str">
        <f>IF(Proc[[#This Row],[Author]]="Marcela Urrego",VLOOKUP(LEFT(Proc[[#This Row],[Requested]],1),Table3[#All],2,0),VLOOKUP(Proc[[#This Row],[Author]],Table4[],2,0))</f>
        <v>MGF</v>
      </c>
      <c r="L4829" s="150" t="s">
        <v>6435</v>
      </c>
      <c r="M4829" s="173">
        <v>45988</v>
      </c>
      <c r="N4829" s="174"/>
      <c r="O4829" s="174"/>
      <c r="P4829" s="174" t="str">
        <f ca="1">IF(Proc[[#This Row],[DaysAgeing]]&gt;5,"yep","on track")</f>
        <v>yep</v>
      </c>
      <c r="Q4829" s="3">
        <f ca="1">IF(Proc[[#This Row],[DateClosed]]="",ABS(NETWORKDAYS(Proc[[#This Row],[DateOpened]],TODAY()))-1,ABS(NETWORKDAYS(Proc[[#This Row],[DateOpened]],Proc[[#This Row],[DateClosed]]))-1)</f>
        <v>11</v>
      </c>
      <c r="R4829" s="174" t="s">
        <v>485</v>
      </c>
      <c r="S4829" s="150"/>
    </row>
    <row r="4830" spans="1:19" hidden="1">
      <c r="A4830" t="s">
        <v>7039</v>
      </c>
      <c r="B4830" s="150" t="str">
        <f>IFERROR(VLOOKUP(Proc[[#This Row],[App]],Table2[],3,0),"open")</f>
        <v>ok</v>
      </c>
      <c r="C4830" s="149" t="s">
        <v>369</v>
      </c>
      <c r="D4830" t="s">
        <v>7040</v>
      </c>
      <c r="E4830" t="s">
        <v>7228</v>
      </c>
      <c r="F4830" s="150" t="s">
        <v>7228</v>
      </c>
      <c r="G4830" s="149" t="s">
        <v>406</v>
      </c>
      <c r="H4830" s="150" t="str">
        <f>IF(Proc[[#This Row],[type]]="LFF (MDG-F)",MID(Proc[[#This Row],[Obj]],13,10),"")</f>
        <v>SG09OF0504</v>
      </c>
      <c r="I4830" t="s">
        <v>7228</v>
      </c>
      <c r="J4830" s="150" t="b">
        <f>Proc[[#This Row],[Requested]]=Proc[[#This Row],[CurrentParent]]</f>
        <v>1</v>
      </c>
      <c r="K4830" s="150" t="str">
        <f>IF(Proc[[#This Row],[Author]]="Marcela Urrego",VLOOKUP(LEFT(Proc[[#This Row],[Requested]],1),Table3[#All],2,0),VLOOKUP(Proc[[#This Row],[Author]],Table4[],2,0))</f>
        <v>EL</v>
      </c>
      <c r="L4830" s="150" t="s">
        <v>6435</v>
      </c>
      <c r="M4830" s="173">
        <v>45989</v>
      </c>
      <c r="N4830" s="174"/>
      <c r="O4830" s="174"/>
      <c r="P4830" s="174" t="str">
        <f ca="1">IF(Proc[[#This Row],[DaysAgeing]]&gt;5,"yep","on track")</f>
        <v>yep</v>
      </c>
      <c r="Q4830" s="3">
        <f ca="1">IF(Proc[[#This Row],[DateClosed]]="",ABS(NETWORKDAYS(Proc[[#This Row],[DateOpened]],TODAY()))-1,ABS(NETWORKDAYS(Proc[[#This Row],[DateOpened]],Proc[[#This Row],[DateClosed]]))-1)</f>
        <v>10</v>
      </c>
      <c r="R4830" s="174" t="s">
        <v>5709</v>
      </c>
      <c r="S4830" s="150"/>
    </row>
    <row r="4831" spans="1:19" hidden="1">
      <c r="A4831" t="s">
        <v>7039</v>
      </c>
      <c r="B4831" s="150" t="str">
        <f>IFERROR(VLOOKUP(Proc[[#This Row],[App]],Table2[],3,0),"open")</f>
        <v>ok</v>
      </c>
      <c r="C4831" s="149" t="s">
        <v>369</v>
      </c>
      <c r="D4831" t="s">
        <v>7041</v>
      </c>
      <c r="E4831" s="149" t="s">
        <v>7228</v>
      </c>
      <c r="F4831" s="150" t="s">
        <v>7228</v>
      </c>
      <c r="G4831" s="149" t="s">
        <v>406</v>
      </c>
      <c r="H4831" s="150" t="str">
        <f>IF(Proc[[#This Row],[type]]="LFF (MDG-F)",MID(Proc[[#This Row],[Obj]],13,10),"")</f>
        <v>TW02OF0321</v>
      </c>
      <c r="I4831" s="149" t="s">
        <v>7228</v>
      </c>
      <c r="J4831" s="150" t="b">
        <f>Proc[[#This Row],[Requested]]=Proc[[#This Row],[CurrentParent]]</f>
        <v>1</v>
      </c>
      <c r="K4831" s="150" t="str">
        <f>IF(Proc[[#This Row],[Author]]="Marcela Urrego",VLOOKUP(LEFT(Proc[[#This Row],[Requested]],1),Table3[#All],2,0),VLOOKUP(Proc[[#This Row],[Author]],Table4[],2,0))</f>
        <v>EL</v>
      </c>
      <c r="L4831" s="150" t="s">
        <v>6435</v>
      </c>
      <c r="M4831" s="173">
        <v>45989</v>
      </c>
      <c r="N4831" s="174"/>
      <c r="O4831" s="174"/>
      <c r="P4831" s="174" t="str">
        <f ca="1">IF(Proc[[#This Row],[DaysAgeing]]&gt;5,"yep","on track")</f>
        <v>yep</v>
      </c>
      <c r="Q4831" s="3">
        <f ca="1">IF(Proc[[#This Row],[DateClosed]]="",ABS(NETWORKDAYS(Proc[[#This Row],[DateOpened]],TODAY()))-1,ABS(NETWORKDAYS(Proc[[#This Row],[DateOpened]],Proc[[#This Row],[DateClosed]]))-1)</f>
        <v>10</v>
      </c>
      <c r="R4831" s="174" t="s">
        <v>5709</v>
      </c>
      <c r="S4831" s="150"/>
    </row>
    <row r="4832" spans="1:19" hidden="1">
      <c r="A4832" s="149" t="s">
        <v>7039</v>
      </c>
      <c r="B4832" s="150" t="str">
        <f>IFERROR(VLOOKUP(Proc[[#This Row],[App]],Table2[],3,0),"open")</f>
        <v>ok</v>
      </c>
      <c r="C4832" s="149" t="s">
        <v>369</v>
      </c>
      <c r="D4832" t="s">
        <v>7042</v>
      </c>
      <c r="E4832" s="149" t="s">
        <v>7228</v>
      </c>
      <c r="F4832" s="150" t="s">
        <v>7228</v>
      </c>
      <c r="G4832" s="149" t="s">
        <v>406</v>
      </c>
      <c r="H4832" s="150" t="str">
        <f>IF(Proc[[#This Row],[type]]="LFF (MDG-F)",MID(Proc[[#This Row],[Obj]],13,10),"")</f>
        <v>TW02OF0322</v>
      </c>
      <c r="I4832" s="149" t="s">
        <v>7228</v>
      </c>
      <c r="J4832" s="150" t="b">
        <f>Proc[[#This Row],[Requested]]=Proc[[#This Row],[CurrentParent]]</f>
        <v>1</v>
      </c>
      <c r="K4832" s="150" t="str">
        <f>IF(Proc[[#This Row],[Author]]="Marcela Urrego",VLOOKUP(LEFT(Proc[[#This Row],[Requested]],1),Table3[#All],2,0),VLOOKUP(Proc[[#This Row],[Author]],Table4[],2,0))</f>
        <v>EL</v>
      </c>
      <c r="L4832" s="150" t="s">
        <v>6435</v>
      </c>
      <c r="M4832" s="173">
        <v>45989</v>
      </c>
      <c r="N4832" s="174"/>
      <c r="O4832" s="174"/>
      <c r="P4832" s="174" t="str">
        <f ca="1">IF(Proc[[#This Row],[DaysAgeing]]&gt;5,"yep","on track")</f>
        <v>yep</v>
      </c>
      <c r="Q4832" s="3">
        <f ca="1">IF(Proc[[#This Row],[DateClosed]]="",ABS(NETWORKDAYS(Proc[[#This Row],[DateOpened]],TODAY()))-1,ABS(NETWORKDAYS(Proc[[#This Row],[DateOpened]],Proc[[#This Row],[DateClosed]]))-1)</f>
        <v>10</v>
      </c>
      <c r="R4832" s="174" t="s">
        <v>5709</v>
      </c>
      <c r="S4832" s="150"/>
    </row>
    <row r="4833" spans="1:19" hidden="1">
      <c r="A4833" s="149" t="s">
        <v>7039</v>
      </c>
      <c r="B4833" s="150" t="str">
        <f>IFERROR(VLOOKUP(Proc[[#This Row],[App]],Table2[],3,0),"open")</f>
        <v>ok</v>
      </c>
      <c r="C4833" s="149" t="s">
        <v>369</v>
      </c>
      <c r="D4833" t="s">
        <v>7043</v>
      </c>
      <c r="E4833" s="149" t="s">
        <v>7228</v>
      </c>
      <c r="F4833" s="150" t="s">
        <v>7228</v>
      </c>
      <c r="G4833" s="149" t="s">
        <v>406</v>
      </c>
      <c r="H4833" s="150" t="str">
        <f>IF(Proc[[#This Row],[type]]="LFF (MDG-F)",MID(Proc[[#This Row],[Obj]],13,10),"")</f>
        <v>SG10DB3305</v>
      </c>
      <c r="I4833" s="149" t="s">
        <v>7228</v>
      </c>
      <c r="J4833" s="150" t="b">
        <f>Proc[[#This Row],[Requested]]=Proc[[#This Row],[CurrentParent]]</f>
        <v>1</v>
      </c>
      <c r="K4833" s="150" t="str">
        <f>IF(Proc[[#This Row],[Author]]="Marcela Urrego",VLOOKUP(LEFT(Proc[[#This Row],[Requested]],1),Table3[#All],2,0),VLOOKUP(Proc[[#This Row],[Author]],Table4[],2,0))</f>
        <v>EL</v>
      </c>
      <c r="L4833" s="150" t="s">
        <v>6435</v>
      </c>
      <c r="M4833" s="173">
        <v>45989</v>
      </c>
      <c r="N4833" s="174"/>
      <c r="O4833" s="174"/>
      <c r="P4833" s="174" t="str">
        <f ca="1">IF(Proc[[#This Row],[DaysAgeing]]&gt;5,"yep","on track")</f>
        <v>yep</v>
      </c>
      <c r="Q4833" s="3">
        <f ca="1">IF(Proc[[#This Row],[DateClosed]]="",ABS(NETWORKDAYS(Proc[[#This Row],[DateOpened]],TODAY()))-1,ABS(NETWORKDAYS(Proc[[#This Row],[DateOpened]],Proc[[#This Row],[DateClosed]]))-1)</f>
        <v>10</v>
      </c>
      <c r="R4833" s="174" t="s">
        <v>5709</v>
      </c>
      <c r="S4833" s="150"/>
    </row>
    <row r="4834" spans="1:19" hidden="1">
      <c r="A4834" s="149" t="s">
        <v>7039</v>
      </c>
      <c r="B4834" s="150" t="str">
        <f>IFERROR(VLOOKUP(Proc[[#This Row],[App]],Table2[],3,0),"open")</f>
        <v>ok</v>
      </c>
      <c r="C4834" s="149" t="s">
        <v>369</v>
      </c>
      <c r="D4834" t="s">
        <v>7044</v>
      </c>
      <c r="E4834" s="149" t="s">
        <v>7228</v>
      </c>
      <c r="F4834" s="150" t="s">
        <v>7228</v>
      </c>
      <c r="G4834" s="149" t="s">
        <v>406</v>
      </c>
      <c r="H4834" s="150" t="str">
        <f>IF(Proc[[#This Row],[type]]="LFF (MDG-F)",MID(Proc[[#This Row],[Obj]],13,10),"")</f>
        <v>TW10DB3308</v>
      </c>
      <c r="I4834" s="149" t="s">
        <v>7228</v>
      </c>
      <c r="J4834" s="150" t="b">
        <f>Proc[[#This Row],[Requested]]=Proc[[#This Row],[CurrentParent]]</f>
        <v>1</v>
      </c>
      <c r="K4834" s="150" t="str">
        <f>IF(Proc[[#This Row],[Author]]="Marcela Urrego",VLOOKUP(LEFT(Proc[[#This Row],[Requested]],1),Table3[#All],2,0),VLOOKUP(Proc[[#This Row],[Author]],Table4[],2,0))</f>
        <v>EL</v>
      </c>
      <c r="L4834" s="150" t="s">
        <v>6435</v>
      </c>
      <c r="M4834" s="173">
        <v>45989</v>
      </c>
      <c r="N4834" s="174"/>
      <c r="O4834" s="174"/>
      <c r="P4834" s="174" t="str">
        <f ca="1">IF(Proc[[#This Row],[DaysAgeing]]&gt;5,"yep","on track")</f>
        <v>yep</v>
      </c>
      <c r="Q4834" s="3">
        <f ca="1">IF(Proc[[#This Row],[DateClosed]]="",ABS(NETWORKDAYS(Proc[[#This Row],[DateOpened]],TODAY()))-1,ABS(NETWORKDAYS(Proc[[#This Row],[DateOpened]],Proc[[#This Row],[DateClosed]]))-1)</f>
        <v>10</v>
      </c>
      <c r="R4834" s="174" t="s">
        <v>5709</v>
      </c>
      <c r="S4834" s="150"/>
    </row>
    <row r="4835" spans="1:19" hidden="1">
      <c r="A4835" s="149" t="s">
        <v>7039</v>
      </c>
      <c r="B4835" s="150" t="str">
        <f>IFERROR(VLOOKUP(Proc[[#This Row],[App]],Table2[],3,0),"open")</f>
        <v>ok</v>
      </c>
      <c r="C4835" s="149" t="s">
        <v>369</v>
      </c>
      <c r="D4835" t="s">
        <v>7045</v>
      </c>
      <c r="E4835" s="149" t="s">
        <v>7229</v>
      </c>
      <c r="F4835" s="150" t="s">
        <v>7229</v>
      </c>
      <c r="G4835" s="149" t="s">
        <v>406</v>
      </c>
      <c r="H4835" s="150" t="str">
        <f>IF(Proc[[#This Row],[type]]="LFF (MDG-F)",MID(Proc[[#This Row],[Obj]],13,10),"")</f>
        <v>SG09TPX001</v>
      </c>
      <c r="I4835" s="149" t="s">
        <v>7229</v>
      </c>
      <c r="J4835" s="150" t="b">
        <f>Proc[[#This Row],[Requested]]=Proc[[#This Row],[CurrentParent]]</f>
        <v>1</v>
      </c>
      <c r="K4835" s="150" t="str">
        <f>IF(Proc[[#This Row],[Author]]="Marcela Urrego",VLOOKUP(LEFT(Proc[[#This Row],[Requested]],1),Table3[#All],2,0),VLOOKUP(Proc[[#This Row],[Author]],Table4[],2,0))</f>
        <v>EL</v>
      </c>
      <c r="L4835" s="150" t="s">
        <v>6435</v>
      </c>
      <c r="M4835" s="173">
        <v>45989</v>
      </c>
      <c r="N4835" s="174"/>
      <c r="O4835" s="174"/>
      <c r="P4835" s="174" t="str">
        <f ca="1">IF(Proc[[#This Row],[DaysAgeing]]&gt;5,"yep","on track")</f>
        <v>yep</v>
      </c>
      <c r="Q4835" s="3">
        <f ca="1">IF(Proc[[#This Row],[DateClosed]]="",ABS(NETWORKDAYS(Proc[[#This Row],[DateOpened]],TODAY()))-1,ABS(NETWORKDAYS(Proc[[#This Row],[DateOpened]],Proc[[#This Row],[DateClosed]]))-1)</f>
        <v>10</v>
      </c>
      <c r="R4835" s="174" t="s">
        <v>5709</v>
      </c>
      <c r="S4835" s="150"/>
    </row>
    <row r="4836" spans="1:19" hidden="1">
      <c r="A4836" s="149" t="s">
        <v>7039</v>
      </c>
      <c r="B4836" s="150" t="str">
        <f>IFERROR(VLOOKUP(Proc[[#This Row],[App]],Table2[],3,0),"open")</f>
        <v>ok</v>
      </c>
      <c r="C4836" s="149" t="s">
        <v>369</v>
      </c>
      <c r="D4836" t="s">
        <v>7046</v>
      </c>
      <c r="E4836" s="149" t="s">
        <v>7229</v>
      </c>
      <c r="F4836" s="150" t="s">
        <v>7229</v>
      </c>
      <c r="G4836" s="149" t="s">
        <v>406</v>
      </c>
      <c r="H4836" s="150" t="str">
        <f>IF(Proc[[#This Row],[type]]="LFF (MDG-F)",MID(Proc[[#This Row],[Obj]],13,10),"")</f>
        <v>MY10DB3301</v>
      </c>
      <c r="I4836" s="149" t="s">
        <v>7229</v>
      </c>
      <c r="J4836" s="150" t="b">
        <f>Proc[[#This Row],[Requested]]=Proc[[#This Row],[CurrentParent]]</f>
        <v>1</v>
      </c>
      <c r="K4836" s="150" t="str">
        <f>IF(Proc[[#This Row],[Author]]="Marcela Urrego",VLOOKUP(LEFT(Proc[[#This Row],[Requested]],1),Table3[#All],2,0),VLOOKUP(Proc[[#This Row],[Author]],Table4[],2,0))</f>
        <v>EL</v>
      </c>
      <c r="L4836" s="150" t="s">
        <v>6435</v>
      </c>
      <c r="M4836" s="173">
        <v>45989</v>
      </c>
      <c r="N4836" s="174"/>
      <c r="O4836" s="174"/>
      <c r="P4836" s="174" t="str">
        <f ca="1">IF(Proc[[#This Row],[DaysAgeing]]&gt;5,"yep","on track")</f>
        <v>yep</v>
      </c>
      <c r="Q4836" s="3">
        <f ca="1">IF(Proc[[#This Row],[DateClosed]]="",ABS(NETWORKDAYS(Proc[[#This Row],[DateOpened]],TODAY()))-1,ABS(NETWORKDAYS(Proc[[#This Row],[DateOpened]],Proc[[#This Row],[DateClosed]]))-1)</f>
        <v>10</v>
      </c>
      <c r="R4836" s="174" t="s">
        <v>5709</v>
      </c>
      <c r="S4836" s="150"/>
    </row>
    <row r="4837" spans="1:19" hidden="1">
      <c r="A4837" s="149" t="s">
        <v>7039</v>
      </c>
      <c r="B4837" s="150" t="str">
        <f>IFERROR(VLOOKUP(Proc[[#This Row],[App]],Table2[],3,0),"open")</f>
        <v>ok</v>
      </c>
      <c r="C4837" s="149" t="s">
        <v>369</v>
      </c>
      <c r="D4837" t="s">
        <v>7047</v>
      </c>
      <c r="E4837" s="149" t="s">
        <v>7229</v>
      </c>
      <c r="F4837" s="150" t="s">
        <v>7229</v>
      </c>
      <c r="G4837" s="149" t="s">
        <v>406</v>
      </c>
      <c r="H4837" s="150" t="str">
        <f>IF(Proc[[#This Row],[type]]="LFF (MDG-F)",MID(Proc[[#This Row],[Obj]],13,10),"")</f>
        <v>SG10DB3300</v>
      </c>
      <c r="I4837" s="149" t="s">
        <v>7229</v>
      </c>
      <c r="J4837" s="150" t="b">
        <f>Proc[[#This Row],[Requested]]=Proc[[#This Row],[CurrentParent]]</f>
        <v>1</v>
      </c>
      <c r="K4837" s="150" t="str">
        <f>IF(Proc[[#This Row],[Author]]="Marcela Urrego",VLOOKUP(LEFT(Proc[[#This Row],[Requested]],1),Table3[#All],2,0),VLOOKUP(Proc[[#This Row],[Author]],Table4[],2,0))</f>
        <v>EL</v>
      </c>
      <c r="L4837" s="150" t="s">
        <v>6435</v>
      </c>
      <c r="M4837" s="173">
        <v>45989</v>
      </c>
      <c r="N4837" s="174"/>
      <c r="O4837" s="174"/>
      <c r="P4837" s="174" t="str">
        <f ca="1">IF(Proc[[#This Row],[DaysAgeing]]&gt;5,"yep","on track")</f>
        <v>yep</v>
      </c>
      <c r="Q4837" s="3">
        <f ca="1">IF(Proc[[#This Row],[DateClosed]]="",ABS(NETWORKDAYS(Proc[[#This Row],[DateOpened]],TODAY()))-1,ABS(NETWORKDAYS(Proc[[#This Row],[DateOpened]],Proc[[#This Row],[DateClosed]]))-1)</f>
        <v>10</v>
      </c>
      <c r="R4837" s="174" t="s">
        <v>5709</v>
      </c>
      <c r="S4837" s="150"/>
    </row>
    <row r="4838" spans="1:19" hidden="1">
      <c r="A4838" s="149" t="s">
        <v>7039</v>
      </c>
      <c r="B4838" s="150" t="str">
        <f>IFERROR(VLOOKUP(Proc[[#This Row],[App]],Table2[],3,0),"open")</f>
        <v>ok</v>
      </c>
      <c r="C4838" s="149" t="s">
        <v>369</v>
      </c>
      <c r="D4838" t="s">
        <v>7048</v>
      </c>
      <c r="E4838" s="149" t="s">
        <v>7229</v>
      </c>
      <c r="F4838" s="150" t="s">
        <v>7229</v>
      </c>
      <c r="G4838" s="149" t="s">
        <v>406</v>
      </c>
      <c r="H4838" s="150" t="str">
        <f>IF(Proc[[#This Row],[type]]="LFF (MDG-F)",MID(Proc[[#This Row],[Obj]],13,10),"")</f>
        <v>SG10DB3301</v>
      </c>
      <c r="I4838" s="149" t="s">
        <v>7229</v>
      </c>
      <c r="J4838" s="150" t="b">
        <f>Proc[[#This Row],[Requested]]=Proc[[#This Row],[CurrentParent]]</f>
        <v>1</v>
      </c>
      <c r="K4838" s="150" t="str">
        <f>IF(Proc[[#This Row],[Author]]="Marcela Urrego",VLOOKUP(LEFT(Proc[[#This Row],[Requested]],1),Table3[#All],2,0),VLOOKUP(Proc[[#This Row],[Author]],Table4[],2,0))</f>
        <v>EL</v>
      </c>
      <c r="L4838" s="150" t="s">
        <v>6435</v>
      </c>
      <c r="M4838" s="173">
        <v>45989</v>
      </c>
      <c r="N4838" s="174"/>
      <c r="O4838" s="174"/>
      <c r="P4838" s="174" t="str">
        <f ca="1">IF(Proc[[#This Row],[DaysAgeing]]&gt;5,"yep","on track")</f>
        <v>yep</v>
      </c>
      <c r="Q4838" s="3">
        <f ca="1">IF(Proc[[#This Row],[DateClosed]]="",ABS(NETWORKDAYS(Proc[[#This Row],[DateOpened]],TODAY()))-1,ABS(NETWORKDAYS(Proc[[#This Row],[DateOpened]],Proc[[#This Row],[DateClosed]]))-1)</f>
        <v>10</v>
      </c>
      <c r="R4838" s="174" t="s">
        <v>5709</v>
      </c>
      <c r="S4838" s="150"/>
    </row>
    <row r="4839" spans="1:19" hidden="1">
      <c r="A4839" s="149" t="s">
        <v>7039</v>
      </c>
      <c r="B4839" s="150" t="str">
        <f>IFERROR(VLOOKUP(Proc[[#This Row],[App]],Table2[],3,0),"open")</f>
        <v>ok</v>
      </c>
      <c r="C4839" s="149" t="s">
        <v>369</v>
      </c>
      <c r="D4839" t="s">
        <v>7049</v>
      </c>
      <c r="E4839" s="149" t="s">
        <v>7229</v>
      </c>
      <c r="F4839" s="150" t="s">
        <v>7229</v>
      </c>
      <c r="G4839" s="149" t="s">
        <v>406</v>
      </c>
      <c r="H4839" s="150" t="str">
        <f>IF(Proc[[#This Row],[type]]="LFF (MDG-F)",MID(Proc[[#This Row],[Obj]],13,10),"")</f>
        <v>SG10DB3302</v>
      </c>
      <c r="I4839" s="149" t="s">
        <v>7229</v>
      </c>
      <c r="J4839" s="150" t="b">
        <f>Proc[[#This Row],[Requested]]=Proc[[#This Row],[CurrentParent]]</f>
        <v>1</v>
      </c>
      <c r="K4839" s="150" t="str">
        <f>IF(Proc[[#This Row],[Author]]="Marcela Urrego",VLOOKUP(LEFT(Proc[[#This Row],[Requested]],1),Table3[#All],2,0),VLOOKUP(Proc[[#This Row],[Author]],Table4[],2,0))</f>
        <v>EL</v>
      </c>
      <c r="L4839" s="150" t="s">
        <v>6435</v>
      </c>
      <c r="M4839" s="173">
        <v>45989</v>
      </c>
      <c r="N4839" s="174"/>
      <c r="O4839" s="174"/>
      <c r="P4839" s="174" t="str">
        <f ca="1">IF(Proc[[#This Row],[DaysAgeing]]&gt;5,"yep","on track")</f>
        <v>yep</v>
      </c>
      <c r="Q4839" s="3">
        <f ca="1">IF(Proc[[#This Row],[DateClosed]]="",ABS(NETWORKDAYS(Proc[[#This Row],[DateOpened]],TODAY()))-1,ABS(NETWORKDAYS(Proc[[#This Row],[DateOpened]],Proc[[#This Row],[DateClosed]]))-1)</f>
        <v>10</v>
      </c>
      <c r="R4839" s="174" t="s">
        <v>5709</v>
      </c>
      <c r="S4839" s="150"/>
    </row>
    <row r="4840" spans="1:19" hidden="1">
      <c r="A4840" s="149" t="s">
        <v>7039</v>
      </c>
      <c r="B4840" s="150" t="str">
        <f>IFERROR(VLOOKUP(Proc[[#This Row],[App]],Table2[],3,0),"open")</f>
        <v>ok</v>
      </c>
      <c r="C4840" s="149" t="s">
        <v>369</v>
      </c>
      <c r="D4840" t="s">
        <v>7050</v>
      </c>
      <c r="E4840" s="149" t="s">
        <v>7229</v>
      </c>
      <c r="F4840" s="150" t="s">
        <v>7229</v>
      </c>
      <c r="G4840" s="149" t="s">
        <v>406</v>
      </c>
      <c r="H4840" s="150" t="str">
        <f>IF(Proc[[#This Row],[type]]="LFF (MDG-F)",MID(Proc[[#This Row],[Obj]],13,10),"")</f>
        <v>TW10DB3303</v>
      </c>
      <c r="I4840" s="149" t="s">
        <v>7229</v>
      </c>
      <c r="J4840" s="150" t="b">
        <f>Proc[[#This Row],[Requested]]=Proc[[#This Row],[CurrentParent]]</f>
        <v>1</v>
      </c>
      <c r="K4840" s="150" t="str">
        <f>IF(Proc[[#This Row],[Author]]="Marcela Urrego",VLOOKUP(LEFT(Proc[[#This Row],[Requested]],1),Table3[#All],2,0),VLOOKUP(Proc[[#This Row],[Author]],Table4[],2,0))</f>
        <v>EL</v>
      </c>
      <c r="L4840" s="150" t="s">
        <v>6435</v>
      </c>
      <c r="M4840" s="173">
        <v>45989</v>
      </c>
      <c r="N4840" s="174"/>
      <c r="O4840" s="174"/>
      <c r="P4840" s="174" t="str">
        <f ca="1">IF(Proc[[#This Row],[DaysAgeing]]&gt;5,"yep","on track")</f>
        <v>yep</v>
      </c>
      <c r="Q4840" s="3">
        <f ca="1">IF(Proc[[#This Row],[DateClosed]]="",ABS(NETWORKDAYS(Proc[[#This Row],[DateOpened]],TODAY()))-1,ABS(NETWORKDAYS(Proc[[#This Row],[DateOpened]],Proc[[#This Row],[DateClosed]]))-1)</f>
        <v>10</v>
      </c>
      <c r="R4840" s="174" t="s">
        <v>5709</v>
      </c>
      <c r="S4840" s="150"/>
    </row>
    <row r="4841" spans="1:19" hidden="1">
      <c r="A4841" s="149" t="s">
        <v>7039</v>
      </c>
      <c r="B4841" s="150" t="str">
        <f>IFERROR(VLOOKUP(Proc[[#This Row],[App]],Table2[],3,0),"open")</f>
        <v>ok</v>
      </c>
      <c r="C4841" s="149" t="s">
        <v>369</v>
      </c>
      <c r="D4841" t="s">
        <v>7051</v>
      </c>
      <c r="E4841" s="149" t="s">
        <v>7229</v>
      </c>
      <c r="F4841" s="150" t="s">
        <v>7229</v>
      </c>
      <c r="G4841" s="149" t="s">
        <v>406</v>
      </c>
      <c r="H4841" s="150" t="str">
        <f>IF(Proc[[#This Row],[type]]="LFF (MDG-F)",MID(Proc[[#This Row],[Obj]],13,10),"")</f>
        <v>TW10DB3307</v>
      </c>
      <c r="I4841" s="149" t="s">
        <v>7229</v>
      </c>
      <c r="J4841" s="150" t="b">
        <f>Proc[[#This Row],[Requested]]=Proc[[#This Row],[CurrentParent]]</f>
        <v>1</v>
      </c>
      <c r="K4841" s="150" t="str">
        <f>IF(Proc[[#This Row],[Author]]="Marcela Urrego",VLOOKUP(LEFT(Proc[[#This Row],[Requested]],1),Table3[#All],2,0),VLOOKUP(Proc[[#This Row],[Author]],Table4[],2,0))</f>
        <v>EL</v>
      </c>
      <c r="L4841" s="150" t="s">
        <v>6435</v>
      </c>
      <c r="M4841" s="173">
        <v>45989</v>
      </c>
      <c r="N4841" s="174"/>
      <c r="O4841" s="174"/>
      <c r="P4841" s="174" t="str">
        <f ca="1">IF(Proc[[#This Row],[DaysAgeing]]&gt;5,"yep","on track")</f>
        <v>yep</v>
      </c>
      <c r="Q4841" s="3">
        <f ca="1">IF(Proc[[#This Row],[DateClosed]]="",ABS(NETWORKDAYS(Proc[[#This Row],[DateOpened]],TODAY()))-1,ABS(NETWORKDAYS(Proc[[#This Row],[DateOpened]],Proc[[#This Row],[DateClosed]]))-1)</f>
        <v>10</v>
      </c>
      <c r="R4841" s="174" t="s">
        <v>5709</v>
      </c>
      <c r="S4841" s="150"/>
    </row>
    <row r="4842" spans="1:19" hidden="1">
      <c r="A4842" s="149" t="s">
        <v>7039</v>
      </c>
      <c r="B4842" s="150" t="str">
        <f>IFERROR(VLOOKUP(Proc[[#This Row],[App]],Table2[],3,0),"open")</f>
        <v>ok</v>
      </c>
      <c r="C4842" s="149" t="s">
        <v>369</v>
      </c>
      <c r="D4842" t="s">
        <v>7052</v>
      </c>
      <c r="E4842" s="149" t="s">
        <v>7229</v>
      </c>
      <c r="F4842" s="150" t="s">
        <v>7229</v>
      </c>
      <c r="G4842" s="149" t="s">
        <v>406</v>
      </c>
      <c r="H4842" s="150" t="str">
        <f>IF(Proc[[#This Row],[type]]="LFF (MDG-F)",MID(Proc[[#This Row],[Obj]],13,10),"")</f>
        <v>TW10TQ1001</v>
      </c>
      <c r="I4842" s="149" t="s">
        <v>7229</v>
      </c>
      <c r="J4842" s="150" t="b">
        <f>Proc[[#This Row],[Requested]]=Proc[[#This Row],[CurrentParent]]</f>
        <v>1</v>
      </c>
      <c r="K4842" s="150" t="str">
        <f>IF(Proc[[#This Row],[Author]]="Marcela Urrego",VLOOKUP(LEFT(Proc[[#This Row],[Requested]],1),Table3[#All],2,0),VLOOKUP(Proc[[#This Row],[Author]],Table4[],2,0))</f>
        <v>EL</v>
      </c>
      <c r="L4842" s="150" t="s">
        <v>6435</v>
      </c>
      <c r="M4842" s="173">
        <v>45989</v>
      </c>
      <c r="N4842" s="174"/>
      <c r="O4842" s="174"/>
      <c r="P4842" s="174" t="str">
        <f ca="1">IF(Proc[[#This Row],[DaysAgeing]]&gt;5,"yep","on track")</f>
        <v>yep</v>
      </c>
      <c r="Q4842" s="3">
        <f ca="1">IF(Proc[[#This Row],[DateClosed]]="",ABS(NETWORKDAYS(Proc[[#This Row],[DateOpened]],TODAY()))-1,ABS(NETWORKDAYS(Proc[[#This Row],[DateOpened]],Proc[[#This Row],[DateClosed]]))-1)</f>
        <v>10</v>
      </c>
      <c r="R4842" s="174" t="s">
        <v>5709</v>
      </c>
      <c r="S4842" s="150"/>
    </row>
    <row r="4843" spans="1:19" hidden="1">
      <c r="A4843" s="149" t="s">
        <v>7039</v>
      </c>
      <c r="B4843" s="150" t="str">
        <f>IFERROR(VLOOKUP(Proc[[#This Row],[App]],Table2[],3,0),"open")</f>
        <v>ok</v>
      </c>
      <c r="C4843" s="149" t="s">
        <v>369</v>
      </c>
      <c r="D4843" t="s">
        <v>7053</v>
      </c>
      <c r="E4843" s="149" t="s">
        <v>7229</v>
      </c>
      <c r="F4843" s="150" t="s">
        <v>7229</v>
      </c>
      <c r="G4843" s="149" t="s">
        <v>406</v>
      </c>
      <c r="H4843" s="150" t="str">
        <f>IF(Proc[[#This Row],[type]]="LFF (MDG-F)",MID(Proc[[#This Row],[Obj]],13,10),"")</f>
        <v>TW10TQ1002</v>
      </c>
      <c r="I4843" s="149" t="s">
        <v>7229</v>
      </c>
      <c r="J4843" s="150" t="b">
        <f>Proc[[#This Row],[Requested]]=Proc[[#This Row],[CurrentParent]]</f>
        <v>1</v>
      </c>
      <c r="K4843" s="150" t="str">
        <f>IF(Proc[[#This Row],[Author]]="Marcela Urrego",VLOOKUP(LEFT(Proc[[#This Row],[Requested]],1),Table3[#All],2,0),VLOOKUP(Proc[[#This Row],[Author]],Table4[],2,0))</f>
        <v>EL</v>
      </c>
      <c r="L4843" s="150" t="s">
        <v>6435</v>
      </c>
      <c r="M4843" s="173">
        <v>45989</v>
      </c>
      <c r="N4843" s="174"/>
      <c r="O4843" s="174"/>
      <c r="P4843" s="174" t="str">
        <f ca="1">IF(Proc[[#This Row],[DaysAgeing]]&gt;5,"yep","on track")</f>
        <v>yep</v>
      </c>
      <c r="Q4843" s="3">
        <f ca="1">IF(Proc[[#This Row],[DateClosed]]="",ABS(NETWORKDAYS(Proc[[#This Row],[DateOpened]],TODAY()))-1,ABS(NETWORKDAYS(Proc[[#This Row],[DateOpened]],Proc[[#This Row],[DateClosed]]))-1)</f>
        <v>10</v>
      </c>
      <c r="R4843" s="174" t="s">
        <v>5709</v>
      </c>
      <c r="S4843" s="150"/>
    </row>
    <row r="4844" spans="1:19" hidden="1">
      <c r="A4844" s="149" t="s">
        <v>7039</v>
      </c>
      <c r="B4844" s="150" t="str">
        <f>IFERROR(VLOOKUP(Proc[[#This Row],[App]],Table2[],3,0),"open")</f>
        <v>ok</v>
      </c>
      <c r="C4844" s="149" t="s">
        <v>369</v>
      </c>
      <c r="D4844" t="s">
        <v>7246</v>
      </c>
      <c r="E4844" s="149" t="s">
        <v>7229</v>
      </c>
      <c r="F4844" s="150" t="s">
        <v>7229</v>
      </c>
      <c r="G4844" s="149" t="s">
        <v>406</v>
      </c>
      <c r="H4844" s="150" t="str">
        <f>IF(Proc[[#This Row],[type]]="LFF (MDG-F)",MID(Proc[[#This Row],[Obj]],13,10),"")</f>
        <v>TW10TQ1003</v>
      </c>
      <c r="I4844" s="149" t="s">
        <v>7229</v>
      </c>
      <c r="J4844" s="150" t="b">
        <f>Proc[[#This Row],[Requested]]=Proc[[#This Row],[CurrentParent]]</f>
        <v>1</v>
      </c>
      <c r="K4844" s="150" t="str">
        <f>IF(Proc[[#This Row],[Author]]="Marcela Urrego",VLOOKUP(LEFT(Proc[[#This Row],[Requested]],1),Table3[#All],2,0),VLOOKUP(Proc[[#This Row],[Author]],Table4[],2,0))</f>
        <v>EL</v>
      </c>
      <c r="L4844" s="150" t="s">
        <v>6435</v>
      </c>
      <c r="M4844" s="173">
        <v>45989</v>
      </c>
      <c r="N4844" s="174"/>
      <c r="O4844" s="174"/>
      <c r="P4844" s="174" t="str">
        <f ca="1">IF(Proc[[#This Row],[DaysAgeing]]&gt;5,"yep","on track")</f>
        <v>yep</v>
      </c>
      <c r="Q4844" s="3">
        <f ca="1">IF(Proc[[#This Row],[DateClosed]]="",ABS(NETWORKDAYS(Proc[[#This Row],[DateOpened]],TODAY()))-1,ABS(NETWORKDAYS(Proc[[#This Row],[DateOpened]],Proc[[#This Row],[DateClosed]]))-1)</f>
        <v>10</v>
      </c>
      <c r="R4844" s="174" t="s">
        <v>5709</v>
      </c>
      <c r="S4844" s="150"/>
    </row>
    <row r="4845" spans="1:19" hidden="1">
      <c r="A4845" s="149" t="s">
        <v>7039</v>
      </c>
      <c r="B4845" s="150" t="str">
        <f>IFERROR(VLOOKUP(Proc[[#This Row],[App]],Table2[],3,0),"open")</f>
        <v>ok</v>
      </c>
      <c r="C4845" s="149" t="s">
        <v>369</v>
      </c>
      <c r="D4845" t="s">
        <v>7054</v>
      </c>
      <c r="E4845" s="149" t="s">
        <v>7229</v>
      </c>
      <c r="F4845" s="150" t="s">
        <v>7229</v>
      </c>
      <c r="G4845" s="149" t="s">
        <v>406</v>
      </c>
      <c r="H4845" s="150" t="str">
        <f>IF(Proc[[#This Row],[type]]="LFF (MDG-F)",MID(Proc[[#This Row],[Obj]],13,10),"")</f>
        <v>TW91DB3301</v>
      </c>
      <c r="I4845" s="149" t="s">
        <v>7229</v>
      </c>
      <c r="J4845" s="150" t="b">
        <f>Proc[[#This Row],[Requested]]=Proc[[#This Row],[CurrentParent]]</f>
        <v>1</v>
      </c>
      <c r="K4845" s="150" t="str">
        <f>IF(Proc[[#This Row],[Author]]="Marcela Urrego",VLOOKUP(LEFT(Proc[[#This Row],[Requested]],1),Table3[#All],2,0),VLOOKUP(Proc[[#This Row],[Author]],Table4[],2,0))</f>
        <v>EL</v>
      </c>
      <c r="L4845" s="150" t="s">
        <v>6435</v>
      </c>
      <c r="M4845" s="173">
        <v>45989</v>
      </c>
      <c r="N4845" s="174"/>
      <c r="O4845" s="174"/>
      <c r="P4845" s="174" t="str">
        <f ca="1">IF(Proc[[#This Row],[DaysAgeing]]&gt;5,"yep","on track")</f>
        <v>yep</v>
      </c>
      <c r="Q4845" s="3">
        <f ca="1">IF(Proc[[#This Row],[DateClosed]]="",ABS(NETWORKDAYS(Proc[[#This Row],[DateOpened]],TODAY()))-1,ABS(NETWORKDAYS(Proc[[#This Row],[DateOpened]],Proc[[#This Row],[DateClosed]]))-1)</f>
        <v>10</v>
      </c>
      <c r="R4845" s="174" t="s">
        <v>5709</v>
      </c>
      <c r="S4845" s="150"/>
    </row>
    <row r="4846" spans="1:19" hidden="1">
      <c r="A4846" s="149" t="s">
        <v>7039</v>
      </c>
      <c r="B4846" s="150" t="str">
        <f>IFERROR(VLOOKUP(Proc[[#This Row],[App]],Table2[],3,0),"open")</f>
        <v>ok</v>
      </c>
      <c r="C4846" s="149" t="s">
        <v>369</v>
      </c>
      <c r="D4846" t="s">
        <v>7055</v>
      </c>
      <c r="E4846" s="149" t="s">
        <v>7229</v>
      </c>
      <c r="F4846" s="150" t="s">
        <v>7229</v>
      </c>
      <c r="G4846" s="149" t="s">
        <v>406</v>
      </c>
      <c r="H4846" s="150" t="str">
        <f>IF(Proc[[#This Row],[type]]="LFF (MDG-F)",MID(Proc[[#This Row],[Obj]],13,10),"")</f>
        <v>TW91TQ1001</v>
      </c>
      <c r="I4846" s="149" t="s">
        <v>7229</v>
      </c>
      <c r="J4846" s="150" t="b">
        <f>Proc[[#This Row],[Requested]]=Proc[[#This Row],[CurrentParent]]</f>
        <v>1</v>
      </c>
      <c r="K4846" s="150" t="str">
        <f>IF(Proc[[#This Row],[Author]]="Marcela Urrego",VLOOKUP(LEFT(Proc[[#This Row],[Requested]],1),Table3[#All],2,0),VLOOKUP(Proc[[#This Row],[Author]],Table4[],2,0))</f>
        <v>EL</v>
      </c>
      <c r="L4846" s="150" t="s">
        <v>6435</v>
      </c>
      <c r="M4846" s="173">
        <v>45989</v>
      </c>
      <c r="N4846" s="174"/>
      <c r="O4846" s="174"/>
      <c r="P4846" s="174" t="str">
        <f ca="1">IF(Proc[[#This Row],[DaysAgeing]]&gt;5,"yep","on track")</f>
        <v>yep</v>
      </c>
      <c r="Q4846" s="3">
        <f ca="1">IF(Proc[[#This Row],[DateClosed]]="",ABS(NETWORKDAYS(Proc[[#This Row],[DateOpened]],TODAY()))-1,ABS(NETWORKDAYS(Proc[[#This Row],[DateOpened]],Proc[[#This Row],[DateClosed]]))-1)</f>
        <v>10</v>
      </c>
      <c r="R4846" s="174" t="s">
        <v>5709</v>
      </c>
      <c r="S4846" s="150"/>
    </row>
    <row r="4847" spans="1:19" hidden="1">
      <c r="A4847" s="149" t="s">
        <v>7039</v>
      </c>
      <c r="B4847" s="150" t="str">
        <f>IFERROR(VLOOKUP(Proc[[#This Row],[App]],Table2[],3,0),"open")</f>
        <v>ok</v>
      </c>
      <c r="C4847" s="149" t="s">
        <v>369</v>
      </c>
      <c r="D4847" t="s">
        <v>7056</v>
      </c>
      <c r="E4847" s="149" t="s">
        <v>7229</v>
      </c>
      <c r="F4847" s="150" t="s">
        <v>7229</v>
      </c>
      <c r="G4847" s="149" t="s">
        <v>406</v>
      </c>
      <c r="H4847" s="150" t="str">
        <f>IF(Proc[[#This Row],[type]]="LFF (MDG-F)",MID(Proc[[#This Row],[Obj]],13,10),"")</f>
        <v>TW91TQ1002</v>
      </c>
      <c r="I4847" s="149" t="s">
        <v>7229</v>
      </c>
      <c r="J4847" s="150" t="b">
        <f>Proc[[#This Row],[Requested]]=Proc[[#This Row],[CurrentParent]]</f>
        <v>1</v>
      </c>
      <c r="K4847" s="150" t="str">
        <f>IF(Proc[[#This Row],[Author]]="Marcela Urrego",VLOOKUP(LEFT(Proc[[#This Row],[Requested]],1),Table3[#All],2,0),VLOOKUP(Proc[[#This Row],[Author]],Table4[],2,0))</f>
        <v>EL</v>
      </c>
      <c r="L4847" s="150" t="s">
        <v>6435</v>
      </c>
      <c r="M4847" s="173">
        <v>45989</v>
      </c>
      <c r="N4847" s="174"/>
      <c r="O4847" s="174"/>
      <c r="P4847" s="174" t="str">
        <f ca="1">IF(Proc[[#This Row],[DaysAgeing]]&gt;5,"yep","on track")</f>
        <v>yep</v>
      </c>
      <c r="Q4847" s="3">
        <f ca="1">IF(Proc[[#This Row],[DateClosed]]="",ABS(NETWORKDAYS(Proc[[#This Row],[DateOpened]],TODAY()))-1,ABS(NETWORKDAYS(Proc[[#This Row],[DateOpened]],Proc[[#This Row],[DateClosed]]))-1)</f>
        <v>10</v>
      </c>
      <c r="R4847" s="174" t="s">
        <v>5709</v>
      </c>
      <c r="S4847" s="150"/>
    </row>
    <row r="4848" spans="1:19" hidden="1">
      <c r="A4848" s="149" t="s">
        <v>7039</v>
      </c>
      <c r="B4848" s="150" t="str">
        <f>IFERROR(VLOOKUP(Proc[[#This Row],[App]],Table2[],3,0),"open")</f>
        <v>ok</v>
      </c>
      <c r="C4848" s="149" t="s">
        <v>369</v>
      </c>
      <c r="D4848" t="s">
        <v>7057</v>
      </c>
      <c r="E4848" s="149" t="s">
        <v>7229</v>
      </c>
      <c r="F4848" s="150" t="s">
        <v>7229</v>
      </c>
      <c r="G4848" s="149" t="s">
        <v>406</v>
      </c>
      <c r="H4848" s="150" t="str">
        <f>IF(Proc[[#This Row],[type]]="LFF (MDG-F)",MID(Proc[[#This Row],[Obj]],13,10),"")</f>
        <v>MY10TQ1000</v>
      </c>
      <c r="I4848" s="149" t="s">
        <v>7229</v>
      </c>
      <c r="J4848" s="150" t="b">
        <f>Proc[[#This Row],[Requested]]=Proc[[#This Row],[CurrentParent]]</f>
        <v>1</v>
      </c>
      <c r="K4848" s="150" t="str">
        <f>IF(Proc[[#This Row],[Author]]="Marcela Urrego",VLOOKUP(LEFT(Proc[[#This Row],[Requested]],1),Table3[#All],2,0),VLOOKUP(Proc[[#This Row],[Author]],Table4[],2,0))</f>
        <v>EL</v>
      </c>
      <c r="L4848" s="150" t="s">
        <v>6435</v>
      </c>
      <c r="M4848" s="173">
        <v>45989</v>
      </c>
      <c r="N4848" s="174"/>
      <c r="O4848" s="174"/>
      <c r="P4848" s="174" t="str">
        <f ca="1">IF(Proc[[#This Row],[DaysAgeing]]&gt;5,"yep","on track")</f>
        <v>yep</v>
      </c>
      <c r="Q4848" s="3">
        <f ca="1">IF(Proc[[#This Row],[DateClosed]]="",ABS(NETWORKDAYS(Proc[[#This Row],[DateOpened]],TODAY()))-1,ABS(NETWORKDAYS(Proc[[#This Row],[DateOpened]],Proc[[#This Row],[DateClosed]]))-1)</f>
        <v>10</v>
      </c>
      <c r="R4848" s="174" t="s">
        <v>5709</v>
      </c>
      <c r="S4848" s="150"/>
    </row>
    <row r="4849" spans="1:19" hidden="1">
      <c r="A4849" s="149" t="s">
        <v>7039</v>
      </c>
      <c r="B4849" s="150" t="str">
        <f>IFERROR(VLOOKUP(Proc[[#This Row],[App]],Table2[],3,0),"open")</f>
        <v>ok</v>
      </c>
      <c r="C4849" s="149" t="s">
        <v>377</v>
      </c>
      <c r="D4849" t="s">
        <v>7058</v>
      </c>
      <c r="E4849" s="149" t="s">
        <v>7229</v>
      </c>
      <c r="F4849" s="150">
        <v>0</v>
      </c>
      <c r="G4849" s="149" t="s">
        <v>406</v>
      </c>
      <c r="H4849" s="150" t="str">
        <f>IF(Proc[[#This Row],[type]]="LFF (MDG-F)",MID(Proc[[#This Row],[Obj]],13,10),"")</f>
        <v>SG10TQ1001</v>
      </c>
      <c r="I4849" s="149" t="s">
        <v>7229</v>
      </c>
      <c r="J4849" s="150" t="b">
        <f>Proc[[#This Row],[Requested]]=Proc[[#This Row],[CurrentParent]]</f>
        <v>0</v>
      </c>
      <c r="K4849" s="150" t="str">
        <f>IF(Proc[[#This Row],[Author]]="Marcela Urrego",VLOOKUP(LEFT(Proc[[#This Row],[Requested]],1),Table3[#All],2,0),VLOOKUP(Proc[[#This Row],[Author]],Table4[],2,0))</f>
        <v>EL</v>
      </c>
      <c r="L4849" s="150" t="s">
        <v>6435</v>
      </c>
      <c r="M4849" s="173">
        <v>45989</v>
      </c>
      <c r="N4849" s="174"/>
      <c r="O4849" s="174"/>
      <c r="P4849" s="174" t="str">
        <f ca="1">IF(Proc[[#This Row],[DaysAgeing]]&gt;5,"yep","on track")</f>
        <v>yep</v>
      </c>
      <c r="Q4849" s="3">
        <f ca="1">IF(Proc[[#This Row],[DateClosed]]="",ABS(NETWORKDAYS(Proc[[#This Row],[DateOpened]],TODAY()))-1,ABS(NETWORKDAYS(Proc[[#This Row],[DateOpened]],Proc[[#This Row],[DateClosed]]))-1)</f>
        <v>10</v>
      </c>
      <c r="R4849" s="174" t="s">
        <v>5709</v>
      </c>
      <c r="S4849" s="150"/>
    </row>
    <row r="4850" spans="1:19" hidden="1">
      <c r="A4850" s="149" t="s">
        <v>7039</v>
      </c>
      <c r="B4850" s="150" t="str">
        <f>IFERROR(VLOOKUP(Proc[[#This Row],[App]],Table2[],3,0),"open")</f>
        <v>ok</v>
      </c>
      <c r="C4850" s="149" t="s">
        <v>377</v>
      </c>
      <c r="D4850" t="s">
        <v>7059</v>
      </c>
      <c r="E4850" s="149" t="s">
        <v>7229</v>
      </c>
      <c r="F4850" s="150">
        <v>0</v>
      </c>
      <c r="G4850" s="149" t="s">
        <v>406</v>
      </c>
      <c r="H4850" s="150" t="str">
        <f>IF(Proc[[#This Row],[type]]="LFF (MDG-F)",MID(Proc[[#This Row],[Obj]],13,10),"")</f>
        <v>SG10TQ1002</v>
      </c>
      <c r="I4850" s="149" t="s">
        <v>7229</v>
      </c>
      <c r="J4850" s="150" t="b">
        <f>Proc[[#This Row],[Requested]]=Proc[[#This Row],[CurrentParent]]</f>
        <v>0</v>
      </c>
      <c r="K4850" s="150" t="str">
        <f>IF(Proc[[#This Row],[Author]]="Marcela Urrego",VLOOKUP(LEFT(Proc[[#This Row],[Requested]],1),Table3[#All],2,0),VLOOKUP(Proc[[#This Row],[Author]],Table4[],2,0))</f>
        <v>EL</v>
      </c>
      <c r="L4850" s="150" t="s">
        <v>6435</v>
      </c>
      <c r="M4850" s="173">
        <v>45989</v>
      </c>
      <c r="N4850" s="174"/>
      <c r="O4850" s="174"/>
      <c r="P4850" s="174" t="str">
        <f ca="1">IF(Proc[[#This Row],[DaysAgeing]]&gt;5,"yep","on track")</f>
        <v>yep</v>
      </c>
      <c r="Q4850" s="3">
        <f ca="1">IF(Proc[[#This Row],[DateClosed]]="",ABS(NETWORKDAYS(Proc[[#This Row],[DateOpened]],TODAY()))-1,ABS(NETWORKDAYS(Proc[[#This Row],[DateOpened]],Proc[[#This Row],[DateClosed]]))-1)</f>
        <v>10</v>
      </c>
      <c r="R4850" s="174" t="s">
        <v>5709</v>
      </c>
      <c r="S4850" s="150"/>
    </row>
    <row r="4851" spans="1:19" hidden="1">
      <c r="A4851" s="149" t="s">
        <v>7039</v>
      </c>
      <c r="B4851" s="150" t="str">
        <f>IFERROR(VLOOKUP(Proc[[#This Row],[App]],Table2[],3,0),"open")</f>
        <v>ok</v>
      </c>
      <c r="C4851" s="149" t="s">
        <v>377</v>
      </c>
      <c r="D4851" t="s">
        <v>7060</v>
      </c>
      <c r="E4851" s="149" t="s">
        <v>7229</v>
      </c>
      <c r="F4851" s="150">
        <v>0</v>
      </c>
      <c r="G4851" s="149" t="s">
        <v>406</v>
      </c>
      <c r="H4851" s="150" t="str">
        <f>IF(Proc[[#This Row],[type]]="LFF (MDG-F)",MID(Proc[[#This Row],[Obj]],13,10),"")</f>
        <v>SG10TQ1003</v>
      </c>
      <c r="I4851" s="149" t="s">
        <v>7229</v>
      </c>
      <c r="J4851" s="150" t="b">
        <f>Proc[[#This Row],[Requested]]=Proc[[#This Row],[CurrentParent]]</f>
        <v>0</v>
      </c>
      <c r="K4851" s="150" t="str">
        <f>IF(Proc[[#This Row],[Author]]="Marcela Urrego",VLOOKUP(LEFT(Proc[[#This Row],[Requested]],1),Table3[#All],2,0),VLOOKUP(Proc[[#This Row],[Author]],Table4[],2,0))</f>
        <v>EL</v>
      </c>
      <c r="L4851" s="150" t="s">
        <v>6435</v>
      </c>
      <c r="M4851" s="173">
        <v>45989</v>
      </c>
      <c r="N4851" s="174"/>
      <c r="O4851" s="174"/>
      <c r="P4851" s="174" t="str">
        <f ca="1">IF(Proc[[#This Row],[DaysAgeing]]&gt;5,"yep","on track")</f>
        <v>yep</v>
      </c>
      <c r="Q4851" s="3">
        <f ca="1">IF(Proc[[#This Row],[DateClosed]]="",ABS(NETWORKDAYS(Proc[[#This Row],[DateOpened]],TODAY()))-1,ABS(NETWORKDAYS(Proc[[#This Row],[DateOpened]],Proc[[#This Row],[DateClosed]]))-1)</f>
        <v>10</v>
      </c>
      <c r="R4851" s="174" t="s">
        <v>5709</v>
      </c>
      <c r="S4851" s="150"/>
    </row>
    <row r="4852" spans="1:19" hidden="1">
      <c r="A4852" s="149" t="s">
        <v>7039</v>
      </c>
      <c r="B4852" s="150" t="str">
        <f>IFERROR(VLOOKUP(Proc[[#This Row],[App]],Table2[],3,0),"open")</f>
        <v>ok</v>
      </c>
      <c r="C4852" s="149" t="s">
        <v>369</v>
      </c>
      <c r="D4852" t="s">
        <v>7061</v>
      </c>
      <c r="E4852" s="149" t="s">
        <v>7229</v>
      </c>
      <c r="F4852" s="150" t="s">
        <v>7229</v>
      </c>
      <c r="G4852" s="149" t="s">
        <v>406</v>
      </c>
      <c r="H4852" s="150" t="str">
        <f>IF(Proc[[#This Row],[type]]="LFF (MDG-F)",MID(Proc[[#This Row],[Obj]],13,10),"")</f>
        <v>TW02TPHZ06</v>
      </c>
      <c r="I4852" s="149" t="s">
        <v>7229</v>
      </c>
      <c r="J4852" s="150" t="b">
        <f>Proc[[#This Row],[Requested]]=Proc[[#This Row],[CurrentParent]]</f>
        <v>1</v>
      </c>
      <c r="K4852" s="150" t="str">
        <f>IF(Proc[[#This Row],[Author]]="Marcela Urrego",VLOOKUP(LEFT(Proc[[#This Row],[Requested]],1),Table3[#All],2,0),VLOOKUP(Proc[[#This Row],[Author]],Table4[],2,0))</f>
        <v>EL</v>
      </c>
      <c r="L4852" s="150" t="s">
        <v>6435</v>
      </c>
      <c r="M4852" s="173">
        <v>45989</v>
      </c>
      <c r="N4852" s="174"/>
      <c r="O4852" s="174"/>
      <c r="P4852" s="174" t="str">
        <f ca="1">IF(Proc[[#This Row],[DaysAgeing]]&gt;5,"yep","on track")</f>
        <v>yep</v>
      </c>
      <c r="Q4852" s="3">
        <f ca="1">IF(Proc[[#This Row],[DateClosed]]="",ABS(NETWORKDAYS(Proc[[#This Row],[DateOpened]],TODAY()))-1,ABS(NETWORKDAYS(Proc[[#This Row],[DateOpened]],Proc[[#This Row],[DateClosed]]))-1)</f>
        <v>10</v>
      </c>
      <c r="R4852" s="174" t="s">
        <v>5709</v>
      </c>
      <c r="S4852" s="150"/>
    </row>
    <row r="4853" spans="1:19" hidden="1">
      <c r="A4853" s="149" t="s">
        <v>7039</v>
      </c>
      <c r="B4853" s="150" t="str">
        <f>IFERROR(VLOOKUP(Proc[[#This Row],[App]],Table2[],3,0),"open")</f>
        <v>ok</v>
      </c>
      <c r="C4853" s="149" t="s">
        <v>369</v>
      </c>
      <c r="D4853" t="s">
        <v>7062</v>
      </c>
      <c r="E4853" s="149" t="s">
        <v>7229</v>
      </c>
      <c r="F4853" s="150" t="s">
        <v>7229</v>
      </c>
      <c r="G4853" s="149" t="s">
        <v>406</v>
      </c>
      <c r="H4853" s="150" t="str">
        <f>IF(Proc[[#This Row],[type]]="LFF (MDG-F)",MID(Proc[[#This Row],[Obj]],13,10),"")</f>
        <v>TW10TQ1004</v>
      </c>
      <c r="I4853" s="149" t="s">
        <v>7229</v>
      </c>
      <c r="J4853" s="150" t="b">
        <f>Proc[[#This Row],[Requested]]=Proc[[#This Row],[CurrentParent]]</f>
        <v>1</v>
      </c>
      <c r="K4853" s="150" t="str">
        <f>IF(Proc[[#This Row],[Author]]="Marcela Urrego",VLOOKUP(LEFT(Proc[[#This Row],[Requested]],1),Table3[#All],2,0),VLOOKUP(Proc[[#This Row],[Author]],Table4[],2,0))</f>
        <v>EL</v>
      </c>
      <c r="L4853" s="150" t="s">
        <v>6435</v>
      </c>
      <c r="M4853" s="173">
        <v>45989</v>
      </c>
      <c r="N4853" s="174"/>
      <c r="O4853" s="174"/>
      <c r="P4853" s="174" t="str">
        <f ca="1">IF(Proc[[#This Row],[DaysAgeing]]&gt;5,"yep","on track")</f>
        <v>yep</v>
      </c>
      <c r="Q4853" s="3">
        <f ca="1">IF(Proc[[#This Row],[DateClosed]]="",ABS(NETWORKDAYS(Proc[[#This Row],[DateOpened]],TODAY()))-1,ABS(NETWORKDAYS(Proc[[#This Row],[DateOpened]],Proc[[#This Row],[DateClosed]]))-1)</f>
        <v>10</v>
      </c>
      <c r="R4853" s="174" t="s">
        <v>5709</v>
      </c>
      <c r="S4853" s="150"/>
    </row>
    <row r="4854" spans="1:19" hidden="1">
      <c r="A4854" s="149" t="s">
        <v>7039</v>
      </c>
      <c r="B4854" s="150" t="str">
        <f>IFERROR(VLOOKUP(Proc[[#This Row],[App]],Table2[],3,0),"open")</f>
        <v>ok</v>
      </c>
      <c r="C4854" s="149" t="s">
        <v>369</v>
      </c>
      <c r="D4854" t="s">
        <v>7063</v>
      </c>
      <c r="E4854" s="149" t="s">
        <v>7229</v>
      </c>
      <c r="F4854" s="150" t="s">
        <v>7229</v>
      </c>
      <c r="G4854" s="149" t="s">
        <v>406</v>
      </c>
      <c r="H4854" s="150" t="str">
        <f>IF(Proc[[#This Row],[type]]="LFF (MDG-F)",MID(Proc[[#This Row],[Obj]],13,10),"")</f>
        <v>TW10TQ1005</v>
      </c>
      <c r="I4854" s="149" t="s">
        <v>7229</v>
      </c>
      <c r="J4854" s="150" t="b">
        <f>Proc[[#This Row],[Requested]]=Proc[[#This Row],[CurrentParent]]</f>
        <v>1</v>
      </c>
      <c r="K4854" s="150" t="str">
        <f>IF(Proc[[#This Row],[Author]]="Marcela Urrego",VLOOKUP(LEFT(Proc[[#This Row],[Requested]],1),Table3[#All],2,0),VLOOKUP(Proc[[#This Row],[Author]],Table4[],2,0))</f>
        <v>EL</v>
      </c>
      <c r="L4854" s="150" t="s">
        <v>6435</v>
      </c>
      <c r="M4854" s="173">
        <v>45989</v>
      </c>
      <c r="N4854" s="174"/>
      <c r="O4854" s="174"/>
      <c r="P4854" s="174" t="str">
        <f ca="1">IF(Proc[[#This Row],[DaysAgeing]]&gt;5,"yep","on track")</f>
        <v>yep</v>
      </c>
      <c r="Q4854" s="3">
        <f ca="1">IF(Proc[[#This Row],[DateClosed]]="",ABS(NETWORKDAYS(Proc[[#This Row],[DateOpened]],TODAY()))-1,ABS(NETWORKDAYS(Proc[[#This Row],[DateOpened]],Proc[[#This Row],[DateClosed]]))-1)</f>
        <v>10</v>
      </c>
      <c r="R4854" s="174" t="s">
        <v>5709</v>
      </c>
      <c r="S4854" s="150"/>
    </row>
    <row r="4855" spans="1:19" hidden="1">
      <c r="A4855" s="149" t="s">
        <v>7039</v>
      </c>
      <c r="B4855" s="150" t="str">
        <f>IFERROR(VLOOKUP(Proc[[#This Row],[App]],Table2[],3,0),"open")</f>
        <v>ok</v>
      </c>
      <c r="C4855" s="149" t="s">
        <v>369</v>
      </c>
      <c r="D4855" t="s">
        <v>7064</v>
      </c>
      <c r="E4855" s="149" t="s">
        <v>7229</v>
      </c>
      <c r="F4855" s="150" t="s">
        <v>7229</v>
      </c>
      <c r="G4855" s="149" t="s">
        <v>406</v>
      </c>
      <c r="H4855" s="150" t="str">
        <f>IF(Proc[[#This Row],[type]]="LFF (MDG-F)",MID(Proc[[#This Row],[Obj]],13,10),"")</f>
        <v>TW10TQ1006</v>
      </c>
      <c r="I4855" s="149" t="s">
        <v>7229</v>
      </c>
      <c r="J4855" s="150" t="b">
        <f>Proc[[#This Row],[Requested]]=Proc[[#This Row],[CurrentParent]]</f>
        <v>1</v>
      </c>
      <c r="K4855" s="150" t="str">
        <f>IF(Proc[[#This Row],[Author]]="Marcela Urrego",VLOOKUP(LEFT(Proc[[#This Row],[Requested]],1),Table3[#All],2,0),VLOOKUP(Proc[[#This Row],[Author]],Table4[],2,0))</f>
        <v>EL</v>
      </c>
      <c r="L4855" s="150" t="s">
        <v>6435</v>
      </c>
      <c r="M4855" s="173">
        <v>45989</v>
      </c>
      <c r="N4855" s="174"/>
      <c r="O4855" s="174"/>
      <c r="P4855" s="174" t="str">
        <f ca="1">IF(Proc[[#This Row],[DaysAgeing]]&gt;5,"yep","on track")</f>
        <v>yep</v>
      </c>
      <c r="Q4855" s="3">
        <f ca="1">IF(Proc[[#This Row],[DateClosed]]="",ABS(NETWORKDAYS(Proc[[#This Row],[DateOpened]],TODAY()))-1,ABS(NETWORKDAYS(Proc[[#This Row],[DateOpened]],Proc[[#This Row],[DateClosed]]))-1)</f>
        <v>10</v>
      </c>
      <c r="R4855" s="174" t="s">
        <v>5709</v>
      </c>
      <c r="S4855" s="150"/>
    </row>
    <row r="4856" spans="1:19" hidden="1">
      <c r="A4856" s="149" t="s">
        <v>7039</v>
      </c>
      <c r="B4856" s="150" t="str">
        <f>IFERROR(VLOOKUP(Proc[[#This Row],[App]],Table2[],3,0),"open")</f>
        <v>ok</v>
      </c>
      <c r="C4856" s="149" t="s">
        <v>369</v>
      </c>
      <c r="D4856" t="s">
        <v>7065</v>
      </c>
      <c r="E4856" s="149" t="s">
        <v>7230</v>
      </c>
      <c r="F4856" s="150" t="s">
        <v>7230</v>
      </c>
      <c r="G4856" s="149" t="s">
        <v>406</v>
      </c>
      <c r="H4856" s="150" t="str">
        <f>IF(Proc[[#This Row],[type]]="LFF (MDG-F)",MID(Proc[[#This Row],[Obj]],13,10),"")</f>
        <v>SG09TPX003</v>
      </c>
      <c r="I4856" s="149" t="s">
        <v>7230</v>
      </c>
      <c r="J4856" s="150" t="b">
        <f>Proc[[#This Row],[Requested]]=Proc[[#This Row],[CurrentParent]]</f>
        <v>1</v>
      </c>
      <c r="K4856" s="150" t="str">
        <f>IF(Proc[[#This Row],[Author]]="Marcela Urrego",VLOOKUP(LEFT(Proc[[#This Row],[Requested]],1),Table3[#All],2,0),VLOOKUP(Proc[[#This Row],[Author]],Table4[],2,0))</f>
        <v>EL</v>
      </c>
      <c r="L4856" s="150" t="s">
        <v>6435</v>
      </c>
      <c r="M4856" s="173">
        <v>45989</v>
      </c>
      <c r="N4856" s="174"/>
      <c r="O4856" s="174"/>
      <c r="P4856" s="174" t="str">
        <f ca="1">IF(Proc[[#This Row],[DaysAgeing]]&gt;5,"yep","on track")</f>
        <v>yep</v>
      </c>
      <c r="Q4856" s="3">
        <f ca="1">IF(Proc[[#This Row],[DateClosed]]="",ABS(NETWORKDAYS(Proc[[#This Row],[DateOpened]],TODAY()))-1,ABS(NETWORKDAYS(Proc[[#This Row],[DateOpened]],Proc[[#This Row],[DateClosed]]))-1)</f>
        <v>10</v>
      </c>
      <c r="R4856" s="174" t="s">
        <v>5709</v>
      </c>
      <c r="S4856" s="150"/>
    </row>
    <row r="4857" spans="1:19" hidden="1">
      <c r="A4857" s="149" t="s">
        <v>7039</v>
      </c>
      <c r="B4857" s="150" t="str">
        <f>IFERROR(VLOOKUP(Proc[[#This Row],[App]],Table2[],3,0),"open")</f>
        <v>ok</v>
      </c>
      <c r="C4857" s="149" t="s">
        <v>369</v>
      </c>
      <c r="D4857" t="s">
        <v>7066</v>
      </c>
      <c r="E4857" s="149" t="s">
        <v>7230</v>
      </c>
      <c r="F4857" s="150" t="s">
        <v>7230</v>
      </c>
      <c r="G4857" s="149" t="s">
        <v>406</v>
      </c>
      <c r="H4857" s="150" t="str">
        <f>IF(Proc[[#This Row],[type]]="LFF (MDG-F)",MID(Proc[[#This Row],[Obj]],13,10),"")</f>
        <v>TW02TPHZ21</v>
      </c>
      <c r="I4857" s="149" t="s">
        <v>7230</v>
      </c>
      <c r="J4857" s="150" t="b">
        <f>Proc[[#This Row],[Requested]]=Proc[[#This Row],[CurrentParent]]</f>
        <v>1</v>
      </c>
      <c r="K4857" s="150" t="str">
        <f>IF(Proc[[#This Row],[Author]]="Marcela Urrego",VLOOKUP(LEFT(Proc[[#This Row],[Requested]],1),Table3[#All],2,0),VLOOKUP(Proc[[#This Row],[Author]],Table4[],2,0))</f>
        <v>EL</v>
      </c>
      <c r="L4857" s="150" t="s">
        <v>6435</v>
      </c>
      <c r="M4857" s="173">
        <v>45989</v>
      </c>
      <c r="N4857" s="174"/>
      <c r="O4857" s="174"/>
      <c r="P4857" s="174" t="str">
        <f ca="1">IF(Proc[[#This Row],[DaysAgeing]]&gt;5,"yep","on track")</f>
        <v>yep</v>
      </c>
      <c r="Q4857" s="3">
        <f ca="1">IF(Proc[[#This Row],[DateClosed]]="",ABS(NETWORKDAYS(Proc[[#This Row],[DateOpened]],TODAY()))-1,ABS(NETWORKDAYS(Proc[[#This Row],[DateOpened]],Proc[[#This Row],[DateClosed]]))-1)</f>
        <v>10</v>
      </c>
      <c r="R4857" s="174" t="s">
        <v>5709</v>
      </c>
      <c r="S4857" s="150"/>
    </row>
    <row r="4858" spans="1:19" hidden="1">
      <c r="A4858" s="149" t="s">
        <v>7039</v>
      </c>
      <c r="B4858" s="150" t="str">
        <f>IFERROR(VLOOKUP(Proc[[#This Row],[App]],Table2[],3,0),"open")</f>
        <v>ok</v>
      </c>
      <c r="C4858" s="149" t="s">
        <v>369</v>
      </c>
      <c r="D4858" t="s">
        <v>7067</v>
      </c>
      <c r="E4858" s="149" t="s">
        <v>7230</v>
      </c>
      <c r="F4858" s="150" t="s">
        <v>7230</v>
      </c>
      <c r="G4858" s="149" t="s">
        <v>406</v>
      </c>
      <c r="H4858" s="150" t="str">
        <f>IF(Proc[[#This Row],[type]]="LFF (MDG-F)",MID(Proc[[#This Row],[Obj]],13,10),"")</f>
        <v>TW02TPHZ22</v>
      </c>
      <c r="I4858" s="149" t="s">
        <v>7230</v>
      </c>
      <c r="J4858" s="150" t="b">
        <f>Proc[[#This Row],[Requested]]=Proc[[#This Row],[CurrentParent]]</f>
        <v>1</v>
      </c>
      <c r="K4858" s="150" t="str">
        <f>IF(Proc[[#This Row],[Author]]="Marcela Urrego",VLOOKUP(LEFT(Proc[[#This Row],[Requested]],1),Table3[#All],2,0),VLOOKUP(Proc[[#This Row],[Author]],Table4[],2,0))</f>
        <v>EL</v>
      </c>
      <c r="L4858" s="150" t="s">
        <v>6435</v>
      </c>
      <c r="M4858" s="173">
        <v>45989</v>
      </c>
      <c r="N4858" s="174"/>
      <c r="O4858" s="174"/>
      <c r="P4858" s="174" t="str">
        <f ca="1">IF(Proc[[#This Row],[DaysAgeing]]&gt;5,"yep","on track")</f>
        <v>yep</v>
      </c>
      <c r="Q4858" s="3">
        <f ca="1">IF(Proc[[#This Row],[DateClosed]]="",ABS(NETWORKDAYS(Proc[[#This Row],[DateOpened]],TODAY()))-1,ABS(NETWORKDAYS(Proc[[#This Row],[DateOpened]],Proc[[#This Row],[DateClosed]]))-1)</f>
        <v>10</v>
      </c>
      <c r="R4858" s="174" t="s">
        <v>5709</v>
      </c>
      <c r="S4858" s="150"/>
    </row>
    <row r="4859" spans="1:19" hidden="1">
      <c r="A4859" s="149" t="s">
        <v>7039</v>
      </c>
      <c r="B4859" s="150" t="str">
        <f>IFERROR(VLOOKUP(Proc[[#This Row],[App]],Table2[],3,0),"open")</f>
        <v>ok</v>
      </c>
      <c r="C4859" s="149" t="s">
        <v>369</v>
      </c>
      <c r="D4859" t="s">
        <v>7068</v>
      </c>
      <c r="E4859" s="149" t="s">
        <v>7230</v>
      </c>
      <c r="F4859" s="150" t="s">
        <v>7230</v>
      </c>
      <c r="G4859" s="149" t="s">
        <v>406</v>
      </c>
      <c r="H4859" s="150" t="str">
        <f>IF(Proc[[#This Row],[type]]="LFF (MDG-F)",MID(Proc[[#This Row],[Obj]],13,10),"")</f>
        <v>TW02TPHZ23</v>
      </c>
      <c r="I4859" s="149" t="s">
        <v>7230</v>
      </c>
      <c r="J4859" s="150" t="b">
        <f>Proc[[#This Row],[Requested]]=Proc[[#This Row],[CurrentParent]]</f>
        <v>1</v>
      </c>
      <c r="K4859" s="150" t="str">
        <f>IF(Proc[[#This Row],[Author]]="Marcela Urrego",VLOOKUP(LEFT(Proc[[#This Row],[Requested]],1),Table3[#All],2,0),VLOOKUP(Proc[[#This Row],[Author]],Table4[],2,0))</f>
        <v>EL</v>
      </c>
      <c r="L4859" s="150" t="s">
        <v>6435</v>
      </c>
      <c r="M4859" s="173">
        <v>45989</v>
      </c>
      <c r="N4859" s="174"/>
      <c r="O4859" s="174"/>
      <c r="P4859" s="174" t="str">
        <f ca="1">IF(Proc[[#This Row],[DaysAgeing]]&gt;5,"yep","on track")</f>
        <v>yep</v>
      </c>
      <c r="Q4859" s="3">
        <f ca="1">IF(Proc[[#This Row],[DateClosed]]="",ABS(NETWORKDAYS(Proc[[#This Row],[DateOpened]],TODAY()))-1,ABS(NETWORKDAYS(Proc[[#This Row],[DateOpened]],Proc[[#This Row],[DateClosed]]))-1)</f>
        <v>10</v>
      </c>
      <c r="R4859" s="174" t="s">
        <v>5709</v>
      </c>
      <c r="S4859" s="150"/>
    </row>
    <row r="4860" spans="1:19" hidden="1">
      <c r="A4860" s="149" t="s">
        <v>7039</v>
      </c>
      <c r="B4860" s="150" t="str">
        <f>IFERROR(VLOOKUP(Proc[[#This Row],[App]],Table2[],3,0),"open")</f>
        <v>ok</v>
      </c>
      <c r="C4860" s="149" t="s">
        <v>369</v>
      </c>
      <c r="D4860" t="s">
        <v>7069</v>
      </c>
      <c r="E4860" s="149" t="s">
        <v>7230</v>
      </c>
      <c r="F4860" s="150" t="s">
        <v>7230</v>
      </c>
      <c r="G4860" s="149" t="s">
        <v>406</v>
      </c>
      <c r="H4860" s="150" t="str">
        <f>IF(Proc[[#This Row],[type]]="LFF (MDG-F)",MID(Proc[[#This Row],[Obj]],13,10),"")</f>
        <v>TW02TPTA21</v>
      </c>
      <c r="I4860" s="149" t="s">
        <v>7230</v>
      </c>
      <c r="J4860" s="150" t="b">
        <f>Proc[[#This Row],[Requested]]=Proc[[#This Row],[CurrentParent]]</f>
        <v>1</v>
      </c>
      <c r="K4860" s="150" t="str">
        <f>IF(Proc[[#This Row],[Author]]="Marcela Urrego",VLOOKUP(LEFT(Proc[[#This Row],[Requested]],1),Table3[#All],2,0),VLOOKUP(Proc[[#This Row],[Author]],Table4[],2,0))</f>
        <v>EL</v>
      </c>
      <c r="L4860" s="150" t="s">
        <v>6435</v>
      </c>
      <c r="M4860" s="173">
        <v>45989</v>
      </c>
      <c r="N4860" s="174"/>
      <c r="O4860" s="174"/>
      <c r="P4860" s="174" t="str">
        <f ca="1">IF(Proc[[#This Row],[DaysAgeing]]&gt;5,"yep","on track")</f>
        <v>yep</v>
      </c>
      <c r="Q4860" s="3">
        <f ca="1">IF(Proc[[#This Row],[DateClosed]]="",ABS(NETWORKDAYS(Proc[[#This Row],[DateOpened]],TODAY()))-1,ABS(NETWORKDAYS(Proc[[#This Row],[DateOpened]],Proc[[#This Row],[DateClosed]]))-1)</f>
        <v>10</v>
      </c>
      <c r="R4860" s="174" t="s">
        <v>5709</v>
      </c>
      <c r="S4860" s="150"/>
    </row>
    <row r="4861" spans="1:19" hidden="1">
      <c r="A4861" s="149" t="s">
        <v>7039</v>
      </c>
      <c r="B4861" s="150" t="str">
        <f>IFERROR(VLOOKUP(Proc[[#This Row],[App]],Table2[],3,0),"open")</f>
        <v>ok</v>
      </c>
      <c r="C4861" s="149" t="s">
        <v>369</v>
      </c>
      <c r="D4861" t="s">
        <v>7070</v>
      </c>
      <c r="E4861" s="149" t="s">
        <v>7230</v>
      </c>
      <c r="F4861" s="150" t="s">
        <v>7230</v>
      </c>
      <c r="G4861" s="149" t="s">
        <v>406</v>
      </c>
      <c r="H4861" s="150" t="str">
        <f>IF(Proc[[#This Row],[type]]="LFF (MDG-F)",MID(Proc[[#This Row],[Obj]],13,10),"")</f>
        <v>TW02TPTA22</v>
      </c>
      <c r="I4861" s="149" t="s">
        <v>7230</v>
      </c>
      <c r="J4861" s="150" t="b">
        <f>Proc[[#This Row],[Requested]]=Proc[[#This Row],[CurrentParent]]</f>
        <v>1</v>
      </c>
      <c r="K4861" s="150" t="str">
        <f>IF(Proc[[#This Row],[Author]]="Marcela Urrego",VLOOKUP(LEFT(Proc[[#This Row],[Requested]],1),Table3[#All],2,0),VLOOKUP(Proc[[#This Row],[Author]],Table4[],2,0))</f>
        <v>EL</v>
      </c>
      <c r="L4861" s="150" t="s">
        <v>6435</v>
      </c>
      <c r="M4861" s="173">
        <v>45989</v>
      </c>
      <c r="N4861" s="174"/>
      <c r="O4861" s="174"/>
      <c r="P4861" s="174" t="str">
        <f ca="1">IF(Proc[[#This Row],[DaysAgeing]]&gt;5,"yep","on track")</f>
        <v>yep</v>
      </c>
      <c r="Q4861" s="3">
        <f ca="1">IF(Proc[[#This Row],[DateClosed]]="",ABS(NETWORKDAYS(Proc[[#This Row],[DateOpened]],TODAY()))-1,ABS(NETWORKDAYS(Proc[[#This Row],[DateOpened]],Proc[[#This Row],[DateClosed]]))-1)</f>
        <v>10</v>
      </c>
      <c r="R4861" s="174" t="s">
        <v>5709</v>
      </c>
      <c r="S4861" s="150"/>
    </row>
    <row r="4862" spans="1:19" hidden="1">
      <c r="A4862" s="149" t="s">
        <v>7039</v>
      </c>
      <c r="B4862" s="150" t="str">
        <f>IFERROR(VLOOKUP(Proc[[#This Row],[App]],Table2[],3,0),"open")</f>
        <v>ok</v>
      </c>
      <c r="C4862" s="149" t="s">
        <v>369</v>
      </c>
      <c r="D4862" t="s">
        <v>7071</v>
      </c>
      <c r="E4862" s="149" t="s">
        <v>7230</v>
      </c>
      <c r="F4862" s="150" t="s">
        <v>7230</v>
      </c>
      <c r="G4862" s="149" t="s">
        <v>406</v>
      </c>
      <c r="H4862" s="150" t="str">
        <f>IF(Proc[[#This Row],[type]]="LFF (MDG-F)",MID(Proc[[#This Row],[Obj]],13,10),"")</f>
        <v>TW03TQKZ22</v>
      </c>
      <c r="I4862" s="149" t="s">
        <v>7230</v>
      </c>
      <c r="J4862" s="150" t="b">
        <f>Proc[[#This Row],[Requested]]=Proc[[#This Row],[CurrentParent]]</f>
        <v>1</v>
      </c>
      <c r="K4862" s="150" t="str">
        <f>IF(Proc[[#This Row],[Author]]="Marcela Urrego",VLOOKUP(LEFT(Proc[[#This Row],[Requested]],1),Table3[#All],2,0),VLOOKUP(Proc[[#This Row],[Author]],Table4[],2,0))</f>
        <v>EL</v>
      </c>
      <c r="L4862" s="150" t="s">
        <v>6435</v>
      </c>
      <c r="M4862" s="173">
        <v>45989</v>
      </c>
      <c r="N4862" s="174"/>
      <c r="O4862" s="174"/>
      <c r="P4862" s="174" t="str">
        <f ca="1">IF(Proc[[#This Row],[DaysAgeing]]&gt;5,"yep","on track")</f>
        <v>yep</v>
      </c>
      <c r="Q4862" s="3">
        <f ca="1">IF(Proc[[#This Row],[DateClosed]]="",ABS(NETWORKDAYS(Proc[[#This Row],[DateOpened]],TODAY()))-1,ABS(NETWORKDAYS(Proc[[#This Row],[DateOpened]],Proc[[#This Row],[DateClosed]]))-1)</f>
        <v>10</v>
      </c>
      <c r="R4862" s="174" t="s">
        <v>5709</v>
      </c>
      <c r="S4862" s="150"/>
    </row>
    <row r="4863" spans="1:19" hidden="1">
      <c r="A4863" s="149" t="s">
        <v>7039</v>
      </c>
      <c r="B4863" s="150" t="str">
        <f>IFERROR(VLOOKUP(Proc[[#This Row],[App]],Table2[],3,0),"open")</f>
        <v>ok</v>
      </c>
      <c r="C4863" s="149" t="s">
        <v>369</v>
      </c>
      <c r="D4863" t="s">
        <v>7072</v>
      </c>
      <c r="E4863" s="149" t="s">
        <v>7231</v>
      </c>
      <c r="F4863" s="150" t="s">
        <v>7231</v>
      </c>
      <c r="G4863" s="149" t="s">
        <v>406</v>
      </c>
      <c r="H4863" s="150" t="str">
        <f>IF(Proc[[#This Row],[type]]="LFF (MDG-F)",MID(Proc[[#This Row],[Obj]],13,10),"")</f>
        <v>SG09TPX004</v>
      </c>
      <c r="I4863" s="149" t="s">
        <v>7231</v>
      </c>
      <c r="J4863" s="150" t="b">
        <f>Proc[[#This Row],[Requested]]=Proc[[#This Row],[CurrentParent]]</f>
        <v>1</v>
      </c>
      <c r="K4863" s="150" t="str">
        <f>IF(Proc[[#This Row],[Author]]="Marcela Urrego",VLOOKUP(LEFT(Proc[[#This Row],[Requested]],1),Table3[#All],2,0),VLOOKUP(Proc[[#This Row],[Author]],Table4[],2,0))</f>
        <v>EL</v>
      </c>
      <c r="L4863" s="150" t="s">
        <v>6435</v>
      </c>
      <c r="M4863" s="173">
        <v>45989</v>
      </c>
      <c r="N4863" s="174"/>
      <c r="O4863" s="174"/>
      <c r="P4863" s="174" t="str">
        <f ca="1">IF(Proc[[#This Row],[DaysAgeing]]&gt;5,"yep","on track")</f>
        <v>yep</v>
      </c>
      <c r="Q4863" s="3">
        <f ca="1">IF(Proc[[#This Row],[DateClosed]]="",ABS(NETWORKDAYS(Proc[[#This Row],[DateOpened]],TODAY()))-1,ABS(NETWORKDAYS(Proc[[#This Row],[DateOpened]],Proc[[#This Row],[DateClosed]]))-1)</f>
        <v>10</v>
      </c>
      <c r="R4863" s="174" t="s">
        <v>5709</v>
      </c>
      <c r="S4863" s="150"/>
    </row>
    <row r="4864" spans="1:19" hidden="1">
      <c r="A4864" s="149" t="s">
        <v>7039</v>
      </c>
      <c r="B4864" s="150" t="str">
        <f>IFERROR(VLOOKUP(Proc[[#This Row],[App]],Table2[],3,0),"open")</f>
        <v>ok</v>
      </c>
      <c r="C4864" s="149" t="s">
        <v>369</v>
      </c>
      <c r="D4864" t="s">
        <v>7073</v>
      </c>
      <c r="E4864" s="149" t="s">
        <v>7231</v>
      </c>
      <c r="F4864" s="150" t="s">
        <v>7231</v>
      </c>
      <c r="G4864" s="149" t="s">
        <v>406</v>
      </c>
      <c r="H4864" s="150" t="str">
        <f>IF(Proc[[#This Row],[type]]="LFF (MDG-F)",MID(Proc[[#This Row],[Obj]],13,10),"")</f>
        <v>TW02TQMZ02</v>
      </c>
      <c r="I4864" s="149" t="s">
        <v>7231</v>
      </c>
      <c r="J4864" s="150" t="b">
        <f>Proc[[#This Row],[Requested]]=Proc[[#This Row],[CurrentParent]]</f>
        <v>1</v>
      </c>
      <c r="K4864" s="150" t="str">
        <f>IF(Proc[[#This Row],[Author]]="Marcela Urrego",VLOOKUP(LEFT(Proc[[#This Row],[Requested]],1),Table3[#All],2,0),VLOOKUP(Proc[[#This Row],[Author]],Table4[],2,0))</f>
        <v>EL</v>
      </c>
      <c r="L4864" s="150" t="s">
        <v>6435</v>
      </c>
      <c r="M4864" s="173">
        <v>45989</v>
      </c>
      <c r="N4864" s="174"/>
      <c r="O4864" s="174"/>
      <c r="P4864" s="174" t="str">
        <f ca="1">IF(Proc[[#This Row],[DaysAgeing]]&gt;5,"yep","on track")</f>
        <v>yep</v>
      </c>
      <c r="Q4864" s="3">
        <f ca="1">IF(Proc[[#This Row],[DateClosed]]="",ABS(NETWORKDAYS(Proc[[#This Row],[DateOpened]],TODAY()))-1,ABS(NETWORKDAYS(Proc[[#This Row],[DateOpened]],Proc[[#This Row],[DateClosed]]))-1)</f>
        <v>10</v>
      </c>
      <c r="R4864" s="174" t="s">
        <v>5709</v>
      </c>
      <c r="S4864" s="150"/>
    </row>
    <row r="4865" spans="1:19" hidden="1">
      <c r="A4865" s="149" t="s">
        <v>7039</v>
      </c>
      <c r="B4865" s="150" t="str">
        <f>IFERROR(VLOOKUP(Proc[[#This Row],[App]],Table2[],3,0),"open")</f>
        <v>ok</v>
      </c>
      <c r="C4865" s="149" t="s">
        <v>369</v>
      </c>
      <c r="D4865" t="s">
        <v>7074</v>
      </c>
      <c r="E4865" s="149" t="s">
        <v>7231</v>
      </c>
      <c r="F4865" s="150" t="s">
        <v>7231</v>
      </c>
      <c r="G4865" s="149" t="s">
        <v>406</v>
      </c>
      <c r="H4865" s="150" t="str">
        <f>IF(Proc[[#This Row],[type]]="LFF (MDG-F)",MID(Proc[[#This Row],[Obj]],13,10),"")</f>
        <v>TW03TQKZ12</v>
      </c>
      <c r="I4865" s="149" t="s">
        <v>7231</v>
      </c>
      <c r="J4865" s="150" t="b">
        <f>Proc[[#This Row],[Requested]]=Proc[[#This Row],[CurrentParent]]</f>
        <v>1</v>
      </c>
      <c r="K4865" s="150" t="str">
        <f>IF(Proc[[#This Row],[Author]]="Marcela Urrego",VLOOKUP(LEFT(Proc[[#This Row],[Requested]],1),Table3[#All],2,0),VLOOKUP(Proc[[#This Row],[Author]],Table4[],2,0))</f>
        <v>EL</v>
      </c>
      <c r="L4865" s="150" t="s">
        <v>6435</v>
      </c>
      <c r="M4865" s="173">
        <v>45989</v>
      </c>
      <c r="N4865" s="174"/>
      <c r="O4865" s="174"/>
      <c r="P4865" s="174" t="str">
        <f ca="1">IF(Proc[[#This Row],[DaysAgeing]]&gt;5,"yep","on track")</f>
        <v>yep</v>
      </c>
      <c r="Q4865" s="3">
        <f ca="1">IF(Proc[[#This Row],[DateClosed]]="",ABS(NETWORKDAYS(Proc[[#This Row],[DateOpened]],TODAY()))-1,ABS(NETWORKDAYS(Proc[[#This Row],[DateOpened]],Proc[[#This Row],[DateClosed]]))-1)</f>
        <v>10</v>
      </c>
      <c r="R4865" s="174" t="s">
        <v>5709</v>
      </c>
      <c r="S4865" s="150"/>
    </row>
    <row r="4866" spans="1:19" hidden="1">
      <c r="A4866" s="149" t="s">
        <v>7039</v>
      </c>
      <c r="B4866" s="150" t="str">
        <f>IFERROR(VLOOKUP(Proc[[#This Row],[App]],Table2[],3,0),"open")</f>
        <v>ok</v>
      </c>
      <c r="C4866" s="149" t="s">
        <v>369</v>
      </c>
      <c r="D4866" t="s">
        <v>7075</v>
      </c>
      <c r="E4866" s="149" t="s">
        <v>7231</v>
      </c>
      <c r="F4866" s="150" t="s">
        <v>7231</v>
      </c>
      <c r="G4866" s="149" t="s">
        <v>406</v>
      </c>
      <c r="H4866" s="150" t="str">
        <f>IF(Proc[[#This Row],[type]]="LFF (MDG-F)",MID(Proc[[#This Row],[Obj]],13,10),"")</f>
        <v>MY10DB3300</v>
      </c>
      <c r="I4866" s="149" t="s">
        <v>7231</v>
      </c>
      <c r="J4866" s="150" t="b">
        <f>Proc[[#This Row],[Requested]]=Proc[[#This Row],[CurrentParent]]</f>
        <v>1</v>
      </c>
      <c r="K4866" s="150" t="str">
        <f>IF(Proc[[#This Row],[Author]]="Marcela Urrego",VLOOKUP(LEFT(Proc[[#This Row],[Requested]],1),Table3[#All],2,0),VLOOKUP(Proc[[#This Row],[Author]],Table4[],2,0))</f>
        <v>EL</v>
      </c>
      <c r="L4866" s="150" t="s">
        <v>6435</v>
      </c>
      <c r="M4866" s="173">
        <v>45989</v>
      </c>
      <c r="N4866" s="174"/>
      <c r="O4866" s="174"/>
      <c r="P4866" s="174" t="str">
        <f ca="1">IF(Proc[[#This Row],[DaysAgeing]]&gt;5,"yep","on track")</f>
        <v>yep</v>
      </c>
      <c r="Q4866" s="3">
        <f ca="1">IF(Proc[[#This Row],[DateClosed]]="",ABS(NETWORKDAYS(Proc[[#This Row],[DateOpened]],TODAY()))-1,ABS(NETWORKDAYS(Proc[[#This Row],[DateOpened]],Proc[[#This Row],[DateClosed]]))-1)</f>
        <v>10</v>
      </c>
      <c r="R4866" s="174" t="s">
        <v>5709</v>
      </c>
      <c r="S4866" s="150"/>
    </row>
    <row r="4867" spans="1:19" hidden="1">
      <c r="A4867" s="149" t="s">
        <v>7039</v>
      </c>
      <c r="B4867" s="150" t="str">
        <f>IFERROR(VLOOKUP(Proc[[#This Row],[App]],Table2[],3,0),"open")</f>
        <v>ok</v>
      </c>
      <c r="C4867" s="149" t="s">
        <v>369</v>
      </c>
      <c r="D4867" t="s">
        <v>7076</v>
      </c>
      <c r="E4867" s="149" t="s">
        <v>7231</v>
      </c>
      <c r="F4867" s="150" t="s">
        <v>7231</v>
      </c>
      <c r="G4867" s="149" t="s">
        <v>406</v>
      </c>
      <c r="H4867" s="150" t="str">
        <f>IF(Proc[[#This Row],[type]]="LFF (MDG-F)",MID(Proc[[#This Row],[Obj]],13,10),"")</f>
        <v>SG10TM3000</v>
      </c>
      <c r="I4867" s="149" t="s">
        <v>7231</v>
      </c>
      <c r="J4867" s="150" t="b">
        <f>Proc[[#This Row],[Requested]]=Proc[[#This Row],[CurrentParent]]</f>
        <v>1</v>
      </c>
      <c r="K4867" s="150" t="str">
        <f>IF(Proc[[#This Row],[Author]]="Marcela Urrego",VLOOKUP(LEFT(Proc[[#This Row],[Requested]],1),Table3[#All],2,0),VLOOKUP(Proc[[#This Row],[Author]],Table4[],2,0))</f>
        <v>EL</v>
      </c>
      <c r="L4867" s="150" t="s">
        <v>6435</v>
      </c>
      <c r="M4867" s="173">
        <v>45989</v>
      </c>
      <c r="N4867" s="174"/>
      <c r="O4867" s="174"/>
      <c r="P4867" s="174" t="str">
        <f ca="1">IF(Proc[[#This Row],[DaysAgeing]]&gt;5,"yep","on track")</f>
        <v>yep</v>
      </c>
      <c r="Q4867" s="3">
        <f ca="1">IF(Proc[[#This Row],[DateClosed]]="",ABS(NETWORKDAYS(Proc[[#This Row],[DateOpened]],TODAY()))-1,ABS(NETWORKDAYS(Proc[[#This Row],[DateOpened]],Proc[[#This Row],[DateClosed]]))-1)</f>
        <v>10</v>
      </c>
      <c r="R4867" s="174" t="s">
        <v>5709</v>
      </c>
      <c r="S4867" s="150"/>
    </row>
    <row r="4868" spans="1:19" hidden="1">
      <c r="A4868" s="149" t="s">
        <v>7039</v>
      </c>
      <c r="B4868" s="150" t="str">
        <f>IFERROR(VLOOKUP(Proc[[#This Row],[App]],Table2[],3,0),"open")</f>
        <v>ok</v>
      </c>
      <c r="C4868" s="149" t="s">
        <v>369</v>
      </c>
      <c r="D4868" t="s">
        <v>7077</v>
      </c>
      <c r="E4868" s="149" t="s">
        <v>7231</v>
      </c>
      <c r="F4868" s="150" t="s">
        <v>7231</v>
      </c>
      <c r="G4868" s="149" t="s">
        <v>406</v>
      </c>
      <c r="H4868" s="150" t="str">
        <f>IF(Proc[[#This Row],[type]]="LFF (MDG-F)",MID(Proc[[#This Row],[Obj]],13,10),"")</f>
        <v>TW10DB3300</v>
      </c>
      <c r="I4868" s="149" t="s">
        <v>7231</v>
      </c>
      <c r="J4868" s="150" t="b">
        <f>Proc[[#This Row],[Requested]]=Proc[[#This Row],[CurrentParent]]</f>
        <v>1</v>
      </c>
      <c r="K4868" s="150" t="str">
        <f>IF(Proc[[#This Row],[Author]]="Marcela Urrego",VLOOKUP(LEFT(Proc[[#This Row],[Requested]],1),Table3[#All],2,0),VLOOKUP(Proc[[#This Row],[Author]],Table4[],2,0))</f>
        <v>EL</v>
      </c>
      <c r="L4868" s="150" t="s">
        <v>6435</v>
      </c>
      <c r="M4868" s="173">
        <v>45989</v>
      </c>
      <c r="N4868" s="174"/>
      <c r="O4868" s="174"/>
      <c r="P4868" s="174" t="str">
        <f ca="1">IF(Proc[[#This Row],[DaysAgeing]]&gt;5,"yep","on track")</f>
        <v>yep</v>
      </c>
      <c r="Q4868" s="3">
        <f ca="1">IF(Proc[[#This Row],[DateClosed]]="",ABS(NETWORKDAYS(Proc[[#This Row],[DateOpened]],TODAY()))-1,ABS(NETWORKDAYS(Proc[[#This Row],[DateOpened]],Proc[[#This Row],[DateClosed]]))-1)</f>
        <v>10</v>
      </c>
      <c r="R4868" s="174" t="s">
        <v>5709</v>
      </c>
      <c r="S4868" s="150"/>
    </row>
    <row r="4869" spans="1:19" hidden="1">
      <c r="A4869" s="149" t="s">
        <v>7039</v>
      </c>
      <c r="B4869" s="150" t="str">
        <f>IFERROR(VLOOKUP(Proc[[#This Row],[App]],Table2[],3,0),"open")</f>
        <v>ok</v>
      </c>
      <c r="C4869" s="149" t="s">
        <v>369</v>
      </c>
      <c r="D4869" t="s">
        <v>7078</v>
      </c>
      <c r="E4869" s="149" t="s">
        <v>7232</v>
      </c>
      <c r="F4869" s="150" t="s">
        <v>7232</v>
      </c>
      <c r="G4869" s="149" t="s">
        <v>406</v>
      </c>
      <c r="H4869" s="150" t="str">
        <f>IF(Proc[[#This Row],[type]]="LFF (MDG-F)",MID(Proc[[#This Row],[Obj]],13,10),"")</f>
        <v>TW10DB3301</v>
      </c>
      <c r="I4869" s="149" t="s">
        <v>7232</v>
      </c>
      <c r="J4869" s="150" t="b">
        <f>Proc[[#This Row],[Requested]]=Proc[[#This Row],[CurrentParent]]</f>
        <v>1</v>
      </c>
      <c r="K4869" s="150" t="str">
        <f>IF(Proc[[#This Row],[Author]]="Marcela Urrego",VLOOKUP(LEFT(Proc[[#This Row],[Requested]],1),Table3[#All],2,0),VLOOKUP(Proc[[#This Row],[Author]],Table4[],2,0))</f>
        <v>EL</v>
      </c>
      <c r="L4869" s="150" t="s">
        <v>6435</v>
      </c>
      <c r="M4869" s="173">
        <v>45989</v>
      </c>
      <c r="N4869" s="174"/>
      <c r="O4869" s="174"/>
      <c r="P4869" s="174" t="str">
        <f ca="1">IF(Proc[[#This Row],[DaysAgeing]]&gt;5,"yep","on track")</f>
        <v>yep</v>
      </c>
      <c r="Q4869" s="3">
        <f ca="1">IF(Proc[[#This Row],[DateClosed]]="",ABS(NETWORKDAYS(Proc[[#This Row],[DateOpened]],TODAY()))-1,ABS(NETWORKDAYS(Proc[[#This Row],[DateOpened]],Proc[[#This Row],[DateClosed]]))-1)</f>
        <v>10</v>
      </c>
      <c r="R4869" s="174" t="s">
        <v>5709</v>
      </c>
      <c r="S4869" s="150"/>
    </row>
    <row r="4870" spans="1:19" hidden="1">
      <c r="A4870" s="149" t="s">
        <v>7039</v>
      </c>
      <c r="B4870" s="150" t="str">
        <f>IFERROR(VLOOKUP(Proc[[#This Row],[App]],Table2[],3,0),"open")</f>
        <v>ok</v>
      </c>
      <c r="C4870" s="149" t="s">
        <v>369</v>
      </c>
      <c r="D4870" t="s">
        <v>7079</v>
      </c>
      <c r="E4870" s="149" t="s">
        <v>7232</v>
      </c>
      <c r="F4870" s="150" t="s">
        <v>7232</v>
      </c>
      <c r="G4870" s="149" t="s">
        <v>406</v>
      </c>
      <c r="H4870" s="150" t="str">
        <f>IF(Proc[[#This Row],[type]]="LFF (MDG-F)",MID(Proc[[#This Row],[Obj]],13,10),"")</f>
        <v>TW10DB3305</v>
      </c>
      <c r="I4870" s="149" t="s">
        <v>7232</v>
      </c>
      <c r="J4870" s="150" t="b">
        <f>Proc[[#This Row],[Requested]]=Proc[[#This Row],[CurrentParent]]</f>
        <v>1</v>
      </c>
      <c r="K4870" s="150" t="str">
        <f>IF(Proc[[#This Row],[Author]]="Marcela Urrego",VLOOKUP(LEFT(Proc[[#This Row],[Requested]],1),Table3[#All],2,0),VLOOKUP(Proc[[#This Row],[Author]],Table4[],2,0))</f>
        <v>EL</v>
      </c>
      <c r="L4870" s="150" t="s">
        <v>6435</v>
      </c>
      <c r="M4870" s="173">
        <v>45989</v>
      </c>
      <c r="N4870" s="174"/>
      <c r="O4870" s="174"/>
      <c r="P4870" s="174" t="str">
        <f ca="1">IF(Proc[[#This Row],[DaysAgeing]]&gt;5,"yep","on track")</f>
        <v>yep</v>
      </c>
      <c r="Q4870" s="3">
        <f ca="1">IF(Proc[[#This Row],[DateClosed]]="",ABS(NETWORKDAYS(Proc[[#This Row],[DateOpened]],TODAY()))-1,ABS(NETWORKDAYS(Proc[[#This Row],[DateOpened]],Proc[[#This Row],[DateClosed]]))-1)</f>
        <v>10</v>
      </c>
      <c r="R4870" s="174" t="s">
        <v>5709</v>
      </c>
      <c r="S4870" s="150"/>
    </row>
    <row r="4871" spans="1:19" hidden="1">
      <c r="A4871" s="149" t="s">
        <v>7039</v>
      </c>
      <c r="B4871" s="150" t="str">
        <f>IFERROR(VLOOKUP(Proc[[#This Row],[App]],Table2[],3,0),"open")</f>
        <v>ok</v>
      </c>
      <c r="C4871" s="149" t="s">
        <v>369</v>
      </c>
      <c r="D4871" t="s">
        <v>7080</v>
      </c>
      <c r="E4871" s="149" t="s">
        <v>7232</v>
      </c>
      <c r="F4871" s="150" t="s">
        <v>7232</v>
      </c>
      <c r="G4871" s="149" t="s">
        <v>406</v>
      </c>
      <c r="H4871" s="150" t="str">
        <f>IF(Proc[[#This Row],[type]]="LFF (MDG-F)",MID(Proc[[#This Row],[Obj]],13,10),"")</f>
        <v>MY10TM4000</v>
      </c>
      <c r="I4871" s="149" t="s">
        <v>7232</v>
      </c>
      <c r="J4871" s="150" t="b">
        <f>Proc[[#This Row],[Requested]]=Proc[[#This Row],[CurrentParent]]</f>
        <v>1</v>
      </c>
      <c r="K4871" s="150" t="str">
        <f>IF(Proc[[#This Row],[Author]]="Marcela Urrego",VLOOKUP(LEFT(Proc[[#This Row],[Requested]],1),Table3[#All],2,0),VLOOKUP(Proc[[#This Row],[Author]],Table4[],2,0))</f>
        <v>EL</v>
      </c>
      <c r="L4871" s="150" t="s">
        <v>6435</v>
      </c>
      <c r="M4871" s="173">
        <v>45989</v>
      </c>
      <c r="N4871" s="174"/>
      <c r="O4871" s="174"/>
      <c r="P4871" s="174" t="str">
        <f ca="1">IF(Proc[[#This Row],[DaysAgeing]]&gt;5,"yep","on track")</f>
        <v>yep</v>
      </c>
      <c r="Q4871" s="3">
        <f ca="1">IF(Proc[[#This Row],[DateClosed]]="",ABS(NETWORKDAYS(Proc[[#This Row],[DateOpened]],TODAY()))-1,ABS(NETWORKDAYS(Proc[[#This Row],[DateOpened]],Proc[[#This Row],[DateClosed]]))-1)</f>
        <v>10</v>
      </c>
      <c r="R4871" s="174" t="s">
        <v>5709</v>
      </c>
      <c r="S4871" s="150"/>
    </row>
    <row r="4872" spans="1:19" hidden="1">
      <c r="A4872" s="149" t="s">
        <v>7039</v>
      </c>
      <c r="B4872" s="150" t="str">
        <f>IFERROR(VLOOKUP(Proc[[#This Row],[App]],Table2[],3,0),"open")</f>
        <v>ok</v>
      </c>
      <c r="C4872" s="149" t="s">
        <v>369</v>
      </c>
      <c r="D4872" t="s">
        <v>7081</v>
      </c>
      <c r="E4872" s="149" t="s">
        <v>7232</v>
      </c>
      <c r="F4872" s="150" t="s">
        <v>7232</v>
      </c>
      <c r="G4872" s="149" t="s">
        <v>406</v>
      </c>
      <c r="H4872" s="150" t="str">
        <f>IF(Proc[[#This Row],[type]]="LFF (MDG-F)",MID(Proc[[#This Row],[Obj]],13,10),"")</f>
        <v>SG10TM4000</v>
      </c>
      <c r="I4872" s="149" t="s">
        <v>7232</v>
      </c>
      <c r="J4872" s="150" t="b">
        <f>Proc[[#This Row],[Requested]]=Proc[[#This Row],[CurrentParent]]</f>
        <v>1</v>
      </c>
      <c r="K4872" s="150" t="str">
        <f>IF(Proc[[#This Row],[Author]]="Marcela Urrego",VLOOKUP(LEFT(Proc[[#This Row],[Requested]],1),Table3[#All],2,0),VLOOKUP(Proc[[#This Row],[Author]],Table4[],2,0))</f>
        <v>EL</v>
      </c>
      <c r="L4872" s="150" t="s">
        <v>6435</v>
      </c>
      <c r="M4872" s="173">
        <v>45989</v>
      </c>
      <c r="N4872" s="174"/>
      <c r="O4872" s="174"/>
      <c r="P4872" s="174" t="str">
        <f ca="1">IF(Proc[[#This Row],[DaysAgeing]]&gt;5,"yep","on track")</f>
        <v>yep</v>
      </c>
      <c r="Q4872" s="3">
        <f ca="1">IF(Proc[[#This Row],[DateClosed]]="",ABS(NETWORKDAYS(Proc[[#This Row],[DateOpened]],TODAY()))-1,ABS(NETWORKDAYS(Proc[[#This Row],[DateOpened]],Proc[[#This Row],[DateClosed]]))-1)</f>
        <v>10</v>
      </c>
      <c r="R4872" s="174" t="s">
        <v>5709</v>
      </c>
      <c r="S4872" s="150"/>
    </row>
    <row r="4873" spans="1:19" hidden="1">
      <c r="A4873" s="149" t="s">
        <v>7039</v>
      </c>
      <c r="B4873" s="150" t="str">
        <f>IFERROR(VLOOKUP(Proc[[#This Row],[App]],Table2[],3,0),"open")</f>
        <v>ok</v>
      </c>
      <c r="C4873" s="149" t="s">
        <v>369</v>
      </c>
      <c r="D4873" t="s">
        <v>7082</v>
      </c>
      <c r="E4873" s="149" t="s">
        <v>7232</v>
      </c>
      <c r="F4873" s="150" t="s">
        <v>7232</v>
      </c>
      <c r="G4873" s="149" t="s">
        <v>406</v>
      </c>
      <c r="H4873" s="150" t="str">
        <f>IF(Proc[[#This Row],[type]]="LFF (MDG-F)",MID(Proc[[#This Row],[Obj]],13,10),"")</f>
        <v>TW10TM4001</v>
      </c>
      <c r="I4873" s="149" t="s">
        <v>7232</v>
      </c>
      <c r="J4873" s="150" t="b">
        <f>Proc[[#This Row],[Requested]]=Proc[[#This Row],[CurrentParent]]</f>
        <v>1</v>
      </c>
      <c r="K4873" s="150" t="str">
        <f>IF(Proc[[#This Row],[Author]]="Marcela Urrego",VLOOKUP(LEFT(Proc[[#This Row],[Requested]],1),Table3[#All],2,0),VLOOKUP(Proc[[#This Row],[Author]],Table4[],2,0))</f>
        <v>EL</v>
      </c>
      <c r="L4873" s="150" t="s">
        <v>6435</v>
      </c>
      <c r="M4873" s="173">
        <v>45989</v>
      </c>
      <c r="N4873" s="174"/>
      <c r="O4873" s="174"/>
      <c r="P4873" s="174" t="str">
        <f ca="1">IF(Proc[[#This Row],[DaysAgeing]]&gt;5,"yep","on track")</f>
        <v>yep</v>
      </c>
      <c r="Q4873" s="3">
        <f ca="1">IF(Proc[[#This Row],[DateClosed]]="",ABS(NETWORKDAYS(Proc[[#This Row],[DateOpened]],TODAY()))-1,ABS(NETWORKDAYS(Proc[[#This Row],[DateOpened]],Proc[[#This Row],[DateClosed]]))-1)</f>
        <v>10</v>
      </c>
      <c r="R4873" s="174" t="s">
        <v>5709</v>
      </c>
      <c r="S4873" s="150"/>
    </row>
    <row r="4874" spans="1:19" hidden="1">
      <c r="A4874" s="149" t="s">
        <v>7039</v>
      </c>
      <c r="B4874" s="150" t="str">
        <f>IFERROR(VLOOKUP(Proc[[#This Row],[App]],Table2[],3,0),"open")</f>
        <v>ok</v>
      </c>
      <c r="C4874" s="149" t="s">
        <v>369</v>
      </c>
      <c r="D4874" t="s">
        <v>7083</v>
      </c>
      <c r="E4874" s="149" t="s">
        <v>7232</v>
      </c>
      <c r="F4874" s="150" t="s">
        <v>7232</v>
      </c>
      <c r="G4874" s="149" t="s">
        <v>406</v>
      </c>
      <c r="H4874" s="150" t="str">
        <f>IF(Proc[[#This Row],[type]]="LFF (MDG-F)",MID(Proc[[#This Row],[Obj]],13,10),"")</f>
        <v>TW10TM4002</v>
      </c>
      <c r="I4874" s="149" t="s">
        <v>7232</v>
      </c>
      <c r="J4874" s="150" t="b">
        <f>Proc[[#This Row],[Requested]]=Proc[[#This Row],[CurrentParent]]</f>
        <v>1</v>
      </c>
      <c r="K4874" s="150" t="str">
        <f>IF(Proc[[#This Row],[Author]]="Marcela Urrego",VLOOKUP(LEFT(Proc[[#This Row],[Requested]],1),Table3[#All],2,0),VLOOKUP(Proc[[#This Row],[Author]],Table4[],2,0))</f>
        <v>EL</v>
      </c>
      <c r="L4874" s="150" t="s">
        <v>6435</v>
      </c>
      <c r="M4874" s="173">
        <v>45989</v>
      </c>
      <c r="N4874" s="174"/>
      <c r="O4874" s="174"/>
      <c r="P4874" s="174" t="str">
        <f ca="1">IF(Proc[[#This Row],[DaysAgeing]]&gt;5,"yep","on track")</f>
        <v>yep</v>
      </c>
      <c r="Q4874" s="3">
        <f ca="1">IF(Proc[[#This Row],[DateClosed]]="",ABS(NETWORKDAYS(Proc[[#This Row],[DateOpened]],TODAY()))-1,ABS(NETWORKDAYS(Proc[[#This Row],[DateOpened]],Proc[[#This Row],[DateClosed]]))-1)</f>
        <v>10</v>
      </c>
      <c r="R4874" s="174" t="s">
        <v>5709</v>
      </c>
      <c r="S4874" s="150"/>
    </row>
    <row r="4875" spans="1:19" hidden="1">
      <c r="A4875" s="149" t="s">
        <v>7039</v>
      </c>
      <c r="B4875" s="150" t="str">
        <f>IFERROR(VLOOKUP(Proc[[#This Row],[App]],Table2[],3,0),"open")</f>
        <v>ok</v>
      </c>
      <c r="C4875" s="149" t="s">
        <v>369</v>
      </c>
      <c r="D4875" t="s">
        <v>7084</v>
      </c>
      <c r="E4875" s="149" t="s">
        <v>7232</v>
      </c>
      <c r="F4875" s="150" t="s">
        <v>7232</v>
      </c>
      <c r="G4875" s="149" t="s">
        <v>406</v>
      </c>
      <c r="H4875" s="150" t="str">
        <f>IF(Proc[[#This Row],[type]]="LFF (MDG-F)",MID(Proc[[#This Row],[Obj]],13,10),"")</f>
        <v>TW91TM4000</v>
      </c>
      <c r="I4875" s="149" t="s">
        <v>7232</v>
      </c>
      <c r="J4875" s="150" t="b">
        <f>Proc[[#This Row],[Requested]]=Proc[[#This Row],[CurrentParent]]</f>
        <v>1</v>
      </c>
      <c r="K4875" s="150" t="str">
        <f>IF(Proc[[#This Row],[Author]]="Marcela Urrego",VLOOKUP(LEFT(Proc[[#This Row],[Requested]],1),Table3[#All],2,0),VLOOKUP(Proc[[#This Row],[Author]],Table4[],2,0))</f>
        <v>EL</v>
      </c>
      <c r="L4875" s="150" t="s">
        <v>6435</v>
      </c>
      <c r="M4875" s="173">
        <v>45989</v>
      </c>
      <c r="N4875" s="174"/>
      <c r="O4875" s="174"/>
      <c r="P4875" s="174" t="str">
        <f ca="1">IF(Proc[[#This Row],[DaysAgeing]]&gt;5,"yep","on track")</f>
        <v>yep</v>
      </c>
      <c r="Q4875" s="3">
        <f ca="1">IF(Proc[[#This Row],[DateClosed]]="",ABS(NETWORKDAYS(Proc[[#This Row],[DateOpened]],TODAY()))-1,ABS(NETWORKDAYS(Proc[[#This Row],[DateOpened]],Proc[[#This Row],[DateClosed]]))-1)</f>
        <v>10</v>
      </c>
      <c r="R4875" s="174" t="s">
        <v>5709</v>
      </c>
      <c r="S4875" s="150"/>
    </row>
    <row r="4876" spans="1:19" hidden="1">
      <c r="A4876" s="149" t="s">
        <v>7039</v>
      </c>
      <c r="B4876" s="150" t="str">
        <f>IFERROR(VLOOKUP(Proc[[#This Row],[App]],Table2[],3,0),"open")</f>
        <v>ok</v>
      </c>
      <c r="C4876" s="149" t="s">
        <v>369</v>
      </c>
      <c r="D4876" t="s">
        <v>7085</v>
      </c>
      <c r="E4876" s="149" t="s">
        <v>7232</v>
      </c>
      <c r="F4876" s="150" t="s">
        <v>7232</v>
      </c>
      <c r="G4876" s="149" t="s">
        <v>406</v>
      </c>
      <c r="H4876" s="150" t="str">
        <f>IF(Proc[[#This Row],[type]]="LFF (MDG-F)",MID(Proc[[#This Row],[Obj]],13,10),"")</f>
        <v>TW91TM4001</v>
      </c>
      <c r="I4876" s="149" t="s">
        <v>7232</v>
      </c>
      <c r="J4876" s="150" t="b">
        <f>Proc[[#This Row],[Requested]]=Proc[[#This Row],[CurrentParent]]</f>
        <v>1</v>
      </c>
      <c r="K4876" s="150" t="str">
        <f>IF(Proc[[#This Row],[Author]]="Marcela Urrego",VLOOKUP(LEFT(Proc[[#This Row],[Requested]],1),Table3[#All],2,0),VLOOKUP(Proc[[#This Row],[Author]],Table4[],2,0))</f>
        <v>EL</v>
      </c>
      <c r="L4876" s="150" t="s">
        <v>6435</v>
      </c>
      <c r="M4876" s="173">
        <v>45989</v>
      </c>
      <c r="N4876" s="174"/>
      <c r="O4876" s="174"/>
      <c r="P4876" s="174" t="str">
        <f ca="1">IF(Proc[[#This Row],[DaysAgeing]]&gt;5,"yep","on track")</f>
        <v>yep</v>
      </c>
      <c r="Q4876" s="3">
        <f ca="1">IF(Proc[[#This Row],[DateClosed]]="",ABS(NETWORKDAYS(Proc[[#This Row],[DateOpened]],TODAY()))-1,ABS(NETWORKDAYS(Proc[[#This Row],[DateOpened]],Proc[[#This Row],[DateClosed]]))-1)</f>
        <v>10</v>
      </c>
      <c r="R4876" s="174" t="s">
        <v>5709</v>
      </c>
      <c r="S4876" s="150"/>
    </row>
    <row r="4877" spans="1:19" hidden="1">
      <c r="A4877" s="149" t="s">
        <v>7039</v>
      </c>
      <c r="B4877" s="150" t="str">
        <f>IFERROR(VLOOKUP(Proc[[#This Row],[App]],Table2[],3,0),"open")</f>
        <v>ok</v>
      </c>
      <c r="C4877" s="149" t="s">
        <v>369</v>
      </c>
      <c r="D4877" t="s">
        <v>7086</v>
      </c>
      <c r="E4877" s="149" t="s">
        <v>7232</v>
      </c>
      <c r="F4877" s="150" t="s">
        <v>7232</v>
      </c>
      <c r="G4877" s="149" t="s">
        <v>406</v>
      </c>
      <c r="H4877" s="150" t="str">
        <f>IF(Proc[[#This Row],[type]]="LFF (MDG-F)",MID(Proc[[#This Row],[Obj]],13,10),"")</f>
        <v>TW91TM4002</v>
      </c>
      <c r="I4877" s="149" t="s">
        <v>7232</v>
      </c>
      <c r="J4877" s="150" t="b">
        <f>Proc[[#This Row],[Requested]]=Proc[[#This Row],[CurrentParent]]</f>
        <v>1</v>
      </c>
      <c r="K4877" s="150" t="str">
        <f>IF(Proc[[#This Row],[Author]]="Marcela Urrego",VLOOKUP(LEFT(Proc[[#This Row],[Requested]],1),Table3[#All],2,0),VLOOKUP(Proc[[#This Row],[Author]],Table4[],2,0))</f>
        <v>EL</v>
      </c>
      <c r="L4877" s="150" t="s">
        <v>6435</v>
      </c>
      <c r="M4877" s="173">
        <v>45989</v>
      </c>
      <c r="N4877" s="174"/>
      <c r="O4877" s="174"/>
      <c r="P4877" s="174" t="str">
        <f ca="1">IF(Proc[[#This Row],[DaysAgeing]]&gt;5,"yep","on track")</f>
        <v>yep</v>
      </c>
      <c r="Q4877" s="3">
        <f ca="1">IF(Proc[[#This Row],[DateClosed]]="",ABS(NETWORKDAYS(Proc[[#This Row],[DateOpened]],TODAY()))-1,ABS(NETWORKDAYS(Proc[[#This Row],[DateOpened]],Proc[[#This Row],[DateClosed]]))-1)</f>
        <v>10</v>
      </c>
      <c r="R4877" s="174" t="s">
        <v>5709</v>
      </c>
      <c r="S4877" s="150"/>
    </row>
    <row r="4878" spans="1:19" hidden="1">
      <c r="A4878" s="149" t="s">
        <v>7039</v>
      </c>
      <c r="B4878" s="150" t="str">
        <f>IFERROR(VLOOKUP(Proc[[#This Row],[App]],Table2[],3,0),"open")</f>
        <v>ok</v>
      </c>
      <c r="C4878" s="149" t="s">
        <v>369</v>
      </c>
      <c r="D4878" t="s">
        <v>7087</v>
      </c>
      <c r="E4878" s="149" t="s">
        <v>7230</v>
      </c>
      <c r="F4878" s="150" t="s">
        <v>7230</v>
      </c>
      <c r="G4878" s="149" t="s">
        <v>406</v>
      </c>
      <c r="H4878" s="150" t="str">
        <f>IF(Proc[[#This Row],[type]]="LFF (MDG-F)",MID(Proc[[#This Row],[Obj]],13,10),"")</f>
        <v>SG10TM2000</v>
      </c>
      <c r="I4878" s="149" t="s">
        <v>7230</v>
      </c>
      <c r="J4878" s="150" t="b">
        <f>Proc[[#This Row],[Requested]]=Proc[[#This Row],[CurrentParent]]</f>
        <v>1</v>
      </c>
      <c r="K4878" s="150" t="str">
        <f>IF(Proc[[#This Row],[Author]]="Marcela Urrego",VLOOKUP(LEFT(Proc[[#This Row],[Requested]],1),Table3[#All],2,0),VLOOKUP(Proc[[#This Row],[Author]],Table4[],2,0))</f>
        <v>EL</v>
      </c>
      <c r="L4878" s="150" t="s">
        <v>6435</v>
      </c>
      <c r="M4878" s="173">
        <v>45989</v>
      </c>
      <c r="N4878" s="174"/>
      <c r="O4878" s="174"/>
      <c r="P4878" s="174" t="str">
        <f ca="1">IF(Proc[[#This Row],[DaysAgeing]]&gt;5,"yep","on track")</f>
        <v>yep</v>
      </c>
      <c r="Q4878" s="3">
        <f ca="1">IF(Proc[[#This Row],[DateClosed]]="",ABS(NETWORKDAYS(Proc[[#This Row],[DateOpened]],TODAY()))-1,ABS(NETWORKDAYS(Proc[[#This Row],[DateOpened]],Proc[[#This Row],[DateClosed]]))-1)</f>
        <v>10</v>
      </c>
      <c r="R4878" s="174" t="s">
        <v>5709</v>
      </c>
      <c r="S4878" s="150"/>
    </row>
    <row r="4879" spans="1:19" hidden="1">
      <c r="A4879" s="149" t="s">
        <v>7039</v>
      </c>
      <c r="B4879" s="150" t="str">
        <f>IFERROR(VLOOKUP(Proc[[#This Row],[App]],Table2[],3,0),"open")</f>
        <v>ok</v>
      </c>
      <c r="C4879" s="149" t="s">
        <v>369</v>
      </c>
      <c r="D4879" t="s">
        <v>7088</v>
      </c>
      <c r="E4879" s="149" t="s">
        <v>7233</v>
      </c>
      <c r="F4879" s="150" t="s">
        <v>7233</v>
      </c>
      <c r="G4879" s="149" t="s">
        <v>406</v>
      </c>
      <c r="H4879" s="150" t="str">
        <f>IF(Proc[[#This Row],[type]]="LFF (MDG-F)",MID(Proc[[#This Row],[Obj]],13,10),"")</f>
        <v>JP02C0M111</v>
      </c>
      <c r="I4879" s="149" t="s">
        <v>7233</v>
      </c>
      <c r="J4879" s="150" t="b">
        <f>Proc[[#This Row],[Requested]]=Proc[[#This Row],[CurrentParent]]</f>
        <v>1</v>
      </c>
      <c r="K4879" s="150" t="str">
        <f>IF(Proc[[#This Row],[Author]]="Marcela Urrego",VLOOKUP(LEFT(Proc[[#This Row],[Requested]],1),Table3[#All],2,0),VLOOKUP(Proc[[#This Row],[Author]],Table4[],2,0))</f>
        <v>EL</v>
      </c>
      <c r="L4879" s="150" t="s">
        <v>6435</v>
      </c>
      <c r="M4879" s="173">
        <v>45989</v>
      </c>
      <c r="N4879" s="174"/>
      <c r="O4879" s="174"/>
      <c r="P4879" s="174" t="str">
        <f ca="1">IF(Proc[[#This Row],[DaysAgeing]]&gt;5,"yep","on track")</f>
        <v>yep</v>
      </c>
      <c r="Q4879" s="3">
        <f ca="1">IF(Proc[[#This Row],[DateClosed]]="",ABS(NETWORKDAYS(Proc[[#This Row],[DateOpened]],TODAY()))-1,ABS(NETWORKDAYS(Proc[[#This Row],[DateOpened]],Proc[[#This Row],[DateClosed]]))-1)</f>
        <v>10</v>
      </c>
      <c r="R4879" s="174" t="s">
        <v>5709</v>
      </c>
      <c r="S4879" s="150"/>
    </row>
    <row r="4880" spans="1:19" hidden="1">
      <c r="A4880" s="149" t="s">
        <v>7039</v>
      </c>
      <c r="B4880" s="150" t="str">
        <f>IFERROR(VLOOKUP(Proc[[#This Row],[App]],Table2[],3,0),"open")</f>
        <v>ok</v>
      </c>
      <c r="C4880" s="149" t="s">
        <v>369</v>
      </c>
      <c r="D4880" t="s">
        <v>7089</v>
      </c>
      <c r="E4880" s="149" t="s">
        <v>7233</v>
      </c>
      <c r="F4880" s="150" t="s">
        <v>7233</v>
      </c>
      <c r="G4880" s="149" t="s">
        <v>406</v>
      </c>
      <c r="H4880" s="150" t="str">
        <f>IF(Proc[[#This Row],[type]]="LFF (MDG-F)",MID(Proc[[#This Row],[Obj]],13,10),"")</f>
        <v>KR03OF0303</v>
      </c>
      <c r="I4880" s="149" t="s">
        <v>7233</v>
      </c>
      <c r="J4880" s="150" t="b">
        <f>Proc[[#This Row],[Requested]]=Proc[[#This Row],[CurrentParent]]</f>
        <v>1</v>
      </c>
      <c r="K4880" s="150" t="str">
        <f>IF(Proc[[#This Row],[Author]]="Marcela Urrego",VLOOKUP(LEFT(Proc[[#This Row],[Requested]],1),Table3[#All],2,0),VLOOKUP(Proc[[#This Row],[Author]],Table4[],2,0))</f>
        <v>EL</v>
      </c>
      <c r="L4880" s="150" t="s">
        <v>6435</v>
      </c>
      <c r="M4880" s="173">
        <v>45989</v>
      </c>
      <c r="N4880" s="174"/>
      <c r="O4880" s="174"/>
      <c r="P4880" s="174" t="str">
        <f ca="1">IF(Proc[[#This Row],[DaysAgeing]]&gt;5,"yep","on track")</f>
        <v>yep</v>
      </c>
      <c r="Q4880" s="3">
        <f ca="1">IF(Proc[[#This Row],[DateClosed]]="",ABS(NETWORKDAYS(Proc[[#This Row],[DateOpened]],TODAY()))-1,ABS(NETWORKDAYS(Proc[[#This Row],[DateOpened]],Proc[[#This Row],[DateClosed]]))-1)</f>
        <v>10</v>
      </c>
      <c r="R4880" s="174" t="s">
        <v>5709</v>
      </c>
      <c r="S4880" s="150"/>
    </row>
    <row r="4881" spans="1:19" hidden="1">
      <c r="A4881" s="149" t="s">
        <v>7039</v>
      </c>
      <c r="B4881" s="150" t="str">
        <f>IFERROR(VLOOKUP(Proc[[#This Row],[App]],Table2[],3,0),"open")</f>
        <v>ok</v>
      </c>
      <c r="C4881" s="149" t="s">
        <v>369</v>
      </c>
      <c r="D4881" t="s">
        <v>7090</v>
      </c>
      <c r="E4881" s="149" t="s">
        <v>7233</v>
      </c>
      <c r="F4881" s="150" t="s">
        <v>7233</v>
      </c>
      <c r="G4881" s="149" t="s">
        <v>406</v>
      </c>
      <c r="H4881" s="150" t="str">
        <f>IF(Proc[[#This Row],[type]]="LFF (MDG-F)",MID(Proc[[#This Row],[Obj]],13,10),"")</f>
        <v>KR07DB3310</v>
      </c>
      <c r="I4881" s="149" t="s">
        <v>7233</v>
      </c>
      <c r="J4881" s="150" t="b">
        <f>Proc[[#This Row],[Requested]]=Proc[[#This Row],[CurrentParent]]</f>
        <v>1</v>
      </c>
      <c r="K4881" s="150" t="str">
        <f>IF(Proc[[#This Row],[Author]]="Marcela Urrego",VLOOKUP(LEFT(Proc[[#This Row],[Requested]],1),Table3[#All],2,0),VLOOKUP(Proc[[#This Row],[Author]],Table4[],2,0))</f>
        <v>EL</v>
      </c>
      <c r="L4881" s="150" t="s">
        <v>6435</v>
      </c>
      <c r="M4881" s="173">
        <v>45989</v>
      </c>
      <c r="N4881" s="174"/>
      <c r="O4881" s="174"/>
      <c r="P4881" s="174" t="str">
        <f ca="1">IF(Proc[[#This Row],[DaysAgeing]]&gt;5,"yep","on track")</f>
        <v>yep</v>
      </c>
      <c r="Q4881" s="3">
        <f ca="1">IF(Proc[[#This Row],[DateClosed]]="",ABS(NETWORKDAYS(Proc[[#This Row],[DateOpened]],TODAY()))-1,ABS(NETWORKDAYS(Proc[[#This Row],[DateOpened]],Proc[[#This Row],[DateClosed]]))-1)</f>
        <v>10</v>
      </c>
      <c r="R4881" s="174" t="s">
        <v>5709</v>
      </c>
      <c r="S4881" s="150"/>
    </row>
    <row r="4882" spans="1:19" hidden="1">
      <c r="A4882" s="149" t="s">
        <v>7039</v>
      </c>
      <c r="B4882" s="150" t="str">
        <f>IFERROR(VLOOKUP(Proc[[#This Row],[App]],Table2[],3,0),"open")</f>
        <v>ok</v>
      </c>
      <c r="C4882" s="149" t="s">
        <v>369</v>
      </c>
      <c r="D4882" t="s">
        <v>7091</v>
      </c>
      <c r="E4882" s="149" t="s">
        <v>7234</v>
      </c>
      <c r="F4882" s="150" t="s">
        <v>7234</v>
      </c>
      <c r="G4882" s="149" t="s">
        <v>406</v>
      </c>
      <c r="H4882" s="150" t="str">
        <f>IF(Proc[[#This Row],[type]]="LFF (MDG-F)",MID(Proc[[#This Row],[Obj]],13,10),"")</f>
        <v>JP02TQAZ01</v>
      </c>
      <c r="I4882" s="149" t="s">
        <v>7234</v>
      </c>
      <c r="J4882" s="150" t="b">
        <f>Proc[[#This Row],[Requested]]=Proc[[#This Row],[CurrentParent]]</f>
        <v>1</v>
      </c>
      <c r="K4882" s="150" t="str">
        <f>IF(Proc[[#This Row],[Author]]="Marcela Urrego",VLOOKUP(LEFT(Proc[[#This Row],[Requested]],1),Table3[#All],2,0),VLOOKUP(Proc[[#This Row],[Author]],Table4[],2,0))</f>
        <v>EL</v>
      </c>
      <c r="L4882" s="150" t="s">
        <v>6435</v>
      </c>
      <c r="M4882" s="173">
        <v>45989</v>
      </c>
      <c r="N4882" s="174"/>
      <c r="O4882" s="174"/>
      <c r="P4882" s="174" t="str">
        <f ca="1">IF(Proc[[#This Row],[DaysAgeing]]&gt;5,"yep","on track")</f>
        <v>yep</v>
      </c>
      <c r="Q4882" s="3">
        <f ca="1">IF(Proc[[#This Row],[DateClosed]]="",ABS(NETWORKDAYS(Proc[[#This Row],[DateOpened]],TODAY()))-1,ABS(NETWORKDAYS(Proc[[#This Row],[DateOpened]],Proc[[#This Row],[DateClosed]]))-1)</f>
        <v>10</v>
      </c>
      <c r="R4882" s="174" t="s">
        <v>5709</v>
      </c>
      <c r="S4882" s="150"/>
    </row>
    <row r="4883" spans="1:19" hidden="1">
      <c r="A4883" s="149" t="s">
        <v>7039</v>
      </c>
      <c r="B4883" s="150" t="str">
        <f>IFERROR(VLOOKUP(Proc[[#This Row],[App]],Table2[],3,0),"open")</f>
        <v>ok</v>
      </c>
      <c r="C4883" s="149" t="s">
        <v>369</v>
      </c>
      <c r="D4883" t="s">
        <v>7092</v>
      </c>
      <c r="E4883" s="149" t="s">
        <v>7234</v>
      </c>
      <c r="F4883" s="150" t="s">
        <v>7234</v>
      </c>
      <c r="G4883" s="149" t="s">
        <v>406</v>
      </c>
      <c r="H4883" s="150" t="str">
        <f>IF(Proc[[#This Row],[type]]="LFF (MDG-F)",MID(Proc[[#This Row],[Obj]],13,10),"")</f>
        <v>JP02TQSZ01</v>
      </c>
      <c r="I4883" s="149" t="s">
        <v>7234</v>
      </c>
      <c r="J4883" s="150" t="b">
        <f>Proc[[#This Row],[Requested]]=Proc[[#This Row],[CurrentParent]]</f>
        <v>1</v>
      </c>
      <c r="K4883" s="150" t="str">
        <f>IF(Proc[[#This Row],[Author]]="Marcela Urrego",VLOOKUP(LEFT(Proc[[#This Row],[Requested]],1),Table3[#All],2,0),VLOOKUP(Proc[[#This Row],[Author]],Table4[],2,0))</f>
        <v>EL</v>
      </c>
      <c r="L4883" s="150" t="s">
        <v>6435</v>
      </c>
      <c r="M4883" s="173">
        <v>45989</v>
      </c>
      <c r="N4883" s="174"/>
      <c r="O4883" s="174"/>
      <c r="P4883" s="174" t="str">
        <f ca="1">IF(Proc[[#This Row],[DaysAgeing]]&gt;5,"yep","on track")</f>
        <v>yep</v>
      </c>
      <c r="Q4883" s="3">
        <f ca="1">IF(Proc[[#This Row],[DateClosed]]="",ABS(NETWORKDAYS(Proc[[#This Row],[DateOpened]],TODAY()))-1,ABS(NETWORKDAYS(Proc[[#This Row],[DateOpened]],Proc[[#This Row],[DateClosed]]))-1)</f>
        <v>10</v>
      </c>
      <c r="R4883" s="174" t="s">
        <v>5709</v>
      </c>
      <c r="S4883" s="150"/>
    </row>
    <row r="4884" spans="1:19" hidden="1">
      <c r="A4884" s="149" t="s">
        <v>7039</v>
      </c>
      <c r="B4884" s="150" t="str">
        <f>IFERROR(VLOOKUP(Proc[[#This Row],[App]],Table2[],3,0),"open")</f>
        <v>ok</v>
      </c>
      <c r="C4884" s="149" t="s">
        <v>369</v>
      </c>
      <c r="D4884" t="s">
        <v>7093</v>
      </c>
      <c r="E4884" s="149" t="s">
        <v>7234</v>
      </c>
      <c r="F4884" s="150" t="s">
        <v>7234</v>
      </c>
      <c r="G4884" s="149" t="s">
        <v>406</v>
      </c>
      <c r="H4884" s="150" t="str">
        <f>IF(Proc[[#This Row],[type]]="LFF (MDG-F)",MID(Proc[[#This Row],[Obj]],13,10),"")</f>
        <v>KR03TPPZ14</v>
      </c>
      <c r="I4884" s="149" t="s">
        <v>7234</v>
      </c>
      <c r="J4884" s="150" t="b">
        <f>Proc[[#This Row],[Requested]]=Proc[[#This Row],[CurrentParent]]</f>
        <v>1</v>
      </c>
      <c r="K4884" s="150" t="str">
        <f>IF(Proc[[#This Row],[Author]]="Marcela Urrego",VLOOKUP(LEFT(Proc[[#This Row],[Requested]],1),Table3[#All],2,0),VLOOKUP(Proc[[#This Row],[Author]],Table4[],2,0))</f>
        <v>EL</v>
      </c>
      <c r="L4884" s="150" t="s">
        <v>6435</v>
      </c>
      <c r="M4884" s="173">
        <v>45989</v>
      </c>
      <c r="N4884" s="174"/>
      <c r="O4884" s="174"/>
      <c r="P4884" s="174" t="str">
        <f ca="1">IF(Proc[[#This Row],[DaysAgeing]]&gt;5,"yep","on track")</f>
        <v>yep</v>
      </c>
      <c r="Q4884" s="3">
        <f ca="1">IF(Proc[[#This Row],[DateClosed]]="",ABS(NETWORKDAYS(Proc[[#This Row],[DateOpened]],TODAY()))-1,ABS(NETWORKDAYS(Proc[[#This Row],[DateOpened]],Proc[[#This Row],[DateClosed]]))-1)</f>
        <v>10</v>
      </c>
      <c r="R4884" s="174" t="s">
        <v>5709</v>
      </c>
      <c r="S4884" s="150"/>
    </row>
    <row r="4885" spans="1:19" hidden="1">
      <c r="A4885" s="149" t="s">
        <v>7039</v>
      </c>
      <c r="B4885" s="150" t="str">
        <f>IFERROR(VLOOKUP(Proc[[#This Row],[App]],Table2[],3,0),"open")</f>
        <v>ok</v>
      </c>
      <c r="C4885" s="149" t="s">
        <v>369</v>
      </c>
      <c r="D4885" t="s">
        <v>7094</v>
      </c>
      <c r="E4885" s="149" t="s">
        <v>7234</v>
      </c>
      <c r="F4885" s="150" t="s">
        <v>7234</v>
      </c>
      <c r="G4885" s="149" t="s">
        <v>406</v>
      </c>
      <c r="H4885" s="150" t="str">
        <f>IF(Proc[[#This Row],[type]]="LFF (MDG-F)",MID(Proc[[#This Row],[Obj]],13,10),"")</f>
        <v>KR07DB3306</v>
      </c>
      <c r="I4885" s="149" t="s">
        <v>7234</v>
      </c>
      <c r="J4885" s="150" t="b">
        <f>Proc[[#This Row],[Requested]]=Proc[[#This Row],[CurrentParent]]</f>
        <v>1</v>
      </c>
      <c r="K4885" s="150" t="str">
        <f>IF(Proc[[#This Row],[Author]]="Marcela Urrego",VLOOKUP(LEFT(Proc[[#This Row],[Requested]],1),Table3[#All],2,0),VLOOKUP(Proc[[#This Row],[Author]],Table4[],2,0))</f>
        <v>EL</v>
      </c>
      <c r="L4885" s="150" t="s">
        <v>6435</v>
      </c>
      <c r="M4885" s="173">
        <v>45989</v>
      </c>
      <c r="N4885" s="174"/>
      <c r="O4885" s="174"/>
      <c r="P4885" s="174" t="str">
        <f ca="1">IF(Proc[[#This Row],[DaysAgeing]]&gt;5,"yep","on track")</f>
        <v>yep</v>
      </c>
      <c r="Q4885" s="3">
        <f ca="1">IF(Proc[[#This Row],[DateClosed]]="",ABS(NETWORKDAYS(Proc[[#This Row],[DateOpened]],TODAY()))-1,ABS(NETWORKDAYS(Proc[[#This Row],[DateOpened]],Proc[[#This Row],[DateClosed]]))-1)</f>
        <v>10</v>
      </c>
      <c r="R4885" s="174" t="s">
        <v>5709</v>
      </c>
      <c r="S4885" s="150"/>
    </row>
    <row r="4886" spans="1:19" hidden="1">
      <c r="A4886" s="149" t="s">
        <v>7039</v>
      </c>
      <c r="B4886" s="150" t="str">
        <f>IFERROR(VLOOKUP(Proc[[#This Row],[App]],Table2[],3,0),"open")</f>
        <v>ok</v>
      </c>
      <c r="C4886" s="149" t="s">
        <v>369</v>
      </c>
      <c r="D4886" t="s">
        <v>7095</v>
      </c>
      <c r="E4886" s="149" t="s">
        <v>7234</v>
      </c>
      <c r="F4886" s="150" t="s">
        <v>7234</v>
      </c>
      <c r="G4886" s="149" t="s">
        <v>406</v>
      </c>
      <c r="H4886" s="150" t="str">
        <f>IF(Proc[[#This Row],[type]]="LFF (MDG-F)",MID(Proc[[#This Row],[Obj]],13,10),"")</f>
        <v>KR07DB3308</v>
      </c>
      <c r="I4886" s="149" t="s">
        <v>7234</v>
      </c>
      <c r="J4886" s="150" t="b">
        <f>Proc[[#This Row],[Requested]]=Proc[[#This Row],[CurrentParent]]</f>
        <v>1</v>
      </c>
      <c r="K4886" s="150" t="str">
        <f>IF(Proc[[#This Row],[Author]]="Marcela Urrego",VLOOKUP(LEFT(Proc[[#This Row],[Requested]],1),Table3[#All],2,0),VLOOKUP(Proc[[#This Row],[Author]],Table4[],2,0))</f>
        <v>EL</v>
      </c>
      <c r="L4886" s="150" t="s">
        <v>6435</v>
      </c>
      <c r="M4886" s="173">
        <v>45989</v>
      </c>
      <c r="N4886" s="174"/>
      <c r="O4886" s="174"/>
      <c r="P4886" s="174" t="str">
        <f ca="1">IF(Proc[[#This Row],[DaysAgeing]]&gt;5,"yep","on track")</f>
        <v>yep</v>
      </c>
      <c r="Q4886" s="3">
        <f ca="1">IF(Proc[[#This Row],[DateClosed]]="",ABS(NETWORKDAYS(Proc[[#This Row],[DateOpened]],TODAY()))-1,ABS(NETWORKDAYS(Proc[[#This Row],[DateOpened]],Proc[[#This Row],[DateClosed]]))-1)</f>
        <v>10</v>
      </c>
      <c r="R4886" s="174" t="s">
        <v>5709</v>
      </c>
      <c r="S4886" s="150"/>
    </row>
    <row r="4887" spans="1:19" hidden="1">
      <c r="A4887" s="149" t="s">
        <v>7039</v>
      </c>
      <c r="B4887" s="150" t="str">
        <f>IFERROR(VLOOKUP(Proc[[#This Row],[App]],Table2[],3,0),"open")</f>
        <v>ok</v>
      </c>
      <c r="C4887" s="149" t="s">
        <v>369</v>
      </c>
      <c r="D4887" t="s">
        <v>7096</v>
      </c>
      <c r="E4887" s="149" t="s">
        <v>7234</v>
      </c>
      <c r="F4887" s="150" t="s">
        <v>7234</v>
      </c>
      <c r="G4887" s="149" t="s">
        <v>406</v>
      </c>
      <c r="H4887" s="150" t="str">
        <f>IF(Proc[[#This Row],[type]]="LFF (MDG-F)",MID(Proc[[#This Row],[Obj]],13,10),"")</f>
        <v>KR15DB3301</v>
      </c>
      <c r="I4887" s="149" t="s">
        <v>7234</v>
      </c>
      <c r="J4887" s="150" t="b">
        <f>Proc[[#This Row],[Requested]]=Proc[[#This Row],[CurrentParent]]</f>
        <v>1</v>
      </c>
      <c r="K4887" s="150" t="str">
        <f>IF(Proc[[#This Row],[Author]]="Marcela Urrego",VLOOKUP(LEFT(Proc[[#This Row],[Requested]],1),Table3[#All],2,0),VLOOKUP(Proc[[#This Row],[Author]],Table4[],2,0))</f>
        <v>EL</v>
      </c>
      <c r="L4887" s="150" t="s">
        <v>6435</v>
      </c>
      <c r="M4887" s="173">
        <v>45989</v>
      </c>
      <c r="N4887" s="174"/>
      <c r="O4887" s="174"/>
      <c r="P4887" s="174" t="str">
        <f ca="1">IF(Proc[[#This Row],[DaysAgeing]]&gt;5,"yep","on track")</f>
        <v>yep</v>
      </c>
      <c r="Q4887" s="3">
        <f ca="1">IF(Proc[[#This Row],[DateClosed]]="",ABS(NETWORKDAYS(Proc[[#This Row],[DateOpened]],TODAY()))-1,ABS(NETWORKDAYS(Proc[[#This Row],[DateOpened]],Proc[[#This Row],[DateClosed]]))-1)</f>
        <v>10</v>
      </c>
      <c r="R4887" s="174" t="s">
        <v>5709</v>
      </c>
      <c r="S4887" s="150"/>
    </row>
    <row r="4888" spans="1:19" hidden="1">
      <c r="A4888" s="149" t="s">
        <v>7039</v>
      </c>
      <c r="B4888" s="150" t="str">
        <f>IFERROR(VLOOKUP(Proc[[#This Row],[App]],Table2[],3,0),"open")</f>
        <v>ok</v>
      </c>
      <c r="C4888" s="149" t="s">
        <v>369</v>
      </c>
      <c r="D4888" t="s">
        <v>7097</v>
      </c>
      <c r="E4888" s="149" t="s">
        <v>7234</v>
      </c>
      <c r="F4888" s="150" t="s">
        <v>7234</v>
      </c>
      <c r="G4888" s="149" t="s">
        <v>406</v>
      </c>
      <c r="H4888" s="150" t="str">
        <f>IF(Proc[[#This Row],[type]]="LFF (MDG-F)",MID(Proc[[#This Row],[Obj]],13,10),"")</f>
        <v>JP02TQ1001</v>
      </c>
      <c r="I4888" s="149" t="s">
        <v>7234</v>
      </c>
      <c r="J4888" s="150" t="b">
        <f>Proc[[#This Row],[Requested]]=Proc[[#This Row],[CurrentParent]]</f>
        <v>1</v>
      </c>
      <c r="K4888" s="150" t="str">
        <f>IF(Proc[[#This Row],[Author]]="Marcela Urrego",VLOOKUP(LEFT(Proc[[#This Row],[Requested]],1),Table3[#All],2,0),VLOOKUP(Proc[[#This Row],[Author]],Table4[],2,0))</f>
        <v>EL</v>
      </c>
      <c r="L4888" s="150" t="s">
        <v>6435</v>
      </c>
      <c r="M4888" s="173">
        <v>45989</v>
      </c>
      <c r="N4888" s="174"/>
      <c r="O4888" s="174"/>
      <c r="P4888" s="174" t="str">
        <f ca="1">IF(Proc[[#This Row],[DaysAgeing]]&gt;5,"yep","on track")</f>
        <v>yep</v>
      </c>
      <c r="Q4888" s="3">
        <f ca="1">IF(Proc[[#This Row],[DateClosed]]="",ABS(NETWORKDAYS(Proc[[#This Row],[DateOpened]],TODAY()))-1,ABS(NETWORKDAYS(Proc[[#This Row],[DateOpened]],Proc[[#This Row],[DateClosed]]))-1)</f>
        <v>10</v>
      </c>
      <c r="R4888" s="174" t="s">
        <v>5709</v>
      </c>
      <c r="S4888" s="150"/>
    </row>
    <row r="4889" spans="1:19" hidden="1">
      <c r="A4889" s="149" t="s">
        <v>7039</v>
      </c>
      <c r="B4889" s="150" t="str">
        <f>IFERROR(VLOOKUP(Proc[[#This Row],[App]],Table2[],3,0),"open")</f>
        <v>ok</v>
      </c>
      <c r="C4889" s="149" t="s">
        <v>369</v>
      </c>
      <c r="D4889" t="s">
        <v>7098</v>
      </c>
      <c r="E4889" s="149" t="s">
        <v>7234</v>
      </c>
      <c r="F4889" s="150" t="s">
        <v>7234</v>
      </c>
      <c r="G4889" s="149" t="s">
        <v>406</v>
      </c>
      <c r="H4889" s="150" t="str">
        <f>IF(Proc[[#This Row],[type]]="LFF (MDG-F)",MID(Proc[[#This Row],[Obj]],13,10),"")</f>
        <v>JP02TQ1002</v>
      </c>
      <c r="I4889" s="149" t="s">
        <v>7234</v>
      </c>
      <c r="J4889" s="150" t="b">
        <f>Proc[[#This Row],[Requested]]=Proc[[#This Row],[CurrentParent]]</f>
        <v>1</v>
      </c>
      <c r="K4889" s="150" t="str">
        <f>IF(Proc[[#This Row],[Author]]="Marcela Urrego",VLOOKUP(LEFT(Proc[[#This Row],[Requested]],1),Table3[#All],2,0),VLOOKUP(Proc[[#This Row],[Author]],Table4[],2,0))</f>
        <v>EL</v>
      </c>
      <c r="L4889" s="150" t="s">
        <v>6435</v>
      </c>
      <c r="M4889" s="173">
        <v>45989</v>
      </c>
      <c r="N4889" s="174"/>
      <c r="O4889" s="174"/>
      <c r="P4889" s="174" t="str">
        <f ca="1">IF(Proc[[#This Row],[DaysAgeing]]&gt;5,"yep","on track")</f>
        <v>yep</v>
      </c>
      <c r="Q4889" s="3">
        <f ca="1">IF(Proc[[#This Row],[DateClosed]]="",ABS(NETWORKDAYS(Proc[[#This Row],[DateOpened]],TODAY()))-1,ABS(NETWORKDAYS(Proc[[#This Row],[DateOpened]],Proc[[#This Row],[DateClosed]]))-1)</f>
        <v>10</v>
      </c>
      <c r="R4889" s="174" t="s">
        <v>5709</v>
      </c>
      <c r="S4889" s="150"/>
    </row>
    <row r="4890" spans="1:19" hidden="1">
      <c r="A4890" s="149" t="s">
        <v>7039</v>
      </c>
      <c r="B4890" s="150" t="str">
        <f>IFERROR(VLOOKUP(Proc[[#This Row],[App]],Table2[],3,0),"open")</f>
        <v>ok</v>
      </c>
      <c r="C4890" s="149" t="s">
        <v>369</v>
      </c>
      <c r="D4890" t="s">
        <v>7099</v>
      </c>
      <c r="E4890" s="149" t="s">
        <v>7234</v>
      </c>
      <c r="F4890" s="150" t="s">
        <v>7234</v>
      </c>
      <c r="G4890" s="149" t="s">
        <v>406</v>
      </c>
      <c r="H4890" s="150" t="str">
        <f>IF(Proc[[#This Row],[type]]="LFF (MDG-F)",MID(Proc[[#This Row],[Obj]],13,10),"")</f>
        <v>JP02TQ1003</v>
      </c>
      <c r="I4890" s="149" t="s">
        <v>7234</v>
      </c>
      <c r="J4890" s="150" t="b">
        <f>Proc[[#This Row],[Requested]]=Proc[[#This Row],[CurrentParent]]</f>
        <v>1</v>
      </c>
      <c r="K4890" s="150" t="str">
        <f>IF(Proc[[#This Row],[Author]]="Marcela Urrego",VLOOKUP(LEFT(Proc[[#This Row],[Requested]],1),Table3[#All],2,0),VLOOKUP(Proc[[#This Row],[Author]],Table4[],2,0))</f>
        <v>EL</v>
      </c>
      <c r="L4890" s="150" t="s">
        <v>6435</v>
      </c>
      <c r="M4890" s="173">
        <v>45989</v>
      </c>
      <c r="N4890" s="174"/>
      <c r="O4890" s="174"/>
      <c r="P4890" s="174" t="str">
        <f ca="1">IF(Proc[[#This Row],[DaysAgeing]]&gt;5,"yep","on track")</f>
        <v>yep</v>
      </c>
      <c r="Q4890" s="3">
        <f ca="1">IF(Proc[[#This Row],[DateClosed]]="",ABS(NETWORKDAYS(Proc[[#This Row],[DateOpened]],TODAY()))-1,ABS(NETWORKDAYS(Proc[[#This Row],[DateOpened]],Proc[[#This Row],[DateClosed]]))-1)</f>
        <v>10</v>
      </c>
      <c r="R4890" s="174" t="s">
        <v>5709</v>
      </c>
      <c r="S4890" s="150"/>
    </row>
    <row r="4891" spans="1:19" hidden="1">
      <c r="A4891" s="149" t="s">
        <v>7039</v>
      </c>
      <c r="B4891" s="150" t="str">
        <f>IFERROR(VLOOKUP(Proc[[#This Row],[App]],Table2[],3,0),"open")</f>
        <v>ok</v>
      </c>
      <c r="C4891" s="149" t="s">
        <v>369</v>
      </c>
      <c r="D4891" t="s">
        <v>7100</v>
      </c>
      <c r="E4891" s="149" t="s">
        <v>7234</v>
      </c>
      <c r="F4891" s="150" t="s">
        <v>7234</v>
      </c>
      <c r="G4891" s="149" t="s">
        <v>406</v>
      </c>
      <c r="H4891" s="150" t="str">
        <f>IF(Proc[[#This Row],[type]]="LFF (MDG-F)",MID(Proc[[#This Row],[Obj]],13,10),"")</f>
        <v>JP02TQ1004</v>
      </c>
      <c r="I4891" s="149" t="s">
        <v>7234</v>
      </c>
      <c r="J4891" s="150" t="b">
        <f>Proc[[#This Row],[Requested]]=Proc[[#This Row],[CurrentParent]]</f>
        <v>1</v>
      </c>
      <c r="K4891" s="150" t="str">
        <f>IF(Proc[[#This Row],[Author]]="Marcela Urrego",VLOOKUP(LEFT(Proc[[#This Row],[Requested]],1),Table3[#All],2,0),VLOOKUP(Proc[[#This Row],[Author]],Table4[],2,0))</f>
        <v>EL</v>
      </c>
      <c r="L4891" s="150" t="s">
        <v>6435</v>
      </c>
      <c r="M4891" s="173">
        <v>45989</v>
      </c>
      <c r="N4891" s="174"/>
      <c r="O4891" s="174"/>
      <c r="P4891" s="174" t="str">
        <f ca="1">IF(Proc[[#This Row],[DaysAgeing]]&gt;5,"yep","on track")</f>
        <v>yep</v>
      </c>
      <c r="Q4891" s="3">
        <f ca="1">IF(Proc[[#This Row],[DateClosed]]="",ABS(NETWORKDAYS(Proc[[#This Row],[DateOpened]],TODAY()))-1,ABS(NETWORKDAYS(Proc[[#This Row],[DateOpened]],Proc[[#This Row],[DateClosed]]))-1)</f>
        <v>10</v>
      </c>
      <c r="R4891" s="174" t="s">
        <v>5709</v>
      </c>
      <c r="S4891" s="150"/>
    </row>
    <row r="4892" spans="1:19" hidden="1">
      <c r="A4892" s="149" t="s">
        <v>7039</v>
      </c>
      <c r="B4892" s="150" t="str">
        <f>IFERROR(VLOOKUP(Proc[[#This Row],[App]],Table2[],3,0),"open")</f>
        <v>ok</v>
      </c>
      <c r="C4892" s="149" t="s">
        <v>369</v>
      </c>
      <c r="D4892" t="s">
        <v>7101</v>
      </c>
      <c r="E4892" s="149" t="s">
        <v>7234</v>
      </c>
      <c r="F4892" s="150" t="s">
        <v>7234</v>
      </c>
      <c r="G4892" s="149" t="s">
        <v>406</v>
      </c>
      <c r="H4892" s="150" t="str">
        <f>IF(Proc[[#This Row],[type]]="LFF (MDG-F)",MID(Proc[[#This Row],[Obj]],13,10),"")</f>
        <v>JP02TQ1005</v>
      </c>
      <c r="I4892" s="149" t="s">
        <v>7234</v>
      </c>
      <c r="J4892" s="150" t="b">
        <f>Proc[[#This Row],[Requested]]=Proc[[#This Row],[CurrentParent]]</f>
        <v>1</v>
      </c>
      <c r="K4892" s="150" t="str">
        <f>IF(Proc[[#This Row],[Author]]="Marcela Urrego",VLOOKUP(LEFT(Proc[[#This Row],[Requested]],1),Table3[#All],2,0),VLOOKUP(Proc[[#This Row],[Author]],Table4[],2,0))</f>
        <v>EL</v>
      </c>
      <c r="L4892" s="150" t="s">
        <v>6435</v>
      </c>
      <c r="M4892" s="173">
        <v>45989</v>
      </c>
      <c r="N4892" s="174"/>
      <c r="O4892" s="174"/>
      <c r="P4892" s="174" t="str">
        <f ca="1">IF(Proc[[#This Row],[DaysAgeing]]&gt;5,"yep","on track")</f>
        <v>yep</v>
      </c>
      <c r="Q4892" s="3">
        <f ca="1">IF(Proc[[#This Row],[DateClosed]]="",ABS(NETWORKDAYS(Proc[[#This Row],[DateOpened]],TODAY()))-1,ABS(NETWORKDAYS(Proc[[#This Row],[DateOpened]],Proc[[#This Row],[DateClosed]]))-1)</f>
        <v>10</v>
      </c>
      <c r="R4892" s="174" t="s">
        <v>5709</v>
      </c>
      <c r="S4892" s="150"/>
    </row>
    <row r="4893" spans="1:19" hidden="1">
      <c r="A4893" s="149" t="s">
        <v>7039</v>
      </c>
      <c r="B4893" s="150" t="str">
        <f>IFERROR(VLOOKUP(Proc[[#This Row],[App]],Table2[],3,0),"open")</f>
        <v>ok</v>
      </c>
      <c r="C4893" s="149" t="s">
        <v>369</v>
      </c>
      <c r="D4893" t="s">
        <v>7102</v>
      </c>
      <c r="E4893" s="149" t="s">
        <v>7234</v>
      </c>
      <c r="F4893" s="150" t="s">
        <v>7234</v>
      </c>
      <c r="G4893" s="149" t="s">
        <v>406</v>
      </c>
      <c r="H4893" s="150" t="str">
        <f>IF(Proc[[#This Row],[type]]="LFF (MDG-F)",MID(Proc[[#This Row],[Obj]],13,10),"")</f>
        <v>JP02TQ1006</v>
      </c>
      <c r="I4893" s="149" t="s">
        <v>7234</v>
      </c>
      <c r="J4893" s="150" t="b">
        <f>Proc[[#This Row],[Requested]]=Proc[[#This Row],[CurrentParent]]</f>
        <v>1</v>
      </c>
      <c r="K4893" s="150" t="str">
        <f>IF(Proc[[#This Row],[Author]]="Marcela Urrego",VLOOKUP(LEFT(Proc[[#This Row],[Requested]],1),Table3[#All],2,0),VLOOKUP(Proc[[#This Row],[Author]],Table4[],2,0))</f>
        <v>EL</v>
      </c>
      <c r="L4893" s="150" t="s">
        <v>6435</v>
      </c>
      <c r="M4893" s="173">
        <v>45989</v>
      </c>
      <c r="N4893" s="174"/>
      <c r="O4893" s="174"/>
      <c r="P4893" s="174" t="str">
        <f ca="1">IF(Proc[[#This Row],[DaysAgeing]]&gt;5,"yep","on track")</f>
        <v>yep</v>
      </c>
      <c r="Q4893" s="3">
        <f ca="1">IF(Proc[[#This Row],[DateClosed]]="",ABS(NETWORKDAYS(Proc[[#This Row],[DateOpened]],TODAY()))-1,ABS(NETWORKDAYS(Proc[[#This Row],[DateOpened]],Proc[[#This Row],[DateClosed]]))-1)</f>
        <v>10</v>
      </c>
      <c r="R4893" s="174" t="s">
        <v>5709</v>
      </c>
      <c r="S4893" s="150"/>
    </row>
    <row r="4894" spans="1:19" hidden="1">
      <c r="A4894" s="149" t="s">
        <v>7039</v>
      </c>
      <c r="B4894" s="150" t="str">
        <f>IFERROR(VLOOKUP(Proc[[#This Row],[App]],Table2[],3,0),"open")</f>
        <v>ok</v>
      </c>
      <c r="C4894" s="149" t="s">
        <v>369</v>
      </c>
      <c r="D4894" t="s">
        <v>7103</v>
      </c>
      <c r="E4894" s="149" t="s">
        <v>7234</v>
      </c>
      <c r="F4894" s="150" t="s">
        <v>7234</v>
      </c>
      <c r="G4894" s="149" t="s">
        <v>406</v>
      </c>
      <c r="H4894" s="150" t="str">
        <f>IF(Proc[[#This Row],[type]]="LFF (MDG-F)",MID(Proc[[#This Row],[Obj]],13,10),"")</f>
        <v>JP02TQ1007</v>
      </c>
      <c r="I4894" s="149" t="s">
        <v>7234</v>
      </c>
      <c r="J4894" s="150" t="b">
        <f>Proc[[#This Row],[Requested]]=Proc[[#This Row],[CurrentParent]]</f>
        <v>1</v>
      </c>
      <c r="K4894" s="150" t="str">
        <f>IF(Proc[[#This Row],[Author]]="Marcela Urrego",VLOOKUP(LEFT(Proc[[#This Row],[Requested]],1),Table3[#All],2,0),VLOOKUP(Proc[[#This Row],[Author]],Table4[],2,0))</f>
        <v>EL</v>
      </c>
      <c r="L4894" s="150" t="s">
        <v>6435</v>
      </c>
      <c r="M4894" s="173">
        <v>45989</v>
      </c>
      <c r="N4894" s="174"/>
      <c r="O4894" s="174"/>
      <c r="P4894" s="174" t="str">
        <f ca="1">IF(Proc[[#This Row],[DaysAgeing]]&gt;5,"yep","on track")</f>
        <v>yep</v>
      </c>
      <c r="Q4894" s="3">
        <f ca="1">IF(Proc[[#This Row],[DateClosed]]="",ABS(NETWORKDAYS(Proc[[#This Row],[DateOpened]],TODAY()))-1,ABS(NETWORKDAYS(Proc[[#This Row],[DateOpened]],Proc[[#This Row],[DateClosed]]))-1)</f>
        <v>10</v>
      </c>
      <c r="R4894" s="174" t="s">
        <v>5709</v>
      </c>
      <c r="S4894" s="150"/>
    </row>
    <row r="4895" spans="1:19" hidden="1">
      <c r="A4895" s="149" t="s">
        <v>7039</v>
      </c>
      <c r="B4895" s="150" t="str">
        <f>IFERROR(VLOOKUP(Proc[[#This Row],[App]],Table2[],3,0),"open")</f>
        <v>ok</v>
      </c>
      <c r="C4895" s="149" t="s">
        <v>369</v>
      </c>
      <c r="D4895" t="s">
        <v>7104</v>
      </c>
      <c r="E4895" s="149" t="s">
        <v>7234</v>
      </c>
      <c r="F4895" s="150" t="s">
        <v>7234</v>
      </c>
      <c r="G4895" s="149" t="s">
        <v>406</v>
      </c>
      <c r="H4895" s="150" t="str">
        <f>IF(Proc[[#This Row],[type]]="LFF (MDG-F)",MID(Proc[[#This Row],[Obj]],13,10),"")</f>
        <v>JP02TQ1008</v>
      </c>
      <c r="I4895" s="149" t="s">
        <v>7234</v>
      </c>
      <c r="J4895" s="150" t="b">
        <f>Proc[[#This Row],[Requested]]=Proc[[#This Row],[CurrentParent]]</f>
        <v>1</v>
      </c>
      <c r="K4895" s="150" t="str">
        <f>IF(Proc[[#This Row],[Author]]="Marcela Urrego",VLOOKUP(LEFT(Proc[[#This Row],[Requested]],1),Table3[#All],2,0),VLOOKUP(Proc[[#This Row],[Author]],Table4[],2,0))</f>
        <v>EL</v>
      </c>
      <c r="L4895" s="150" t="s">
        <v>6435</v>
      </c>
      <c r="M4895" s="173">
        <v>45989</v>
      </c>
      <c r="N4895" s="174"/>
      <c r="O4895" s="174"/>
      <c r="P4895" s="174" t="str">
        <f ca="1">IF(Proc[[#This Row],[DaysAgeing]]&gt;5,"yep","on track")</f>
        <v>yep</v>
      </c>
      <c r="Q4895" s="3">
        <f ca="1">IF(Proc[[#This Row],[DateClosed]]="",ABS(NETWORKDAYS(Proc[[#This Row],[DateOpened]],TODAY()))-1,ABS(NETWORKDAYS(Proc[[#This Row],[DateOpened]],Proc[[#This Row],[DateClosed]]))-1)</f>
        <v>10</v>
      </c>
      <c r="R4895" s="174" t="s">
        <v>5709</v>
      </c>
      <c r="S4895" s="150"/>
    </row>
    <row r="4896" spans="1:19" hidden="1">
      <c r="A4896" s="149" t="s">
        <v>7039</v>
      </c>
      <c r="B4896" s="150" t="str">
        <f>IFERROR(VLOOKUP(Proc[[#This Row],[App]],Table2[],3,0),"open")</f>
        <v>ok</v>
      </c>
      <c r="C4896" s="149" t="s">
        <v>369</v>
      </c>
      <c r="D4896" t="s">
        <v>7105</v>
      </c>
      <c r="E4896" s="149" t="s">
        <v>7234</v>
      </c>
      <c r="F4896" s="150" t="s">
        <v>7234</v>
      </c>
      <c r="G4896" s="149" t="s">
        <v>406</v>
      </c>
      <c r="H4896" s="150" t="str">
        <f>IF(Proc[[#This Row],[type]]="LFF (MDG-F)",MID(Proc[[#This Row],[Obj]],13,10),"")</f>
        <v>JP02TQ1009</v>
      </c>
      <c r="I4896" s="149" t="s">
        <v>7234</v>
      </c>
      <c r="J4896" s="150" t="b">
        <f>Proc[[#This Row],[Requested]]=Proc[[#This Row],[CurrentParent]]</f>
        <v>1</v>
      </c>
      <c r="K4896" s="150" t="str">
        <f>IF(Proc[[#This Row],[Author]]="Marcela Urrego",VLOOKUP(LEFT(Proc[[#This Row],[Requested]],1),Table3[#All],2,0),VLOOKUP(Proc[[#This Row],[Author]],Table4[],2,0))</f>
        <v>EL</v>
      </c>
      <c r="L4896" s="150" t="s">
        <v>6435</v>
      </c>
      <c r="M4896" s="173">
        <v>45989</v>
      </c>
      <c r="N4896" s="174"/>
      <c r="O4896" s="174"/>
      <c r="P4896" s="174" t="str">
        <f ca="1">IF(Proc[[#This Row],[DaysAgeing]]&gt;5,"yep","on track")</f>
        <v>yep</v>
      </c>
      <c r="Q4896" s="3">
        <f ca="1">IF(Proc[[#This Row],[DateClosed]]="",ABS(NETWORKDAYS(Proc[[#This Row],[DateOpened]],TODAY()))-1,ABS(NETWORKDAYS(Proc[[#This Row],[DateOpened]],Proc[[#This Row],[DateClosed]]))-1)</f>
        <v>10</v>
      </c>
      <c r="R4896" s="174" t="s">
        <v>5709</v>
      </c>
      <c r="S4896" s="150"/>
    </row>
    <row r="4897" spans="1:19" hidden="1">
      <c r="A4897" s="149" t="s">
        <v>7039</v>
      </c>
      <c r="B4897" s="150" t="str">
        <f>IFERROR(VLOOKUP(Proc[[#This Row],[App]],Table2[],3,0),"open")</f>
        <v>ok</v>
      </c>
      <c r="C4897" s="149" t="s">
        <v>369</v>
      </c>
      <c r="D4897" t="s">
        <v>7106</v>
      </c>
      <c r="E4897" s="149" t="s">
        <v>7234</v>
      </c>
      <c r="F4897" s="150" t="s">
        <v>7234</v>
      </c>
      <c r="G4897" s="149" t="s">
        <v>406</v>
      </c>
      <c r="H4897" s="150" t="str">
        <f>IF(Proc[[#This Row],[type]]="LFF (MDG-F)",MID(Proc[[#This Row],[Obj]],13,10),"")</f>
        <v>JP02TQ1010</v>
      </c>
      <c r="I4897" s="149" t="s">
        <v>7234</v>
      </c>
      <c r="J4897" s="150" t="b">
        <f>Proc[[#This Row],[Requested]]=Proc[[#This Row],[CurrentParent]]</f>
        <v>1</v>
      </c>
      <c r="K4897" s="150" t="str">
        <f>IF(Proc[[#This Row],[Author]]="Marcela Urrego",VLOOKUP(LEFT(Proc[[#This Row],[Requested]],1),Table3[#All],2,0),VLOOKUP(Proc[[#This Row],[Author]],Table4[],2,0))</f>
        <v>EL</v>
      </c>
      <c r="L4897" s="150" t="s">
        <v>6435</v>
      </c>
      <c r="M4897" s="173">
        <v>45989</v>
      </c>
      <c r="N4897" s="174"/>
      <c r="O4897" s="174"/>
      <c r="P4897" s="174" t="str">
        <f ca="1">IF(Proc[[#This Row],[DaysAgeing]]&gt;5,"yep","on track")</f>
        <v>yep</v>
      </c>
      <c r="Q4897" s="3">
        <f ca="1">IF(Proc[[#This Row],[DateClosed]]="",ABS(NETWORKDAYS(Proc[[#This Row],[DateOpened]],TODAY()))-1,ABS(NETWORKDAYS(Proc[[#This Row],[DateOpened]],Proc[[#This Row],[DateClosed]]))-1)</f>
        <v>10</v>
      </c>
      <c r="R4897" s="174" t="s">
        <v>5709</v>
      </c>
      <c r="S4897" s="150"/>
    </row>
    <row r="4898" spans="1:19" hidden="1">
      <c r="A4898" s="149" t="s">
        <v>7039</v>
      </c>
      <c r="B4898" s="150" t="str">
        <f>IFERROR(VLOOKUP(Proc[[#This Row],[App]],Table2[],3,0),"open")</f>
        <v>ok</v>
      </c>
      <c r="C4898" s="149" t="s">
        <v>369</v>
      </c>
      <c r="D4898" t="s">
        <v>7107</v>
      </c>
      <c r="E4898" s="149" t="s">
        <v>7234</v>
      </c>
      <c r="F4898" s="150" t="s">
        <v>7234</v>
      </c>
      <c r="G4898" s="149" t="s">
        <v>406</v>
      </c>
      <c r="H4898" s="150" t="str">
        <f>IF(Proc[[#This Row],[type]]="LFF (MDG-F)",MID(Proc[[#This Row],[Obj]],13,10),"")</f>
        <v>JP02TQ1011</v>
      </c>
      <c r="I4898" s="149" t="s">
        <v>7234</v>
      </c>
      <c r="J4898" s="150" t="b">
        <f>Proc[[#This Row],[Requested]]=Proc[[#This Row],[CurrentParent]]</f>
        <v>1</v>
      </c>
      <c r="K4898" s="150" t="str">
        <f>IF(Proc[[#This Row],[Author]]="Marcela Urrego",VLOOKUP(LEFT(Proc[[#This Row],[Requested]],1),Table3[#All],2,0),VLOOKUP(Proc[[#This Row],[Author]],Table4[],2,0))</f>
        <v>EL</v>
      </c>
      <c r="L4898" s="150" t="s">
        <v>6435</v>
      </c>
      <c r="M4898" s="173">
        <v>45989</v>
      </c>
      <c r="N4898" s="174"/>
      <c r="O4898" s="174"/>
      <c r="P4898" s="174" t="str">
        <f ca="1">IF(Proc[[#This Row],[DaysAgeing]]&gt;5,"yep","on track")</f>
        <v>yep</v>
      </c>
      <c r="Q4898" s="3">
        <f ca="1">IF(Proc[[#This Row],[DateClosed]]="",ABS(NETWORKDAYS(Proc[[#This Row],[DateOpened]],TODAY()))-1,ABS(NETWORKDAYS(Proc[[#This Row],[DateOpened]],Proc[[#This Row],[DateClosed]]))-1)</f>
        <v>10</v>
      </c>
      <c r="R4898" s="174" t="s">
        <v>5709</v>
      </c>
      <c r="S4898" s="150"/>
    </row>
    <row r="4899" spans="1:19" hidden="1">
      <c r="A4899" s="149" t="s">
        <v>7039</v>
      </c>
      <c r="B4899" s="150" t="str">
        <f>IFERROR(VLOOKUP(Proc[[#This Row],[App]],Table2[],3,0),"open")</f>
        <v>ok</v>
      </c>
      <c r="C4899" s="149" t="s">
        <v>369</v>
      </c>
      <c r="D4899" t="s">
        <v>7108</v>
      </c>
      <c r="E4899" s="149" t="s">
        <v>7234</v>
      </c>
      <c r="F4899" s="150" t="s">
        <v>7234</v>
      </c>
      <c r="G4899" s="149" t="s">
        <v>406</v>
      </c>
      <c r="H4899" s="150" t="str">
        <f>IF(Proc[[#This Row],[type]]="LFF (MDG-F)",MID(Proc[[#This Row],[Obj]],13,10),"")</f>
        <v>JP02TQ1012</v>
      </c>
      <c r="I4899" s="149" t="s">
        <v>7234</v>
      </c>
      <c r="J4899" s="150" t="b">
        <f>Proc[[#This Row],[Requested]]=Proc[[#This Row],[CurrentParent]]</f>
        <v>1</v>
      </c>
      <c r="K4899" s="150" t="str">
        <f>IF(Proc[[#This Row],[Author]]="Marcela Urrego",VLOOKUP(LEFT(Proc[[#This Row],[Requested]],1),Table3[#All],2,0),VLOOKUP(Proc[[#This Row],[Author]],Table4[],2,0))</f>
        <v>EL</v>
      </c>
      <c r="L4899" s="150" t="s">
        <v>6435</v>
      </c>
      <c r="M4899" s="173">
        <v>45989</v>
      </c>
      <c r="N4899" s="174"/>
      <c r="O4899" s="174"/>
      <c r="P4899" s="174" t="str">
        <f ca="1">IF(Proc[[#This Row],[DaysAgeing]]&gt;5,"yep","on track")</f>
        <v>yep</v>
      </c>
      <c r="Q4899" s="3">
        <f ca="1">IF(Proc[[#This Row],[DateClosed]]="",ABS(NETWORKDAYS(Proc[[#This Row],[DateOpened]],TODAY()))-1,ABS(NETWORKDAYS(Proc[[#This Row],[DateOpened]],Proc[[#This Row],[DateClosed]]))-1)</f>
        <v>10</v>
      </c>
      <c r="R4899" s="174" t="s">
        <v>5709</v>
      </c>
      <c r="S4899" s="150"/>
    </row>
    <row r="4900" spans="1:19" hidden="1">
      <c r="A4900" s="149" t="s">
        <v>7039</v>
      </c>
      <c r="B4900" s="150" t="str">
        <f>IFERROR(VLOOKUP(Proc[[#This Row],[App]],Table2[],3,0),"open")</f>
        <v>ok</v>
      </c>
      <c r="C4900" s="149" t="s">
        <v>369</v>
      </c>
      <c r="D4900" t="s">
        <v>7109</v>
      </c>
      <c r="E4900" s="149" t="s">
        <v>7234</v>
      </c>
      <c r="F4900" s="150" t="s">
        <v>7234</v>
      </c>
      <c r="G4900" s="149" t="s">
        <v>406</v>
      </c>
      <c r="H4900" s="150" t="str">
        <f>IF(Proc[[#This Row],[type]]="LFF (MDG-F)",MID(Proc[[#This Row],[Obj]],13,10),"")</f>
        <v>JP02TQ1013</v>
      </c>
      <c r="I4900" s="149" t="s">
        <v>7234</v>
      </c>
      <c r="J4900" s="150" t="b">
        <f>Proc[[#This Row],[Requested]]=Proc[[#This Row],[CurrentParent]]</f>
        <v>1</v>
      </c>
      <c r="K4900" s="150" t="str">
        <f>IF(Proc[[#This Row],[Author]]="Marcela Urrego",VLOOKUP(LEFT(Proc[[#This Row],[Requested]],1),Table3[#All],2,0),VLOOKUP(Proc[[#This Row],[Author]],Table4[],2,0))</f>
        <v>EL</v>
      </c>
      <c r="L4900" s="150" t="s">
        <v>6435</v>
      </c>
      <c r="M4900" s="173">
        <v>45989</v>
      </c>
      <c r="N4900" s="174"/>
      <c r="O4900" s="174"/>
      <c r="P4900" s="174" t="str">
        <f ca="1">IF(Proc[[#This Row],[DaysAgeing]]&gt;5,"yep","on track")</f>
        <v>yep</v>
      </c>
      <c r="Q4900" s="3">
        <f ca="1">IF(Proc[[#This Row],[DateClosed]]="",ABS(NETWORKDAYS(Proc[[#This Row],[DateOpened]],TODAY()))-1,ABS(NETWORKDAYS(Proc[[#This Row],[DateOpened]],Proc[[#This Row],[DateClosed]]))-1)</f>
        <v>10</v>
      </c>
      <c r="R4900" s="174" t="s">
        <v>5709</v>
      </c>
      <c r="S4900" s="150"/>
    </row>
    <row r="4901" spans="1:19" hidden="1">
      <c r="A4901" s="149" t="s">
        <v>7039</v>
      </c>
      <c r="B4901" s="150" t="str">
        <f>IFERROR(VLOOKUP(Proc[[#This Row],[App]],Table2[],3,0),"open")</f>
        <v>ok</v>
      </c>
      <c r="C4901" s="149" t="s">
        <v>369</v>
      </c>
      <c r="D4901" t="s">
        <v>7110</v>
      </c>
      <c r="E4901" s="149" t="s">
        <v>7234</v>
      </c>
      <c r="F4901" s="150" t="s">
        <v>7234</v>
      </c>
      <c r="G4901" s="149" t="s">
        <v>406</v>
      </c>
      <c r="H4901" s="150" t="str">
        <f>IF(Proc[[#This Row],[type]]="LFF (MDG-F)",MID(Proc[[#This Row],[Obj]],13,10),"")</f>
        <v>JP02TQ1014</v>
      </c>
      <c r="I4901" s="149" t="s">
        <v>7234</v>
      </c>
      <c r="J4901" s="150" t="b">
        <f>Proc[[#This Row],[Requested]]=Proc[[#This Row],[CurrentParent]]</f>
        <v>1</v>
      </c>
      <c r="K4901" s="150" t="str">
        <f>IF(Proc[[#This Row],[Author]]="Marcela Urrego",VLOOKUP(LEFT(Proc[[#This Row],[Requested]],1),Table3[#All],2,0),VLOOKUP(Proc[[#This Row],[Author]],Table4[],2,0))</f>
        <v>EL</v>
      </c>
      <c r="L4901" s="150" t="s">
        <v>6435</v>
      </c>
      <c r="M4901" s="173">
        <v>45989</v>
      </c>
      <c r="N4901" s="174"/>
      <c r="O4901" s="174"/>
      <c r="P4901" s="174" t="str">
        <f ca="1">IF(Proc[[#This Row],[DaysAgeing]]&gt;5,"yep","on track")</f>
        <v>yep</v>
      </c>
      <c r="Q4901" s="3">
        <f ca="1">IF(Proc[[#This Row],[DateClosed]]="",ABS(NETWORKDAYS(Proc[[#This Row],[DateOpened]],TODAY()))-1,ABS(NETWORKDAYS(Proc[[#This Row],[DateOpened]],Proc[[#This Row],[DateClosed]]))-1)</f>
        <v>10</v>
      </c>
      <c r="R4901" s="174" t="s">
        <v>5709</v>
      </c>
      <c r="S4901" s="150"/>
    </row>
    <row r="4902" spans="1:19" hidden="1">
      <c r="A4902" s="149" t="s">
        <v>7039</v>
      </c>
      <c r="B4902" s="150" t="str">
        <f>IFERROR(VLOOKUP(Proc[[#This Row],[App]],Table2[],3,0),"open")</f>
        <v>ok</v>
      </c>
      <c r="C4902" s="149" t="s">
        <v>369</v>
      </c>
      <c r="D4902" t="s">
        <v>7111</v>
      </c>
      <c r="E4902" s="149" t="s">
        <v>7234</v>
      </c>
      <c r="F4902" s="150" t="s">
        <v>7234</v>
      </c>
      <c r="G4902" s="149" t="s">
        <v>406</v>
      </c>
      <c r="H4902" s="150" t="str">
        <f>IF(Proc[[#This Row],[type]]="LFF (MDG-F)",MID(Proc[[#This Row],[Obj]],13,10),"")</f>
        <v>KR02TQ1000</v>
      </c>
      <c r="I4902" s="149" t="s">
        <v>7234</v>
      </c>
      <c r="J4902" s="150" t="b">
        <f>Proc[[#This Row],[Requested]]=Proc[[#This Row],[CurrentParent]]</f>
        <v>1</v>
      </c>
      <c r="K4902" s="150" t="str">
        <f>IF(Proc[[#This Row],[Author]]="Marcela Urrego",VLOOKUP(LEFT(Proc[[#This Row],[Requested]],1),Table3[#All],2,0),VLOOKUP(Proc[[#This Row],[Author]],Table4[],2,0))</f>
        <v>EL</v>
      </c>
      <c r="L4902" s="150" t="s">
        <v>6435</v>
      </c>
      <c r="M4902" s="173">
        <v>45989</v>
      </c>
      <c r="N4902" s="174"/>
      <c r="O4902" s="174"/>
      <c r="P4902" s="174" t="str">
        <f ca="1">IF(Proc[[#This Row],[DaysAgeing]]&gt;5,"yep","on track")</f>
        <v>yep</v>
      </c>
      <c r="Q4902" s="3">
        <f ca="1">IF(Proc[[#This Row],[DateClosed]]="",ABS(NETWORKDAYS(Proc[[#This Row],[DateOpened]],TODAY()))-1,ABS(NETWORKDAYS(Proc[[#This Row],[DateOpened]],Proc[[#This Row],[DateClosed]]))-1)</f>
        <v>10</v>
      </c>
      <c r="R4902" s="174" t="s">
        <v>5709</v>
      </c>
      <c r="S4902" s="150"/>
    </row>
    <row r="4903" spans="1:19" hidden="1">
      <c r="A4903" s="149" t="s">
        <v>7039</v>
      </c>
      <c r="B4903" s="150" t="str">
        <f>IFERROR(VLOOKUP(Proc[[#This Row],[App]],Table2[],3,0),"open")</f>
        <v>ok</v>
      </c>
      <c r="C4903" s="149" t="s">
        <v>369</v>
      </c>
      <c r="D4903" t="s">
        <v>7112</v>
      </c>
      <c r="E4903" s="149" t="s">
        <v>7234</v>
      </c>
      <c r="F4903" s="150" t="s">
        <v>7234</v>
      </c>
      <c r="G4903" s="149" t="s">
        <v>406</v>
      </c>
      <c r="H4903" s="150" t="str">
        <f>IF(Proc[[#This Row],[type]]="LFF (MDG-F)",MID(Proc[[#This Row],[Obj]],13,10),"")</f>
        <v>KR03TQ1011</v>
      </c>
      <c r="I4903" s="149" t="s">
        <v>7234</v>
      </c>
      <c r="J4903" s="150" t="b">
        <f>Proc[[#This Row],[Requested]]=Proc[[#This Row],[CurrentParent]]</f>
        <v>1</v>
      </c>
      <c r="K4903" s="150" t="str">
        <f>IF(Proc[[#This Row],[Author]]="Marcela Urrego",VLOOKUP(LEFT(Proc[[#This Row],[Requested]],1),Table3[#All],2,0),VLOOKUP(Proc[[#This Row],[Author]],Table4[],2,0))</f>
        <v>EL</v>
      </c>
      <c r="L4903" s="150" t="s">
        <v>6435</v>
      </c>
      <c r="M4903" s="173">
        <v>45989</v>
      </c>
      <c r="N4903" s="174"/>
      <c r="O4903" s="174"/>
      <c r="P4903" s="174" t="str">
        <f ca="1">IF(Proc[[#This Row],[DaysAgeing]]&gt;5,"yep","on track")</f>
        <v>yep</v>
      </c>
      <c r="Q4903" s="3">
        <f ca="1">IF(Proc[[#This Row],[DateClosed]]="",ABS(NETWORKDAYS(Proc[[#This Row],[DateOpened]],TODAY()))-1,ABS(NETWORKDAYS(Proc[[#This Row],[DateOpened]],Proc[[#This Row],[DateClosed]]))-1)</f>
        <v>10</v>
      </c>
      <c r="R4903" s="174" t="s">
        <v>5709</v>
      </c>
      <c r="S4903" s="150"/>
    </row>
    <row r="4904" spans="1:19" hidden="1">
      <c r="A4904" s="149" t="s">
        <v>7039</v>
      </c>
      <c r="B4904" s="150" t="str">
        <f>IFERROR(VLOOKUP(Proc[[#This Row],[App]],Table2[],3,0),"open")</f>
        <v>ok</v>
      </c>
      <c r="C4904" s="149" t="s">
        <v>369</v>
      </c>
      <c r="D4904" t="s">
        <v>7113</v>
      </c>
      <c r="E4904" s="149" t="s">
        <v>7234</v>
      </c>
      <c r="F4904" s="150" t="s">
        <v>7234</v>
      </c>
      <c r="G4904" s="149" t="s">
        <v>406</v>
      </c>
      <c r="H4904" s="150" t="str">
        <f>IF(Proc[[#This Row],[type]]="LFF (MDG-F)",MID(Proc[[#This Row],[Obj]],13,10),"")</f>
        <v>KR03TQ1012</v>
      </c>
      <c r="I4904" s="149" t="s">
        <v>7234</v>
      </c>
      <c r="J4904" s="150" t="b">
        <f>Proc[[#This Row],[Requested]]=Proc[[#This Row],[CurrentParent]]</f>
        <v>1</v>
      </c>
      <c r="K4904" s="150" t="str">
        <f>IF(Proc[[#This Row],[Author]]="Marcela Urrego",VLOOKUP(LEFT(Proc[[#This Row],[Requested]],1),Table3[#All],2,0),VLOOKUP(Proc[[#This Row],[Author]],Table4[],2,0))</f>
        <v>EL</v>
      </c>
      <c r="L4904" s="150" t="s">
        <v>6435</v>
      </c>
      <c r="M4904" s="173">
        <v>45989</v>
      </c>
      <c r="N4904" s="174"/>
      <c r="O4904" s="174"/>
      <c r="P4904" s="174" t="str">
        <f ca="1">IF(Proc[[#This Row],[DaysAgeing]]&gt;5,"yep","on track")</f>
        <v>yep</v>
      </c>
      <c r="Q4904" s="3">
        <f ca="1">IF(Proc[[#This Row],[DateClosed]]="",ABS(NETWORKDAYS(Proc[[#This Row],[DateOpened]],TODAY()))-1,ABS(NETWORKDAYS(Proc[[#This Row],[DateOpened]],Proc[[#This Row],[DateClosed]]))-1)</f>
        <v>10</v>
      </c>
      <c r="R4904" s="174" t="s">
        <v>5709</v>
      </c>
      <c r="S4904" s="150"/>
    </row>
    <row r="4905" spans="1:19" hidden="1">
      <c r="A4905" s="149" t="s">
        <v>7039</v>
      </c>
      <c r="B4905" s="150" t="str">
        <f>IFERROR(VLOOKUP(Proc[[#This Row],[App]],Table2[],3,0),"open")</f>
        <v>ok</v>
      </c>
      <c r="C4905" s="149" t="s">
        <v>369</v>
      </c>
      <c r="D4905" t="s">
        <v>7114</v>
      </c>
      <c r="E4905" s="149" t="s">
        <v>7234</v>
      </c>
      <c r="F4905" s="150" t="s">
        <v>7234</v>
      </c>
      <c r="G4905" s="149" t="s">
        <v>406</v>
      </c>
      <c r="H4905" s="150" t="str">
        <f>IF(Proc[[#This Row],[type]]="LFF (MDG-F)",MID(Proc[[#This Row],[Obj]],13,10),"")</f>
        <v>KR07TQ1001</v>
      </c>
      <c r="I4905" s="149" t="s">
        <v>7234</v>
      </c>
      <c r="J4905" s="150" t="b">
        <f>Proc[[#This Row],[Requested]]=Proc[[#This Row],[CurrentParent]]</f>
        <v>1</v>
      </c>
      <c r="K4905" s="150" t="str">
        <f>IF(Proc[[#This Row],[Author]]="Marcela Urrego",VLOOKUP(LEFT(Proc[[#This Row],[Requested]],1),Table3[#All],2,0),VLOOKUP(Proc[[#This Row],[Author]],Table4[],2,0))</f>
        <v>EL</v>
      </c>
      <c r="L4905" s="150" t="s">
        <v>6435</v>
      </c>
      <c r="M4905" s="173">
        <v>45989</v>
      </c>
      <c r="N4905" s="174"/>
      <c r="O4905" s="174"/>
      <c r="P4905" s="174" t="str">
        <f ca="1">IF(Proc[[#This Row],[DaysAgeing]]&gt;5,"yep","on track")</f>
        <v>yep</v>
      </c>
      <c r="Q4905" s="3">
        <f ca="1">IF(Proc[[#This Row],[DateClosed]]="",ABS(NETWORKDAYS(Proc[[#This Row],[DateOpened]],TODAY()))-1,ABS(NETWORKDAYS(Proc[[#This Row],[DateOpened]],Proc[[#This Row],[DateClosed]]))-1)</f>
        <v>10</v>
      </c>
      <c r="R4905" s="174" t="s">
        <v>5709</v>
      </c>
      <c r="S4905" s="150"/>
    </row>
    <row r="4906" spans="1:19" hidden="1">
      <c r="A4906" s="149" t="s">
        <v>7039</v>
      </c>
      <c r="B4906" s="150" t="str">
        <f>IFERROR(VLOOKUP(Proc[[#This Row],[App]],Table2[],3,0),"open")</f>
        <v>ok</v>
      </c>
      <c r="C4906" s="149" t="s">
        <v>369</v>
      </c>
      <c r="D4906" t="s">
        <v>7115</v>
      </c>
      <c r="E4906" s="149" t="s">
        <v>7234</v>
      </c>
      <c r="F4906" s="150" t="s">
        <v>7234</v>
      </c>
      <c r="G4906" s="149" t="s">
        <v>406</v>
      </c>
      <c r="H4906" s="150" t="str">
        <f>IF(Proc[[#This Row],[type]]="LFF (MDG-F)",MID(Proc[[#This Row],[Obj]],13,10),"")</f>
        <v>KR07TQ1002</v>
      </c>
      <c r="I4906" s="149" t="s">
        <v>7234</v>
      </c>
      <c r="J4906" s="150" t="b">
        <f>Proc[[#This Row],[Requested]]=Proc[[#This Row],[CurrentParent]]</f>
        <v>1</v>
      </c>
      <c r="K4906" s="150" t="str">
        <f>IF(Proc[[#This Row],[Author]]="Marcela Urrego",VLOOKUP(LEFT(Proc[[#This Row],[Requested]],1),Table3[#All],2,0),VLOOKUP(Proc[[#This Row],[Author]],Table4[],2,0))</f>
        <v>EL</v>
      </c>
      <c r="L4906" s="150" t="s">
        <v>6435</v>
      </c>
      <c r="M4906" s="173">
        <v>45989</v>
      </c>
      <c r="N4906" s="174"/>
      <c r="O4906" s="174"/>
      <c r="P4906" s="174" t="str">
        <f ca="1">IF(Proc[[#This Row],[DaysAgeing]]&gt;5,"yep","on track")</f>
        <v>yep</v>
      </c>
      <c r="Q4906" s="3">
        <f ca="1">IF(Proc[[#This Row],[DateClosed]]="",ABS(NETWORKDAYS(Proc[[#This Row],[DateOpened]],TODAY()))-1,ABS(NETWORKDAYS(Proc[[#This Row],[DateOpened]],Proc[[#This Row],[DateClosed]]))-1)</f>
        <v>10</v>
      </c>
      <c r="R4906" s="174" t="s">
        <v>5709</v>
      </c>
      <c r="S4906" s="150"/>
    </row>
    <row r="4907" spans="1:19" hidden="1">
      <c r="A4907" s="149" t="s">
        <v>7039</v>
      </c>
      <c r="B4907" s="150" t="str">
        <f>IFERROR(VLOOKUP(Proc[[#This Row],[App]],Table2[],3,0),"open")</f>
        <v>ok</v>
      </c>
      <c r="C4907" s="149" t="s">
        <v>369</v>
      </c>
      <c r="D4907" t="s">
        <v>7116</v>
      </c>
      <c r="E4907" s="149" t="s">
        <v>7234</v>
      </c>
      <c r="F4907" s="150" t="s">
        <v>7234</v>
      </c>
      <c r="G4907" s="149" t="s">
        <v>406</v>
      </c>
      <c r="H4907" s="150" t="str">
        <f>IF(Proc[[#This Row],[type]]="LFF (MDG-F)",MID(Proc[[#This Row],[Obj]],13,10),"")</f>
        <v>KR07TQ1003</v>
      </c>
      <c r="I4907" s="149" t="s">
        <v>7234</v>
      </c>
      <c r="J4907" s="150" t="b">
        <f>Proc[[#This Row],[Requested]]=Proc[[#This Row],[CurrentParent]]</f>
        <v>1</v>
      </c>
      <c r="K4907" s="150" t="str">
        <f>IF(Proc[[#This Row],[Author]]="Marcela Urrego",VLOOKUP(LEFT(Proc[[#This Row],[Requested]],1),Table3[#All],2,0),VLOOKUP(Proc[[#This Row],[Author]],Table4[],2,0))</f>
        <v>EL</v>
      </c>
      <c r="L4907" s="150" t="s">
        <v>6435</v>
      </c>
      <c r="M4907" s="173">
        <v>45989</v>
      </c>
      <c r="N4907" s="174"/>
      <c r="O4907" s="174"/>
      <c r="P4907" s="174" t="str">
        <f ca="1">IF(Proc[[#This Row],[DaysAgeing]]&gt;5,"yep","on track")</f>
        <v>yep</v>
      </c>
      <c r="Q4907" s="3">
        <f ca="1">IF(Proc[[#This Row],[DateClosed]]="",ABS(NETWORKDAYS(Proc[[#This Row],[DateOpened]],TODAY()))-1,ABS(NETWORKDAYS(Proc[[#This Row],[DateOpened]],Proc[[#This Row],[DateClosed]]))-1)</f>
        <v>10</v>
      </c>
      <c r="R4907" s="174" t="s">
        <v>5709</v>
      </c>
      <c r="S4907" s="150"/>
    </row>
    <row r="4908" spans="1:19" hidden="1">
      <c r="A4908" s="149" t="s">
        <v>7039</v>
      </c>
      <c r="B4908" s="150" t="str">
        <f>IFERROR(VLOOKUP(Proc[[#This Row],[App]],Table2[],3,0),"open")</f>
        <v>ok</v>
      </c>
      <c r="C4908" s="149" t="s">
        <v>369</v>
      </c>
      <c r="D4908" t="s">
        <v>7117</v>
      </c>
      <c r="E4908" s="149" t="s">
        <v>7234</v>
      </c>
      <c r="F4908" s="150" t="s">
        <v>7234</v>
      </c>
      <c r="G4908" s="149" t="s">
        <v>406</v>
      </c>
      <c r="H4908" s="150" t="str">
        <f>IF(Proc[[#This Row],[type]]="LFF (MDG-F)",MID(Proc[[#This Row],[Obj]],13,10),"")</f>
        <v>KR07TQ1004</v>
      </c>
      <c r="I4908" s="149" t="s">
        <v>7234</v>
      </c>
      <c r="J4908" s="150" t="b">
        <f>Proc[[#This Row],[Requested]]=Proc[[#This Row],[CurrentParent]]</f>
        <v>1</v>
      </c>
      <c r="K4908" s="150" t="str">
        <f>IF(Proc[[#This Row],[Author]]="Marcela Urrego",VLOOKUP(LEFT(Proc[[#This Row],[Requested]],1),Table3[#All],2,0),VLOOKUP(Proc[[#This Row],[Author]],Table4[],2,0))</f>
        <v>EL</v>
      </c>
      <c r="L4908" s="150" t="s">
        <v>6435</v>
      </c>
      <c r="M4908" s="173">
        <v>45989</v>
      </c>
      <c r="N4908" s="174"/>
      <c r="O4908" s="174"/>
      <c r="P4908" s="174" t="str">
        <f ca="1">IF(Proc[[#This Row],[DaysAgeing]]&gt;5,"yep","on track")</f>
        <v>yep</v>
      </c>
      <c r="Q4908" s="3">
        <f ca="1">IF(Proc[[#This Row],[DateClosed]]="",ABS(NETWORKDAYS(Proc[[#This Row],[DateOpened]],TODAY()))-1,ABS(NETWORKDAYS(Proc[[#This Row],[DateOpened]],Proc[[#This Row],[DateClosed]]))-1)</f>
        <v>10</v>
      </c>
      <c r="R4908" s="174" t="s">
        <v>5709</v>
      </c>
      <c r="S4908" s="150"/>
    </row>
    <row r="4909" spans="1:19" hidden="1">
      <c r="A4909" s="149" t="s">
        <v>7039</v>
      </c>
      <c r="B4909" s="150" t="str">
        <f>IFERROR(VLOOKUP(Proc[[#This Row],[App]],Table2[],3,0),"open")</f>
        <v>ok</v>
      </c>
      <c r="C4909" s="149" t="s">
        <v>369</v>
      </c>
      <c r="D4909" t="s">
        <v>7118</v>
      </c>
      <c r="E4909" s="149" t="s">
        <v>7234</v>
      </c>
      <c r="F4909" s="150" t="s">
        <v>7234</v>
      </c>
      <c r="G4909" s="149" t="s">
        <v>406</v>
      </c>
      <c r="H4909" s="150" t="str">
        <f>IF(Proc[[#This Row],[type]]="LFF (MDG-F)",MID(Proc[[#This Row],[Obj]],13,10),"")</f>
        <v>KR07TQ1005</v>
      </c>
      <c r="I4909" s="149" t="s">
        <v>7234</v>
      </c>
      <c r="J4909" s="150" t="b">
        <f>Proc[[#This Row],[Requested]]=Proc[[#This Row],[CurrentParent]]</f>
        <v>1</v>
      </c>
      <c r="K4909" s="150" t="str">
        <f>IF(Proc[[#This Row],[Author]]="Marcela Urrego",VLOOKUP(LEFT(Proc[[#This Row],[Requested]],1),Table3[#All],2,0),VLOOKUP(Proc[[#This Row],[Author]],Table4[],2,0))</f>
        <v>EL</v>
      </c>
      <c r="L4909" s="150" t="s">
        <v>6435</v>
      </c>
      <c r="M4909" s="173">
        <v>45989</v>
      </c>
      <c r="N4909" s="174"/>
      <c r="O4909" s="174"/>
      <c r="P4909" s="174" t="str">
        <f ca="1">IF(Proc[[#This Row],[DaysAgeing]]&gt;5,"yep","on track")</f>
        <v>yep</v>
      </c>
      <c r="Q4909" s="3">
        <f ca="1">IF(Proc[[#This Row],[DateClosed]]="",ABS(NETWORKDAYS(Proc[[#This Row],[DateOpened]],TODAY()))-1,ABS(NETWORKDAYS(Proc[[#This Row],[DateOpened]],Proc[[#This Row],[DateClosed]]))-1)</f>
        <v>10</v>
      </c>
      <c r="R4909" s="174" t="s">
        <v>5709</v>
      </c>
      <c r="S4909" s="150"/>
    </row>
    <row r="4910" spans="1:19" hidden="1">
      <c r="A4910" s="149" t="s">
        <v>7039</v>
      </c>
      <c r="B4910" s="150" t="str">
        <f>IFERROR(VLOOKUP(Proc[[#This Row],[App]],Table2[],3,0),"open")</f>
        <v>ok</v>
      </c>
      <c r="C4910" s="149" t="s">
        <v>369</v>
      </c>
      <c r="D4910" t="s">
        <v>7119</v>
      </c>
      <c r="E4910" s="149" t="s">
        <v>7234</v>
      </c>
      <c r="F4910" s="150" t="s">
        <v>7234</v>
      </c>
      <c r="G4910" s="149" t="s">
        <v>406</v>
      </c>
      <c r="H4910" s="150" t="str">
        <f>IF(Proc[[#This Row],[type]]="LFF (MDG-F)",MID(Proc[[#This Row],[Obj]],13,10),"")</f>
        <v>KR07TQ1006</v>
      </c>
      <c r="I4910" s="149" t="s">
        <v>7234</v>
      </c>
      <c r="J4910" s="150" t="b">
        <f>Proc[[#This Row],[Requested]]=Proc[[#This Row],[CurrentParent]]</f>
        <v>1</v>
      </c>
      <c r="K4910" s="150" t="str">
        <f>IF(Proc[[#This Row],[Author]]="Marcela Urrego",VLOOKUP(LEFT(Proc[[#This Row],[Requested]],1),Table3[#All],2,0),VLOOKUP(Proc[[#This Row],[Author]],Table4[],2,0))</f>
        <v>EL</v>
      </c>
      <c r="L4910" s="150" t="s">
        <v>6435</v>
      </c>
      <c r="M4910" s="173">
        <v>45989</v>
      </c>
      <c r="N4910" s="174"/>
      <c r="O4910" s="174"/>
      <c r="P4910" s="174" t="str">
        <f ca="1">IF(Proc[[#This Row],[DaysAgeing]]&gt;5,"yep","on track")</f>
        <v>yep</v>
      </c>
      <c r="Q4910" s="3">
        <f ca="1">IF(Proc[[#This Row],[DateClosed]]="",ABS(NETWORKDAYS(Proc[[#This Row],[DateOpened]],TODAY()))-1,ABS(NETWORKDAYS(Proc[[#This Row],[DateOpened]],Proc[[#This Row],[DateClosed]]))-1)</f>
        <v>10</v>
      </c>
      <c r="R4910" s="174" t="s">
        <v>5709</v>
      </c>
      <c r="S4910" s="150"/>
    </row>
    <row r="4911" spans="1:19" hidden="1">
      <c r="A4911" s="149" t="s">
        <v>7039</v>
      </c>
      <c r="B4911" s="150" t="str">
        <f>IFERROR(VLOOKUP(Proc[[#This Row],[App]],Table2[],3,0),"open")</f>
        <v>ok</v>
      </c>
      <c r="C4911" s="149" t="s">
        <v>369</v>
      </c>
      <c r="D4911" t="s">
        <v>7120</v>
      </c>
      <c r="E4911" s="149" t="s">
        <v>7234</v>
      </c>
      <c r="F4911" s="150" t="s">
        <v>7234</v>
      </c>
      <c r="G4911" s="149" t="s">
        <v>406</v>
      </c>
      <c r="H4911" s="150" t="str">
        <f>IF(Proc[[#This Row],[type]]="LFF (MDG-F)",MID(Proc[[#This Row],[Obj]],13,10),"")</f>
        <v>KR11TQ1001</v>
      </c>
      <c r="I4911" s="149" t="s">
        <v>7234</v>
      </c>
      <c r="J4911" s="150" t="b">
        <f>Proc[[#This Row],[Requested]]=Proc[[#This Row],[CurrentParent]]</f>
        <v>1</v>
      </c>
      <c r="K4911" s="150" t="str">
        <f>IF(Proc[[#This Row],[Author]]="Marcela Urrego",VLOOKUP(LEFT(Proc[[#This Row],[Requested]],1),Table3[#All],2,0),VLOOKUP(Proc[[#This Row],[Author]],Table4[],2,0))</f>
        <v>EL</v>
      </c>
      <c r="L4911" s="150" t="s">
        <v>6435</v>
      </c>
      <c r="M4911" s="173">
        <v>45989</v>
      </c>
      <c r="N4911" s="174"/>
      <c r="O4911" s="174"/>
      <c r="P4911" s="174" t="str">
        <f ca="1">IF(Proc[[#This Row],[DaysAgeing]]&gt;5,"yep","on track")</f>
        <v>yep</v>
      </c>
      <c r="Q4911" s="3">
        <f ca="1">IF(Proc[[#This Row],[DateClosed]]="",ABS(NETWORKDAYS(Proc[[#This Row],[DateOpened]],TODAY()))-1,ABS(NETWORKDAYS(Proc[[#This Row],[DateOpened]],Proc[[#This Row],[DateClosed]]))-1)</f>
        <v>10</v>
      </c>
      <c r="R4911" s="174" t="s">
        <v>5709</v>
      </c>
      <c r="S4911" s="150"/>
    </row>
    <row r="4912" spans="1:19" hidden="1">
      <c r="A4912" s="149" t="s">
        <v>7039</v>
      </c>
      <c r="B4912" s="150" t="str">
        <f>IFERROR(VLOOKUP(Proc[[#This Row],[App]],Table2[],3,0),"open")</f>
        <v>ok</v>
      </c>
      <c r="C4912" s="149" t="s">
        <v>369</v>
      </c>
      <c r="D4912" t="s">
        <v>7121</v>
      </c>
      <c r="E4912" s="149" t="s">
        <v>7234</v>
      </c>
      <c r="F4912" s="150" t="s">
        <v>7234</v>
      </c>
      <c r="G4912" s="149" t="s">
        <v>406</v>
      </c>
      <c r="H4912" s="150" t="str">
        <f>IF(Proc[[#This Row],[type]]="LFF (MDG-F)",MID(Proc[[#This Row],[Obj]],13,10),"")</f>
        <v>KR11TQ1002</v>
      </c>
      <c r="I4912" s="149" t="s">
        <v>7234</v>
      </c>
      <c r="J4912" s="150" t="b">
        <f>Proc[[#This Row],[Requested]]=Proc[[#This Row],[CurrentParent]]</f>
        <v>1</v>
      </c>
      <c r="K4912" s="150" t="str">
        <f>IF(Proc[[#This Row],[Author]]="Marcela Urrego",VLOOKUP(LEFT(Proc[[#This Row],[Requested]],1),Table3[#All],2,0),VLOOKUP(Proc[[#This Row],[Author]],Table4[],2,0))</f>
        <v>EL</v>
      </c>
      <c r="L4912" s="150" t="s">
        <v>6435</v>
      </c>
      <c r="M4912" s="173">
        <v>45989</v>
      </c>
      <c r="N4912" s="174"/>
      <c r="O4912" s="174"/>
      <c r="P4912" s="174" t="str">
        <f ca="1">IF(Proc[[#This Row],[DaysAgeing]]&gt;5,"yep","on track")</f>
        <v>yep</v>
      </c>
      <c r="Q4912" s="3">
        <f ca="1">IF(Proc[[#This Row],[DateClosed]]="",ABS(NETWORKDAYS(Proc[[#This Row],[DateOpened]],TODAY()))-1,ABS(NETWORKDAYS(Proc[[#This Row],[DateOpened]],Proc[[#This Row],[DateClosed]]))-1)</f>
        <v>10</v>
      </c>
      <c r="R4912" s="174" t="s">
        <v>5709</v>
      </c>
      <c r="S4912" s="150"/>
    </row>
    <row r="4913" spans="1:19" hidden="1">
      <c r="A4913" s="149" t="s">
        <v>7039</v>
      </c>
      <c r="B4913" s="150" t="str">
        <f>IFERROR(VLOOKUP(Proc[[#This Row],[App]],Table2[],3,0),"open")</f>
        <v>ok</v>
      </c>
      <c r="C4913" s="149" t="s">
        <v>369</v>
      </c>
      <c r="D4913" t="s">
        <v>7122</v>
      </c>
      <c r="E4913" s="149" t="s">
        <v>7234</v>
      </c>
      <c r="F4913" s="150" t="s">
        <v>7234</v>
      </c>
      <c r="G4913" s="149" t="s">
        <v>406</v>
      </c>
      <c r="H4913" s="150" t="str">
        <f>IF(Proc[[#This Row],[type]]="LFF (MDG-F)",MID(Proc[[#This Row],[Obj]],13,10),"")</f>
        <v>KR11TQ1003</v>
      </c>
      <c r="I4913" s="149" t="s">
        <v>7234</v>
      </c>
      <c r="J4913" s="150" t="b">
        <f>Proc[[#This Row],[Requested]]=Proc[[#This Row],[CurrentParent]]</f>
        <v>1</v>
      </c>
      <c r="K4913" s="150" t="str">
        <f>IF(Proc[[#This Row],[Author]]="Marcela Urrego",VLOOKUP(LEFT(Proc[[#This Row],[Requested]],1),Table3[#All],2,0),VLOOKUP(Proc[[#This Row],[Author]],Table4[],2,0))</f>
        <v>EL</v>
      </c>
      <c r="L4913" s="150" t="s">
        <v>6435</v>
      </c>
      <c r="M4913" s="173">
        <v>45989</v>
      </c>
      <c r="N4913" s="174"/>
      <c r="O4913" s="174"/>
      <c r="P4913" s="174" t="str">
        <f ca="1">IF(Proc[[#This Row],[DaysAgeing]]&gt;5,"yep","on track")</f>
        <v>yep</v>
      </c>
      <c r="Q4913" s="3">
        <f ca="1">IF(Proc[[#This Row],[DateClosed]]="",ABS(NETWORKDAYS(Proc[[#This Row],[DateOpened]],TODAY()))-1,ABS(NETWORKDAYS(Proc[[#This Row],[DateOpened]],Proc[[#This Row],[DateClosed]]))-1)</f>
        <v>10</v>
      </c>
      <c r="R4913" s="174" t="s">
        <v>5709</v>
      </c>
      <c r="S4913" s="150"/>
    </row>
    <row r="4914" spans="1:19" hidden="1">
      <c r="A4914" s="149" t="s">
        <v>7039</v>
      </c>
      <c r="B4914" s="150" t="str">
        <f>IFERROR(VLOOKUP(Proc[[#This Row],[App]],Table2[],3,0),"open")</f>
        <v>ok</v>
      </c>
      <c r="C4914" s="149" t="s">
        <v>369</v>
      </c>
      <c r="D4914" t="s">
        <v>7123</v>
      </c>
      <c r="E4914" s="149" t="s">
        <v>7234</v>
      </c>
      <c r="F4914" s="150" t="s">
        <v>7234</v>
      </c>
      <c r="G4914" s="149" t="s">
        <v>406</v>
      </c>
      <c r="H4914" s="150" t="str">
        <f>IF(Proc[[#This Row],[type]]="LFF (MDG-F)",MID(Proc[[#This Row],[Obj]],13,10),"")</f>
        <v>KR11TQ1004</v>
      </c>
      <c r="I4914" s="149" t="s">
        <v>7234</v>
      </c>
      <c r="J4914" s="150" t="b">
        <f>Proc[[#This Row],[Requested]]=Proc[[#This Row],[CurrentParent]]</f>
        <v>1</v>
      </c>
      <c r="K4914" s="150" t="str">
        <f>IF(Proc[[#This Row],[Author]]="Marcela Urrego",VLOOKUP(LEFT(Proc[[#This Row],[Requested]],1),Table3[#All],2,0),VLOOKUP(Proc[[#This Row],[Author]],Table4[],2,0))</f>
        <v>EL</v>
      </c>
      <c r="L4914" s="150" t="s">
        <v>6435</v>
      </c>
      <c r="M4914" s="173">
        <v>45989</v>
      </c>
      <c r="N4914" s="174"/>
      <c r="O4914" s="174"/>
      <c r="P4914" s="174" t="str">
        <f ca="1">IF(Proc[[#This Row],[DaysAgeing]]&gt;5,"yep","on track")</f>
        <v>yep</v>
      </c>
      <c r="Q4914" s="3">
        <f ca="1">IF(Proc[[#This Row],[DateClosed]]="",ABS(NETWORKDAYS(Proc[[#This Row],[DateOpened]],TODAY()))-1,ABS(NETWORKDAYS(Proc[[#This Row],[DateOpened]],Proc[[#This Row],[DateClosed]]))-1)</f>
        <v>10</v>
      </c>
      <c r="R4914" s="174" t="s">
        <v>5709</v>
      </c>
      <c r="S4914" s="150"/>
    </row>
    <row r="4915" spans="1:19" hidden="1">
      <c r="A4915" s="149" t="s">
        <v>7039</v>
      </c>
      <c r="B4915" s="150" t="str">
        <f>IFERROR(VLOOKUP(Proc[[#This Row],[App]],Table2[],3,0),"open")</f>
        <v>ok</v>
      </c>
      <c r="C4915" s="149" t="s">
        <v>369</v>
      </c>
      <c r="D4915" t="s">
        <v>7124</v>
      </c>
      <c r="E4915" s="149" t="s">
        <v>7234</v>
      </c>
      <c r="F4915" s="150" t="s">
        <v>7234</v>
      </c>
      <c r="G4915" s="149" t="s">
        <v>406</v>
      </c>
      <c r="H4915" s="150" t="str">
        <f>IF(Proc[[#This Row],[type]]="LFF (MDG-F)",MID(Proc[[#This Row],[Obj]],13,10),"")</f>
        <v>KR15TQ1001</v>
      </c>
      <c r="I4915" s="149" t="s">
        <v>7234</v>
      </c>
      <c r="J4915" s="150" t="b">
        <f>Proc[[#This Row],[Requested]]=Proc[[#This Row],[CurrentParent]]</f>
        <v>1</v>
      </c>
      <c r="K4915" s="150" t="str">
        <f>IF(Proc[[#This Row],[Author]]="Marcela Urrego",VLOOKUP(LEFT(Proc[[#This Row],[Requested]],1),Table3[#All],2,0),VLOOKUP(Proc[[#This Row],[Author]],Table4[],2,0))</f>
        <v>EL</v>
      </c>
      <c r="L4915" s="150" t="s">
        <v>6435</v>
      </c>
      <c r="M4915" s="173">
        <v>45989</v>
      </c>
      <c r="N4915" s="174"/>
      <c r="O4915" s="174"/>
      <c r="P4915" s="174" t="str">
        <f ca="1">IF(Proc[[#This Row],[DaysAgeing]]&gt;5,"yep","on track")</f>
        <v>yep</v>
      </c>
      <c r="Q4915" s="3">
        <f ca="1">IF(Proc[[#This Row],[DateClosed]]="",ABS(NETWORKDAYS(Proc[[#This Row],[DateOpened]],TODAY()))-1,ABS(NETWORKDAYS(Proc[[#This Row],[DateOpened]],Proc[[#This Row],[DateClosed]]))-1)</f>
        <v>10</v>
      </c>
      <c r="R4915" s="174" t="s">
        <v>5709</v>
      </c>
      <c r="S4915" s="150"/>
    </row>
    <row r="4916" spans="1:19" hidden="1">
      <c r="A4916" s="149" t="s">
        <v>7039</v>
      </c>
      <c r="B4916" s="150" t="str">
        <f>IFERROR(VLOOKUP(Proc[[#This Row],[App]],Table2[],3,0),"open")</f>
        <v>ok</v>
      </c>
      <c r="C4916" s="149" t="s">
        <v>369</v>
      </c>
      <c r="D4916" t="s">
        <v>7125</v>
      </c>
      <c r="E4916" s="149" t="s">
        <v>7234</v>
      </c>
      <c r="F4916" s="150" t="s">
        <v>7234</v>
      </c>
      <c r="G4916" s="149" t="s">
        <v>406</v>
      </c>
      <c r="H4916" s="150" t="str">
        <f>IF(Proc[[#This Row],[type]]="LFF (MDG-F)",MID(Proc[[#This Row],[Obj]],13,10),"")</f>
        <v>KR16TQ1001</v>
      </c>
      <c r="I4916" s="149" t="s">
        <v>7234</v>
      </c>
      <c r="J4916" s="150" t="b">
        <f>Proc[[#This Row],[Requested]]=Proc[[#This Row],[CurrentParent]]</f>
        <v>1</v>
      </c>
      <c r="K4916" s="150" t="str">
        <f>IF(Proc[[#This Row],[Author]]="Marcela Urrego",VLOOKUP(LEFT(Proc[[#This Row],[Requested]],1),Table3[#All],2,0),VLOOKUP(Proc[[#This Row],[Author]],Table4[],2,0))</f>
        <v>EL</v>
      </c>
      <c r="L4916" s="150" t="s">
        <v>6435</v>
      </c>
      <c r="M4916" s="173">
        <v>45989</v>
      </c>
      <c r="N4916" s="174"/>
      <c r="O4916" s="174"/>
      <c r="P4916" s="174" t="str">
        <f ca="1">IF(Proc[[#This Row],[DaysAgeing]]&gt;5,"yep","on track")</f>
        <v>yep</v>
      </c>
      <c r="Q4916" s="3">
        <f ca="1">IF(Proc[[#This Row],[DateClosed]]="",ABS(NETWORKDAYS(Proc[[#This Row],[DateOpened]],TODAY()))-1,ABS(NETWORKDAYS(Proc[[#This Row],[DateOpened]],Proc[[#This Row],[DateClosed]]))-1)</f>
        <v>10</v>
      </c>
      <c r="R4916" s="174" t="s">
        <v>5709</v>
      </c>
      <c r="S4916" s="150"/>
    </row>
    <row r="4917" spans="1:19" hidden="1">
      <c r="A4917" s="149" t="s">
        <v>7039</v>
      </c>
      <c r="B4917" s="150" t="str">
        <f>IFERROR(VLOOKUP(Proc[[#This Row],[App]],Table2[],3,0),"open")</f>
        <v>ok</v>
      </c>
      <c r="C4917" s="149" t="s">
        <v>369</v>
      </c>
      <c r="D4917" t="s">
        <v>7126</v>
      </c>
      <c r="E4917" s="149" t="s">
        <v>7234</v>
      </c>
      <c r="F4917" s="150" t="s">
        <v>7234</v>
      </c>
      <c r="G4917" s="149" t="s">
        <v>406</v>
      </c>
      <c r="H4917" s="150" t="str">
        <f>IF(Proc[[#This Row],[type]]="LFF (MDG-F)",MID(Proc[[#This Row],[Obj]],13,10),"")</f>
        <v>KR16TQ1002</v>
      </c>
      <c r="I4917" s="149" t="s">
        <v>7234</v>
      </c>
      <c r="J4917" s="150" t="b">
        <f>Proc[[#This Row],[Requested]]=Proc[[#This Row],[CurrentParent]]</f>
        <v>1</v>
      </c>
      <c r="K4917" s="150" t="str">
        <f>IF(Proc[[#This Row],[Author]]="Marcela Urrego",VLOOKUP(LEFT(Proc[[#This Row],[Requested]],1),Table3[#All],2,0),VLOOKUP(Proc[[#This Row],[Author]],Table4[],2,0))</f>
        <v>EL</v>
      </c>
      <c r="L4917" s="150" t="s">
        <v>6435</v>
      </c>
      <c r="M4917" s="173">
        <v>45989</v>
      </c>
      <c r="N4917" s="174"/>
      <c r="O4917" s="174"/>
      <c r="P4917" s="174" t="str">
        <f ca="1">IF(Proc[[#This Row],[DaysAgeing]]&gt;5,"yep","on track")</f>
        <v>yep</v>
      </c>
      <c r="Q4917" s="3">
        <f ca="1">IF(Proc[[#This Row],[DateClosed]]="",ABS(NETWORKDAYS(Proc[[#This Row],[DateOpened]],TODAY()))-1,ABS(NETWORKDAYS(Proc[[#This Row],[DateOpened]],Proc[[#This Row],[DateClosed]]))-1)</f>
        <v>10</v>
      </c>
      <c r="R4917" s="174" t="s">
        <v>5709</v>
      </c>
      <c r="S4917" s="150"/>
    </row>
    <row r="4918" spans="1:19" hidden="1">
      <c r="A4918" s="149" t="s">
        <v>7039</v>
      </c>
      <c r="B4918" s="150" t="str">
        <f>IFERROR(VLOOKUP(Proc[[#This Row],[App]],Table2[],3,0),"open")</f>
        <v>ok</v>
      </c>
      <c r="C4918" s="149" t="s">
        <v>369</v>
      </c>
      <c r="D4918" t="s">
        <v>7127</v>
      </c>
      <c r="E4918" s="149" t="s">
        <v>7235</v>
      </c>
      <c r="F4918" s="150" t="s">
        <v>7235</v>
      </c>
      <c r="G4918" s="149" t="s">
        <v>406</v>
      </c>
      <c r="H4918" s="150" t="str">
        <f>IF(Proc[[#This Row],[type]]="LFF (MDG-F)",MID(Proc[[#This Row],[Obj]],13,10),"")</f>
        <v>JP02TQMZ01</v>
      </c>
      <c r="I4918" s="149" t="s">
        <v>7235</v>
      </c>
      <c r="J4918" s="150" t="b">
        <f>Proc[[#This Row],[Requested]]=Proc[[#This Row],[CurrentParent]]</f>
        <v>1</v>
      </c>
      <c r="K4918" s="150" t="str">
        <f>IF(Proc[[#This Row],[Author]]="Marcela Urrego",VLOOKUP(LEFT(Proc[[#This Row],[Requested]],1),Table3[#All],2,0),VLOOKUP(Proc[[#This Row],[Author]],Table4[],2,0))</f>
        <v>EL</v>
      </c>
      <c r="L4918" s="150" t="s">
        <v>6435</v>
      </c>
      <c r="M4918" s="173">
        <v>45989</v>
      </c>
      <c r="N4918" s="174"/>
      <c r="O4918" s="174"/>
      <c r="P4918" s="174" t="str">
        <f ca="1">IF(Proc[[#This Row],[DaysAgeing]]&gt;5,"yep","on track")</f>
        <v>yep</v>
      </c>
      <c r="Q4918" s="3">
        <f ca="1">IF(Proc[[#This Row],[DateClosed]]="",ABS(NETWORKDAYS(Proc[[#This Row],[DateOpened]],TODAY()))-1,ABS(NETWORKDAYS(Proc[[#This Row],[DateOpened]],Proc[[#This Row],[DateClosed]]))-1)</f>
        <v>10</v>
      </c>
      <c r="R4918" s="174" t="s">
        <v>5709</v>
      </c>
      <c r="S4918" s="150"/>
    </row>
    <row r="4919" spans="1:19" hidden="1">
      <c r="A4919" s="149" t="s">
        <v>7039</v>
      </c>
      <c r="B4919" s="150" t="str">
        <f>IFERROR(VLOOKUP(Proc[[#This Row],[App]],Table2[],3,0),"open")</f>
        <v>ok</v>
      </c>
      <c r="C4919" s="149" t="s">
        <v>369</v>
      </c>
      <c r="D4919" t="s">
        <v>7128</v>
      </c>
      <c r="E4919" s="149" t="s">
        <v>7235</v>
      </c>
      <c r="F4919" s="150" t="s">
        <v>7235</v>
      </c>
      <c r="G4919" s="149" t="s">
        <v>406</v>
      </c>
      <c r="H4919" s="150" t="str">
        <f>IF(Proc[[#This Row],[type]]="LFF (MDG-F)",MID(Proc[[#This Row],[Obj]],13,10),"")</f>
        <v>KR03TPPZ04</v>
      </c>
      <c r="I4919" s="149" t="s">
        <v>7235</v>
      </c>
      <c r="J4919" s="150" t="b">
        <f>Proc[[#This Row],[Requested]]=Proc[[#This Row],[CurrentParent]]</f>
        <v>1</v>
      </c>
      <c r="K4919" s="150" t="str">
        <f>IF(Proc[[#This Row],[Author]]="Marcela Urrego",VLOOKUP(LEFT(Proc[[#This Row],[Requested]],1),Table3[#All],2,0),VLOOKUP(Proc[[#This Row],[Author]],Table4[],2,0))</f>
        <v>EL</v>
      </c>
      <c r="L4919" s="150" t="s">
        <v>6435</v>
      </c>
      <c r="M4919" s="173">
        <v>45989</v>
      </c>
      <c r="N4919" s="174"/>
      <c r="O4919" s="174"/>
      <c r="P4919" s="174" t="str">
        <f ca="1">IF(Proc[[#This Row],[DaysAgeing]]&gt;5,"yep","on track")</f>
        <v>yep</v>
      </c>
      <c r="Q4919" s="3">
        <f ca="1">IF(Proc[[#This Row],[DateClosed]]="",ABS(NETWORKDAYS(Proc[[#This Row],[DateOpened]],TODAY()))-1,ABS(NETWORKDAYS(Proc[[#This Row],[DateOpened]],Proc[[#This Row],[DateClosed]]))-1)</f>
        <v>10</v>
      </c>
      <c r="R4919" s="174" t="s">
        <v>5709</v>
      </c>
      <c r="S4919" s="150"/>
    </row>
    <row r="4920" spans="1:19" hidden="1">
      <c r="A4920" s="149" t="s">
        <v>7039</v>
      </c>
      <c r="B4920" s="150" t="str">
        <f>IFERROR(VLOOKUP(Proc[[#This Row],[App]],Table2[],3,0),"open")</f>
        <v>ok</v>
      </c>
      <c r="C4920" s="149" t="s">
        <v>369</v>
      </c>
      <c r="D4920" t="s">
        <v>7129</v>
      </c>
      <c r="E4920" s="149" t="s">
        <v>7235</v>
      </c>
      <c r="F4920" s="150" t="s">
        <v>7235</v>
      </c>
      <c r="G4920" s="149" t="s">
        <v>406</v>
      </c>
      <c r="H4920" s="150" t="str">
        <f>IF(Proc[[#This Row],[type]]="LFF (MDG-F)",MID(Proc[[#This Row],[Obj]],13,10),"")</f>
        <v>KR07DB3300</v>
      </c>
      <c r="I4920" s="149" t="s">
        <v>7235</v>
      </c>
      <c r="J4920" s="150" t="b">
        <f>Proc[[#This Row],[Requested]]=Proc[[#This Row],[CurrentParent]]</f>
        <v>1</v>
      </c>
      <c r="K4920" s="150" t="str">
        <f>IF(Proc[[#This Row],[Author]]="Marcela Urrego",VLOOKUP(LEFT(Proc[[#This Row],[Requested]],1),Table3[#All],2,0),VLOOKUP(Proc[[#This Row],[Author]],Table4[],2,0))</f>
        <v>EL</v>
      </c>
      <c r="L4920" s="150" t="s">
        <v>6435</v>
      </c>
      <c r="M4920" s="173">
        <v>45989</v>
      </c>
      <c r="N4920" s="174"/>
      <c r="O4920" s="174"/>
      <c r="P4920" s="174" t="str">
        <f ca="1">IF(Proc[[#This Row],[DaysAgeing]]&gt;5,"yep","on track")</f>
        <v>yep</v>
      </c>
      <c r="Q4920" s="3">
        <f ca="1">IF(Proc[[#This Row],[DateClosed]]="",ABS(NETWORKDAYS(Proc[[#This Row],[DateOpened]],TODAY()))-1,ABS(NETWORKDAYS(Proc[[#This Row],[DateOpened]],Proc[[#This Row],[DateClosed]]))-1)</f>
        <v>10</v>
      </c>
      <c r="R4920" s="174" t="s">
        <v>5709</v>
      </c>
      <c r="S4920" s="150"/>
    </row>
    <row r="4921" spans="1:19" hidden="1">
      <c r="A4921" s="149" t="s">
        <v>7039</v>
      </c>
      <c r="B4921" s="150" t="str">
        <f>IFERROR(VLOOKUP(Proc[[#This Row],[App]],Table2[],3,0),"open")</f>
        <v>ok</v>
      </c>
      <c r="C4921" s="149" t="s">
        <v>369</v>
      </c>
      <c r="D4921" t="s">
        <v>7130</v>
      </c>
      <c r="E4921" s="149" t="s">
        <v>7235</v>
      </c>
      <c r="F4921" s="150" t="s">
        <v>7235</v>
      </c>
      <c r="G4921" s="149" t="s">
        <v>406</v>
      </c>
      <c r="H4921" s="150" t="str">
        <f>IF(Proc[[#This Row],[type]]="LFF (MDG-F)",MID(Proc[[#This Row],[Obj]],13,10),"")</f>
        <v>KR15TM3000</v>
      </c>
      <c r="I4921" s="149" t="s">
        <v>7235</v>
      </c>
      <c r="J4921" s="150" t="b">
        <f>Proc[[#This Row],[Requested]]=Proc[[#This Row],[CurrentParent]]</f>
        <v>1</v>
      </c>
      <c r="K4921" s="150" t="str">
        <f>IF(Proc[[#This Row],[Author]]="Marcela Urrego",VLOOKUP(LEFT(Proc[[#This Row],[Requested]],1),Table3[#All],2,0),VLOOKUP(Proc[[#This Row],[Author]],Table4[],2,0))</f>
        <v>EL</v>
      </c>
      <c r="L4921" s="150" t="s">
        <v>6435</v>
      </c>
      <c r="M4921" s="173">
        <v>45989</v>
      </c>
      <c r="N4921" s="174"/>
      <c r="O4921" s="174"/>
      <c r="P4921" s="174" t="str">
        <f ca="1">IF(Proc[[#This Row],[DaysAgeing]]&gt;5,"yep","on track")</f>
        <v>yep</v>
      </c>
      <c r="Q4921" s="3">
        <f ca="1">IF(Proc[[#This Row],[DateClosed]]="",ABS(NETWORKDAYS(Proc[[#This Row],[DateOpened]],TODAY()))-1,ABS(NETWORKDAYS(Proc[[#This Row],[DateOpened]],Proc[[#This Row],[DateClosed]]))-1)</f>
        <v>10</v>
      </c>
      <c r="R4921" s="174" t="s">
        <v>5709</v>
      </c>
      <c r="S4921" s="150"/>
    </row>
    <row r="4922" spans="1:19" hidden="1">
      <c r="A4922" s="149" t="s">
        <v>7039</v>
      </c>
      <c r="B4922" s="150" t="str">
        <f>IFERROR(VLOOKUP(Proc[[#This Row],[App]],Table2[],3,0),"open")</f>
        <v>ok</v>
      </c>
      <c r="C4922" s="149" t="s">
        <v>369</v>
      </c>
      <c r="D4922" t="s">
        <v>7131</v>
      </c>
      <c r="E4922" s="149" t="s">
        <v>7236</v>
      </c>
      <c r="F4922" s="150" t="s">
        <v>7236</v>
      </c>
      <c r="G4922" s="149" t="s">
        <v>406</v>
      </c>
      <c r="H4922" s="150" t="str">
        <f>IF(Proc[[#This Row],[type]]="LFF (MDG-F)",MID(Proc[[#This Row],[Obj]],13,10),"")</f>
        <v>KR02TPAZ02</v>
      </c>
      <c r="I4922" s="149" t="s">
        <v>7236</v>
      </c>
      <c r="J4922" s="150" t="b">
        <f>Proc[[#This Row],[Requested]]=Proc[[#This Row],[CurrentParent]]</f>
        <v>1</v>
      </c>
      <c r="K4922" s="150" t="str">
        <f>IF(Proc[[#This Row],[Author]]="Marcela Urrego",VLOOKUP(LEFT(Proc[[#This Row],[Requested]],1),Table3[#All],2,0),VLOOKUP(Proc[[#This Row],[Author]],Table4[],2,0))</f>
        <v>EL</v>
      </c>
      <c r="L4922" s="150" t="s">
        <v>6435</v>
      </c>
      <c r="M4922" s="173">
        <v>45989</v>
      </c>
      <c r="N4922" s="174"/>
      <c r="O4922" s="174"/>
      <c r="P4922" s="174" t="str">
        <f ca="1">IF(Proc[[#This Row],[DaysAgeing]]&gt;5,"yep","on track")</f>
        <v>yep</v>
      </c>
      <c r="Q4922" s="3">
        <f ca="1">IF(Proc[[#This Row],[DateClosed]]="",ABS(NETWORKDAYS(Proc[[#This Row],[DateOpened]],TODAY()))-1,ABS(NETWORKDAYS(Proc[[#This Row],[DateOpened]],Proc[[#This Row],[DateClosed]]))-1)</f>
        <v>10</v>
      </c>
      <c r="R4922" s="174" t="s">
        <v>5709</v>
      </c>
      <c r="S4922" s="150"/>
    </row>
    <row r="4923" spans="1:19" hidden="1">
      <c r="A4923" s="149" t="s">
        <v>7039</v>
      </c>
      <c r="B4923" s="150" t="str">
        <f>IFERROR(VLOOKUP(Proc[[#This Row],[App]],Table2[],3,0),"open")</f>
        <v>ok</v>
      </c>
      <c r="C4923" s="149" t="s">
        <v>369</v>
      </c>
      <c r="D4923" t="s">
        <v>7132</v>
      </c>
      <c r="E4923" s="149" t="s">
        <v>7236</v>
      </c>
      <c r="F4923" s="150" t="s">
        <v>7236</v>
      </c>
      <c r="G4923" s="149" t="s">
        <v>406</v>
      </c>
      <c r="H4923" s="150" t="str">
        <f>IF(Proc[[#This Row],[type]]="LFF (MDG-F)",MID(Proc[[#This Row],[Obj]],13,10),"")</f>
        <v>KR07DB3301</v>
      </c>
      <c r="I4923" s="149" t="s">
        <v>7236</v>
      </c>
      <c r="J4923" s="150" t="b">
        <f>Proc[[#This Row],[Requested]]=Proc[[#This Row],[CurrentParent]]</f>
        <v>1</v>
      </c>
      <c r="K4923" s="150" t="str">
        <f>IF(Proc[[#This Row],[Author]]="Marcela Urrego",VLOOKUP(LEFT(Proc[[#This Row],[Requested]],1),Table3[#All],2,0),VLOOKUP(Proc[[#This Row],[Author]],Table4[],2,0))</f>
        <v>EL</v>
      </c>
      <c r="L4923" s="150" t="s">
        <v>6435</v>
      </c>
      <c r="M4923" s="173">
        <v>45989</v>
      </c>
      <c r="N4923" s="174"/>
      <c r="O4923" s="174"/>
      <c r="P4923" s="174" t="str">
        <f ca="1">IF(Proc[[#This Row],[DaysAgeing]]&gt;5,"yep","on track")</f>
        <v>yep</v>
      </c>
      <c r="Q4923" s="3">
        <f ca="1">IF(Proc[[#This Row],[DateClosed]]="",ABS(NETWORKDAYS(Proc[[#This Row],[DateOpened]],TODAY()))-1,ABS(NETWORKDAYS(Proc[[#This Row],[DateOpened]],Proc[[#This Row],[DateClosed]]))-1)</f>
        <v>10</v>
      </c>
      <c r="R4923" s="174" t="s">
        <v>5709</v>
      </c>
      <c r="S4923" s="150"/>
    </row>
    <row r="4924" spans="1:19" hidden="1">
      <c r="A4924" s="149" t="s">
        <v>7039</v>
      </c>
      <c r="B4924" s="150" t="str">
        <f>IFERROR(VLOOKUP(Proc[[#This Row],[App]],Table2[],3,0),"open")</f>
        <v>ok</v>
      </c>
      <c r="C4924" s="149" t="s">
        <v>369</v>
      </c>
      <c r="D4924" t="s">
        <v>7133</v>
      </c>
      <c r="E4924" s="149" t="s">
        <v>7236</v>
      </c>
      <c r="F4924" s="150" t="s">
        <v>7236</v>
      </c>
      <c r="G4924" s="149" t="s">
        <v>406</v>
      </c>
      <c r="H4924" s="150" t="str">
        <f>IF(Proc[[#This Row],[type]]="LFF (MDG-F)",MID(Proc[[#This Row],[Obj]],13,10),"")</f>
        <v>KR07DB3302</v>
      </c>
      <c r="I4924" s="149" t="s">
        <v>7236</v>
      </c>
      <c r="J4924" s="150" t="b">
        <f>Proc[[#This Row],[Requested]]=Proc[[#This Row],[CurrentParent]]</f>
        <v>1</v>
      </c>
      <c r="K4924" s="150" t="str">
        <f>IF(Proc[[#This Row],[Author]]="Marcela Urrego",VLOOKUP(LEFT(Proc[[#This Row],[Requested]],1),Table3[#All],2,0),VLOOKUP(Proc[[#This Row],[Author]],Table4[],2,0))</f>
        <v>EL</v>
      </c>
      <c r="L4924" s="150" t="s">
        <v>6435</v>
      </c>
      <c r="M4924" s="173">
        <v>45989</v>
      </c>
      <c r="N4924" s="174"/>
      <c r="O4924" s="174"/>
      <c r="P4924" s="174" t="str">
        <f ca="1">IF(Proc[[#This Row],[DaysAgeing]]&gt;5,"yep","on track")</f>
        <v>yep</v>
      </c>
      <c r="Q4924" s="3">
        <f ca="1">IF(Proc[[#This Row],[DateClosed]]="",ABS(NETWORKDAYS(Proc[[#This Row],[DateOpened]],TODAY()))-1,ABS(NETWORKDAYS(Proc[[#This Row],[DateOpened]],Proc[[#This Row],[DateClosed]]))-1)</f>
        <v>10</v>
      </c>
      <c r="R4924" s="174" t="s">
        <v>5709</v>
      </c>
      <c r="S4924" s="150"/>
    </row>
    <row r="4925" spans="1:19" hidden="1">
      <c r="A4925" s="149" t="s">
        <v>7039</v>
      </c>
      <c r="B4925" s="150" t="str">
        <f>IFERROR(VLOOKUP(Proc[[#This Row],[App]],Table2[],3,0),"open")</f>
        <v>ok</v>
      </c>
      <c r="C4925" s="149" t="s">
        <v>369</v>
      </c>
      <c r="D4925" t="s">
        <v>7134</v>
      </c>
      <c r="E4925" s="149" t="s">
        <v>7236</v>
      </c>
      <c r="F4925" s="150" t="s">
        <v>7236</v>
      </c>
      <c r="G4925" s="149" t="s">
        <v>406</v>
      </c>
      <c r="H4925" s="150" t="str">
        <f>IF(Proc[[#This Row],[type]]="LFF (MDG-F)",MID(Proc[[#This Row],[Obj]],13,10),"")</f>
        <v>KR11DB2111</v>
      </c>
      <c r="I4925" s="149" t="s">
        <v>7236</v>
      </c>
      <c r="J4925" s="150" t="b">
        <f>Proc[[#This Row],[Requested]]=Proc[[#This Row],[CurrentParent]]</f>
        <v>1</v>
      </c>
      <c r="K4925" s="150" t="str">
        <f>IF(Proc[[#This Row],[Author]]="Marcela Urrego",VLOOKUP(LEFT(Proc[[#This Row],[Requested]],1),Table3[#All],2,0),VLOOKUP(Proc[[#This Row],[Author]],Table4[],2,0))</f>
        <v>EL</v>
      </c>
      <c r="L4925" s="150" t="s">
        <v>6435</v>
      </c>
      <c r="M4925" s="173">
        <v>45989</v>
      </c>
      <c r="N4925" s="174"/>
      <c r="O4925" s="174"/>
      <c r="P4925" s="174" t="str">
        <f ca="1">IF(Proc[[#This Row],[DaysAgeing]]&gt;5,"yep","on track")</f>
        <v>yep</v>
      </c>
      <c r="Q4925" s="3">
        <f ca="1">IF(Proc[[#This Row],[DateClosed]]="",ABS(NETWORKDAYS(Proc[[#This Row],[DateOpened]],TODAY()))-1,ABS(NETWORKDAYS(Proc[[#This Row],[DateOpened]],Proc[[#This Row],[DateClosed]]))-1)</f>
        <v>10</v>
      </c>
      <c r="R4925" s="174" t="s">
        <v>5709</v>
      </c>
      <c r="S4925" s="150"/>
    </row>
    <row r="4926" spans="1:19" hidden="1">
      <c r="A4926" s="149" t="s">
        <v>7039</v>
      </c>
      <c r="B4926" s="150" t="str">
        <f>IFERROR(VLOOKUP(Proc[[#This Row],[App]],Table2[],3,0),"open")</f>
        <v>ok</v>
      </c>
      <c r="C4926" s="149" t="s">
        <v>369</v>
      </c>
      <c r="D4926" t="s">
        <v>7135</v>
      </c>
      <c r="E4926" s="149" t="s">
        <v>7236</v>
      </c>
      <c r="F4926" s="150" t="s">
        <v>7236</v>
      </c>
      <c r="G4926" s="149" t="s">
        <v>406</v>
      </c>
      <c r="H4926" s="150" t="str">
        <f>IF(Proc[[#This Row],[type]]="LFF (MDG-F)",MID(Proc[[#This Row],[Obj]],13,10),"")</f>
        <v>KR11DB2112</v>
      </c>
      <c r="I4926" s="149" t="s">
        <v>7236</v>
      </c>
      <c r="J4926" s="150" t="b">
        <f>Proc[[#This Row],[Requested]]=Proc[[#This Row],[CurrentParent]]</f>
        <v>1</v>
      </c>
      <c r="K4926" s="150" t="str">
        <f>IF(Proc[[#This Row],[Author]]="Marcela Urrego",VLOOKUP(LEFT(Proc[[#This Row],[Requested]],1),Table3[#All],2,0),VLOOKUP(Proc[[#This Row],[Author]],Table4[],2,0))</f>
        <v>EL</v>
      </c>
      <c r="L4926" s="150" t="s">
        <v>6435</v>
      </c>
      <c r="M4926" s="173">
        <v>45989</v>
      </c>
      <c r="N4926" s="174"/>
      <c r="O4926" s="174"/>
      <c r="P4926" s="174" t="str">
        <f ca="1">IF(Proc[[#This Row],[DaysAgeing]]&gt;5,"yep","on track")</f>
        <v>yep</v>
      </c>
      <c r="Q4926" s="3">
        <f ca="1">IF(Proc[[#This Row],[DateClosed]]="",ABS(NETWORKDAYS(Proc[[#This Row],[DateOpened]],TODAY()))-1,ABS(NETWORKDAYS(Proc[[#This Row],[DateOpened]],Proc[[#This Row],[DateClosed]]))-1)</f>
        <v>10</v>
      </c>
      <c r="R4926" s="174" t="s">
        <v>5709</v>
      </c>
      <c r="S4926" s="150"/>
    </row>
    <row r="4927" spans="1:19" hidden="1">
      <c r="A4927" s="149" t="s">
        <v>7039</v>
      </c>
      <c r="B4927" s="150" t="str">
        <f>IFERROR(VLOOKUP(Proc[[#This Row],[App]],Table2[],3,0),"open")</f>
        <v>ok</v>
      </c>
      <c r="C4927" s="149" t="s">
        <v>369</v>
      </c>
      <c r="D4927" t="s">
        <v>7136</v>
      </c>
      <c r="E4927" s="149" t="s">
        <v>7236</v>
      </c>
      <c r="F4927" s="150" t="s">
        <v>7236</v>
      </c>
      <c r="G4927" s="149" t="s">
        <v>406</v>
      </c>
      <c r="H4927" s="150" t="str">
        <f>IF(Proc[[#This Row],[type]]="LFF (MDG-F)",MID(Proc[[#This Row],[Obj]],13,10),"")</f>
        <v>KR15DB3303</v>
      </c>
      <c r="I4927" s="149" t="s">
        <v>7236</v>
      </c>
      <c r="J4927" s="150" t="b">
        <f>Proc[[#This Row],[Requested]]=Proc[[#This Row],[CurrentParent]]</f>
        <v>1</v>
      </c>
      <c r="K4927" s="150" t="str">
        <f>IF(Proc[[#This Row],[Author]]="Marcela Urrego",VLOOKUP(LEFT(Proc[[#This Row],[Requested]],1),Table3[#All],2,0),VLOOKUP(Proc[[#This Row],[Author]],Table4[],2,0))</f>
        <v>EL</v>
      </c>
      <c r="L4927" s="150" t="s">
        <v>6435</v>
      </c>
      <c r="M4927" s="173">
        <v>45989</v>
      </c>
      <c r="N4927" s="174"/>
      <c r="O4927" s="174"/>
      <c r="P4927" s="174" t="str">
        <f ca="1">IF(Proc[[#This Row],[DaysAgeing]]&gt;5,"yep","on track")</f>
        <v>yep</v>
      </c>
      <c r="Q4927" s="3">
        <f ca="1">IF(Proc[[#This Row],[DateClosed]]="",ABS(NETWORKDAYS(Proc[[#This Row],[DateOpened]],TODAY()))-1,ABS(NETWORKDAYS(Proc[[#This Row],[DateOpened]],Proc[[#This Row],[DateClosed]]))-1)</f>
        <v>10</v>
      </c>
      <c r="R4927" s="174" t="s">
        <v>5709</v>
      </c>
      <c r="S4927" s="150"/>
    </row>
    <row r="4928" spans="1:19" hidden="1">
      <c r="A4928" s="149" t="s">
        <v>7039</v>
      </c>
      <c r="B4928" s="150" t="str">
        <f>IFERROR(VLOOKUP(Proc[[#This Row],[App]],Table2[],3,0),"open")</f>
        <v>ok</v>
      </c>
      <c r="C4928" s="149" t="s">
        <v>369</v>
      </c>
      <c r="D4928" t="s">
        <v>7137</v>
      </c>
      <c r="E4928" s="149" t="s">
        <v>7236</v>
      </c>
      <c r="F4928" s="150" t="s">
        <v>7236</v>
      </c>
      <c r="G4928" s="149" t="s">
        <v>406</v>
      </c>
      <c r="H4928" s="150" t="str">
        <f>IF(Proc[[#This Row],[type]]="LFF (MDG-F)",MID(Proc[[#This Row],[Obj]],13,10),"")</f>
        <v>KR16DB3300</v>
      </c>
      <c r="I4928" s="149" t="s">
        <v>7236</v>
      </c>
      <c r="J4928" s="150" t="b">
        <f>Proc[[#This Row],[Requested]]=Proc[[#This Row],[CurrentParent]]</f>
        <v>1</v>
      </c>
      <c r="K4928" s="150" t="str">
        <f>IF(Proc[[#This Row],[Author]]="Marcela Urrego",VLOOKUP(LEFT(Proc[[#This Row],[Requested]],1),Table3[#All],2,0),VLOOKUP(Proc[[#This Row],[Author]],Table4[],2,0))</f>
        <v>EL</v>
      </c>
      <c r="L4928" s="150" t="s">
        <v>6435</v>
      </c>
      <c r="M4928" s="173">
        <v>45989</v>
      </c>
      <c r="N4928" s="174"/>
      <c r="O4928" s="174"/>
      <c r="P4928" s="174" t="str">
        <f ca="1">IF(Proc[[#This Row],[DaysAgeing]]&gt;5,"yep","on track")</f>
        <v>yep</v>
      </c>
      <c r="Q4928" s="3">
        <f ca="1">IF(Proc[[#This Row],[DateClosed]]="",ABS(NETWORKDAYS(Proc[[#This Row],[DateOpened]],TODAY()))-1,ABS(NETWORKDAYS(Proc[[#This Row],[DateOpened]],Proc[[#This Row],[DateClosed]]))-1)</f>
        <v>10</v>
      </c>
      <c r="R4928" s="174" t="s">
        <v>5709</v>
      </c>
      <c r="S4928" s="150"/>
    </row>
    <row r="4929" spans="1:19" hidden="1">
      <c r="A4929" s="149" t="s">
        <v>7039</v>
      </c>
      <c r="B4929" s="150" t="str">
        <f>IFERROR(VLOOKUP(Proc[[#This Row],[App]],Table2[],3,0),"open")</f>
        <v>ok</v>
      </c>
      <c r="C4929" s="149" t="s">
        <v>369</v>
      </c>
      <c r="D4929" t="s">
        <v>7138</v>
      </c>
      <c r="E4929" s="149" t="s">
        <v>7237</v>
      </c>
      <c r="F4929" s="150" t="s">
        <v>7237</v>
      </c>
      <c r="G4929" s="149" t="s">
        <v>406</v>
      </c>
      <c r="H4929" s="150" t="str">
        <f>IF(Proc[[#This Row],[type]]="LFF (MDG-F)",MID(Proc[[#This Row],[Obj]],13,10),"")</f>
        <v>US01C01305</v>
      </c>
      <c r="I4929" s="149" t="s">
        <v>7237</v>
      </c>
      <c r="J4929" s="150" t="b">
        <f>Proc[[#This Row],[Requested]]=Proc[[#This Row],[CurrentParent]]</f>
        <v>1</v>
      </c>
      <c r="K4929" s="150" t="str">
        <f>IF(Proc[[#This Row],[Author]]="Marcela Urrego",VLOOKUP(LEFT(Proc[[#This Row],[Requested]],1),Table3[#All],2,0),VLOOKUP(Proc[[#This Row],[Author]],Table4[],2,0))</f>
        <v>EL</v>
      </c>
      <c r="L4929" s="150" t="s">
        <v>6435</v>
      </c>
      <c r="M4929" s="173">
        <v>45989</v>
      </c>
      <c r="N4929" s="174"/>
      <c r="O4929" s="174"/>
      <c r="P4929" s="174" t="str">
        <f ca="1">IF(Proc[[#This Row],[DaysAgeing]]&gt;5,"yep","on track")</f>
        <v>yep</v>
      </c>
      <c r="Q4929" s="3">
        <f ca="1">IF(Proc[[#This Row],[DateClosed]]="",ABS(NETWORKDAYS(Proc[[#This Row],[DateOpened]],TODAY()))-1,ABS(NETWORKDAYS(Proc[[#This Row],[DateOpened]],Proc[[#This Row],[DateClosed]]))-1)</f>
        <v>10</v>
      </c>
      <c r="R4929" s="174" t="s">
        <v>5709</v>
      </c>
      <c r="S4929" s="150"/>
    </row>
    <row r="4930" spans="1:19" hidden="1">
      <c r="A4930" s="149" t="s">
        <v>7039</v>
      </c>
      <c r="B4930" s="150" t="str">
        <f>IFERROR(VLOOKUP(Proc[[#This Row],[App]],Table2[],3,0),"open")</f>
        <v>ok</v>
      </c>
      <c r="C4930" s="149" t="s">
        <v>369</v>
      </c>
      <c r="D4930" t="s">
        <v>7139</v>
      </c>
      <c r="E4930" s="149" t="s">
        <v>7237</v>
      </c>
      <c r="F4930" s="150" t="s">
        <v>7237</v>
      </c>
      <c r="G4930" s="149" t="s">
        <v>406</v>
      </c>
      <c r="H4930" s="150" t="str">
        <f>IF(Proc[[#This Row],[type]]="LFF (MDG-F)",MID(Proc[[#This Row],[Obj]],13,10),"")</f>
        <v>US10DB3021</v>
      </c>
      <c r="I4930" s="149" t="s">
        <v>7237</v>
      </c>
      <c r="J4930" s="150" t="b">
        <f>Proc[[#This Row],[Requested]]=Proc[[#This Row],[CurrentParent]]</f>
        <v>1</v>
      </c>
      <c r="K4930" s="150" t="str">
        <f>IF(Proc[[#This Row],[Author]]="Marcela Urrego",VLOOKUP(LEFT(Proc[[#This Row],[Requested]],1),Table3[#All],2,0),VLOOKUP(Proc[[#This Row],[Author]],Table4[],2,0))</f>
        <v>EL</v>
      </c>
      <c r="L4930" s="150" t="s">
        <v>6435</v>
      </c>
      <c r="M4930" s="173">
        <v>45989</v>
      </c>
      <c r="N4930" s="174"/>
      <c r="O4930" s="174"/>
      <c r="P4930" s="174" t="str">
        <f ca="1">IF(Proc[[#This Row],[DaysAgeing]]&gt;5,"yep","on track")</f>
        <v>yep</v>
      </c>
      <c r="Q4930" s="3">
        <f ca="1">IF(Proc[[#This Row],[DateClosed]]="",ABS(NETWORKDAYS(Proc[[#This Row],[DateOpened]],TODAY()))-1,ABS(NETWORKDAYS(Proc[[#This Row],[DateOpened]],Proc[[#This Row],[DateClosed]]))-1)</f>
        <v>10</v>
      </c>
      <c r="R4930" s="174" t="s">
        <v>5709</v>
      </c>
      <c r="S4930" s="150"/>
    </row>
    <row r="4931" spans="1:19" hidden="1">
      <c r="A4931" s="149" t="s">
        <v>7039</v>
      </c>
      <c r="B4931" s="150" t="str">
        <f>IFERROR(VLOOKUP(Proc[[#This Row],[App]],Table2[],3,0),"open")</f>
        <v>ok</v>
      </c>
      <c r="C4931" s="149" t="s">
        <v>369</v>
      </c>
      <c r="D4931" t="s">
        <v>7140</v>
      </c>
      <c r="E4931" s="149" t="s">
        <v>7238</v>
      </c>
      <c r="F4931" s="150" t="s">
        <v>7238</v>
      </c>
      <c r="G4931" s="149" t="s">
        <v>406</v>
      </c>
      <c r="H4931" s="150" t="str">
        <f>IF(Proc[[#This Row],[type]]="LFF (MDG-F)",MID(Proc[[#This Row],[Obj]],13,10),"")</f>
        <v>US01TPBZ03</v>
      </c>
      <c r="I4931" s="149" t="s">
        <v>7238</v>
      </c>
      <c r="J4931" s="150" t="b">
        <f>Proc[[#This Row],[Requested]]=Proc[[#This Row],[CurrentParent]]</f>
        <v>1</v>
      </c>
      <c r="K4931" s="150" t="str">
        <f>IF(Proc[[#This Row],[Author]]="Marcela Urrego",VLOOKUP(LEFT(Proc[[#This Row],[Requested]],1),Table3[#All],2,0),VLOOKUP(Proc[[#This Row],[Author]],Table4[],2,0))</f>
        <v>EL</v>
      </c>
      <c r="L4931" s="150" t="s">
        <v>6435</v>
      </c>
      <c r="M4931" s="173">
        <v>45989</v>
      </c>
      <c r="N4931" s="174"/>
      <c r="O4931" s="174"/>
      <c r="P4931" s="174" t="str">
        <f ca="1">IF(Proc[[#This Row],[DaysAgeing]]&gt;5,"yep","on track")</f>
        <v>yep</v>
      </c>
      <c r="Q4931" s="3">
        <f ca="1">IF(Proc[[#This Row],[DateClosed]]="",ABS(NETWORKDAYS(Proc[[#This Row],[DateOpened]],TODAY()))-1,ABS(NETWORKDAYS(Proc[[#This Row],[DateOpened]],Proc[[#This Row],[DateClosed]]))-1)</f>
        <v>10</v>
      </c>
      <c r="R4931" s="174" t="s">
        <v>5709</v>
      </c>
      <c r="S4931" s="150"/>
    </row>
    <row r="4932" spans="1:19" hidden="1">
      <c r="A4932" s="149" t="s">
        <v>7039</v>
      </c>
      <c r="B4932" s="150" t="str">
        <f>IFERROR(VLOOKUP(Proc[[#This Row],[App]],Table2[],3,0),"open")</f>
        <v>ok</v>
      </c>
      <c r="C4932" s="149" t="s">
        <v>369</v>
      </c>
      <c r="D4932" t="s">
        <v>7141</v>
      </c>
      <c r="E4932" s="149" t="s">
        <v>7238</v>
      </c>
      <c r="F4932" s="150" t="s">
        <v>7238</v>
      </c>
      <c r="G4932" s="149" t="s">
        <v>406</v>
      </c>
      <c r="H4932" s="150" t="str">
        <f>IF(Proc[[#This Row],[type]]="LFF (MDG-F)",MID(Proc[[#This Row],[Obj]],13,10),"")</f>
        <v>US10DB3004</v>
      </c>
      <c r="I4932" s="149" t="s">
        <v>7238</v>
      </c>
      <c r="J4932" s="150" t="b">
        <f>Proc[[#This Row],[Requested]]=Proc[[#This Row],[CurrentParent]]</f>
        <v>1</v>
      </c>
      <c r="K4932" s="150" t="str">
        <f>IF(Proc[[#This Row],[Author]]="Marcela Urrego",VLOOKUP(LEFT(Proc[[#This Row],[Requested]],1),Table3[#All],2,0),VLOOKUP(Proc[[#This Row],[Author]],Table4[],2,0))</f>
        <v>EL</v>
      </c>
      <c r="L4932" s="150" t="s">
        <v>6435</v>
      </c>
      <c r="M4932" s="173">
        <v>45989</v>
      </c>
      <c r="N4932" s="174"/>
      <c r="O4932" s="174"/>
      <c r="P4932" s="174" t="str">
        <f ca="1">IF(Proc[[#This Row],[DaysAgeing]]&gt;5,"yep","on track")</f>
        <v>yep</v>
      </c>
      <c r="Q4932" s="3">
        <f ca="1">IF(Proc[[#This Row],[DateClosed]]="",ABS(NETWORKDAYS(Proc[[#This Row],[DateOpened]],TODAY()))-1,ABS(NETWORKDAYS(Proc[[#This Row],[DateOpened]],Proc[[#This Row],[DateClosed]]))-1)</f>
        <v>10</v>
      </c>
      <c r="R4932" s="174" t="s">
        <v>5709</v>
      </c>
      <c r="S4932" s="150"/>
    </row>
    <row r="4933" spans="1:19" hidden="1">
      <c r="A4933" s="149" t="s">
        <v>7039</v>
      </c>
      <c r="B4933" s="150" t="str">
        <f>IFERROR(VLOOKUP(Proc[[#This Row],[App]],Table2[],3,0),"open")</f>
        <v>ok</v>
      </c>
      <c r="C4933" s="149" t="s">
        <v>369</v>
      </c>
      <c r="D4933" t="s">
        <v>7142</v>
      </c>
      <c r="E4933" s="149" t="s">
        <v>7238</v>
      </c>
      <c r="F4933" s="150" t="s">
        <v>7238</v>
      </c>
      <c r="G4933" s="149" t="s">
        <v>406</v>
      </c>
      <c r="H4933" s="150" t="str">
        <f>IF(Proc[[#This Row],[type]]="LFF (MDG-F)",MID(Proc[[#This Row],[Obj]],13,10),"")</f>
        <v>US10DB3005</v>
      </c>
      <c r="I4933" s="149" t="s">
        <v>7238</v>
      </c>
      <c r="J4933" s="150" t="b">
        <f>Proc[[#This Row],[Requested]]=Proc[[#This Row],[CurrentParent]]</f>
        <v>1</v>
      </c>
      <c r="K4933" s="150" t="str">
        <f>IF(Proc[[#This Row],[Author]]="Marcela Urrego",VLOOKUP(LEFT(Proc[[#This Row],[Requested]],1),Table3[#All],2,0),VLOOKUP(Proc[[#This Row],[Author]],Table4[],2,0))</f>
        <v>EL</v>
      </c>
      <c r="L4933" s="150" t="s">
        <v>6435</v>
      </c>
      <c r="M4933" s="173">
        <v>45989</v>
      </c>
      <c r="N4933" s="174"/>
      <c r="O4933" s="174"/>
      <c r="P4933" s="174" t="str">
        <f ca="1">IF(Proc[[#This Row],[DaysAgeing]]&gt;5,"yep","on track")</f>
        <v>yep</v>
      </c>
      <c r="Q4933" s="3">
        <f ca="1">IF(Proc[[#This Row],[DateClosed]]="",ABS(NETWORKDAYS(Proc[[#This Row],[DateOpened]],TODAY()))-1,ABS(NETWORKDAYS(Proc[[#This Row],[DateOpened]],Proc[[#This Row],[DateClosed]]))-1)</f>
        <v>10</v>
      </c>
      <c r="R4933" s="174" t="s">
        <v>5709</v>
      </c>
      <c r="S4933" s="150"/>
    </row>
    <row r="4934" spans="1:19" hidden="1">
      <c r="A4934" s="149" t="s">
        <v>7039</v>
      </c>
      <c r="B4934" s="150" t="str">
        <f>IFERROR(VLOOKUP(Proc[[#This Row],[App]],Table2[],3,0),"open")</f>
        <v>ok</v>
      </c>
      <c r="C4934" s="149" t="s">
        <v>369</v>
      </c>
      <c r="D4934" t="s">
        <v>7143</v>
      </c>
      <c r="E4934" s="149" t="s">
        <v>7238</v>
      </c>
      <c r="F4934" s="150" t="s">
        <v>7238</v>
      </c>
      <c r="G4934" s="149" t="s">
        <v>406</v>
      </c>
      <c r="H4934" s="150" t="str">
        <f>IF(Proc[[#This Row],[type]]="LFF (MDG-F)",MID(Proc[[#This Row],[Obj]],13,10),"")</f>
        <v>US10DB3006</v>
      </c>
      <c r="I4934" s="149" t="s">
        <v>7238</v>
      </c>
      <c r="J4934" s="150" t="b">
        <f>Proc[[#This Row],[Requested]]=Proc[[#This Row],[CurrentParent]]</f>
        <v>1</v>
      </c>
      <c r="K4934" s="150" t="str">
        <f>IF(Proc[[#This Row],[Author]]="Marcela Urrego",VLOOKUP(LEFT(Proc[[#This Row],[Requested]],1),Table3[#All],2,0),VLOOKUP(Proc[[#This Row],[Author]],Table4[],2,0))</f>
        <v>EL</v>
      </c>
      <c r="L4934" s="150" t="s">
        <v>6435</v>
      </c>
      <c r="M4934" s="173">
        <v>45989</v>
      </c>
      <c r="N4934" s="174"/>
      <c r="O4934" s="174"/>
      <c r="P4934" s="174" t="str">
        <f ca="1">IF(Proc[[#This Row],[DaysAgeing]]&gt;5,"yep","on track")</f>
        <v>yep</v>
      </c>
      <c r="Q4934" s="3">
        <f ca="1">IF(Proc[[#This Row],[DateClosed]]="",ABS(NETWORKDAYS(Proc[[#This Row],[DateOpened]],TODAY()))-1,ABS(NETWORKDAYS(Proc[[#This Row],[DateOpened]],Proc[[#This Row],[DateClosed]]))-1)</f>
        <v>10</v>
      </c>
      <c r="R4934" s="174" t="s">
        <v>5709</v>
      </c>
      <c r="S4934" s="150"/>
    </row>
    <row r="4935" spans="1:19" hidden="1">
      <c r="A4935" s="149" t="s">
        <v>7039</v>
      </c>
      <c r="B4935" s="150" t="str">
        <f>IFERROR(VLOOKUP(Proc[[#This Row],[App]],Table2[],3,0),"open")</f>
        <v>ok</v>
      </c>
      <c r="C4935" s="149" t="s">
        <v>369</v>
      </c>
      <c r="D4935" t="s">
        <v>7144</v>
      </c>
      <c r="E4935" s="149" t="s">
        <v>7238</v>
      </c>
      <c r="F4935" s="150" t="s">
        <v>7238</v>
      </c>
      <c r="G4935" s="149" t="s">
        <v>406</v>
      </c>
      <c r="H4935" s="150" t="str">
        <f>IF(Proc[[#This Row],[type]]="LFF (MDG-F)",MID(Proc[[#This Row],[Obj]],13,10),"")</f>
        <v>US10DB3011</v>
      </c>
      <c r="I4935" s="149" t="s">
        <v>7238</v>
      </c>
      <c r="J4935" s="150" t="b">
        <f>Proc[[#This Row],[Requested]]=Proc[[#This Row],[CurrentParent]]</f>
        <v>1</v>
      </c>
      <c r="K4935" s="150" t="str">
        <f>IF(Proc[[#This Row],[Author]]="Marcela Urrego",VLOOKUP(LEFT(Proc[[#This Row],[Requested]],1),Table3[#All],2,0),VLOOKUP(Proc[[#This Row],[Author]],Table4[],2,0))</f>
        <v>EL</v>
      </c>
      <c r="L4935" s="150" t="s">
        <v>6435</v>
      </c>
      <c r="M4935" s="173">
        <v>45989</v>
      </c>
      <c r="N4935" s="174"/>
      <c r="O4935" s="174"/>
      <c r="P4935" s="174" t="str">
        <f ca="1">IF(Proc[[#This Row],[DaysAgeing]]&gt;5,"yep","on track")</f>
        <v>yep</v>
      </c>
      <c r="Q4935" s="3">
        <f ca="1">IF(Proc[[#This Row],[DateClosed]]="",ABS(NETWORKDAYS(Proc[[#This Row],[DateOpened]],TODAY()))-1,ABS(NETWORKDAYS(Proc[[#This Row],[DateOpened]],Proc[[#This Row],[DateClosed]]))-1)</f>
        <v>10</v>
      </c>
      <c r="R4935" s="174" t="s">
        <v>5709</v>
      </c>
      <c r="S4935" s="150"/>
    </row>
    <row r="4936" spans="1:19" hidden="1">
      <c r="A4936" s="149" t="s">
        <v>7039</v>
      </c>
      <c r="B4936" s="150" t="str">
        <f>IFERROR(VLOOKUP(Proc[[#This Row],[App]],Table2[],3,0),"open")</f>
        <v>ok</v>
      </c>
      <c r="C4936" s="149" t="s">
        <v>369</v>
      </c>
      <c r="D4936" t="s">
        <v>7145</v>
      </c>
      <c r="E4936" s="149" t="s">
        <v>7238</v>
      </c>
      <c r="F4936" s="150" t="s">
        <v>7238</v>
      </c>
      <c r="G4936" s="149" t="s">
        <v>406</v>
      </c>
      <c r="H4936" s="150" t="str">
        <f>IF(Proc[[#This Row],[type]]="LFF (MDG-F)",MID(Proc[[#This Row],[Obj]],13,10),"")</f>
        <v>US01TQ1001</v>
      </c>
      <c r="I4936" s="149" t="s">
        <v>7238</v>
      </c>
      <c r="J4936" s="150" t="b">
        <f>Proc[[#This Row],[Requested]]=Proc[[#This Row],[CurrentParent]]</f>
        <v>1</v>
      </c>
      <c r="K4936" s="150" t="str">
        <f>IF(Proc[[#This Row],[Author]]="Marcela Urrego",VLOOKUP(LEFT(Proc[[#This Row],[Requested]],1),Table3[#All],2,0),VLOOKUP(Proc[[#This Row],[Author]],Table4[],2,0))</f>
        <v>EL</v>
      </c>
      <c r="L4936" s="150" t="s">
        <v>6435</v>
      </c>
      <c r="M4936" s="173">
        <v>45989</v>
      </c>
      <c r="N4936" s="174"/>
      <c r="O4936" s="174"/>
      <c r="P4936" s="174" t="str">
        <f ca="1">IF(Proc[[#This Row],[DaysAgeing]]&gt;5,"yep","on track")</f>
        <v>yep</v>
      </c>
      <c r="Q4936" s="3">
        <f ca="1">IF(Proc[[#This Row],[DateClosed]]="",ABS(NETWORKDAYS(Proc[[#This Row],[DateOpened]],TODAY()))-1,ABS(NETWORKDAYS(Proc[[#This Row],[DateOpened]],Proc[[#This Row],[DateClosed]]))-1)</f>
        <v>10</v>
      </c>
      <c r="R4936" s="174" t="s">
        <v>5709</v>
      </c>
      <c r="S4936" s="150"/>
    </row>
    <row r="4937" spans="1:19" hidden="1">
      <c r="A4937" s="149" t="s">
        <v>7039</v>
      </c>
      <c r="B4937" s="150" t="str">
        <f>IFERROR(VLOOKUP(Proc[[#This Row],[App]],Table2[],3,0),"open")</f>
        <v>ok</v>
      </c>
      <c r="C4937" s="149" t="s">
        <v>369</v>
      </c>
      <c r="D4937" t="s">
        <v>7146</v>
      </c>
      <c r="E4937" s="149" t="s">
        <v>7238</v>
      </c>
      <c r="F4937" s="150" t="s">
        <v>7238</v>
      </c>
      <c r="G4937" s="149" t="s">
        <v>406</v>
      </c>
      <c r="H4937" s="150" t="str">
        <f>IF(Proc[[#This Row],[type]]="LFF (MDG-F)",MID(Proc[[#This Row],[Obj]],13,10),"")</f>
        <v>US01TQ1002</v>
      </c>
      <c r="I4937" s="149" t="s">
        <v>7238</v>
      </c>
      <c r="J4937" s="150" t="b">
        <f>Proc[[#This Row],[Requested]]=Proc[[#This Row],[CurrentParent]]</f>
        <v>1</v>
      </c>
      <c r="K4937" s="150" t="str">
        <f>IF(Proc[[#This Row],[Author]]="Marcela Urrego",VLOOKUP(LEFT(Proc[[#This Row],[Requested]],1),Table3[#All],2,0),VLOOKUP(Proc[[#This Row],[Author]],Table4[],2,0))</f>
        <v>EL</v>
      </c>
      <c r="L4937" s="150" t="s">
        <v>6435</v>
      </c>
      <c r="M4937" s="173">
        <v>45989</v>
      </c>
      <c r="N4937" s="174"/>
      <c r="O4937" s="174"/>
      <c r="P4937" s="174" t="str">
        <f ca="1">IF(Proc[[#This Row],[DaysAgeing]]&gt;5,"yep","on track")</f>
        <v>yep</v>
      </c>
      <c r="Q4937" s="3">
        <f ca="1">IF(Proc[[#This Row],[DateClosed]]="",ABS(NETWORKDAYS(Proc[[#This Row],[DateOpened]],TODAY()))-1,ABS(NETWORKDAYS(Proc[[#This Row],[DateOpened]],Proc[[#This Row],[DateClosed]]))-1)</f>
        <v>10</v>
      </c>
      <c r="R4937" s="174" t="s">
        <v>5709</v>
      </c>
      <c r="S4937" s="150"/>
    </row>
    <row r="4938" spans="1:19" hidden="1">
      <c r="A4938" s="149" t="s">
        <v>7039</v>
      </c>
      <c r="B4938" s="150" t="str">
        <f>IFERROR(VLOOKUP(Proc[[#This Row],[App]],Table2[],3,0),"open")</f>
        <v>ok</v>
      </c>
      <c r="C4938" s="149" t="s">
        <v>369</v>
      </c>
      <c r="D4938" t="s">
        <v>7147</v>
      </c>
      <c r="E4938" s="149" t="s">
        <v>7238</v>
      </c>
      <c r="F4938" s="150" t="s">
        <v>7238</v>
      </c>
      <c r="G4938" s="149" t="s">
        <v>406</v>
      </c>
      <c r="H4938" s="150" t="str">
        <f>IF(Proc[[#This Row],[type]]="LFF (MDG-F)",MID(Proc[[#This Row],[Obj]],13,10),"")</f>
        <v>US01TQ1003</v>
      </c>
      <c r="I4938" s="149" t="s">
        <v>7238</v>
      </c>
      <c r="J4938" s="150" t="b">
        <f>Proc[[#This Row],[Requested]]=Proc[[#This Row],[CurrentParent]]</f>
        <v>1</v>
      </c>
      <c r="K4938" s="150" t="str">
        <f>IF(Proc[[#This Row],[Author]]="Marcela Urrego",VLOOKUP(LEFT(Proc[[#This Row],[Requested]],1),Table3[#All],2,0),VLOOKUP(Proc[[#This Row],[Author]],Table4[],2,0))</f>
        <v>EL</v>
      </c>
      <c r="L4938" s="150" t="s">
        <v>6435</v>
      </c>
      <c r="M4938" s="173">
        <v>45989</v>
      </c>
      <c r="N4938" s="174"/>
      <c r="O4938" s="174"/>
      <c r="P4938" s="174" t="str">
        <f ca="1">IF(Proc[[#This Row],[DaysAgeing]]&gt;5,"yep","on track")</f>
        <v>yep</v>
      </c>
      <c r="Q4938" s="3">
        <f ca="1">IF(Proc[[#This Row],[DateClosed]]="",ABS(NETWORKDAYS(Proc[[#This Row],[DateOpened]],TODAY()))-1,ABS(NETWORKDAYS(Proc[[#This Row],[DateOpened]],Proc[[#This Row],[DateClosed]]))-1)</f>
        <v>10</v>
      </c>
      <c r="R4938" s="174" t="s">
        <v>5709</v>
      </c>
      <c r="S4938" s="150"/>
    </row>
    <row r="4939" spans="1:19" hidden="1">
      <c r="A4939" s="149" t="s">
        <v>7039</v>
      </c>
      <c r="B4939" s="150" t="str">
        <f>IFERROR(VLOOKUP(Proc[[#This Row],[App]],Table2[],3,0),"open")</f>
        <v>ok</v>
      </c>
      <c r="C4939" s="149" t="s">
        <v>369</v>
      </c>
      <c r="D4939" t="s">
        <v>7148</v>
      </c>
      <c r="E4939" s="149" t="s">
        <v>7238</v>
      </c>
      <c r="F4939" s="150" t="s">
        <v>7238</v>
      </c>
      <c r="G4939" s="149" t="s">
        <v>406</v>
      </c>
      <c r="H4939" s="150" t="str">
        <f>IF(Proc[[#This Row],[type]]="LFF (MDG-F)",MID(Proc[[#This Row],[Obj]],13,10),"")</f>
        <v>US01TQ1004</v>
      </c>
      <c r="I4939" s="149" t="s">
        <v>7238</v>
      </c>
      <c r="J4939" s="150" t="b">
        <f>Proc[[#This Row],[Requested]]=Proc[[#This Row],[CurrentParent]]</f>
        <v>1</v>
      </c>
      <c r="K4939" s="150" t="str">
        <f>IF(Proc[[#This Row],[Author]]="Marcela Urrego",VLOOKUP(LEFT(Proc[[#This Row],[Requested]],1),Table3[#All],2,0),VLOOKUP(Proc[[#This Row],[Author]],Table4[],2,0))</f>
        <v>EL</v>
      </c>
      <c r="L4939" s="150" t="s">
        <v>6435</v>
      </c>
      <c r="M4939" s="173">
        <v>45989</v>
      </c>
      <c r="N4939" s="174"/>
      <c r="O4939" s="174"/>
      <c r="P4939" s="174" t="str">
        <f ca="1">IF(Proc[[#This Row],[DaysAgeing]]&gt;5,"yep","on track")</f>
        <v>yep</v>
      </c>
      <c r="Q4939" s="3">
        <f ca="1">IF(Proc[[#This Row],[DateClosed]]="",ABS(NETWORKDAYS(Proc[[#This Row],[DateOpened]],TODAY()))-1,ABS(NETWORKDAYS(Proc[[#This Row],[DateOpened]],Proc[[#This Row],[DateClosed]]))-1)</f>
        <v>10</v>
      </c>
      <c r="R4939" s="174" t="s">
        <v>5709</v>
      </c>
      <c r="S4939" s="150"/>
    </row>
    <row r="4940" spans="1:19" hidden="1">
      <c r="A4940" s="149" t="s">
        <v>7039</v>
      </c>
      <c r="B4940" s="150" t="str">
        <f>IFERROR(VLOOKUP(Proc[[#This Row],[App]],Table2[],3,0),"open")</f>
        <v>ok</v>
      </c>
      <c r="C4940" s="149" t="s">
        <v>369</v>
      </c>
      <c r="D4940" t="s">
        <v>7149</v>
      </c>
      <c r="E4940" s="149" t="s">
        <v>7238</v>
      </c>
      <c r="F4940" s="150" t="s">
        <v>7238</v>
      </c>
      <c r="G4940" s="149" t="s">
        <v>406</v>
      </c>
      <c r="H4940" s="150" t="str">
        <f>IF(Proc[[#This Row],[type]]="LFF (MDG-F)",MID(Proc[[#This Row],[Obj]],13,10),"")</f>
        <v>US01TQ1005</v>
      </c>
      <c r="I4940" s="149" t="s">
        <v>7238</v>
      </c>
      <c r="J4940" s="150" t="b">
        <f>Proc[[#This Row],[Requested]]=Proc[[#This Row],[CurrentParent]]</f>
        <v>1</v>
      </c>
      <c r="K4940" s="150" t="str">
        <f>IF(Proc[[#This Row],[Author]]="Marcela Urrego",VLOOKUP(LEFT(Proc[[#This Row],[Requested]],1),Table3[#All],2,0),VLOOKUP(Proc[[#This Row],[Author]],Table4[],2,0))</f>
        <v>EL</v>
      </c>
      <c r="L4940" s="150" t="s">
        <v>6435</v>
      </c>
      <c r="M4940" s="173">
        <v>45989</v>
      </c>
      <c r="N4940" s="174"/>
      <c r="O4940" s="174"/>
      <c r="P4940" s="174" t="str">
        <f ca="1">IF(Proc[[#This Row],[DaysAgeing]]&gt;5,"yep","on track")</f>
        <v>yep</v>
      </c>
      <c r="Q4940" s="3">
        <f ca="1">IF(Proc[[#This Row],[DateClosed]]="",ABS(NETWORKDAYS(Proc[[#This Row],[DateOpened]],TODAY()))-1,ABS(NETWORKDAYS(Proc[[#This Row],[DateOpened]],Proc[[#This Row],[DateClosed]]))-1)</f>
        <v>10</v>
      </c>
      <c r="R4940" s="174" t="s">
        <v>5709</v>
      </c>
      <c r="S4940" s="150"/>
    </row>
    <row r="4941" spans="1:19" hidden="1">
      <c r="A4941" s="149" t="s">
        <v>7039</v>
      </c>
      <c r="B4941" s="150" t="str">
        <f>IFERROR(VLOOKUP(Proc[[#This Row],[App]],Table2[],3,0),"open")</f>
        <v>ok</v>
      </c>
      <c r="C4941" s="149" t="s">
        <v>369</v>
      </c>
      <c r="D4941" t="s">
        <v>7150</v>
      </c>
      <c r="E4941" s="149" t="s">
        <v>7238</v>
      </c>
      <c r="F4941" s="150" t="s">
        <v>7238</v>
      </c>
      <c r="G4941" s="149" t="s">
        <v>406</v>
      </c>
      <c r="H4941" s="150" t="str">
        <f>IF(Proc[[#This Row],[type]]="LFF (MDG-F)",MID(Proc[[#This Row],[Obj]],13,10),"")</f>
        <v>US01TQ1006</v>
      </c>
      <c r="I4941" s="149" t="s">
        <v>7238</v>
      </c>
      <c r="J4941" s="150" t="b">
        <f>Proc[[#This Row],[Requested]]=Proc[[#This Row],[CurrentParent]]</f>
        <v>1</v>
      </c>
      <c r="K4941" s="150" t="str">
        <f>IF(Proc[[#This Row],[Author]]="Marcela Urrego",VLOOKUP(LEFT(Proc[[#This Row],[Requested]],1),Table3[#All],2,0),VLOOKUP(Proc[[#This Row],[Author]],Table4[],2,0))</f>
        <v>EL</v>
      </c>
      <c r="L4941" s="150" t="s">
        <v>6435</v>
      </c>
      <c r="M4941" s="173">
        <v>45989</v>
      </c>
      <c r="N4941" s="174"/>
      <c r="O4941" s="174"/>
      <c r="P4941" s="174" t="str">
        <f ca="1">IF(Proc[[#This Row],[DaysAgeing]]&gt;5,"yep","on track")</f>
        <v>yep</v>
      </c>
      <c r="Q4941" s="3">
        <f ca="1">IF(Proc[[#This Row],[DateClosed]]="",ABS(NETWORKDAYS(Proc[[#This Row],[DateOpened]],TODAY()))-1,ABS(NETWORKDAYS(Proc[[#This Row],[DateOpened]],Proc[[#This Row],[DateClosed]]))-1)</f>
        <v>10</v>
      </c>
      <c r="R4941" s="174" t="s">
        <v>5709</v>
      </c>
      <c r="S4941" s="150"/>
    </row>
    <row r="4942" spans="1:19" hidden="1">
      <c r="A4942" s="149" t="s">
        <v>7039</v>
      </c>
      <c r="B4942" s="150" t="str">
        <f>IFERROR(VLOOKUP(Proc[[#This Row],[App]],Table2[],3,0),"open")</f>
        <v>ok</v>
      </c>
      <c r="C4942" s="149" t="s">
        <v>369</v>
      </c>
      <c r="D4942" t="s">
        <v>7151</v>
      </c>
      <c r="E4942" s="149" t="s">
        <v>7238</v>
      </c>
      <c r="F4942" s="150" t="s">
        <v>7238</v>
      </c>
      <c r="G4942" s="149" t="s">
        <v>406</v>
      </c>
      <c r="H4942" s="150" t="str">
        <f>IF(Proc[[#This Row],[type]]="LFF (MDG-F)",MID(Proc[[#This Row],[Obj]],13,10),"")</f>
        <v>US01TQ1007</v>
      </c>
      <c r="I4942" s="149" t="s">
        <v>7238</v>
      </c>
      <c r="J4942" s="150" t="b">
        <f>Proc[[#This Row],[Requested]]=Proc[[#This Row],[CurrentParent]]</f>
        <v>1</v>
      </c>
      <c r="K4942" s="150" t="str">
        <f>IF(Proc[[#This Row],[Author]]="Marcela Urrego",VLOOKUP(LEFT(Proc[[#This Row],[Requested]],1),Table3[#All],2,0),VLOOKUP(Proc[[#This Row],[Author]],Table4[],2,0))</f>
        <v>EL</v>
      </c>
      <c r="L4942" s="150" t="s">
        <v>6435</v>
      </c>
      <c r="M4942" s="173">
        <v>45989</v>
      </c>
      <c r="N4942" s="174"/>
      <c r="O4942" s="174"/>
      <c r="P4942" s="174" t="str">
        <f ca="1">IF(Proc[[#This Row],[DaysAgeing]]&gt;5,"yep","on track")</f>
        <v>yep</v>
      </c>
      <c r="Q4942" s="3">
        <f ca="1">IF(Proc[[#This Row],[DateClosed]]="",ABS(NETWORKDAYS(Proc[[#This Row],[DateOpened]],TODAY()))-1,ABS(NETWORKDAYS(Proc[[#This Row],[DateOpened]],Proc[[#This Row],[DateClosed]]))-1)</f>
        <v>10</v>
      </c>
      <c r="R4942" s="174" t="s">
        <v>5709</v>
      </c>
      <c r="S4942" s="150"/>
    </row>
    <row r="4943" spans="1:19" hidden="1">
      <c r="A4943" s="149" t="s">
        <v>7039</v>
      </c>
      <c r="B4943" s="150" t="str">
        <f>IFERROR(VLOOKUP(Proc[[#This Row],[App]],Table2[],3,0),"open")</f>
        <v>ok</v>
      </c>
      <c r="C4943" s="149" t="s">
        <v>369</v>
      </c>
      <c r="D4943" t="s">
        <v>7152</v>
      </c>
      <c r="E4943" s="149" t="s">
        <v>7238</v>
      </c>
      <c r="F4943" s="150" t="s">
        <v>7238</v>
      </c>
      <c r="G4943" s="149" t="s">
        <v>406</v>
      </c>
      <c r="H4943" s="150" t="str">
        <f>IF(Proc[[#This Row],[type]]="LFF (MDG-F)",MID(Proc[[#This Row],[Obj]],13,10),"")</f>
        <v>US01TQ1008</v>
      </c>
      <c r="I4943" s="149" t="s">
        <v>7238</v>
      </c>
      <c r="J4943" s="150" t="b">
        <f>Proc[[#This Row],[Requested]]=Proc[[#This Row],[CurrentParent]]</f>
        <v>1</v>
      </c>
      <c r="K4943" s="150" t="str">
        <f>IF(Proc[[#This Row],[Author]]="Marcela Urrego",VLOOKUP(LEFT(Proc[[#This Row],[Requested]],1),Table3[#All],2,0),VLOOKUP(Proc[[#This Row],[Author]],Table4[],2,0))</f>
        <v>EL</v>
      </c>
      <c r="L4943" s="150" t="s">
        <v>6435</v>
      </c>
      <c r="M4943" s="173">
        <v>45989</v>
      </c>
      <c r="N4943" s="174"/>
      <c r="O4943" s="174"/>
      <c r="P4943" s="174" t="str">
        <f ca="1">IF(Proc[[#This Row],[DaysAgeing]]&gt;5,"yep","on track")</f>
        <v>yep</v>
      </c>
      <c r="Q4943" s="3">
        <f ca="1">IF(Proc[[#This Row],[DateClosed]]="",ABS(NETWORKDAYS(Proc[[#This Row],[DateOpened]],TODAY()))-1,ABS(NETWORKDAYS(Proc[[#This Row],[DateOpened]],Proc[[#This Row],[DateClosed]]))-1)</f>
        <v>10</v>
      </c>
      <c r="R4943" s="174" t="s">
        <v>5709</v>
      </c>
      <c r="S4943" s="150"/>
    </row>
    <row r="4944" spans="1:19" hidden="1">
      <c r="A4944" s="149" t="s">
        <v>7039</v>
      </c>
      <c r="B4944" s="150" t="str">
        <f>IFERROR(VLOOKUP(Proc[[#This Row],[App]],Table2[],3,0),"open")</f>
        <v>ok</v>
      </c>
      <c r="C4944" s="149" t="s">
        <v>369</v>
      </c>
      <c r="D4944" t="s">
        <v>7153</v>
      </c>
      <c r="E4944" s="149" t="s">
        <v>7238</v>
      </c>
      <c r="F4944" s="150" t="s">
        <v>7238</v>
      </c>
      <c r="G4944" s="149" t="s">
        <v>406</v>
      </c>
      <c r="H4944" s="150" t="str">
        <f>IF(Proc[[#This Row],[type]]="LFF (MDG-F)",MID(Proc[[#This Row],[Obj]],13,10),"")</f>
        <v>US01TQ1009</v>
      </c>
      <c r="I4944" s="149" t="s">
        <v>7238</v>
      </c>
      <c r="J4944" s="150" t="b">
        <f>Proc[[#This Row],[Requested]]=Proc[[#This Row],[CurrentParent]]</f>
        <v>1</v>
      </c>
      <c r="K4944" s="150" t="str">
        <f>IF(Proc[[#This Row],[Author]]="Marcela Urrego",VLOOKUP(LEFT(Proc[[#This Row],[Requested]],1),Table3[#All],2,0),VLOOKUP(Proc[[#This Row],[Author]],Table4[],2,0))</f>
        <v>EL</v>
      </c>
      <c r="L4944" s="150" t="s">
        <v>6435</v>
      </c>
      <c r="M4944" s="173">
        <v>45989</v>
      </c>
      <c r="N4944" s="174"/>
      <c r="O4944" s="174"/>
      <c r="P4944" s="174" t="str">
        <f ca="1">IF(Proc[[#This Row],[DaysAgeing]]&gt;5,"yep","on track")</f>
        <v>yep</v>
      </c>
      <c r="Q4944" s="3">
        <f ca="1">IF(Proc[[#This Row],[DateClosed]]="",ABS(NETWORKDAYS(Proc[[#This Row],[DateOpened]],TODAY()))-1,ABS(NETWORKDAYS(Proc[[#This Row],[DateOpened]],Proc[[#This Row],[DateClosed]]))-1)</f>
        <v>10</v>
      </c>
      <c r="R4944" s="174" t="s">
        <v>5709</v>
      </c>
      <c r="S4944" s="150"/>
    </row>
    <row r="4945" spans="1:19" hidden="1">
      <c r="A4945" s="149" t="s">
        <v>7039</v>
      </c>
      <c r="B4945" s="150" t="str">
        <f>IFERROR(VLOOKUP(Proc[[#This Row],[App]],Table2[],3,0),"open")</f>
        <v>ok</v>
      </c>
      <c r="C4945" s="149" t="s">
        <v>369</v>
      </c>
      <c r="D4945" t="s">
        <v>7154</v>
      </c>
      <c r="E4945" s="149" t="s">
        <v>7238</v>
      </c>
      <c r="F4945" s="150" t="s">
        <v>7238</v>
      </c>
      <c r="G4945" s="149" t="s">
        <v>406</v>
      </c>
      <c r="H4945" s="150" t="str">
        <f>IF(Proc[[#This Row],[type]]="LFF (MDG-F)",MID(Proc[[#This Row],[Obj]],13,10),"")</f>
        <v>US10TQ1001</v>
      </c>
      <c r="I4945" s="149" t="s">
        <v>7238</v>
      </c>
      <c r="J4945" s="150" t="b">
        <f>Proc[[#This Row],[Requested]]=Proc[[#This Row],[CurrentParent]]</f>
        <v>1</v>
      </c>
      <c r="K4945" s="150" t="str">
        <f>IF(Proc[[#This Row],[Author]]="Marcela Urrego",VLOOKUP(LEFT(Proc[[#This Row],[Requested]],1),Table3[#All],2,0),VLOOKUP(Proc[[#This Row],[Author]],Table4[],2,0))</f>
        <v>EL</v>
      </c>
      <c r="L4945" s="150" t="s">
        <v>6435</v>
      </c>
      <c r="M4945" s="173">
        <v>45989</v>
      </c>
      <c r="N4945" s="174"/>
      <c r="O4945" s="174"/>
      <c r="P4945" s="174" t="str">
        <f ca="1">IF(Proc[[#This Row],[DaysAgeing]]&gt;5,"yep","on track")</f>
        <v>yep</v>
      </c>
      <c r="Q4945" s="3">
        <f ca="1">IF(Proc[[#This Row],[DateClosed]]="",ABS(NETWORKDAYS(Proc[[#This Row],[DateOpened]],TODAY()))-1,ABS(NETWORKDAYS(Proc[[#This Row],[DateOpened]],Proc[[#This Row],[DateClosed]]))-1)</f>
        <v>10</v>
      </c>
      <c r="R4945" s="174" t="s">
        <v>5709</v>
      </c>
      <c r="S4945" s="150"/>
    </row>
    <row r="4946" spans="1:19" hidden="1">
      <c r="A4946" s="149" t="s">
        <v>7039</v>
      </c>
      <c r="B4946" s="150" t="str">
        <f>IFERROR(VLOOKUP(Proc[[#This Row],[App]],Table2[],3,0),"open")</f>
        <v>ok</v>
      </c>
      <c r="C4946" s="149" t="s">
        <v>369</v>
      </c>
      <c r="D4946" t="s">
        <v>7155</v>
      </c>
      <c r="E4946" s="149" t="s">
        <v>7238</v>
      </c>
      <c r="F4946" s="150" t="s">
        <v>7238</v>
      </c>
      <c r="G4946" s="149" t="s">
        <v>406</v>
      </c>
      <c r="H4946" s="150" t="str">
        <f>IF(Proc[[#This Row],[type]]="LFF (MDG-F)",MID(Proc[[#This Row],[Obj]],13,10),"")</f>
        <v>US10TQ1002</v>
      </c>
      <c r="I4946" s="149" t="s">
        <v>7238</v>
      </c>
      <c r="J4946" s="150" t="b">
        <f>Proc[[#This Row],[Requested]]=Proc[[#This Row],[CurrentParent]]</f>
        <v>1</v>
      </c>
      <c r="K4946" s="150" t="str">
        <f>IF(Proc[[#This Row],[Author]]="Marcela Urrego",VLOOKUP(LEFT(Proc[[#This Row],[Requested]],1),Table3[#All],2,0),VLOOKUP(Proc[[#This Row],[Author]],Table4[],2,0))</f>
        <v>EL</v>
      </c>
      <c r="L4946" s="150" t="s">
        <v>6435</v>
      </c>
      <c r="M4946" s="173">
        <v>45989</v>
      </c>
      <c r="N4946" s="174"/>
      <c r="O4946" s="174"/>
      <c r="P4946" s="174" t="str">
        <f ca="1">IF(Proc[[#This Row],[DaysAgeing]]&gt;5,"yep","on track")</f>
        <v>yep</v>
      </c>
      <c r="Q4946" s="3">
        <f ca="1">IF(Proc[[#This Row],[DateClosed]]="",ABS(NETWORKDAYS(Proc[[#This Row],[DateOpened]],TODAY()))-1,ABS(NETWORKDAYS(Proc[[#This Row],[DateOpened]],Proc[[#This Row],[DateClosed]]))-1)</f>
        <v>10</v>
      </c>
      <c r="R4946" s="174" t="s">
        <v>5709</v>
      </c>
      <c r="S4946" s="150"/>
    </row>
    <row r="4947" spans="1:19" hidden="1">
      <c r="A4947" s="149" t="s">
        <v>7039</v>
      </c>
      <c r="B4947" s="150" t="str">
        <f>IFERROR(VLOOKUP(Proc[[#This Row],[App]],Table2[],3,0),"open")</f>
        <v>ok</v>
      </c>
      <c r="C4947" s="149" t="s">
        <v>369</v>
      </c>
      <c r="D4947" t="s">
        <v>7156</v>
      </c>
      <c r="E4947" s="149" t="s">
        <v>7238</v>
      </c>
      <c r="F4947" s="150" t="s">
        <v>7238</v>
      </c>
      <c r="G4947" s="149" t="s">
        <v>406</v>
      </c>
      <c r="H4947" s="150" t="str">
        <f>IF(Proc[[#This Row],[type]]="LFF (MDG-F)",MID(Proc[[#This Row],[Obj]],13,10),"")</f>
        <v>US10TQ1003</v>
      </c>
      <c r="I4947" s="149" t="s">
        <v>7238</v>
      </c>
      <c r="J4947" s="150" t="b">
        <f>Proc[[#This Row],[Requested]]=Proc[[#This Row],[CurrentParent]]</f>
        <v>1</v>
      </c>
      <c r="K4947" s="150" t="str">
        <f>IF(Proc[[#This Row],[Author]]="Marcela Urrego",VLOOKUP(LEFT(Proc[[#This Row],[Requested]],1),Table3[#All],2,0),VLOOKUP(Proc[[#This Row],[Author]],Table4[],2,0))</f>
        <v>EL</v>
      </c>
      <c r="L4947" s="150" t="s">
        <v>6435</v>
      </c>
      <c r="M4947" s="173">
        <v>45989</v>
      </c>
      <c r="N4947" s="174"/>
      <c r="O4947" s="174"/>
      <c r="P4947" s="174" t="str">
        <f ca="1">IF(Proc[[#This Row],[DaysAgeing]]&gt;5,"yep","on track")</f>
        <v>yep</v>
      </c>
      <c r="Q4947" s="3">
        <f ca="1">IF(Proc[[#This Row],[DateClosed]]="",ABS(NETWORKDAYS(Proc[[#This Row],[DateOpened]],TODAY()))-1,ABS(NETWORKDAYS(Proc[[#This Row],[DateOpened]],Proc[[#This Row],[DateClosed]]))-1)</f>
        <v>10</v>
      </c>
      <c r="R4947" s="174" t="s">
        <v>5709</v>
      </c>
      <c r="S4947" s="150"/>
    </row>
    <row r="4948" spans="1:19" hidden="1">
      <c r="A4948" s="149" t="s">
        <v>7039</v>
      </c>
      <c r="B4948" s="150" t="str">
        <f>IFERROR(VLOOKUP(Proc[[#This Row],[App]],Table2[],3,0),"open")</f>
        <v>ok</v>
      </c>
      <c r="C4948" s="149" t="s">
        <v>369</v>
      </c>
      <c r="D4948" t="s">
        <v>7157</v>
      </c>
      <c r="E4948" s="149" t="s">
        <v>7238</v>
      </c>
      <c r="F4948" s="150" t="s">
        <v>7238</v>
      </c>
      <c r="G4948" s="149" t="s">
        <v>406</v>
      </c>
      <c r="H4948" s="150" t="str">
        <f>IF(Proc[[#This Row],[type]]="LFF (MDG-F)",MID(Proc[[#This Row],[Obj]],13,10),"")</f>
        <v>US10TQ1004</v>
      </c>
      <c r="I4948" s="149" t="s">
        <v>7238</v>
      </c>
      <c r="J4948" s="150" t="b">
        <f>Proc[[#This Row],[Requested]]=Proc[[#This Row],[CurrentParent]]</f>
        <v>1</v>
      </c>
      <c r="K4948" s="150" t="str">
        <f>IF(Proc[[#This Row],[Author]]="Marcela Urrego",VLOOKUP(LEFT(Proc[[#This Row],[Requested]],1),Table3[#All],2,0),VLOOKUP(Proc[[#This Row],[Author]],Table4[],2,0))</f>
        <v>EL</v>
      </c>
      <c r="L4948" s="150" t="s">
        <v>6435</v>
      </c>
      <c r="M4948" s="173">
        <v>45989</v>
      </c>
      <c r="N4948" s="174"/>
      <c r="O4948" s="174"/>
      <c r="P4948" s="174" t="str">
        <f ca="1">IF(Proc[[#This Row],[DaysAgeing]]&gt;5,"yep","on track")</f>
        <v>yep</v>
      </c>
      <c r="Q4948" s="3">
        <f ca="1">IF(Proc[[#This Row],[DateClosed]]="",ABS(NETWORKDAYS(Proc[[#This Row],[DateOpened]],TODAY()))-1,ABS(NETWORKDAYS(Proc[[#This Row],[DateOpened]],Proc[[#This Row],[DateClosed]]))-1)</f>
        <v>10</v>
      </c>
      <c r="R4948" s="174" t="s">
        <v>5709</v>
      </c>
      <c r="S4948" s="150"/>
    </row>
    <row r="4949" spans="1:19" hidden="1">
      <c r="A4949" s="149" t="s">
        <v>7039</v>
      </c>
      <c r="B4949" s="150" t="str">
        <f>IFERROR(VLOOKUP(Proc[[#This Row],[App]],Table2[],3,0),"open")</f>
        <v>ok</v>
      </c>
      <c r="C4949" s="149" t="s">
        <v>369</v>
      </c>
      <c r="D4949" t="s">
        <v>7158</v>
      </c>
      <c r="E4949" s="149" t="s">
        <v>7238</v>
      </c>
      <c r="F4949" s="150" t="s">
        <v>7238</v>
      </c>
      <c r="G4949" s="149" t="s">
        <v>406</v>
      </c>
      <c r="H4949" s="150" t="str">
        <f>IF(Proc[[#This Row],[type]]="LFF (MDG-F)",MID(Proc[[#This Row],[Obj]],13,10),"")</f>
        <v>US10TQ1005</v>
      </c>
      <c r="I4949" s="149" t="s">
        <v>7238</v>
      </c>
      <c r="J4949" s="150" t="b">
        <f>Proc[[#This Row],[Requested]]=Proc[[#This Row],[CurrentParent]]</f>
        <v>1</v>
      </c>
      <c r="K4949" s="150" t="str">
        <f>IF(Proc[[#This Row],[Author]]="Marcela Urrego",VLOOKUP(LEFT(Proc[[#This Row],[Requested]],1),Table3[#All],2,0),VLOOKUP(Proc[[#This Row],[Author]],Table4[],2,0))</f>
        <v>EL</v>
      </c>
      <c r="L4949" s="150" t="s">
        <v>6435</v>
      </c>
      <c r="M4949" s="173">
        <v>45989</v>
      </c>
      <c r="N4949" s="174"/>
      <c r="O4949" s="174"/>
      <c r="P4949" s="174" t="str">
        <f ca="1">IF(Proc[[#This Row],[DaysAgeing]]&gt;5,"yep","on track")</f>
        <v>yep</v>
      </c>
      <c r="Q4949" s="3">
        <f ca="1">IF(Proc[[#This Row],[DateClosed]]="",ABS(NETWORKDAYS(Proc[[#This Row],[DateOpened]],TODAY()))-1,ABS(NETWORKDAYS(Proc[[#This Row],[DateOpened]],Proc[[#This Row],[DateClosed]]))-1)</f>
        <v>10</v>
      </c>
      <c r="R4949" s="174" t="s">
        <v>5709</v>
      </c>
      <c r="S4949" s="150"/>
    </row>
    <row r="4950" spans="1:19" hidden="1">
      <c r="A4950" s="149" t="s">
        <v>7039</v>
      </c>
      <c r="B4950" s="150" t="str">
        <f>IFERROR(VLOOKUP(Proc[[#This Row],[App]],Table2[],3,0),"open")</f>
        <v>ok</v>
      </c>
      <c r="C4950" s="149" t="s">
        <v>369</v>
      </c>
      <c r="D4950" t="s">
        <v>7159</v>
      </c>
      <c r="E4950" s="149" t="s">
        <v>7238</v>
      </c>
      <c r="F4950" s="150" t="s">
        <v>7238</v>
      </c>
      <c r="G4950" s="149" t="s">
        <v>406</v>
      </c>
      <c r="H4950" s="150" t="str">
        <f>IF(Proc[[#This Row],[type]]="LFF (MDG-F)",MID(Proc[[#This Row],[Obj]],13,10),"")</f>
        <v>US10TQ1006</v>
      </c>
      <c r="I4950" s="149" t="s">
        <v>7238</v>
      </c>
      <c r="J4950" s="150" t="b">
        <f>Proc[[#This Row],[Requested]]=Proc[[#This Row],[CurrentParent]]</f>
        <v>1</v>
      </c>
      <c r="K4950" s="150" t="str">
        <f>IF(Proc[[#This Row],[Author]]="Marcela Urrego",VLOOKUP(LEFT(Proc[[#This Row],[Requested]],1),Table3[#All],2,0),VLOOKUP(Proc[[#This Row],[Author]],Table4[],2,0))</f>
        <v>EL</v>
      </c>
      <c r="L4950" s="150" t="s">
        <v>6435</v>
      </c>
      <c r="M4950" s="173">
        <v>45989</v>
      </c>
      <c r="N4950" s="174"/>
      <c r="O4950" s="174"/>
      <c r="P4950" s="174" t="str">
        <f ca="1">IF(Proc[[#This Row],[DaysAgeing]]&gt;5,"yep","on track")</f>
        <v>yep</v>
      </c>
      <c r="Q4950" s="3">
        <f ca="1">IF(Proc[[#This Row],[DateClosed]]="",ABS(NETWORKDAYS(Proc[[#This Row],[DateOpened]],TODAY()))-1,ABS(NETWORKDAYS(Proc[[#This Row],[DateOpened]],Proc[[#This Row],[DateClosed]]))-1)</f>
        <v>10</v>
      </c>
      <c r="R4950" s="174" t="s">
        <v>5709</v>
      </c>
      <c r="S4950" s="150"/>
    </row>
    <row r="4951" spans="1:19" hidden="1">
      <c r="A4951" s="149" t="s">
        <v>7039</v>
      </c>
      <c r="B4951" s="150" t="str">
        <f>IFERROR(VLOOKUP(Proc[[#This Row],[App]],Table2[],3,0),"open")</f>
        <v>ok</v>
      </c>
      <c r="C4951" s="149" t="s">
        <v>369</v>
      </c>
      <c r="D4951" t="s">
        <v>7160</v>
      </c>
      <c r="E4951" s="149" t="s">
        <v>7238</v>
      </c>
      <c r="F4951" s="150" t="s">
        <v>7238</v>
      </c>
      <c r="G4951" s="149" t="s">
        <v>406</v>
      </c>
      <c r="H4951" s="150" t="str">
        <f>IF(Proc[[#This Row],[type]]="LFF (MDG-F)",MID(Proc[[#This Row],[Obj]],13,10),"")</f>
        <v>US10TQ1007</v>
      </c>
      <c r="I4951" s="149" t="s">
        <v>7238</v>
      </c>
      <c r="J4951" s="150" t="b">
        <f>Proc[[#This Row],[Requested]]=Proc[[#This Row],[CurrentParent]]</f>
        <v>1</v>
      </c>
      <c r="K4951" s="150" t="str">
        <f>IF(Proc[[#This Row],[Author]]="Marcela Urrego",VLOOKUP(LEFT(Proc[[#This Row],[Requested]],1),Table3[#All],2,0),VLOOKUP(Proc[[#This Row],[Author]],Table4[],2,0))</f>
        <v>EL</v>
      </c>
      <c r="L4951" s="150" t="s">
        <v>6435</v>
      </c>
      <c r="M4951" s="173">
        <v>45989</v>
      </c>
      <c r="N4951" s="174"/>
      <c r="O4951" s="174"/>
      <c r="P4951" s="174" t="str">
        <f ca="1">IF(Proc[[#This Row],[DaysAgeing]]&gt;5,"yep","on track")</f>
        <v>yep</v>
      </c>
      <c r="Q4951" s="3">
        <f ca="1">IF(Proc[[#This Row],[DateClosed]]="",ABS(NETWORKDAYS(Proc[[#This Row],[DateOpened]],TODAY()))-1,ABS(NETWORKDAYS(Proc[[#This Row],[DateOpened]],Proc[[#This Row],[DateClosed]]))-1)</f>
        <v>10</v>
      </c>
      <c r="R4951" s="174" t="s">
        <v>5709</v>
      </c>
      <c r="S4951" s="150"/>
    </row>
    <row r="4952" spans="1:19" hidden="1">
      <c r="A4952" s="149" t="s">
        <v>7039</v>
      </c>
      <c r="B4952" s="150" t="str">
        <f>IFERROR(VLOOKUP(Proc[[#This Row],[App]],Table2[],3,0),"open")</f>
        <v>ok</v>
      </c>
      <c r="C4952" s="149" t="s">
        <v>369</v>
      </c>
      <c r="D4952" t="s">
        <v>7161</v>
      </c>
      <c r="E4952" s="149" t="s">
        <v>7238</v>
      </c>
      <c r="F4952" s="150" t="s">
        <v>7238</v>
      </c>
      <c r="G4952" s="149" t="s">
        <v>406</v>
      </c>
      <c r="H4952" s="150" t="str">
        <f>IF(Proc[[#This Row],[type]]="LFF (MDG-F)",MID(Proc[[#This Row],[Obj]],13,10),"")</f>
        <v>US10TQ1008</v>
      </c>
      <c r="I4952" s="149" t="s">
        <v>7238</v>
      </c>
      <c r="J4952" s="150" t="b">
        <f>Proc[[#This Row],[Requested]]=Proc[[#This Row],[CurrentParent]]</f>
        <v>1</v>
      </c>
      <c r="K4952" s="150" t="str">
        <f>IF(Proc[[#This Row],[Author]]="Marcela Urrego",VLOOKUP(LEFT(Proc[[#This Row],[Requested]],1),Table3[#All],2,0),VLOOKUP(Proc[[#This Row],[Author]],Table4[],2,0))</f>
        <v>EL</v>
      </c>
      <c r="L4952" s="150" t="s">
        <v>6435</v>
      </c>
      <c r="M4952" s="173">
        <v>45989</v>
      </c>
      <c r="N4952" s="174"/>
      <c r="O4952" s="174"/>
      <c r="P4952" s="174" t="str">
        <f ca="1">IF(Proc[[#This Row],[DaysAgeing]]&gt;5,"yep","on track")</f>
        <v>yep</v>
      </c>
      <c r="Q4952" s="3">
        <f ca="1">IF(Proc[[#This Row],[DateClosed]]="",ABS(NETWORKDAYS(Proc[[#This Row],[DateOpened]],TODAY()))-1,ABS(NETWORKDAYS(Proc[[#This Row],[DateOpened]],Proc[[#This Row],[DateClosed]]))-1)</f>
        <v>10</v>
      </c>
      <c r="R4952" s="174" t="s">
        <v>5709</v>
      </c>
      <c r="S4952" s="150"/>
    </row>
    <row r="4953" spans="1:19" hidden="1">
      <c r="A4953" s="149" t="s">
        <v>7039</v>
      </c>
      <c r="B4953" s="150" t="str">
        <f>IFERROR(VLOOKUP(Proc[[#This Row],[App]],Table2[],3,0),"open")</f>
        <v>ok</v>
      </c>
      <c r="C4953" s="149" t="s">
        <v>369</v>
      </c>
      <c r="D4953" t="s">
        <v>7162</v>
      </c>
      <c r="E4953" s="149" t="s">
        <v>7238</v>
      </c>
      <c r="F4953" s="150" t="s">
        <v>7238</v>
      </c>
      <c r="G4953" s="149" t="s">
        <v>406</v>
      </c>
      <c r="H4953" s="150" t="str">
        <f>IF(Proc[[#This Row],[type]]="LFF (MDG-F)",MID(Proc[[#This Row],[Obj]],13,10),"")</f>
        <v>US10TQ1009</v>
      </c>
      <c r="I4953" s="149" t="s">
        <v>7238</v>
      </c>
      <c r="J4953" s="150" t="b">
        <f>Proc[[#This Row],[Requested]]=Proc[[#This Row],[CurrentParent]]</f>
        <v>1</v>
      </c>
      <c r="K4953" s="150" t="str">
        <f>IF(Proc[[#This Row],[Author]]="Marcela Urrego",VLOOKUP(LEFT(Proc[[#This Row],[Requested]],1),Table3[#All],2,0),VLOOKUP(Proc[[#This Row],[Author]],Table4[],2,0))</f>
        <v>EL</v>
      </c>
      <c r="L4953" s="150" t="s">
        <v>6435</v>
      </c>
      <c r="M4953" s="173">
        <v>45989</v>
      </c>
      <c r="N4953" s="174"/>
      <c r="O4953" s="174"/>
      <c r="P4953" s="174" t="str">
        <f ca="1">IF(Proc[[#This Row],[DaysAgeing]]&gt;5,"yep","on track")</f>
        <v>yep</v>
      </c>
      <c r="Q4953" s="3">
        <f ca="1">IF(Proc[[#This Row],[DateClosed]]="",ABS(NETWORKDAYS(Proc[[#This Row],[DateOpened]],TODAY()))-1,ABS(NETWORKDAYS(Proc[[#This Row],[DateOpened]],Proc[[#This Row],[DateClosed]]))-1)</f>
        <v>10</v>
      </c>
      <c r="R4953" s="174" t="s">
        <v>5709</v>
      </c>
      <c r="S4953" s="150"/>
    </row>
    <row r="4954" spans="1:19" hidden="1">
      <c r="A4954" s="149" t="s">
        <v>7039</v>
      </c>
      <c r="B4954" s="150" t="str">
        <f>IFERROR(VLOOKUP(Proc[[#This Row],[App]],Table2[],3,0),"open")</f>
        <v>ok</v>
      </c>
      <c r="C4954" s="149" t="s">
        <v>369</v>
      </c>
      <c r="D4954" t="s">
        <v>7163</v>
      </c>
      <c r="E4954" s="149" t="s">
        <v>7238</v>
      </c>
      <c r="F4954" s="150" t="s">
        <v>7238</v>
      </c>
      <c r="G4954" s="149" t="s">
        <v>406</v>
      </c>
      <c r="H4954" s="150" t="str">
        <f>IF(Proc[[#This Row],[type]]="LFF (MDG-F)",MID(Proc[[#This Row],[Obj]],13,10),"")</f>
        <v>US10TQ1010</v>
      </c>
      <c r="I4954" s="149" t="s">
        <v>7238</v>
      </c>
      <c r="J4954" s="150" t="b">
        <f>Proc[[#This Row],[Requested]]=Proc[[#This Row],[CurrentParent]]</f>
        <v>1</v>
      </c>
      <c r="K4954" s="150" t="str">
        <f>IF(Proc[[#This Row],[Author]]="Marcela Urrego",VLOOKUP(LEFT(Proc[[#This Row],[Requested]],1),Table3[#All],2,0),VLOOKUP(Proc[[#This Row],[Author]],Table4[],2,0))</f>
        <v>EL</v>
      </c>
      <c r="L4954" s="150" t="s">
        <v>6435</v>
      </c>
      <c r="M4954" s="173">
        <v>45989</v>
      </c>
      <c r="N4954" s="174"/>
      <c r="O4954" s="174"/>
      <c r="P4954" s="174" t="str">
        <f ca="1">IF(Proc[[#This Row],[DaysAgeing]]&gt;5,"yep","on track")</f>
        <v>yep</v>
      </c>
      <c r="Q4954" s="3">
        <f ca="1">IF(Proc[[#This Row],[DateClosed]]="",ABS(NETWORKDAYS(Proc[[#This Row],[DateOpened]],TODAY()))-1,ABS(NETWORKDAYS(Proc[[#This Row],[DateOpened]],Proc[[#This Row],[DateClosed]]))-1)</f>
        <v>10</v>
      </c>
      <c r="R4954" s="174" t="s">
        <v>5709</v>
      </c>
      <c r="S4954" s="150"/>
    </row>
    <row r="4955" spans="1:19" hidden="1">
      <c r="A4955" s="149" t="s">
        <v>7039</v>
      </c>
      <c r="B4955" s="150" t="str">
        <f>IFERROR(VLOOKUP(Proc[[#This Row],[App]],Table2[],3,0),"open")</f>
        <v>ok</v>
      </c>
      <c r="C4955" s="149" t="s">
        <v>369</v>
      </c>
      <c r="D4955" t="s">
        <v>7164</v>
      </c>
      <c r="E4955" s="149" t="s">
        <v>7238</v>
      </c>
      <c r="F4955" s="150" t="s">
        <v>7238</v>
      </c>
      <c r="G4955" s="149" t="s">
        <v>406</v>
      </c>
      <c r="H4955" s="150" t="str">
        <f>IF(Proc[[#This Row],[type]]="LFF (MDG-F)",MID(Proc[[#This Row],[Obj]],13,10),"")</f>
        <v>US10TQ1011</v>
      </c>
      <c r="I4955" s="149" t="s">
        <v>7238</v>
      </c>
      <c r="J4955" s="150" t="b">
        <f>Proc[[#This Row],[Requested]]=Proc[[#This Row],[CurrentParent]]</f>
        <v>1</v>
      </c>
      <c r="K4955" s="150" t="str">
        <f>IF(Proc[[#This Row],[Author]]="Marcela Urrego",VLOOKUP(LEFT(Proc[[#This Row],[Requested]],1),Table3[#All],2,0),VLOOKUP(Proc[[#This Row],[Author]],Table4[],2,0))</f>
        <v>EL</v>
      </c>
      <c r="L4955" s="150" t="s">
        <v>6435</v>
      </c>
      <c r="M4955" s="173">
        <v>45989</v>
      </c>
      <c r="N4955" s="174"/>
      <c r="O4955" s="174"/>
      <c r="P4955" s="174" t="str">
        <f ca="1">IF(Proc[[#This Row],[DaysAgeing]]&gt;5,"yep","on track")</f>
        <v>yep</v>
      </c>
      <c r="Q4955" s="3">
        <f ca="1">IF(Proc[[#This Row],[DateClosed]]="",ABS(NETWORKDAYS(Proc[[#This Row],[DateOpened]],TODAY()))-1,ABS(NETWORKDAYS(Proc[[#This Row],[DateOpened]],Proc[[#This Row],[DateClosed]]))-1)</f>
        <v>10</v>
      </c>
      <c r="R4955" s="174" t="s">
        <v>5709</v>
      </c>
      <c r="S4955" s="150"/>
    </row>
    <row r="4956" spans="1:19" hidden="1">
      <c r="A4956" s="149" t="s">
        <v>7039</v>
      </c>
      <c r="B4956" s="150" t="str">
        <f>IFERROR(VLOOKUP(Proc[[#This Row],[App]],Table2[],3,0),"open")</f>
        <v>ok</v>
      </c>
      <c r="C4956" s="149" t="s">
        <v>369</v>
      </c>
      <c r="D4956" t="s">
        <v>7165</v>
      </c>
      <c r="E4956" s="149" t="s">
        <v>7238</v>
      </c>
      <c r="F4956" s="150" t="s">
        <v>7238</v>
      </c>
      <c r="G4956" s="149" t="s">
        <v>406</v>
      </c>
      <c r="H4956" s="150" t="str">
        <f>IF(Proc[[#This Row],[type]]="LFF (MDG-F)",MID(Proc[[#This Row],[Obj]],13,10),"")</f>
        <v>US10TQ1012</v>
      </c>
      <c r="I4956" s="149" t="s">
        <v>7238</v>
      </c>
      <c r="J4956" s="150" t="b">
        <f>Proc[[#This Row],[Requested]]=Proc[[#This Row],[CurrentParent]]</f>
        <v>1</v>
      </c>
      <c r="K4956" s="150" t="str">
        <f>IF(Proc[[#This Row],[Author]]="Marcela Urrego",VLOOKUP(LEFT(Proc[[#This Row],[Requested]],1),Table3[#All],2,0),VLOOKUP(Proc[[#This Row],[Author]],Table4[],2,0))</f>
        <v>EL</v>
      </c>
      <c r="L4956" s="150" t="s">
        <v>6435</v>
      </c>
      <c r="M4956" s="173">
        <v>45989</v>
      </c>
      <c r="N4956" s="174"/>
      <c r="O4956" s="174"/>
      <c r="P4956" s="174" t="str">
        <f ca="1">IF(Proc[[#This Row],[DaysAgeing]]&gt;5,"yep","on track")</f>
        <v>yep</v>
      </c>
      <c r="Q4956" s="3">
        <f ca="1">IF(Proc[[#This Row],[DateClosed]]="",ABS(NETWORKDAYS(Proc[[#This Row],[DateOpened]],TODAY()))-1,ABS(NETWORKDAYS(Proc[[#This Row],[DateOpened]],Proc[[#This Row],[DateClosed]]))-1)</f>
        <v>10</v>
      </c>
      <c r="R4956" s="174" t="s">
        <v>5709</v>
      </c>
      <c r="S4956" s="150"/>
    </row>
    <row r="4957" spans="1:19" hidden="1">
      <c r="A4957" s="149" t="s">
        <v>7039</v>
      </c>
      <c r="B4957" s="150" t="str">
        <f>IFERROR(VLOOKUP(Proc[[#This Row],[App]],Table2[],3,0),"open")</f>
        <v>ok</v>
      </c>
      <c r="C4957" s="149" t="s">
        <v>369</v>
      </c>
      <c r="D4957" t="s">
        <v>7166</v>
      </c>
      <c r="E4957" s="149" t="s">
        <v>7238</v>
      </c>
      <c r="F4957" s="150" t="s">
        <v>7238</v>
      </c>
      <c r="G4957" s="149" t="s">
        <v>406</v>
      </c>
      <c r="H4957" s="150" t="str">
        <f>IF(Proc[[#This Row],[type]]="LFF (MDG-F)",MID(Proc[[#This Row],[Obj]],13,10),"")</f>
        <v>US10TQ1013</v>
      </c>
      <c r="I4957" s="149" t="s">
        <v>7238</v>
      </c>
      <c r="J4957" s="150" t="b">
        <f>Proc[[#This Row],[Requested]]=Proc[[#This Row],[CurrentParent]]</f>
        <v>1</v>
      </c>
      <c r="K4957" s="150" t="str">
        <f>IF(Proc[[#This Row],[Author]]="Marcela Urrego",VLOOKUP(LEFT(Proc[[#This Row],[Requested]],1),Table3[#All],2,0),VLOOKUP(Proc[[#This Row],[Author]],Table4[],2,0))</f>
        <v>EL</v>
      </c>
      <c r="L4957" s="150" t="s">
        <v>6435</v>
      </c>
      <c r="M4957" s="173">
        <v>45989</v>
      </c>
      <c r="N4957" s="174"/>
      <c r="O4957" s="174"/>
      <c r="P4957" s="174" t="str">
        <f ca="1">IF(Proc[[#This Row],[DaysAgeing]]&gt;5,"yep","on track")</f>
        <v>yep</v>
      </c>
      <c r="Q4957" s="3">
        <f ca="1">IF(Proc[[#This Row],[DateClosed]]="",ABS(NETWORKDAYS(Proc[[#This Row],[DateOpened]],TODAY()))-1,ABS(NETWORKDAYS(Proc[[#This Row],[DateOpened]],Proc[[#This Row],[DateClosed]]))-1)</f>
        <v>10</v>
      </c>
      <c r="R4957" s="174" t="s">
        <v>5709</v>
      </c>
      <c r="S4957" s="150"/>
    </row>
    <row r="4958" spans="1:19" hidden="1">
      <c r="A4958" s="149" t="s">
        <v>7039</v>
      </c>
      <c r="B4958" s="150" t="str">
        <f>IFERROR(VLOOKUP(Proc[[#This Row],[App]],Table2[],3,0),"open")</f>
        <v>ok</v>
      </c>
      <c r="C4958" s="149" t="s">
        <v>369</v>
      </c>
      <c r="D4958" t="s">
        <v>7167</v>
      </c>
      <c r="E4958" s="149" t="s">
        <v>7239</v>
      </c>
      <c r="F4958" s="150" t="s">
        <v>7239</v>
      </c>
      <c r="G4958" s="149" t="s">
        <v>406</v>
      </c>
      <c r="H4958" s="150" t="str">
        <f>IF(Proc[[#This Row],[type]]="LFF (MDG-F)",MID(Proc[[#This Row],[Obj]],13,10),"")</f>
        <v>US01TPBZ01</v>
      </c>
      <c r="I4958" s="149" t="s">
        <v>7239</v>
      </c>
      <c r="J4958" s="150" t="b">
        <f>Proc[[#This Row],[Requested]]=Proc[[#This Row],[CurrentParent]]</f>
        <v>1</v>
      </c>
      <c r="K4958" s="150" t="str">
        <f>IF(Proc[[#This Row],[Author]]="Marcela Urrego",VLOOKUP(LEFT(Proc[[#This Row],[Requested]],1),Table3[#All],2,0),VLOOKUP(Proc[[#This Row],[Author]],Table4[],2,0))</f>
        <v>EL</v>
      </c>
      <c r="L4958" s="150" t="s">
        <v>6435</v>
      </c>
      <c r="M4958" s="173">
        <v>45989</v>
      </c>
      <c r="N4958" s="174"/>
      <c r="O4958" s="174"/>
      <c r="P4958" s="174" t="str">
        <f ca="1">IF(Proc[[#This Row],[DaysAgeing]]&gt;5,"yep","on track")</f>
        <v>yep</v>
      </c>
      <c r="Q4958" s="3">
        <f ca="1">IF(Proc[[#This Row],[DateClosed]]="",ABS(NETWORKDAYS(Proc[[#This Row],[DateOpened]],TODAY()))-1,ABS(NETWORKDAYS(Proc[[#This Row],[DateOpened]],Proc[[#This Row],[DateClosed]]))-1)</f>
        <v>10</v>
      </c>
      <c r="R4958" s="174" t="s">
        <v>5709</v>
      </c>
      <c r="S4958" s="150"/>
    </row>
    <row r="4959" spans="1:19" hidden="1">
      <c r="A4959" s="149" t="s">
        <v>7039</v>
      </c>
      <c r="B4959" s="150" t="str">
        <f>IFERROR(VLOOKUP(Proc[[#This Row],[App]],Table2[],3,0),"open")</f>
        <v>ok</v>
      </c>
      <c r="C4959" s="149" t="s">
        <v>369</v>
      </c>
      <c r="D4959" t="s">
        <v>7168</v>
      </c>
      <c r="E4959" s="149" t="s">
        <v>7239</v>
      </c>
      <c r="F4959" s="150" t="s">
        <v>7239</v>
      </c>
      <c r="G4959" s="149" t="s">
        <v>406</v>
      </c>
      <c r="H4959" s="150" t="str">
        <f>IF(Proc[[#This Row],[type]]="LFF (MDG-F)",MID(Proc[[#This Row],[Obj]],13,10),"")</f>
        <v>US01TPBZ02</v>
      </c>
      <c r="I4959" s="149" t="s">
        <v>7239</v>
      </c>
      <c r="J4959" s="150" t="b">
        <f>Proc[[#This Row],[Requested]]=Proc[[#This Row],[CurrentParent]]</f>
        <v>1</v>
      </c>
      <c r="K4959" s="150" t="str">
        <f>IF(Proc[[#This Row],[Author]]="Marcela Urrego",VLOOKUP(LEFT(Proc[[#This Row],[Requested]],1),Table3[#All],2,0),VLOOKUP(Proc[[#This Row],[Author]],Table4[],2,0))</f>
        <v>EL</v>
      </c>
      <c r="L4959" s="150" t="s">
        <v>6435</v>
      </c>
      <c r="M4959" s="173">
        <v>45989</v>
      </c>
      <c r="N4959" s="174"/>
      <c r="O4959" s="174"/>
      <c r="P4959" s="174" t="str">
        <f ca="1">IF(Proc[[#This Row],[DaysAgeing]]&gt;5,"yep","on track")</f>
        <v>yep</v>
      </c>
      <c r="Q4959" s="3">
        <f ca="1">IF(Proc[[#This Row],[DateClosed]]="",ABS(NETWORKDAYS(Proc[[#This Row],[DateOpened]],TODAY()))-1,ABS(NETWORKDAYS(Proc[[#This Row],[DateOpened]],Proc[[#This Row],[DateClosed]]))-1)</f>
        <v>10</v>
      </c>
      <c r="R4959" s="174" t="s">
        <v>5709</v>
      </c>
      <c r="S4959" s="150"/>
    </row>
    <row r="4960" spans="1:19" hidden="1">
      <c r="A4960" s="149" t="s">
        <v>7039</v>
      </c>
      <c r="B4960" s="150" t="str">
        <f>IFERROR(VLOOKUP(Proc[[#This Row],[App]],Table2[],3,0),"open")</f>
        <v>ok</v>
      </c>
      <c r="C4960" s="149" t="s">
        <v>369</v>
      </c>
      <c r="D4960" t="s">
        <v>7169</v>
      </c>
      <c r="E4960" s="149" t="s">
        <v>7239</v>
      </c>
      <c r="F4960" s="150" t="s">
        <v>7239</v>
      </c>
      <c r="G4960" s="149" t="s">
        <v>406</v>
      </c>
      <c r="H4960" s="150" t="str">
        <f>IF(Proc[[#This Row],[type]]="LFF (MDG-F)",MID(Proc[[#This Row],[Obj]],13,10),"")</f>
        <v>US01TQBZ01</v>
      </c>
      <c r="I4960" s="149" t="s">
        <v>7239</v>
      </c>
      <c r="J4960" s="150" t="b">
        <f>Proc[[#This Row],[Requested]]=Proc[[#This Row],[CurrentParent]]</f>
        <v>1</v>
      </c>
      <c r="K4960" s="150" t="str">
        <f>IF(Proc[[#This Row],[Author]]="Marcela Urrego",VLOOKUP(LEFT(Proc[[#This Row],[Requested]],1),Table3[#All],2,0),VLOOKUP(Proc[[#This Row],[Author]],Table4[],2,0))</f>
        <v>EL</v>
      </c>
      <c r="L4960" s="150" t="s">
        <v>6435</v>
      </c>
      <c r="M4960" s="173">
        <v>45989</v>
      </c>
      <c r="N4960" s="174"/>
      <c r="O4960" s="174"/>
      <c r="P4960" s="174" t="str">
        <f ca="1">IF(Proc[[#This Row],[DaysAgeing]]&gt;5,"yep","on track")</f>
        <v>yep</v>
      </c>
      <c r="Q4960" s="3">
        <f ca="1">IF(Proc[[#This Row],[DateClosed]]="",ABS(NETWORKDAYS(Proc[[#This Row],[DateOpened]],TODAY()))-1,ABS(NETWORKDAYS(Proc[[#This Row],[DateOpened]],Proc[[#This Row],[DateClosed]]))-1)</f>
        <v>10</v>
      </c>
      <c r="R4960" s="174" t="s">
        <v>5709</v>
      </c>
      <c r="S4960" s="150"/>
    </row>
    <row r="4961" spans="1:19" hidden="1">
      <c r="A4961" s="149" t="s">
        <v>7039</v>
      </c>
      <c r="B4961" s="150" t="str">
        <f>IFERROR(VLOOKUP(Proc[[#This Row],[App]],Table2[],3,0),"open")</f>
        <v>ok</v>
      </c>
      <c r="C4961" s="149" t="s">
        <v>369</v>
      </c>
      <c r="D4961" t="s">
        <v>7170</v>
      </c>
      <c r="E4961" s="149" t="s">
        <v>7239</v>
      </c>
      <c r="F4961" s="150" t="s">
        <v>7239</v>
      </c>
      <c r="G4961" s="149" t="s">
        <v>406</v>
      </c>
      <c r="H4961" s="150" t="str">
        <f>IF(Proc[[#This Row],[type]]="LFF (MDG-F)",MID(Proc[[#This Row],[Obj]],13,10),"")</f>
        <v>US01TQHZ01</v>
      </c>
      <c r="I4961" s="149" t="s">
        <v>7239</v>
      </c>
      <c r="J4961" s="150" t="b">
        <f>Proc[[#This Row],[Requested]]=Proc[[#This Row],[CurrentParent]]</f>
        <v>1</v>
      </c>
      <c r="K4961" s="150" t="str">
        <f>IF(Proc[[#This Row],[Author]]="Marcela Urrego",VLOOKUP(LEFT(Proc[[#This Row],[Requested]],1),Table3[#All],2,0),VLOOKUP(Proc[[#This Row],[Author]],Table4[],2,0))</f>
        <v>EL</v>
      </c>
      <c r="L4961" s="150" t="s">
        <v>6435</v>
      </c>
      <c r="M4961" s="173">
        <v>45989</v>
      </c>
      <c r="N4961" s="174"/>
      <c r="O4961" s="174"/>
      <c r="P4961" s="174" t="str">
        <f ca="1">IF(Proc[[#This Row],[DaysAgeing]]&gt;5,"yep","on track")</f>
        <v>yep</v>
      </c>
      <c r="Q4961" s="3">
        <f ca="1">IF(Proc[[#This Row],[DateClosed]]="",ABS(NETWORKDAYS(Proc[[#This Row],[DateOpened]],TODAY()))-1,ABS(NETWORKDAYS(Proc[[#This Row],[DateOpened]],Proc[[#This Row],[DateClosed]]))-1)</f>
        <v>10</v>
      </c>
      <c r="R4961" s="174" t="s">
        <v>5709</v>
      </c>
      <c r="S4961" s="150"/>
    </row>
    <row r="4962" spans="1:19" hidden="1">
      <c r="A4962" s="149" t="s">
        <v>7039</v>
      </c>
      <c r="B4962" s="150" t="str">
        <f>IFERROR(VLOOKUP(Proc[[#This Row],[App]],Table2[],3,0),"open")</f>
        <v>ok</v>
      </c>
      <c r="C4962" s="149" t="s">
        <v>369</v>
      </c>
      <c r="D4962" t="s">
        <v>7171</v>
      </c>
      <c r="E4962" s="149" t="s">
        <v>7239</v>
      </c>
      <c r="F4962" s="150" t="s">
        <v>7239</v>
      </c>
      <c r="G4962" s="149" t="s">
        <v>406</v>
      </c>
      <c r="H4962" s="150" t="str">
        <f>IF(Proc[[#This Row],[type]]="LFF (MDG-F)",MID(Proc[[#This Row],[Obj]],13,10),"")</f>
        <v>US01TQHZ03</v>
      </c>
      <c r="I4962" s="149" t="s">
        <v>7239</v>
      </c>
      <c r="J4962" s="150" t="b">
        <f>Proc[[#This Row],[Requested]]=Proc[[#This Row],[CurrentParent]]</f>
        <v>1</v>
      </c>
      <c r="K4962" s="150" t="str">
        <f>IF(Proc[[#This Row],[Author]]="Marcela Urrego",VLOOKUP(LEFT(Proc[[#This Row],[Requested]],1),Table3[#All],2,0),VLOOKUP(Proc[[#This Row],[Author]],Table4[],2,0))</f>
        <v>EL</v>
      </c>
      <c r="L4962" s="150" t="s">
        <v>6435</v>
      </c>
      <c r="M4962" s="173">
        <v>45989</v>
      </c>
      <c r="N4962" s="174"/>
      <c r="O4962" s="174"/>
      <c r="P4962" s="174" t="str">
        <f ca="1">IF(Proc[[#This Row],[DaysAgeing]]&gt;5,"yep","on track")</f>
        <v>yep</v>
      </c>
      <c r="Q4962" s="3">
        <f ca="1">IF(Proc[[#This Row],[DateClosed]]="",ABS(NETWORKDAYS(Proc[[#This Row],[DateOpened]],TODAY()))-1,ABS(NETWORKDAYS(Proc[[#This Row],[DateOpened]],Proc[[#This Row],[DateClosed]]))-1)</f>
        <v>10</v>
      </c>
      <c r="R4962" s="174" t="s">
        <v>5709</v>
      </c>
      <c r="S4962" s="150"/>
    </row>
    <row r="4963" spans="1:19" hidden="1">
      <c r="A4963" s="149" t="s">
        <v>7039</v>
      </c>
      <c r="B4963" s="150" t="str">
        <f>IFERROR(VLOOKUP(Proc[[#This Row],[App]],Table2[],3,0),"open")</f>
        <v>ok</v>
      </c>
      <c r="C4963" s="149" t="s">
        <v>369</v>
      </c>
      <c r="D4963" t="s">
        <v>7172</v>
      </c>
      <c r="E4963" s="149" t="s">
        <v>7239</v>
      </c>
      <c r="F4963" s="150" t="s">
        <v>7239</v>
      </c>
      <c r="G4963" s="149" t="s">
        <v>406</v>
      </c>
      <c r="H4963" s="150" t="str">
        <f>IF(Proc[[#This Row],[type]]="LFF (MDG-F)",MID(Proc[[#This Row],[Obj]],13,10),"")</f>
        <v>US10DB3000</v>
      </c>
      <c r="I4963" s="149" t="s">
        <v>7239</v>
      </c>
      <c r="J4963" s="150" t="b">
        <f>Proc[[#This Row],[Requested]]=Proc[[#This Row],[CurrentParent]]</f>
        <v>1</v>
      </c>
      <c r="K4963" s="150" t="str">
        <f>IF(Proc[[#This Row],[Author]]="Marcela Urrego",VLOOKUP(LEFT(Proc[[#This Row],[Requested]],1),Table3[#All],2,0),VLOOKUP(Proc[[#This Row],[Author]],Table4[],2,0))</f>
        <v>EL</v>
      </c>
      <c r="L4963" s="150" t="s">
        <v>6435</v>
      </c>
      <c r="M4963" s="173">
        <v>45989</v>
      </c>
      <c r="N4963" s="174"/>
      <c r="O4963" s="174"/>
      <c r="P4963" s="174" t="str">
        <f ca="1">IF(Proc[[#This Row],[DaysAgeing]]&gt;5,"yep","on track")</f>
        <v>yep</v>
      </c>
      <c r="Q4963" s="3">
        <f ca="1">IF(Proc[[#This Row],[DateClosed]]="",ABS(NETWORKDAYS(Proc[[#This Row],[DateOpened]],TODAY()))-1,ABS(NETWORKDAYS(Proc[[#This Row],[DateOpened]],Proc[[#This Row],[DateClosed]]))-1)</f>
        <v>10</v>
      </c>
      <c r="R4963" s="174" t="s">
        <v>5709</v>
      </c>
      <c r="S4963" s="150"/>
    </row>
    <row r="4964" spans="1:19" hidden="1">
      <c r="A4964" s="149" t="s">
        <v>7039</v>
      </c>
      <c r="B4964" s="150" t="str">
        <f>IFERROR(VLOOKUP(Proc[[#This Row],[App]],Table2[],3,0),"open")</f>
        <v>ok</v>
      </c>
      <c r="C4964" s="149" t="s">
        <v>369</v>
      </c>
      <c r="D4964" t="s">
        <v>7173</v>
      </c>
      <c r="E4964" s="149" t="s">
        <v>7239</v>
      </c>
      <c r="F4964" s="150" t="s">
        <v>7239</v>
      </c>
      <c r="G4964" s="149" t="s">
        <v>406</v>
      </c>
      <c r="H4964" s="150" t="str">
        <f>IF(Proc[[#This Row],[type]]="LFF (MDG-F)",MID(Proc[[#This Row],[Obj]],13,10),"")</f>
        <v>US10DB3012</v>
      </c>
      <c r="I4964" s="149" t="s">
        <v>7239</v>
      </c>
      <c r="J4964" s="150" t="b">
        <f>Proc[[#This Row],[Requested]]=Proc[[#This Row],[CurrentParent]]</f>
        <v>1</v>
      </c>
      <c r="K4964" s="150" t="str">
        <f>IF(Proc[[#This Row],[Author]]="Marcela Urrego",VLOOKUP(LEFT(Proc[[#This Row],[Requested]],1),Table3[#All],2,0),VLOOKUP(Proc[[#This Row],[Author]],Table4[],2,0))</f>
        <v>EL</v>
      </c>
      <c r="L4964" s="150" t="s">
        <v>6435</v>
      </c>
      <c r="M4964" s="173">
        <v>45989</v>
      </c>
      <c r="N4964" s="174"/>
      <c r="O4964" s="174"/>
      <c r="P4964" s="174" t="str">
        <f ca="1">IF(Proc[[#This Row],[DaysAgeing]]&gt;5,"yep","on track")</f>
        <v>yep</v>
      </c>
      <c r="Q4964" s="3">
        <f ca="1">IF(Proc[[#This Row],[DateClosed]]="",ABS(NETWORKDAYS(Proc[[#This Row],[DateOpened]],TODAY()))-1,ABS(NETWORKDAYS(Proc[[#This Row],[DateOpened]],Proc[[#This Row],[DateClosed]]))-1)</f>
        <v>10</v>
      </c>
      <c r="R4964" s="174" t="s">
        <v>5709</v>
      </c>
      <c r="S4964" s="150"/>
    </row>
    <row r="4965" spans="1:19" hidden="1">
      <c r="A4965" s="149" t="s">
        <v>7039</v>
      </c>
      <c r="B4965" s="150" t="str">
        <f>IFERROR(VLOOKUP(Proc[[#This Row],[App]],Table2[],3,0),"open")</f>
        <v>ok</v>
      </c>
      <c r="C4965" s="149" t="s">
        <v>369</v>
      </c>
      <c r="D4965" t="s">
        <v>7174</v>
      </c>
      <c r="E4965" s="149" t="s">
        <v>7239</v>
      </c>
      <c r="F4965" s="150" t="s">
        <v>7239</v>
      </c>
      <c r="G4965" s="149" t="s">
        <v>406</v>
      </c>
      <c r="H4965" s="150" t="str">
        <f>IF(Proc[[#This Row],[type]]="LFF (MDG-F)",MID(Proc[[#This Row],[Obj]],13,10),"")</f>
        <v>US10DB3013</v>
      </c>
      <c r="I4965" s="149" t="s">
        <v>7239</v>
      </c>
      <c r="J4965" s="150" t="b">
        <f>Proc[[#This Row],[Requested]]=Proc[[#This Row],[CurrentParent]]</f>
        <v>1</v>
      </c>
      <c r="K4965" s="150" t="str">
        <f>IF(Proc[[#This Row],[Author]]="Marcela Urrego",VLOOKUP(LEFT(Proc[[#This Row],[Requested]],1),Table3[#All],2,0),VLOOKUP(Proc[[#This Row],[Author]],Table4[],2,0))</f>
        <v>EL</v>
      </c>
      <c r="L4965" s="150" t="s">
        <v>6435</v>
      </c>
      <c r="M4965" s="173">
        <v>45989</v>
      </c>
      <c r="N4965" s="174"/>
      <c r="O4965" s="174"/>
      <c r="P4965" s="174" t="str">
        <f ca="1">IF(Proc[[#This Row],[DaysAgeing]]&gt;5,"yep","on track")</f>
        <v>yep</v>
      </c>
      <c r="Q4965" s="3">
        <f ca="1">IF(Proc[[#This Row],[DateClosed]]="",ABS(NETWORKDAYS(Proc[[#This Row],[DateOpened]],TODAY()))-1,ABS(NETWORKDAYS(Proc[[#This Row],[DateOpened]],Proc[[#This Row],[DateClosed]]))-1)</f>
        <v>10</v>
      </c>
      <c r="R4965" s="174" t="s">
        <v>5709</v>
      </c>
      <c r="S4965" s="150"/>
    </row>
    <row r="4966" spans="1:19" hidden="1">
      <c r="A4966" s="149" t="s">
        <v>7039</v>
      </c>
      <c r="B4966" s="150" t="str">
        <f>IFERROR(VLOOKUP(Proc[[#This Row],[App]],Table2[],3,0),"open")</f>
        <v>ok</v>
      </c>
      <c r="C4966" s="149" t="s">
        <v>369</v>
      </c>
      <c r="D4966" t="s">
        <v>7175</v>
      </c>
      <c r="E4966" s="149" t="s">
        <v>7239</v>
      </c>
      <c r="F4966" s="150" t="s">
        <v>7239</v>
      </c>
      <c r="G4966" s="149" t="s">
        <v>406</v>
      </c>
      <c r="H4966" s="150" t="str">
        <f>IF(Proc[[#This Row],[type]]="LFF (MDG-F)",MID(Proc[[#This Row],[Obj]],13,10),"")</f>
        <v>US10DB3016</v>
      </c>
      <c r="I4966" s="149" t="s">
        <v>7239</v>
      </c>
      <c r="J4966" s="150" t="b">
        <f>Proc[[#This Row],[Requested]]=Proc[[#This Row],[CurrentParent]]</f>
        <v>1</v>
      </c>
      <c r="K4966" s="150" t="str">
        <f>IF(Proc[[#This Row],[Author]]="Marcela Urrego",VLOOKUP(LEFT(Proc[[#This Row],[Requested]],1),Table3[#All],2,0),VLOOKUP(Proc[[#This Row],[Author]],Table4[],2,0))</f>
        <v>EL</v>
      </c>
      <c r="L4966" s="150" t="s">
        <v>6435</v>
      </c>
      <c r="M4966" s="173">
        <v>45989</v>
      </c>
      <c r="N4966" s="174"/>
      <c r="O4966" s="174"/>
      <c r="P4966" s="174" t="str">
        <f ca="1">IF(Proc[[#This Row],[DaysAgeing]]&gt;5,"yep","on track")</f>
        <v>yep</v>
      </c>
      <c r="Q4966" s="3">
        <f ca="1">IF(Proc[[#This Row],[DateClosed]]="",ABS(NETWORKDAYS(Proc[[#This Row],[DateOpened]],TODAY()))-1,ABS(NETWORKDAYS(Proc[[#This Row],[DateOpened]],Proc[[#This Row],[DateClosed]]))-1)</f>
        <v>10</v>
      </c>
      <c r="R4966" s="174" t="s">
        <v>5709</v>
      </c>
      <c r="S4966" s="150"/>
    </row>
    <row r="4967" spans="1:19" hidden="1">
      <c r="A4967" s="149" t="s">
        <v>7039</v>
      </c>
      <c r="B4967" s="150" t="str">
        <f>IFERROR(VLOOKUP(Proc[[#This Row],[App]],Table2[],3,0),"open")</f>
        <v>ok</v>
      </c>
      <c r="C4967" s="149" t="s">
        <v>369</v>
      </c>
      <c r="D4967" t="s">
        <v>7176</v>
      </c>
      <c r="E4967" s="149" t="s">
        <v>7239</v>
      </c>
      <c r="F4967" s="150" t="s">
        <v>7239</v>
      </c>
      <c r="G4967" s="149" t="s">
        <v>406</v>
      </c>
      <c r="H4967" s="150" t="str">
        <f>IF(Proc[[#This Row],[type]]="LFF (MDG-F)",MID(Proc[[#This Row],[Obj]],13,10),"")</f>
        <v>US10DB3017</v>
      </c>
      <c r="I4967" s="149" t="s">
        <v>7239</v>
      </c>
      <c r="J4967" s="150" t="b">
        <f>Proc[[#This Row],[Requested]]=Proc[[#This Row],[CurrentParent]]</f>
        <v>1</v>
      </c>
      <c r="K4967" s="150" t="str">
        <f>IF(Proc[[#This Row],[Author]]="Marcela Urrego",VLOOKUP(LEFT(Proc[[#This Row],[Requested]],1),Table3[#All],2,0),VLOOKUP(Proc[[#This Row],[Author]],Table4[],2,0))</f>
        <v>EL</v>
      </c>
      <c r="L4967" s="150" t="s">
        <v>6435</v>
      </c>
      <c r="M4967" s="173">
        <v>45989</v>
      </c>
      <c r="N4967" s="174"/>
      <c r="O4967" s="174"/>
      <c r="P4967" s="174" t="str">
        <f ca="1">IF(Proc[[#This Row],[DaysAgeing]]&gt;5,"yep","on track")</f>
        <v>yep</v>
      </c>
      <c r="Q4967" s="3">
        <f ca="1">IF(Proc[[#This Row],[DateClosed]]="",ABS(NETWORKDAYS(Proc[[#This Row],[DateOpened]],TODAY()))-1,ABS(NETWORKDAYS(Proc[[#This Row],[DateOpened]],Proc[[#This Row],[DateClosed]]))-1)</f>
        <v>10</v>
      </c>
      <c r="R4967" s="174" t="s">
        <v>5709</v>
      </c>
      <c r="S4967" s="150"/>
    </row>
    <row r="4968" spans="1:19" hidden="1">
      <c r="A4968" s="149" t="s">
        <v>7039</v>
      </c>
      <c r="B4968" s="150" t="str">
        <f>IFERROR(VLOOKUP(Proc[[#This Row],[App]],Table2[],3,0),"open")</f>
        <v>ok</v>
      </c>
      <c r="C4968" s="149" t="s">
        <v>369</v>
      </c>
      <c r="D4968" t="s">
        <v>7177</v>
      </c>
      <c r="E4968" s="149" t="s">
        <v>7239</v>
      </c>
      <c r="F4968" s="150" t="s">
        <v>7239</v>
      </c>
      <c r="G4968" s="149" t="s">
        <v>406</v>
      </c>
      <c r="H4968" s="150" t="str">
        <f>IF(Proc[[#This Row],[type]]="LFF (MDG-F)",MID(Proc[[#This Row],[Obj]],13,10),"")</f>
        <v>US01TM2001</v>
      </c>
      <c r="I4968" s="149" t="s">
        <v>7239</v>
      </c>
      <c r="J4968" s="150" t="b">
        <f>Proc[[#This Row],[Requested]]=Proc[[#This Row],[CurrentParent]]</f>
        <v>1</v>
      </c>
      <c r="K4968" s="150" t="str">
        <f>IF(Proc[[#This Row],[Author]]="Marcela Urrego",VLOOKUP(LEFT(Proc[[#This Row],[Requested]],1),Table3[#All],2,0),VLOOKUP(Proc[[#This Row],[Author]],Table4[],2,0))</f>
        <v>EL</v>
      </c>
      <c r="L4968" s="150" t="s">
        <v>6435</v>
      </c>
      <c r="M4968" s="173">
        <v>45989</v>
      </c>
      <c r="N4968" s="174"/>
      <c r="O4968" s="174"/>
      <c r="P4968" s="174" t="str">
        <f ca="1">IF(Proc[[#This Row],[DaysAgeing]]&gt;5,"yep","on track")</f>
        <v>yep</v>
      </c>
      <c r="Q4968" s="3">
        <f ca="1">IF(Proc[[#This Row],[DateClosed]]="",ABS(NETWORKDAYS(Proc[[#This Row],[DateOpened]],TODAY()))-1,ABS(NETWORKDAYS(Proc[[#This Row],[DateOpened]],Proc[[#This Row],[DateClosed]]))-1)</f>
        <v>10</v>
      </c>
      <c r="R4968" s="174" t="s">
        <v>5709</v>
      </c>
      <c r="S4968" s="150"/>
    </row>
    <row r="4969" spans="1:19" hidden="1">
      <c r="A4969" s="149" t="s">
        <v>7039</v>
      </c>
      <c r="B4969" s="150" t="str">
        <f>IFERROR(VLOOKUP(Proc[[#This Row],[App]],Table2[],3,0),"open")</f>
        <v>ok</v>
      </c>
      <c r="C4969" s="149" t="s">
        <v>369</v>
      </c>
      <c r="D4969" t="s">
        <v>7178</v>
      </c>
      <c r="E4969" s="149" t="s">
        <v>7239</v>
      </c>
      <c r="F4969" s="150" t="s">
        <v>7239</v>
      </c>
      <c r="G4969" s="149" t="s">
        <v>406</v>
      </c>
      <c r="H4969" s="150" t="str">
        <f>IF(Proc[[#This Row],[type]]="LFF (MDG-F)",MID(Proc[[#This Row],[Obj]],13,10),"")</f>
        <v>US10TM2010</v>
      </c>
      <c r="I4969" s="149" t="s">
        <v>7239</v>
      </c>
      <c r="J4969" s="150" t="b">
        <f>Proc[[#This Row],[Requested]]=Proc[[#This Row],[CurrentParent]]</f>
        <v>1</v>
      </c>
      <c r="K4969" s="150" t="str">
        <f>IF(Proc[[#This Row],[Author]]="Marcela Urrego",VLOOKUP(LEFT(Proc[[#This Row],[Requested]],1),Table3[#All],2,0),VLOOKUP(Proc[[#This Row],[Author]],Table4[],2,0))</f>
        <v>EL</v>
      </c>
      <c r="L4969" s="150" t="s">
        <v>6435</v>
      </c>
      <c r="M4969" s="173">
        <v>45989</v>
      </c>
      <c r="N4969" s="174"/>
      <c r="O4969" s="174"/>
      <c r="P4969" s="174" t="str">
        <f ca="1">IF(Proc[[#This Row],[DaysAgeing]]&gt;5,"yep","on track")</f>
        <v>yep</v>
      </c>
      <c r="Q4969" s="3">
        <f ca="1">IF(Proc[[#This Row],[DateClosed]]="",ABS(NETWORKDAYS(Proc[[#This Row],[DateOpened]],TODAY()))-1,ABS(NETWORKDAYS(Proc[[#This Row],[DateOpened]],Proc[[#This Row],[DateClosed]]))-1)</f>
        <v>10</v>
      </c>
      <c r="R4969" s="174" t="s">
        <v>5709</v>
      </c>
      <c r="S4969" s="150"/>
    </row>
    <row r="4970" spans="1:19" hidden="1">
      <c r="A4970" s="149" t="s">
        <v>7039</v>
      </c>
      <c r="B4970" s="150" t="str">
        <f>IFERROR(VLOOKUP(Proc[[#This Row],[App]],Table2[],3,0),"open")</f>
        <v>ok</v>
      </c>
      <c r="C4970" s="149" t="s">
        <v>369</v>
      </c>
      <c r="D4970" t="s">
        <v>7179</v>
      </c>
      <c r="E4970" s="149" t="s">
        <v>7240</v>
      </c>
      <c r="F4970" s="150" t="s">
        <v>7240</v>
      </c>
      <c r="G4970" s="149" t="s">
        <v>406</v>
      </c>
      <c r="H4970" s="150" t="str">
        <f>IF(Proc[[#This Row],[type]]="LFF (MDG-F)",MID(Proc[[#This Row],[Obj]],13,10),"")</f>
        <v>US01TPPZ04</v>
      </c>
      <c r="I4970" s="149" t="s">
        <v>7240</v>
      </c>
      <c r="J4970" s="150" t="b">
        <f>Proc[[#This Row],[Requested]]=Proc[[#This Row],[CurrentParent]]</f>
        <v>1</v>
      </c>
      <c r="K4970" s="150" t="str">
        <f>IF(Proc[[#This Row],[Author]]="Marcela Urrego",VLOOKUP(LEFT(Proc[[#This Row],[Requested]],1),Table3[#All],2,0),VLOOKUP(Proc[[#This Row],[Author]],Table4[],2,0))</f>
        <v>EL</v>
      </c>
      <c r="L4970" s="150" t="s">
        <v>6435</v>
      </c>
      <c r="M4970" s="173">
        <v>45989</v>
      </c>
      <c r="N4970" s="174"/>
      <c r="O4970" s="174"/>
      <c r="P4970" s="174" t="str">
        <f ca="1">IF(Proc[[#This Row],[DaysAgeing]]&gt;5,"yep","on track")</f>
        <v>yep</v>
      </c>
      <c r="Q4970" s="3">
        <f ca="1">IF(Proc[[#This Row],[DateClosed]]="",ABS(NETWORKDAYS(Proc[[#This Row],[DateOpened]],TODAY()))-1,ABS(NETWORKDAYS(Proc[[#This Row],[DateOpened]],Proc[[#This Row],[DateClosed]]))-1)</f>
        <v>10</v>
      </c>
      <c r="R4970" s="174" t="s">
        <v>5709</v>
      </c>
      <c r="S4970" s="150"/>
    </row>
    <row r="4971" spans="1:19" hidden="1">
      <c r="A4971" s="149" t="s">
        <v>7039</v>
      </c>
      <c r="B4971" s="150" t="str">
        <f>IFERROR(VLOOKUP(Proc[[#This Row],[App]],Table2[],3,0),"open")</f>
        <v>ok</v>
      </c>
      <c r="C4971" s="149" t="s">
        <v>369</v>
      </c>
      <c r="D4971" t="s">
        <v>7180</v>
      </c>
      <c r="E4971" s="149" t="s">
        <v>7240</v>
      </c>
      <c r="F4971" s="150" t="s">
        <v>7240</v>
      </c>
      <c r="G4971" s="149" t="s">
        <v>406</v>
      </c>
      <c r="H4971" s="150" t="str">
        <f>IF(Proc[[#This Row],[type]]="LFF (MDG-F)",MID(Proc[[#This Row],[Obj]],13,10),"")</f>
        <v>US10DB3003</v>
      </c>
      <c r="I4971" s="149" t="s">
        <v>7240</v>
      </c>
      <c r="J4971" s="150" t="b">
        <f>Proc[[#This Row],[Requested]]=Proc[[#This Row],[CurrentParent]]</f>
        <v>1</v>
      </c>
      <c r="K4971" s="150" t="str">
        <f>IF(Proc[[#This Row],[Author]]="Marcela Urrego",VLOOKUP(LEFT(Proc[[#This Row],[Requested]],1),Table3[#All],2,0),VLOOKUP(Proc[[#This Row],[Author]],Table4[],2,0))</f>
        <v>EL</v>
      </c>
      <c r="L4971" s="150" t="s">
        <v>6435</v>
      </c>
      <c r="M4971" s="173">
        <v>45989</v>
      </c>
      <c r="N4971" s="174"/>
      <c r="O4971" s="174"/>
      <c r="P4971" s="174" t="str">
        <f ca="1">IF(Proc[[#This Row],[DaysAgeing]]&gt;5,"yep","on track")</f>
        <v>yep</v>
      </c>
      <c r="Q4971" s="3">
        <f ca="1">IF(Proc[[#This Row],[DateClosed]]="",ABS(NETWORKDAYS(Proc[[#This Row],[DateOpened]],TODAY()))-1,ABS(NETWORKDAYS(Proc[[#This Row],[DateOpened]],Proc[[#This Row],[DateClosed]]))-1)</f>
        <v>10</v>
      </c>
      <c r="R4971" s="174" t="s">
        <v>5709</v>
      </c>
      <c r="S4971" s="150"/>
    </row>
    <row r="4972" spans="1:19" hidden="1">
      <c r="A4972" s="149" t="s">
        <v>7039</v>
      </c>
      <c r="B4972" s="150" t="str">
        <f>IFERROR(VLOOKUP(Proc[[#This Row],[App]],Table2[],3,0),"open")</f>
        <v>ok</v>
      </c>
      <c r="C4972" s="149" t="s">
        <v>369</v>
      </c>
      <c r="D4972" t="s">
        <v>7181</v>
      </c>
      <c r="E4972" s="149" t="s">
        <v>7240</v>
      </c>
      <c r="F4972" s="150" t="s">
        <v>7240</v>
      </c>
      <c r="G4972" s="149" t="s">
        <v>406</v>
      </c>
      <c r="H4972" s="150" t="str">
        <f>IF(Proc[[#This Row],[type]]="LFF (MDG-F)",MID(Proc[[#This Row],[Obj]],13,10),"")</f>
        <v>US10TM3001</v>
      </c>
      <c r="I4972" s="149" t="s">
        <v>7240</v>
      </c>
      <c r="J4972" s="150" t="b">
        <f>Proc[[#This Row],[Requested]]=Proc[[#This Row],[CurrentParent]]</f>
        <v>1</v>
      </c>
      <c r="K4972" s="150" t="str">
        <f>IF(Proc[[#This Row],[Author]]="Marcela Urrego",VLOOKUP(LEFT(Proc[[#This Row],[Requested]],1),Table3[#All],2,0),VLOOKUP(Proc[[#This Row],[Author]],Table4[],2,0))</f>
        <v>EL</v>
      </c>
      <c r="L4972" s="150" t="s">
        <v>6435</v>
      </c>
      <c r="M4972" s="173">
        <v>45989</v>
      </c>
      <c r="N4972" s="174"/>
      <c r="O4972" s="174"/>
      <c r="P4972" s="174" t="str">
        <f ca="1">IF(Proc[[#This Row],[DaysAgeing]]&gt;5,"yep","on track")</f>
        <v>yep</v>
      </c>
      <c r="Q4972" s="3">
        <f ca="1">IF(Proc[[#This Row],[DateClosed]]="",ABS(NETWORKDAYS(Proc[[#This Row],[DateOpened]],TODAY()))-1,ABS(NETWORKDAYS(Proc[[#This Row],[DateOpened]],Proc[[#This Row],[DateClosed]]))-1)</f>
        <v>10</v>
      </c>
      <c r="R4972" s="174" t="s">
        <v>5709</v>
      </c>
      <c r="S4972" s="150"/>
    </row>
    <row r="4973" spans="1:19" hidden="1">
      <c r="A4973" s="149" t="s">
        <v>7039</v>
      </c>
      <c r="B4973" s="150" t="str">
        <f>IFERROR(VLOOKUP(Proc[[#This Row],[App]],Table2[],3,0),"open")</f>
        <v>ok</v>
      </c>
      <c r="C4973" s="149" t="s">
        <v>369</v>
      </c>
      <c r="D4973" t="s">
        <v>7182</v>
      </c>
      <c r="E4973" s="149" t="s">
        <v>7240</v>
      </c>
      <c r="F4973" s="150" t="s">
        <v>7240</v>
      </c>
      <c r="G4973" s="149" t="s">
        <v>406</v>
      </c>
      <c r="H4973" s="150" t="str">
        <f>IF(Proc[[#This Row],[type]]="LFF (MDG-F)",MID(Proc[[#This Row],[Obj]],13,10),"")</f>
        <v>US10TM3002</v>
      </c>
      <c r="I4973" s="149" t="s">
        <v>7240</v>
      </c>
      <c r="J4973" s="150" t="b">
        <f>Proc[[#This Row],[Requested]]=Proc[[#This Row],[CurrentParent]]</f>
        <v>1</v>
      </c>
      <c r="K4973" s="150" t="str">
        <f>IF(Proc[[#This Row],[Author]]="Marcela Urrego",VLOOKUP(LEFT(Proc[[#This Row],[Requested]],1),Table3[#All],2,0),VLOOKUP(Proc[[#This Row],[Author]],Table4[],2,0))</f>
        <v>EL</v>
      </c>
      <c r="L4973" s="150" t="s">
        <v>6435</v>
      </c>
      <c r="M4973" s="173">
        <v>45989</v>
      </c>
      <c r="N4973" s="174"/>
      <c r="O4973" s="174"/>
      <c r="P4973" s="174" t="str">
        <f ca="1">IF(Proc[[#This Row],[DaysAgeing]]&gt;5,"yep","on track")</f>
        <v>yep</v>
      </c>
      <c r="Q4973" s="3">
        <f ca="1">IF(Proc[[#This Row],[DateClosed]]="",ABS(NETWORKDAYS(Proc[[#This Row],[DateOpened]],TODAY()))-1,ABS(NETWORKDAYS(Proc[[#This Row],[DateOpened]],Proc[[#This Row],[DateClosed]]))-1)</f>
        <v>10</v>
      </c>
      <c r="R4973" s="174" t="s">
        <v>5709</v>
      </c>
      <c r="S4973" s="150"/>
    </row>
    <row r="4974" spans="1:19" hidden="1">
      <c r="A4974" s="149" t="s">
        <v>7039</v>
      </c>
      <c r="B4974" s="150" t="str">
        <f>IFERROR(VLOOKUP(Proc[[#This Row],[App]],Table2[],3,0),"open")</f>
        <v>ok</v>
      </c>
      <c r="C4974" s="149" t="s">
        <v>369</v>
      </c>
      <c r="D4974" t="s">
        <v>7183</v>
      </c>
      <c r="E4974" s="149" t="s">
        <v>7241</v>
      </c>
      <c r="F4974" s="150" t="s">
        <v>7241</v>
      </c>
      <c r="G4974" s="149" t="s">
        <v>406</v>
      </c>
      <c r="H4974" s="150" t="str">
        <f>IF(Proc[[#This Row],[type]]="LFF (MDG-F)",MID(Proc[[#This Row],[Obj]],13,10),"")</f>
        <v>US10DB3014</v>
      </c>
      <c r="I4974" s="149" t="s">
        <v>7241</v>
      </c>
      <c r="J4974" s="150" t="b">
        <f>Proc[[#This Row],[Requested]]=Proc[[#This Row],[CurrentParent]]</f>
        <v>1</v>
      </c>
      <c r="K4974" s="150" t="str">
        <f>IF(Proc[[#This Row],[Author]]="Marcela Urrego",VLOOKUP(LEFT(Proc[[#This Row],[Requested]],1),Table3[#All],2,0),VLOOKUP(Proc[[#This Row],[Author]],Table4[],2,0))</f>
        <v>EL</v>
      </c>
      <c r="L4974" s="150" t="s">
        <v>6435</v>
      </c>
      <c r="M4974" s="173">
        <v>45989</v>
      </c>
      <c r="N4974" s="174"/>
      <c r="O4974" s="174"/>
      <c r="P4974" s="174" t="str">
        <f ca="1">IF(Proc[[#This Row],[DaysAgeing]]&gt;5,"yep","on track")</f>
        <v>yep</v>
      </c>
      <c r="Q4974" s="3">
        <f ca="1">IF(Proc[[#This Row],[DateClosed]]="",ABS(NETWORKDAYS(Proc[[#This Row],[DateOpened]],TODAY()))-1,ABS(NETWORKDAYS(Proc[[#This Row],[DateOpened]],Proc[[#This Row],[DateClosed]]))-1)</f>
        <v>10</v>
      </c>
      <c r="R4974" s="174" t="s">
        <v>5709</v>
      </c>
      <c r="S4974" s="150"/>
    </row>
    <row r="4975" spans="1:19" hidden="1">
      <c r="A4975" t="s">
        <v>7192</v>
      </c>
      <c r="B4975" s="150" t="str">
        <f>IFERROR(VLOOKUP(Proc[[#This Row],[App]],Table2[],3,0),"open")</f>
        <v>ok</v>
      </c>
      <c r="C4975" s="149" t="s">
        <v>369</v>
      </c>
      <c r="D4975" t="s">
        <v>7184</v>
      </c>
      <c r="E4975" t="s">
        <v>7189</v>
      </c>
      <c r="F4975" s="150" t="s">
        <v>7189</v>
      </c>
      <c r="G4975" s="149" t="s">
        <v>406</v>
      </c>
      <c r="H4975" s="150" t="str">
        <f>IF(Proc[[#This Row],[type]]="LFF (MDG-F)",MID(Proc[[#This Row],[Obj]],13,10),"")</f>
        <v>DE10B08450</v>
      </c>
      <c r="J4975" s="150" t="b">
        <f>Proc[[#This Row],[Requested]]=Proc[[#This Row],[CurrentParent]]</f>
        <v>1</v>
      </c>
      <c r="K4975" s="150" t="str">
        <f>IF(Proc[[#This Row],[Author]]="Marcela Urrego",VLOOKUP(LEFT(Proc[[#This Row],[Requested]],1),Table3[#All],2,0),VLOOKUP(Proc[[#This Row],[Author]],Table4[],2,0))</f>
        <v>???</v>
      </c>
      <c r="L4975" s="150" t="s">
        <v>6435</v>
      </c>
      <c r="M4975" s="173">
        <v>45992</v>
      </c>
      <c r="N4975" s="174"/>
      <c r="O4975" s="174"/>
      <c r="P4975" s="174" t="str">
        <f ca="1">IF(Proc[[#This Row],[DaysAgeing]]&gt;5,"yep","on track")</f>
        <v>yep</v>
      </c>
      <c r="Q4975" s="3">
        <f ca="1">IF(Proc[[#This Row],[DateClosed]]="",ABS(NETWORKDAYS(Proc[[#This Row],[DateOpened]],TODAY()))-1,ABS(NETWORKDAYS(Proc[[#This Row],[DateOpened]],Proc[[#This Row],[DateClosed]]))-1)</f>
        <v>9</v>
      </c>
      <c r="R4975" s="174" t="s">
        <v>7193</v>
      </c>
      <c r="S4975" s="150"/>
    </row>
    <row r="4976" spans="1:19" hidden="1">
      <c r="A4976" t="s">
        <v>7192</v>
      </c>
      <c r="B4976" s="150" t="str">
        <f>IFERROR(VLOOKUP(Proc[[#This Row],[App]],Table2[],3,0),"open")</f>
        <v>ok</v>
      </c>
      <c r="C4976" s="149" t="s">
        <v>369</v>
      </c>
      <c r="D4976" t="s">
        <v>7185</v>
      </c>
      <c r="E4976" t="s">
        <v>7190</v>
      </c>
      <c r="F4976" s="150" t="s">
        <v>7190</v>
      </c>
      <c r="G4976" s="149" t="s">
        <v>406</v>
      </c>
      <c r="H4976" s="150" t="str">
        <f>IF(Proc[[#This Row],[type]]="LFF (MDG-F)",MID(Proc[[#This Row],[Obj]],13,10),"")</f>
        <v>DE10A48610</v>
      </c>
      <c r="J4976" s="150" t="b">
        <f>Proc[[#This Row],[Requested]]=Proc[[#This Row],[CurrentParent]]</f>
        <v>1</v>
      </c>
      <c r="K4976" s="150" t="str">
        <f>IF(Proc[[#This Row],[Author]]="Marcela Urrego",VLOOKUP(LEFT(Proc[[#This Row],[Requested]],1),Table3[#All],2,0),VLOOKUP(Proc[[#This Row],[Author]],Table4[],2,0))</f>
        <v>???</v>
      </c>
      <c r="L4976" s="150" t="s">
        <v>6435</v>
      </c>
      <c r="M4976" s="173">
        <v>45992</v>
      </c>
      <c r="N4976" s="174"/>
      <c r="O4976" s="174"/>
      <c r="P4976" s="174" t="str">
        <f ca="1">IF(Proc[[#This Row],[DaysAgeing]]&gt;5,"yep","on track")</f>
        <v>yep</v>
      </c>
      <c r="Q4976" s="3">
        <f ca="1">IF(Proc[[#This Row],[DateClosed]]="",ABS(NETWORKDAYS(Proc[[#This Row],[DateOpened]],TODAY()))-1,ABS(NETWORKDAYS(Proc[[#This Row],[DateOpened]],Proc[[#This Row],[DateClosed]]))-1)</f>
        <v>9</v>
      </c>
      <c r="R4976" s="174" t="s">
        <v>7193</v>
      </c>
      <c r="S4976" s="150"/>
    </row>
    <row r="4977" spans="1:19" hidden="1">
      <c r="A4977" s="149" t="s">
        <v>7192</v>
      </c>
      <c r="B4977" s="150" t="str">
        <f>IFERROR(VLOOKUP(Proc[[#This Row],[App]],Table2[],3,0),"open")</f>
        <v>ok</v>
      </c>
      <c r="C4977" s="149" t="s">
        <v>369</v>
      </c>
      <c r="D4977" t="s">
        <v>7186</v>
      </c>
      <c r="E4977" t="s">
        <v>7190</v>
      </c>
      <c r="F4977" s="150" t="s">
        <v>7190</v>
      </c>
      <c r="G4977" s="149" t="s">
        <v>406</v>
      </c>
      <c r="H4977" s="150" t="str">
        <f>IF(Proc[[#This Row],[type]]="LFF (MDG-F)",MID(Proc[[#This Row],[Obj]],13,10),"")</f>
        <v>DE10A48607</v>
      </c>
      <c r="J4977" s="150" t="b">
        <f>Proc[[#This Row],[Requested]]=Proc[[#This Row],[CurrentParent]]</f>
        <v>1</v>
      </c>
      <c r="K4977" s="150" t="str">
        <f>IF(Proc[[#This Row],[Author]]="Marcela Urrego",VLOOKUP(LEFT(Proc[[#This Row],[Requested]],1),Table3[#All],2,0),VLOOKUP(Proc[[#This Row],[Author]],Table4[],2,0))</f>
        <v>???</v>
      </c>
      <c r="L4977" s="150" t="s">
        <v>6435</v>
      </c>
      <c r="M4977" s="173">
        <v>45992</v>
      </c>
      <c r="N4977" s="174"/>
      <c r="O4977" s="174"/>
      <c r="P4977" s="174" t="str">
        <f ca="1">IF(Proc[[#This Row],[DaysAgeing]]&gt;5,"yep","on track")</f>
        <v>yep</v>
      </c>
      <c r="Q4977" s="3">
        <f ca="1">IF(Proc[[#This Row],[DateClosed]]="",ABS(NETWORKDAYS(Proc[[#This Row],[DateOpened]],TODAY()))-1,ABS(NETWORKDAYS(Proc[[#This Row],[DateOpened]],Proc[[#This Row],[DateClosed]]))-1)</f>
        <v>9</v>
      </c>
      <c r="R4977" s="174" t="s">
        <v>7193</v>
      </c>
      <c r="S4977" s="150"/>
    </row>
    <row r="4978" spans="1:19" hidden="1">
      <c r="A4978" s="149" t="s">
        <v>7192</v>
      </c>
      <c r="B4978" s="150" t="str">
        <f>IFERROR(VLOOKUP(Proc[[#This Row],[App]],Table2[],3,0),"open")</f>
        <v>ok</v>
      </c>
      <c r="C4978" s="149" t="s">
        <v>369</v>
      </c>
      <c r="D4978" t="s">
        <v>7187</v>
      </c>
      <c r="E4978" t="s">
        <v>4114</v>
      </c>
      <c r="F4978" s="150" t="s">
        <v>4114</v>
      </c>
      <c r="G4978" s="149" t="s">
        <v>406</v>
      </c>
      <c r="H4978" s="150" t="str">
        <f>IF(Proc[[#This Row],[type]]="LFF (MDG-F)",MID(Proc[[#This Row],[Obj]],13,10),"")</f>
        <v>DE10538392</v>
      </c>
      <c r="J4978" s="150" t="b">
        <f>Proc[[#This Row],[Requested]]=Proc[[#This Row],[CurrentParent]]</f>
        <v>1</v>
      </c>
      <c r="K4978" s="150" t="str">
        <f>IF(Proc[[#This Row],[Author]]="Marcela Urrego",VLOOKUP(LEFT(Proc[[#This Row],[Requested]],1),Table3[#All],2,0),VLOOKUP(Proc[[#This Row],[Author]],Table4[],2,0))</f>
        <v>???</v>
      </c>
      <c r="L4978" s="150" t="s">
        <v>6435</v>
      </c>
      <c r="M4978" s="173">
        <v>45992</v>
      </c>
      <c r="N4978" s="174"/>
      <c r="O4978" s="174"/>
      <c r="P4978" s="174" t="str">
        <f ca="1">IF(Proc[[#This Row],[DaysAgeing]]&gt;5,"yep","on track")</f>
        <v>yep</v>
      </c>
      <c r="Q4978" s="3">
        <f ca="1">IF(Proc[[#This Row],[DateClosed]]="",ABS(NETWORKDAYS(Proc[[#This Row],[DateOpened]],TODAY()))-1,ABS(NETWORKDAYS(Proc[[#This Row],[DateOpened]],Proc[[#This Row],[DateClosed]]))-1)</f>
        <v>9</v>
      </c>
      <c r="R4978" s="174" t="s">
        <v>7193</v>
      </c>
      <c r="S4978" s="150"/>
    </row>
    <row r="4979" spans="1:19" hidden="1">
      <c r="A4979" s="149" t="s">
        <v>7192</v>
      </c>
      <c r="B4979" s="150" t="str">
        <f>IFERROR(VLOOKUP(Proc[[#This Row],[App]],Table2[],3,0),"open")</f>
        <v>ok</v>
      </c>
      <c r="C4979" s="149" t="s">
        <v>369</v>
      </c>
      <c r="D4979" t="s">
        <v>7188</v>
      </c>
      <c r="E4979" t="s">
        <v>7191</v>
      </c>
      <c r="F4979" s="150" t="s">
        <v>7191</v>
      </c>
      <c r="G4979" s="149" t="s">
        <v>406</v>
      </c>
      <c r="H4979" s="150" t="str">
        <f>IF(Proc[[#This Row],[type]]="LFF (MDG-F)",MID(Proc[[#This Row],[Obj]],13,10),"")</f>
        <v>DE20700060</v>
      </c>
      <c r="J4979" s="150" t="b">
        <f>Proc[[#This Row],[Requested]]=Proc[[#This Row],[CurrentParent]]</f>
        <v>1</v>
      </c>
      <c r="K4979" s="150" t="str">
        <f>IF(Proc[[#This Row],[Author]]="Marcela Urrego",VLOOKUP(LEFT(Proc[[#This Row],[Requested]],1),Table3[#All],2,0),VLOOKUP(Proc[[#This Row],[Author]],Table4[],2,0))</f>
        <v>???</v>
      </c>
      <c r="L4979" s="150" t="s">
        <v>6435</v>
      </c>
      <c r="M4979" s="173">
        <v>45992</v>
      </c>
      <c r="N4979" s="174"/>
      <c r="O4979" s="174"/>
      <c r="P4979" s="174" t="str">
        <f ca="1">IF(Proc[[#This Row],[DaysAgeing]]&gt;5,"yep","on track")</f>
        <v>yep</v>
      </c>
      <c r="Q4979" s="3">
        <f ca="1">IF(Proc[[#This Row],[DateClosed]]="",ABS(NETWORKDAYS(Proc[[#This Row],[DateOpened]],TODAY()))-1,ABS(NETWORKDAYS(Proc[[#This Row],[DateOpened]],Proc[[#This Row],[DateClosed]]))-1)</f>
        <v>9</v>
      </c>
      <c r="R4979" s="174" t="s">
        <v>7193</v>
      </c>
      <c r="S4979" s="150"/>
    </row>
    <row r="4980" spans="1:19" hidden="1">
      <c r="A4980" t="s">
        <v>7195</v>
      </c>
      <c r="B4980" s="150" t="str">
        <f>IFERROR(VLOOKUP(Proc[[#This Row],[App]],Table2[],3,0),"open")</f>
        <v>ok</v>
      </c>
      <c r="C4980" s="149" t="s">
        <v>369</v>
      </c>
      <c r="D4980" t="s">
        <v>7196</v>
      </c>
      <c r="E4980" s="149" t="s">
        <v>7242</v>
      </c>
      <c r="F4980" s="150" t="s">
        <v>7242</v>
      </c>
      <c r="G4980" t="s">
        <v>400</v>
      </c>
      <c r="H4980" s="150" t="str">
        <f>IF(Proc[[#This Row],[type]]="LFF (MDG-F)",MID(Proc[[#This Row],[Obj]],13,10),"")</f>
        <v/>
      </c>
      <c r="I4980" s="149" t="s">
        <v>7242</v>
      </c>
      <c r="J4980" s="150" t="b">
        <f>Proc[[#This Row],[Requested]]=Proc[[#This Row],[CurrentParent]]</f>
        <v>1</v>
      </c>
      <c r="K4980" s="150" t="str">
        <f>IF(Proc[[#This Row],[Author]]="Marcela Urrego",VLOOKUP(LEFT(Proc[[#This Row],[Requested]],1),Table3[#All],2,0),VLOOKUP(Proc[[#This Row],[Author]],Table4[],2,0))</f>
        <v>HC</v>
      </c>
      <c r="L4980" s="150" t="s">
        <v>6435</v>
      </c>
      <c r="M4980" s="173">
        <v>45992</v>
      </c>
      <c r="N4980" s="174"/>
      <c r="O4980" s="174"/>
      <c r="P4980" s="174" t="str">
        <f ca="1">IF(Proc[[#This Row],[DaysAgeing]]&gt;5,"yep","on track")</f>
        <v>yep</v>
      </c>
      <c r="Q4980" s="3">
        <f ca="1">IF(Proc[[#This Row],[DateClosed]]="",ABS(NETWORKDAYS(Proc[[#This Row],[DateOpened]],TODAY()))-1,ABS(NETWORKDAYS(Proc[[#This Row],[DateOpened]],Proc[[#This Row],[DateClosed]]))-1)</f>
        <v>9</v>
      </c>
      <c r="R4980" s="174" t="s">
        <v>1013</v>
      </c>
      <c r="S4980" s="150"/>
    </row>
    <row r="4981" spans="1:19" hidden="1">
      <c r="A4981" t="s">
        <v>7195</v>
      </c>
      <c r="B4981" s="150" t="str">
        <f>IFERROR(VLOOKUP(Proc[[#This Row],[App]],Table2[],3,0),"open")</f>
        <v>ok</v>
      </c>
      <c r="C4981" s="149" t="s">
        <v>369</v>
      </c>
      <c r="D4981" t="s">
        <v>7197</v>
      </c>
      <c r="E4981" s="149" t="s">
        <v>7243</v>
      </c>
      <c r="F4981" s="150" t="s">
        <v>7243</v>
      </c>
      <c r="G4981" t="s">
        <v>400</v>
      </c>
      <c r="H4981" s="150" t="str">
        <f>IF(Proc[[#This Row],[type]]="LFF (MDG-F)",MID(Proc[[#This Row],[Obj]],13,10),"")</f>
        <v/>
      </c>
      <c r="I4981" s="149" t="s">
        <v>7243</v>
      </c>
      <c r="J4981" s="150" t="b">
        <f>Proc[[#This Row],[Requested]]=Proc[[#This Row],[CurrentParent]]</f>
        <v>1</v>
      </c>
      <c r="K4981" s="150" t="str">
        <f>IF(Proc[[#This Row],[Author]]="Marcela Urrego",VLOOKUP(LEFT(Proc[[#This Row],[Requested]],1),Table3[#All],2,0),VLOOKUP(Proc[[#This Row],[Author]],Table4[],2,0))</f>
        <v>HC</v>
      </c>
      <c r="L4981" s="150" t="s">
        <v>6435</v>
      </c>
      <c r="M4981" s="173">
        <v>45992</v>
      </c>
      <c r="N4981" s="174"/>
      <c r="O4981" s="174"/>
      <c r="P4981" s="174" t="str">
        <f ca="1">IF(Proc[[#This Row],[DaysAgeing]]&gt;5,"yep","on track")</f>
        <v>yep</v>
      </c>
      <c r="Q4981" s="3">
        <f ca="1">IF(Proc[[#This Row],[DateClosed]]="",ABS(NETWORKDAYS(Proc[[#This Row],[DateOpened]],TODAY()))-1,ABS(NETWORKDAYS(Proc[[#This Row],[DateOpened]],Proc[[#This Row],[DateClosed]]))-1)</f>
        <v>9</v>
      </c>
      <c r="R4981" s="174" t="s">
        <v>1013</v>
      </c>
      <c r="S4981" s="150"/>
    </row>
    <row r="4982" spans="1:19" hidden="1">
      <c r="A4982" s="149" t="s">
        <v>7195</v>
      </c>
      <c r="B4982" s="150" t="str">
        <f>IFERROR(VLOOKUP(Proc[[#This Row],[App]],Table2[],3,0),"open")</f>
        <v>ok</v>
      </c>
      <c r="C4982" s="149" t="s">
        <v>369</v>
      </c>
      <c r="D4982" t="s">
        <v>7198</v>
      </c>
      <c r="E4982" t="s">
        <v>3004</v>
      </c>
      <c r="F4982" s="150" t="s">
        <v>3004</v>
      </c>
      <c r="G4982" s="149" t="s">
        <v>400</v>
      </c>
      <c r="H4982" s="150" t="str">
        <f>IF(Proc[[#This Row],[type]]="LFF (MDG-F)",MID(Proc[[#This Row],[Obj]],13,10),"")</f>
        <v/>
      </c>
      <c r="J4982" s="150" t="b">
        <f>Proc[[#This Row],[Requested]]=Proc[[#This Row],[CurrentParent]]</f>
        <v>1</v>
      </c>
      <c r="K4982" s="150" t="str">
        <f>IF(Proc[[#This Row],[Author]]="Marcela Urrego",VLOOKUP(LEFT(Proc[[#This Row],[Requested]],1),Table3[#All],2,0),VLOOKUP(Proc[[#This Row],[Author]],Table4[],2,0))</f>
        <v>HC</v>
      </c>
      <c r="L4982" s="150" t="s">
        <v>6435</v>
      </c>
      <c r="M4982" s="173">
        <v>45992</v>
      </c>
      <c r="N4982" s="174"/>
      <c r="O4982" s="174"/>
      <c r="P4982" s="174" t="str">
        <f ca="1">IF(Proc[[#This Row],[DaysAgeing]]&gt;5,"yep","on track")</f>
        <v>yep</v>
      </c>
      <c r="Q4982" s="3">
        <f ca="1">IF(Proc[[#This Row],[DateClosed]]="",ABS(NETWORKDAYS(Proc[[#This Row],[DateOpened]],TODAY()))-1,ABS(NETWORKDAYS(Proc[[#This Row],[DateOpened]],Proc[[#This Row],[DateClosed]]))-1)</f>
        <v>9</v>
      </c>
      <c r="R4982" s="174" t="s">
        <v>1013</v>
      </c>
      <c r="S4982" s="150"/>
    </row>
    <row r="4983" spans="1:19" hidden="1">
      <c r="A4983" s="149" t="s">
        <v>7195</v>
      </c>
      <c r="B4983" s="150" t="str">
        <f>IFERROR(VLOOKUP(Proc[[#This Row],[App]],Table2[],3,0),"open")</f>
        <v>ok</v>
      </c>
      <c r="C4983" s="149" t="s">
        <v>369</v>
      </c>
      <c r="D4983" t="s">
        <v>7245</v>
      </c>
      <c r="E4983" s="149" t="s">
        <v>7217</v>
      </c>
      <c r="F4983" s="149" t="s">
        <v>7217</v>
      </c>
      <c r="G4983" s="149" t="s">
        <v>400</v>
      </c>
      <c r="H4983" s="150" t="str">
        <f>IF(Proc[[#This Row],[type]]="LFF (MDG-F)",MID(Proc[[#This Row],[Obj]],13,10),"")</f>
        <v/>
      </c>
      <c r="I4983" s="149" t="s">
        <v>7217</v>
      </c>
      <c r="J4983" s="150" t="b">
        <f>Proc[[#This Row],[Requested]]=Proc[[#This Row],[CurrentParent]]</f>
        <v>1</v>
      </c>
      <c r="K4983" s="150" t="str">
        <f>IF(Proc[[#This Row],[Author]]="Marcela Urrego",VLOOKUP(LEFT(Proc[[#This Row],[Requested]],1),Table3[#All],2,0),VLOOKUP(Proc[[#This Row],[Author]],Table4[],2,0))</f>
        <v>HC</v>
      </c>
      <c r="L4983" s="150" t="s">
        <v>6435</v>
      </c>
      <c r="M4983" s="173">
        <v>45992</v>
      </c>
      <c r="N4983" s="174"/>
      <c r="O4983" s="174"/>
      <c r="P4983" s="174" t="str">
        <f ca="1">IF(Proc[[#This Row],[DaysAgeing]]&gt;5,"yep","on track")</f>
        <v>yep</v>
      </c>
      <c r="Q4983" s="3">
        <f ca="1">IF(Proc[[#This Row],[DateClosed]]="",ABS(NETWORKDAYS(Proc[[#This Row],[DateOpened]],TODAY()))-1,ABS(NETWORKDAYS(Proc[[#This Row],[DateOpened]],Proc[[#This Row],[DateClosed]]))-1)</f>
        <v>9</v>
      </c>
      <c r="R4983" s="174" t="s">
        <v>1013</v>
      </c>
      <c r="S4983" s="150"/>
    </row>
    <row r="4984" spans="1:19" hidden="1">
      <c r="A4984" s="149" t="s">
        <v>7195</v>
      </c>
      <c r="B4984" s="150" t="str">
        <f>IFERROR(VLOOKUP(Proc[[#This Row],[App]],Table2[],3,0),"open")</f>
        <v>ok</v>
      </c>
      <c r="C4984" s="149" t="s">
        <v>369</v>
      </c>
      <c r="D4984" t="s">
        <v>7244</v>
      </c>
      <c r="E4984" s="149" t="s">
        <v>7218</v>
      </c>
      <c r="F4984" s="149" t="s">
        <v>7218</v>
      </c>
      <c r="G4984" s="149" t="s">
        <v>400</v>
      </c>
      <c r="H4984" s="150" t="str">
        <f>IF(Proc[[#This Row],[type]]="LFF (MDG-F)",MID(Proc[[#This Row],[Obj]],13,10),"")</f>
        <v/>
      </c>
      <c r="I4984" s="149" t="s">
        <v>7218</v>
      </c>
      <c r="J4984" s="150" t="b">
        <f>Proc[[#This Row],[Requested]]=Proc[[#This Row],[CurrentParent]]</f>
        <v>1</v>
      </c>
      <c r="K4984" s="150" t="str">
        <f>IF(Proc[[#This Row],[Author]]="Marcela Urrego",VLOOKUP(LEFT(Proc[[#This Row],[Requested]],1),Table3[#All],2,0),VLOOKUP(Proc[[#This Row],[Author]],Table4[],2,0))</f>
        <v>HC</v>
      </c>
      <c r="L4984" s="150" t="s">
        <v>6435</v>
      </c>
      <c r="M4984" s="173">
        <v>45992</v>
      </c>
      <c r="N4984" s="174"/>
      <c r="O4984" s="174"/>
      <c r="P4984" s="174" t="str">
        <f ca="1">IF(Proc[[#This Row],[DaysAgeing]]&gt;5,"yep","on track")</f>
        <v>yep</v>
      </c>
      <c r="Q4984" s="3">
        <f ca="1">IF(Proc[[#This Row],[DateClosed]]="",ABS(NETWORKDAYS(Proc[[#This Row],[DateOpened]],TODAY()))-1,ABS(NETWORKDAYS(Proc[[#This Row],[DateOpened]],Proc[[#This Row],[DateClosed]]))-1)</f>
        <v>9</v>
      </c>
      <c r="R4984" s="174" t="s">
        <v>1013</v>
      </c>
      <c r="S4984" s="150"/>
    </row>
    <row r="4985" spans="1:19" hidden="1">
      <c r="A4985" s="149" t="s">
        <v>7195</v>
      </c>
      <c r="B4985" s="150" t="str">
        <f>IFERROR(VLOOKUP(Proc[[#This Row],[App]],Table2[],3,0),"open")</f>
        <v>ok</v>
      </c>
      <c r="C4985" s="149" t="s">
        <v>369</v>
      </c>
      <c r="D4985" t="s">
        <v>7199</v>
      </c>
      <c r="E4985" t="s">
        <v>7219</v>
      </c>
      <c r="F4985" s="150" t="s">
        <v>7219</v>
      </c>
      <c r="G4985" s="149" t="s">
        <v>400</v>
      </c>
      <c r="H4985" s="150" t="str">
        <f>IF(Proc[[#This Row],[type]]="LFF (MDG-F)",MID(Proc[[#This Row],[Obj]],13,10),"")</f>
        <v/>
      </c>
      <c r="J4985" s="150" t="b">
        <f>Proc[[#This Row],[Requested]]=Proc[[#This Row],[CurrentParent]]</f>
        <v>1</v>
      </c>
      <c r="K4985" s="150" t="str">
        <f>IF(Proc[[#This Row],[Author]]="Marcela Urrego",VLOOKUP(LEFT(Proc[[#This Row],[Requested]],1),Table3[#All],2,0),VLOOKUP(Proc[[#This Row],[Author]],Table4[],2,0))</f>
        <v>HC</v>
      </c>
      <c r="L4985" s="150" t="s">
        <v>6435</v>
      </c>
      <c r="M4985" s="173">
        <v>45992</v>
      </c>
      <c r="N4985" s="174"/>
      <c r="O4985" s="174"/>
      <c r="P4985" s="174" t="str">
        <f ca="1">IF(Proc[[#This Row],[DaysAgeing]]&gt;5,"yep","on track")</f>
        <v>yep</v>
      </c>
      <c r="Q4985" s="3">
        <f ca="1">IF(Proc[[#This Row],[DateClosed]]="",ABS(NETWORKDAYS(Proc[[#This Row],[DateOpened]],TODAY()))-1,ABS(NETWORKDAYS(Proc[[#This Row],[DateOpened]],Proc[[#This Row],[DateClosed]]))-1)</f>
        <v>9</v>
      </c>
      <c r="R4985" s="174" t="s">
        <v>1013</v>
      </c>
      <c r="S4985" s="150"/>
    </row>
    <row r="4986" spans="1:19" hidden="1">
      <c r="A4986" s="149" t="s">
        <v>7195</v>
      </c>
      <c r="B4986" s="150" t="str">
        <f>IFERROR(VLOOKUP(Proc[[#This Row],[App]],Table2[],3,0),"open")</f>
        <v>ok</v>
      </c>
      <c r="C4986" s="149" t="s">
        <v>369</v>
      </c>
      <c r="D4986" t="s">
        <v>7200</v>
      </c>
      <c r="E4986" t="s">
        <v>7220</v>
      </c>
      <c r="F4986" s="150" t="s">
        <v>7220</v>
      </c>
      <c r="G4986" s="149" t="s">
        <v>400</v>
      </c>
      <c r="H4986" s="150" t="str">
        <f>IF(Proc[[#This Row],[type]]="LFF (MDG-F)",MID(Proc[[#This Row],[Obj]],13,10),"")</f>
        <v/>
      </c>
      <c r="J4986" s="150" t="b">
        <f>Proc[[#This Row],[Requested]]=Proc[[#This Row],[CurrentParent]]</f>
        <v>1</v>
      </c>
      <c r="K4986" s="150" t="str">
        <f>IF(Proc[[#This Row],[Author]]="Marcela Urrego",VLOOKUP(LEFT(Proc[[#This Row],[Requested]],1),Table3[#All],2,0),VLOOKUP(Proc[[#This Row],[Author]],Table4[],2,0))</f>
        <v>HC</v>
      </c>
      <c r="L4986" s="150" t="s">
        <v>6435</v>
      </c>
      <c r="M4986" s="173">
        <v>45992</v>
      </c>
      <c r="N4986" s="174"/>
      <c r="O4986" s="174"/>
      <c r="P4986" s="174" t="str">
        <f ca="1">IF(Proc[[#This Row],[DaysAgeing]]&gt;5,"yep","on track")</f>
        <v>yep</v>
      </c>
      <c r="Q4986" s="3">
        <f ca="1">IF(Proc[[#This Row],[DateClosed]]="",ABS(NETWORKDAYS(Proc[[#This Row],[DateOpened]],TODAY()))-1,ABS(NETWORKDAYS(Proc[[#This Row],[DateOpened]],Proc[[#This Row],[DateClosed]]))-1)</f>
        <v>9</v>
      </c>
      <c r="R4986" s="174" t="s">
        <v>1013</v>
      </c>
      <c r="S4986" s="150"/>
    </row>
    <row r="4987" spans="1:19" hidden="1">
      <c r="A4987" s="149" t="s">
        <v>7195</v>
      </c>
      <c r="B4987" s="150" t="str">
        <f>IFERROR(VLOOKUP(Proc[[#This Row],[App]],Table2[],3,0),"open")</f>
        <v>ok</v>
      </c>
      <c r="C4987" s="149" t="s">
        <v>369</v>
      </c>
      <c r="D4987" t="s">
        <v>7201</v>
      </c>
      <c r="E4987" t="s">
        <v>4068</v>
      </c>
      <c r="F4987" s="150" t="s">
        <v>4068</v>
      </c>
      <c r="G4987" s="149" t="s">
        <v>400</v>
      </c>
      <c r="H4987" s="150" t="str">
        <f>IF(Proc[[#This Row],[type]]="LFF (MDG-F)",MID(Proc[[#This Row],[Obj]],13,10),"")</f>
        <v/>
      </c>
      <c r="J4987" s="150" t="b">
        <f>Proc[[#This Row],[Requested]]=Proc[[#This Row],[CurrentParent]]</f>
        <v>1</v>
      </c>
      <c r="K4987" s="150" t="str">
        <f>IF(Proc[[#This Row],[Author]]="Marcela Urrego",VLOOKUP(LEFT(Proc[[#This Row],[Requested]],1),Table3[#All],2,0),VLOOKUP(Proc[[#This Row],[Author]],Table4[],2,0))</f>
        <v>HC</v>
      </c>
      <c r="L4987" s="150" t="s">
        <v>6435</v>
      </c>
      <c r="M4987" s="173">
        <v>45992</v>
      </c>
      <c r="N4987" s="174"/>
      <c r="O4987" s="174"/>
      <c r="P4987" s="174" t="str">
        <f ca="1">IF(Proc[[#This Row],[DaysAgeing]]&gt;5,"yep","on track")</f>
        <v>yep</v>
      </c>
      <c r="Q4987" s="3">
        <f ca="1">IF(Proc[[#This Row],[DateClosed]]="",ABS(NETWORKDAYS(Proc[[#This Row],[DateOpened]],TODAY()))-1,ABS(NETWORKDAYS(Proc[[#This Row],[DateOpened]],Proc[[#This Row],[DateClosed]]))-1)</f>
        <v>9</v>
      </c>
      <c r="R4987" s="174" t="s">
        <v>1013</v>
      </c>
      <c r="S4987" s="150"/>
    </row>
    <row r="4988" spans="1:19" hidden="1">
      <c r="A4988" s="149" t="s">
        <v>7195</v>
      </c>
      <c r="B4988" s="150" t="str">
        <f>IFERROR(VLOOKUP(Proc[[#This Row],[App]],Table2[],3,0),"open")</f>
        <v>ok</v>
      </c>
      <c r="C4988" s="149" t="s">
        <v>369</v>
      </c>
      <c r="D4988" t="s">
        <v>7202</v>
      </c>
      <c r="E4988" t="s">
        <v>4068</v>
      </c>
      <c r="F4988" s="150" t="s">
        <v>4068</v>
      </c>
      <c r="G4988" s="149" t="s">
        <v>400</v>
      </c>
      <c r="H4988" s="150" t="str">
        <f>IF(Proc[[#This Row],[type]]="LFF (MDG-F)",MID(Proc[[#This Row],[Obj]],13,10),"")</f>
        <v/>
      </c>
      <c r="J4988" s="150" t="b">
        <f>Proc[[#This Row],[Requested]]=Proc[[#This Row],[CurrentParent]]</f>
        <v>1</v>
      </c>
      <c r="K4988" s="150" t="str">
        <f>IF(Proc[[#This Row],[Author]]="Marcela Urrego",VLOOKUP(LEFT(Proc[[#This Row],[Requested]],1),Table3[#All],2,0),VLOOKUP(Proc[[#This Row],[Author]],Table4[],2,0))</f>
        <v>HC</v>
      </c>
      <c r="L4988" s="150" t="s">
        <v>6435</v>
      </c>
      <c r="M4988" s="173">
        <v>45992</v>
      </c>
      <c r="N4988" s="174"/>
      <c r="O4988" s="174"/>
      <c r="P4988" s="174" t="str">
        <f ca="1">IF(Proc[[#This Row],[DaysAgeing]]&gt;5,"yep","on track")</f>
        <v>yep</v>
      </c>
      <c r="Q4988" s="3">
        <f ca="1">IF(Proc[[#This Row],[DateClosed]]="",ABS(NETWORKDAYS(Proc[[#This Row],[DateOpened]],TODAY()))-1,ABS(NETWORKDAYS(Proc[[#This Row],[DateOpened]],Proc[[#This Row],[DateClosed]]))-1)</f>
        <v>9</v>
      </c>
      <c r="R4988" s="174" t="s">
        <v>1013</v>
      </c>
      <c r="S4988" s="150"/>
    </row>
    <row r="4989" spans="1:19" hidden="1">
      <c r="A4989" s="149" t="s">
        <v>7195</v>
      </c>
      <c r="B4989" s="150" t="str">
        <f>IFERROR(VLOOKUP(Proc[[#This Row],[App]],Table2[],3,0),"open")</f>
        <v>ok</v>
      </c>
      <c r="C4989" s="149" t="s">
        <v>369</v>
      </c>
      <c r="D4989" t="s">
        <v>7203</v>
      </c>
      <c r="E4989" t="s">
        <v>4068</v>
      </c>
      <c r="F4989" s="150" t="s">
        <v>4068</v>
      </c>
      <c r="G4989" s="149" t="s">
        <v>400</v>
      </c>
      <c r="H4989" s="150" t="str">
        <f>IF(Proc[[#This Row],[type]]="LFF (MDG-F)",MID(Proc[[#This Row],[Obj]],13,10),"")</f>
        <v/>
      </c>
      <c r="J4989" s="150" t="b">
        <f>Proc[[#This Row],[Requested]]=Proc[[#This Row],[CurrentParent]]</f>
        <v>1</v>
      </c>
      <c r="K4989" s="150" t="str">
        <f>IF(Proc[[#This Row],[Author]]="Marcela Urrego",VLOOKUP(LEFT(Proc[[#This Row],[Requested]],1),Table3[#All],2,0),VLOOKUP(Proc[[#This Row],[Author]],Table4[],2,0))</f>
        <v>HC</v>
      </c>
      <c r="L4989" s="150" t="s">
        <v>6435</v>
      </c>
      <c r="M4989" s="173">
        <v>45992</v>
      </c>
      <c r="N4989" s="174"/>
      <c r="O4989" s="174"/>
      <c r="P4989" s="174" t="str">
        <f ca="1">IF(Proc[[#This Row],[DaysAgeing]]&gt;5,"yep","on track")</f>
        <v>yep</v>
      </c>
      <c r="Q4989" s="3">
        <f ca="1">IF(Proc[[#This Row],[DateClosed]]="",ABS(NETWORKDAYS(Proc[[#This Row],[DateOpened]],TODAY()))-1,ABS(NETWORKDAYS(Proc[[#This Row],[DateOpened]],Proc[[#This Row],[DateClosed]]))-1)</f>
        <v>9</v>
      </c>
      <c r="R4989" s="174" t="s">
        <v>1013</v>
      </c>
      <c r="S4989" s="150"/>
    </row>
    <row r="4990" spans="1:19" hidden="1">
      <c r="A4990" s="149" t="s">
        <v>7195</v>
      </c>
      <c r="B4990" s="150" t="str">
        <f>IFERROR(VLOOKUP(Proc[[#This Row],[App]],Table2[],3,0),"open")</f>
        <v>ok</v>
      </c>
      <c r="C4990" s="149" t="s">
        <v>369</v>
      </c>
      <c r="D4990" t="s">
        <v>7204</v>
      </c>
      <c r="E4990" t="s">
        <v>4068</v>
      </c>
      <c r="F4990" s="150" t="s">
        <v>4068</v>
      </c>
      <c r="G4990" s="149" t="s">
        <v>400</v>
      </c>
      <c r="H4990" s="150" t="str">
        <f>IF(Proc[[#This Row],[type]]="LFF (MDG-F)",MID(Proc[[#This Row],[Obj]],13,10),"")</f>
        <v/>
      </c>
      <c r="J4990" s="150" t="b">
        <f>Proc[[#This Row],[Requested]]=Proc[[#This Row],[CurrentParent]]</f>
        <v>1</v>
      </c>
      <c r="K4990" s="150" t="str">
        <f>IF(Proc[[#This Row],[Author]]="Marcela Urrego",VLOOKUP(LEFT(Proc[[#This Row],[Requested]],1),Table3[#All],2,0),VLOOKUP(Proc[[#This Row],[Author]],Table4[],2,0))</f>
        <v>HC</v>
      </c>
      <c r="L4990" s="150" t="s">
        <v>6435</v>
      </c>
      <c r="M4990" s="173">
        <v>45992</v>
      </c>
      <c r="N4990" s="174"/>
      <c r="O4990" s="174"/>
      <c r="P4990" s="174" t="str">
        <f ca="1">IF(Proc[[#This Row],[DaysAgeing]]&gt;5,"yep","on track")</f>
        <v>yep</v>
      </c>
      <c r="Q4990" s="3">
        <f ca="1">IF(Proc[[#This Row],[DateClosed]]="",ABS(NETWORKDAYS(Proc[[#This Row],[DateOpened]],TODAY()))-1,ABS(NETWORKDAYS(Proc[[#This Row],[DateOpened]],Proc[[#This Row],[DateClosed]]))-1)</f>
        <v>9</v>
      </c>
      <c r="R4990" s="174" t="s">
        <v>1013</v>
      </c>
      <c r="S4990" s="150"/>
    </row>
    <row r="4991" spans="1:19" hidden="1">
      <c r="A4991" s="149" t="s">
        <v>7195</v>
      </c>
      <c r="B4991" s="150" t="str">
        <f>IFERROR(VLOOKUP(Proc[[#This Row],[App]],Table2[],3,0),"open")</f>
        <v>ok</v>
      </c>
      <c r="C4991" s="149" t="s">
        <v>369</v>
      </c>
      <c r="D4991" t="s">
        <v>7205</v>
      </c>
      <c r="E4991" t="s">
        <v>4068</v>
      </c>
      <c r="F4991" s="150" t="s">
        <v>4068</v>
      </c>
      <c r="G4991" s="149" t="s">
        <v>400</v>
      </c>
      <c r="H4991" s="150" t="str">
        <f>IF(Proc[[#This Row],[type]]="LFF (MDG-F)",MID(Proc[[#This Row],[Obj]],13,10),"")</f>
        <v/>
      </c>
      <c r="J4991" s="150" t="b">
        <f>Proc[[#This Row],[Requested]]=Proc[[#This Row],[CurrentParent]]</f>
        <v>1</v>
      </c>
      <c r="K4991" s="150" t="str">
        <f>IF(Proc[[#This Row],[Author]]="Marcela Urrego",VLOOKUP(LEFT(Proc[[#This Row],[Requested]],1),Table3[#All],2,0),VLOOKUP(Proc[[#This Row],[Author]],Table4[],2,0))</f>
        <v>HC</v>
      </c>
      <c r="L4991" s="150" t="s">
        <v>6435</v>
      </c>
      <c r="M4991" s="173">
        <v>45992</v>
      </c>
      <c r="N4991" s="174"/>
      <c r="O4991" s="174"/>
      <c r="P4991" s="174" t="str">
        <f ca="1">IF(Proc[[#This Row],[DaysAgeing]]&gt;5,"yep","on track")</f>
        <v>yep</v>
      </c>
      <c r="Q4991" s="3">
        <f ca="1">IF(Proc[[#This Row],[DateClosed]]="",ABS(NETWORKDAYS(Proc[[#This Row],[DateOpened]],TODAY()))-1,ABS(NETWORKDAYS(Proc[[#This Row],[DateOpened]],Proc[[#This Row],[DateClosed]]))-1)</f>
        <v>9</v>
      </c>
      <c r="R4991" s="174" t="s">
        <v>1013</v>
      </c>
      <c r="S4991" s="150"/>
    </row>
    <row r="4992" spans="1:19" hidden="1">
      <c r="A4992" s="149" t="s">
        <v>7195</v>
      </c>
      <c r="B4992" s="150" t="str">
        <f>IFERROR(VLOOKUP(Proc[[#This Row],[App]],Table2[],3,0),"open")</f>
        <v>ok</v>
      </c>
      <c r="C4992" s="149" t="s">
        <v>369</v>
      </c>
      <c r="D4992" t="s">
        <v>7206</v>
      </c>
      <c r="E4992" t="s">
        <v>4068</v>
      </c>
      <c r="F4992" s="150" t="s">
        <v>4068</v>
      </c>
      <c r="G4992" s="149" t="s">
        <v>400</v>
      </c>
      <c r="H4992" s="150" t="str">
        <f>IF(Proc[[#This Row],[type]]="LFF (MDG-F)",MID(Proc[[#This Row],[Obj]],13,10),"")</f>
        <v/>
      </c>
      <c r="J4992" s="150" t="b">
        <f>Proc[[#This Row],[Requested]]=Proc[[#This Row],[CurrentParent]]</f>
        <v>1</v>
      </c>
      <c r="K4992" s="150" t="str">
        <f>IF(Proc[[#This Row],[Author]]="Marcela Urrego",VLOOKUP(LEFT(Proc[[#This Row],[Requested]],1),Table3[#All],2,0),VLOOKUP(Proc[[#This Row],[Author]],Table4[],2,0))</f>
        <v>HC</v>
      </c>
      <c r="L4992" s="150" t="s">
        <v>6435</v>
      </c>
      <c r="M4992" s="173">
        <v>45992</v>
      </c>
      <c r="N4992" s="174"/>
      <c r="O4992" s="174"/>
      <c r="P4992" s="174" t="str">
        <f ca="1">IF(Proc[[#This Row],[DaysAgeing]]&gt;5,"yep","on track")</f>
        <v>yep</v>
      </c>
      <c r="Q4992" s="3">
        <f ca="1">IF(Proc[[#This Row],[DateClosed]]="",ABS(NETWORKDAYS(Proc[[#This Row],[DateOpened]],TODAY()))-1,ABS(NETWORKDAYS(Proc[[#This Row],[DateOpened]],Proc[[#This Row],[DateClosed]]))-1)</f>
        <v>9</v>
      </c>
      <c r="R4992" s="174" t="s">
        <v>1013</v>
      </c>
      <c r="S4992" s="150"/>
    </row>
    <row r="4993" spans="1:19" hidden="1">
      <c r="A4993" s="149" t="s">
        <v>7195</v>
      </c>
      <c r="B4993" s="150" t="str">
        <f>IFERROR(VLOOKUP(Proc[[#This Row],[App]],Table2[],3,0),"open")</f>
        <v>ok</v>
      </c>
      <c r="C4993" s="149" t="s">
        <v>369</v>
      </c>
      <c r="D4993" t="s">
        <v>7207</v>
      </c>
      <c r="E4993" t="s">
        <v>4068</v>
      </c>
      <c r="F4993" s="150" t="s">
        <v>4068</v>
      </c>
      <c r="G4993" s="149" t="s">
        <v>400</v>
      </c>
      <c r="H4993" s="150" t="str">
        <f>IF(Proc[[#This Row],[type]]="LFF (MDG-F)",MID(Proc[[#This Row],[Obj]],13,10),"")</f>
        <v/>
      </c>
      <c r="J4993" s="150" t="b">
        <f>Proc[[#This Row],[Requested]]=Proc[[#This Row],[CurrentParent]]</f>
        <v>1</v>
      </c>
      <c r="K4993" s="150" t="str">
        <f>IF(Proc[[#This Row],[Author]]="Marcela Urrego",VLOOKUP(LEFT(Proc[[#This Row],[Requested]],1),Table3[#All],2,0),VLOOKUP(Proc[[#This Row],[Author]],Table4[],2,0))</f>
        <v>HC</v>
      </c>
      <c r="L4993" s="150" t="s">
        <v>6435</v>
      </c>
      <c r="M4993" s="173">
        <v>45992</v>
      </c>
      <c r="N4993" s="174"/>
      <c r="O4993" s="174"/>
      <c r="P4993" s="174" t="str">
        <f ca="1">IF(Proc[[#This Row],[DaysAgeing]]&gt;5,"yep","on track")</f>
        <v>yep</v>
      </c>
      <c r="Q4993" s="3">
        <f ca="1">IF(Proc[[#This Row],[DateClosed]]="",ABS(NETWORKDAYS(Proc[[#This Row],[DateOpened]],TODAY()))-1,ABS(NETWORKDAYS(Proc[[#This Row],[DateOpened]],Proc[[#This Row],[DateClosed]]))-1)</f>
        <v>9</v>
      </c>
      <c r="R4993" s="174" t="s">
        <v>1013</v>
      </c>
      <c r="S4993" s="150"/>
    </row>
    <row r="4994" spans="1:19" hidden="1">
      <c r="A4994" s="149" t="s">
        <v>7195</v>
      </c>
      <c r="B4994" s="150" t="str">
        <f>IFERROR(VLOOKUP(Proc[[#This Row],[App]],Table2[],3,0),"open")</f>
        <v>ok</v>
      </c>
      <c r="C4994" s="149" t="s">
        <v>369</v>
      </c>
      <c r="D4994" t="s">
        <v>7208</v>
      </c>
      <c r="E4994" t="s">
        <v>4068</v>
      </c>
      <c r="F4994" s="150" t="s">
        <v>4068</v>
      </c>
      <c r="G4994" s="149" t="s">
        <v>400</v>
      </c>
      <c r="H4994" s="150" t="str">
        <f>IF(Proc[[#This Row],[type]]="LFF (MDG-F)",MID(Proc[[#This Row],[Obj]],13,10),"")</f>
        <v/>
      </c>
      <c r="J4994" s="150" t="b">
        <f>Proc[[#This Row],[Requested]]=Proc[[#This Row],[CurrentParent]]</f>
        <v>1</v>
      </c>
      <c r="K4994" s="150" t="str">
        <f>IF(Proc[[#This Row],[Author]]="Marcela Urrego",VLOOKUP(LEFT(Proc[[#This Row],[Requested]],1),Table3[#All],2,0),VLOOKUP(Proc[[#This Row],[Author]],Table4[],2,0))</f>
        <v>HC</v>
      </c>
      <c r="L4994" s="150" t="s">
        <v>6435</v>
      </c>
      <c r="M4994" s="173">
        <v>45992</v>
      </c>
      <c r="N4994" s="174"/>
      <c r="O4994" s="174"/>
      <c r="P4994" s="174" t="str">
        <f ca="1">IF(Proc[[#This Row],[DaysAgeing]]&gt;5,"yep","on track")</f>
        <v>yep</v>
      </c>
      <c r="Q4994" s="3">
        <f ca="1">IF(Proc[[#This Row],[DateClosed]]="",ABS(NETWORKDAYS(Proc[[#This Row],[DateOpened]],TODAY()))-1,ABS(NETWORKDAYS(Proc[[#This Row],[DateOpened]],Proc[[#This Row],[DateClosed]]))-1)</f>
        <v>9</v>
      </c>
      <c r="R4994" s="174" t="s">
        <v>1013</v>
      </c>
      <c r="S4994" s="150"/>
    </row>
    <row r="4995" spans="1:19" hidden="1">
      <c r="A4995" s="149" t="s">
        <v>7195</v>
      </c>
      <c r="B4995" s="150" t="str">
        <f>IFERROR(VLOOKUP(Proc[[#This Row],[App]],Table2[],3,0),"open")</f>
        <v>ok</v>
      </c>
      <c r="C4995" s="149" t="s">
        <v>369</v>
      </c>
      <c r="D4995" t="s">
        <v>7209</v>
      </c>
      <c r="E4995" t="s">
        <v>4068</v>
      </c>
      <c r="F4995" s="150" t="s">
        <v>4068</v>
      </c>
      <c r="G4995" s="149" t="s">
        <v>400</v>
      </c>
      <c r="H4995" s="150" t="str">
        <f>IF(Proc[[#This Row],[type]]="LFF (MDG-F)",MID(Proc[[#This Row],[Obj]],13,10),"")</f>
        <v/>
      </c>
      <c r="J4995" s="150" t="b">
        <f>Proc[[#This Row],[Requested]]=Proc[[#This Row],[CurrentParent]]</f>
        <v>1</v>
      </c>
      <c r="K4995" s="150" t="str">
        <f>IF(Proc[[#This Row],[Author]]="Marcela Urrego",VLOOKUP(LEFT(Proc[[#This Row],[Requested]],1),Table3[#All],2,0),VLOOKUP(Proc[[#This Row],[Author]],Table4[],2,0))</f>
        <v>HC</v>
      </c>
      <c r="L4995" s="150" t="s">
        <v>6435</v>
      </c>
      <c r="M4995" s="173">
        <v>45992</v>
      </c>
      <c r="N4995" s="174"/>
      <c r="O4995" s="174"/>
      <c r="P4995" s="174" t="str">
        <f ca="1">IF(Proc[[#This Row],[DaysAgeing]]&gt;5,"yep","on track")</f>
        <v>yep</v>
      </c>
      <c r="Q4995" s="3">
        <f ca="1">IF(Proc[[#This Row],[DateClosed]]="",ABS(NETWORKDAYS(Proc[[#This Row],[DateOpened]],TODAY()))-1,ABS(NETWORKDAYS(Proc[[#This Row],[DateOpened]],Proc[[#This Row],[DateClosed]]))-1)</f>
        <v>9</v>
      </c>
      <c r="R4995" s="174" t="s">
        <v>1013</v>
      </c>
      <c r="S4995" s="150"/>
    </row>
    <row r="4996" spans="1:19" hidden="1">
      <c r="A4996" s="149" t="s">
        <v>7195</v>
      </c>
      <c r="B4996" s="150" t="str">
        <f>IFERROR(VLOOKUP(Proc[[#This Row],[App]],Table2[],3,0),"open")</f>
        <v>ok</v>
      </c>
      <c r="C4996" s="149" t="s">
        <v>369</v>
      </c>
      <c r="D4996" t="s">
        <v>7210</v>
      </c>
      <c r="E4996" t="s">
        <v>4068</v>
      </c>
      <c r="F4996" s="150" t="s">
        <v>4068</v>
      </c>
      <c r="G4996" s="149" t="s">
        <v>400</v>
      </c>
      <c r="H4996" s="150" t="str">
        <f>IF(Proc[[#This Row],[type]]="LFF (MDG-F)",MID(Proc[[#This Row],[Obj]],13,10),"")</f>
        <v/>
      </c>
      <c r="J4996" s="150" t="b">
        <f>Proc[[#This Row],[Requested]]=Proc[[#This Row],[CurrentParent]]</f>
        <v>1</v>
      </c>
      <c r="K4996" s="150" t="str">
        <f>IF(Proc[[#This Row],[Author]]="Marcela Urrego",VLOOKUP(LEFT(Proc[[#This Row],[Requested]],1),Table3[#All],2,0),VLOOKUP(Proc[[#This Row],[Author]],Table4[],2,0))</f>
        <v>HC</v>
      </c>
      <c r="L4996" s="150" t="s">
        <v>6435</v>
      </c>
      <c r="M4996" s="173">
        <v>45992</v>
      </c>
      <c r="N4996" s="174"/>
      <c r="O4996" s="174"/>
      <c r="P4996" s="174" t="str">
        <f ca="1">IF(Proc[[#This Row],[DaysAgeing]]&gt;5,"yep","on track")</f>
        <v>yep</v>
      </c>
      <c r="Q4996" s="3">
        <f ca="1">IF(Proc[[#This Row],[DateClosed]]="",ABS(NETWORKDAYS(Proc[[#This Row],[DateOpened]],TODAY()))-1,ABS(NETWORKDAYS(Proc[[#This Row],[DateOpened]],Proc[[#This Row],[DateClosed]]))-1)</f>
        <v>9</v>
      </c>
      <c r="R4996" s="174" t="s">
        <v>1013</v>
      </c>
      <c r="S4996" s="150"/>
    </row>
    <row r="4997" spans="1:19" hidden="1">
      <c r="A4997" s="149" t="s">
        <v>7195</v>
      </c>
      <c r="B4997" s="150" t="str">
        <f>IFERROR(VLOOKUP(Proc[[#This Row],[App]],Table2[],3,0),"open")</f>
        <v>ok</v>
      </c>
      <c r="C4997" s="149" t="s">
        <v>369</v>
      </c>
      <c r="D4997" t="s">
        <v>7211</v>
      </c>
      <c r="E4997" t="s">
        <v>4068</v>
      </c>
      <c r="F4997" s="150" t="s">
        <v>4068</v>
      </c>
      <c r="G4997" s="149" t="s">
        <v>400</v>
      </c>
      <c r="H4997" s="150" t="str">
        <f>IF(Proc[[#This Row],[type]]="LFF (MDG-F)",MID(Proc[[#This Row],[Obj]],13,10),"")</f>
        <v/>
      </c>
      <c r="J4997" s="150" t="b">
        <f>Proc[[#This Row],[Requested]]=Proc[[#This Row],[CurrentParent]]</f>
        <v>1</v>
      </c>
      <c r="K4997" s="150" t="str">
        <f>IF(Proc[[#This Row],[Author]]="Marcela Urrego",VLOOKUP(LEFT(Proc[[#This Row],[Requested]],1),Table3[#All],2,0),VLOOKUP(Proc[[#This Row],[Author]],Table4[],2,0))</f>
        <v>HC</v>
      </c>
      <c r="L4997" s="150" t="s">
        <v>6435</v>
      </c>
      <c r="M4997" s="173">
        <v>45992</v>
      </c>
      <c r="N4997" s="174"/>
      <c r="O4997" s="174"/>
      <c r="P4997" s="174" t="str">
        <f ca="1">IF(Proc[[#This Row],[DaysAgeing]]&gt;5,"yep","on track")</f>
        <v>yep</v>
      </c>
      <c r="Q4997" s="3">
        <f ca="1">IF(Proc[[#This Row],[DateClosed]]="",ABS(NETWORKDAYS(Proc[[#This Row],[DateOpened]],TODAY()))-1,ABS(NETWORKDAYS(Proc[[#This Row],[DateOpened]],Proc[[#This Row],[DateClosed]]))-1)</f>
        <v>9</v>
      </c>
      <c r="R4997" s="174" t="s">
        <v>1013</v>
      </c>
      <c r="S4997" s="150"/>
    </row>
    <row r="4998" spans="1:19" hidden="1">
      <c r="A4998" s="149" t="s">
        <v>7195</v>
      </c>
      <c r="B4998" s="150" t="str">
        <f>IFERROR(VLOOKUP(Proc[[#This Row],[App]],Table2[],3,0),"open")</f>
        <v>ok</v>
      </c>
      <c r="C4998" s="149" t="s">
        <v>369</v>
      </c>
      <c r="D4998" t="s">
        <v>7212</v>
      </c>
      <c r="E4998" t="s">
        <v>4068</v>
      </c>
      <c r="F4998" s="150" t="s">
        <v>4068</v>
      </c>
      <c r="G4998" s="149" t="s">
        <v>400</v>
      </c>
      <c r="H4998" s="150" t="str">
        <f>IF(Proc[[#This Row],[type]]="LFF (MDG-F)",MID(Proc[[#This Row],[Obj]],13,10),"")</f>
        <v/>
      </c>
      <c r="J4998" s="150" t="b">
        <f>Proc[[#This Row],[Requested]]=Proc[[#This Row],[CurrentParent]]</f>
        <v>1</v>
      </c>
      <c r="K4998" s="150" t="str">
        <f>IF(Proc[[#This Row],[Author]]="Marcela Urrego",VLOOKUP(LEFT(Proc[[#This Row],[Requested]],1),Table3[#All],2,0),VLOOKUP(Proc[[#This Row],[Author]],Table4[],2,0))</f>
        <v>HC</v>
      </c>
      <c r="L4998" s="150" t="s">
        <v>6435</v>
      </c>
      <c r="M4998" s="173">
        <v>45992</v>
      </c>
      <c r="N4998" s="174"/>
      <c r="O4998" s="174"/>
      <c r="P4998" s="174" t="str">
        <f ca="1">IF(Proc[[#This Row],[DaysAgeing]]&gt;5,"yep","on track")</f>
        <v>yep</v>
      </c>
      <c r="Q4998" s="3">
        <f ca="1">IF(Proc[[#This Row],[DateClosed]]="",ABS(NETWORKDAYS(Proc[[#This Row],[DateOpened]],TODAY()))-1,ABS(NETWORKDAYS(Proc[[#This Row],[DateOpened]],Proc[[#This Row],[DateClosed]]))-1)</f>
        <v>9</v>
      </c>
      <c r="R4998" s="174" t="s">
        <v>1013</v>
      </c>
      <c r="S4998" s="150"/>
    </row>
    <row r="4999" spans="1:19" hidden="1">
      <c r="A4999" s="149" t="s">
        <v>7195</v>
      </c>
      <c r="B4999" s="150" t="str">
        <f>IFERROR(VLOOKUP(Proc[[#This Row],[App]],Table2[],3,0),"open")</f>
        <v>ok</v>
      </c>
      <c r="C4999" s="149" t="s">
        <v>369</v>
      </c>
      <c r="D4999" t="s">
        <v>7213</v>
      </c>
      <c r="E4999" t="s">
        <v>4068</v>
      </c>
      <c r="F4999" s="150" t="s">
        <v>4068</v>
      </c>
      <c r="G4999" s="149" t="s">
        <v>400</v>
      </c>
      <c r="H4999" s="150" t="str">
        <f>IF(Proc[[#This Row],[type]]="LFF (MDG-F)",MID(Proc[[#This Row],[Obj]],13,10),"")</f>
        <v/>
      </c>
      <c r="J4999" s="150" t="b">
        <f>Proc[[#This Row],[Requested]]=Proc[[#This Row],[CurrentParent]]</f>
        <v>1</v>
      </c>
      <c r="K4999" s="150" t="str">
        <f>IF(Proc[[#This Row],[Author]]="Marcela Urrego",VLOOKUP(LEFT(Proc[[#This Row],[Requested]],1),Table3[#All],2,0),VLOOKUP(Proc[[#This Row],[Author]],Table4[],2,0))</f>
        <v>HC</v>
      </c>
      <c r="L4999" s="150" t="s">
        <v>6435</v>
      </c>
      <c r="M4999" s="173">
        <v>45992</v>
      </c>
      <c r="N4999" s="174"/>
      <c r="O4999" s="174"/>
      <c r="P4999" s="174" t="str">
        <f ca="1">IF(Proc[[#This Row],[DaysAgeing]]&gt;5,"yep","on track")</f>
        <v>yep</v>
      </c>
      <c r="Q4999" s="3">
        <f ca="1">IF(Proc[[#This Row],[DateClosed]]="",ABS(NETWORKDAYS(Proc[[#This Row],[DateOpened]],TODAY()))-1,ABS(NETWORKDAYS(Proc[[#This Row],[DateOpened]],Proc[[#This Row],[DateClosed]]))-1)</f>
        <v>9</v>
      </c>
      <c r="R4999" s="174" t="s">
        <v>1013</v>
      </c>
      <c r="S4999" s="150"/>
    </row>
    <row r="5000" spans="1:19" hidden="1">
      <c r="A5000" s="149" t="s">
        <v>7195</v>
      </c>
      <c r="B5000" s="150" t="str">
        <f>IFERROR(VLOOKUP(Proc[[#This Row],[App]],Table2[],3,0),"open")</f>
        <v>ok</v>
      </c>
      <c r="C5000" s="149" t="s">
        <v>369</v>
      </c>
      <c r="D5000" t="s">
        <v>7214</v>
      </c>
      <c r="E5000" t="s">
        <v>4068</v>
      </c>
      <c r="F5000" s="150" t="s">
        <v>4068</v>
      </c>
      <c r="G5000" s="149" t="s">
        <v>400</v>
      </c>
      <c r="H5000" s="150" t="str">
        <f>IF(Proc[[#This Row],[type]]="LFF (MDG-F)",MID(Proc[[#This Row],[Obj]],13,10),"")</f>
        <v/>
      </c>
      <c r="J5000" s="150" t="b">
        <f>Proc[[#This Row],[Requested]]=Proc[[#This Row],[CurrentParent]]</f>
        <v>1</v>
      </c>
      <c r="K5000" s="150" t="str">
        <f>IF(Proc[[#This Row],[Author]]="Marcela Urrego",VLOOKUP(LEFT(Proc[[#This Row],[Requested]],1),Table3[#All],2,0),VLOOKUP(Proc[[#This Row],[Author]],Table4[],2,0))</f>
        <v>HC</v>
      </c>
      <c r="L5000" s="150" t="s">
        <v>6435</v>
      </c>
      <c r="M5000" s="173">
        <v>45992</v>
      </c>
      <c r="N5000" s="174"/>
      <c r="O5000" s="174"/>
      <c r="P5000" s="174" t="str">
        <f ca="1">IF(Proc[[#This Row],[DaysAgeing]]&gt;5,"yep","on track")</f>
        <v>yep</v>
      </c>
      <c r="Q5000" s="3">
        <f ca="1">IF(Proc[[#This Row],[DateClosed]]="",ABS(NETWORKDAYS(Proc[[#This Row],[DateOpened]],TODAY()))-1,ABS(NETWORKDAYS(Proc[[#This Row],[DateOpened]],Proc[[#This Row],[DateClosed]]))-1)</f>
        <v>9</v>
      </c>
      <c r="R5000" s="174" t="s">
        <v>1013</v>
      </c>
      <c r="S5000" s="150"/>
    </row>
    <row r="5001" spans="1:19" hidden="1">
      <c r="A5001" s="149" t="s">
        <v>7195</v>
      </c>
      <c r="B5001" s="150" t="str">
        <f>IFERROR(VLOOKUP(Proc[[#This Row],[App]],Table2[],3,0),"open")</f>
        <v>ok</v>
      </c>
      <c r="C5001" s="149" t="s">
        <v>369</v>
      </c>
      <c r="D5001" t="s">
        <v>7215</v>
      </c>
      <c r="E5001" t="s">
        <v>4068</v>
      </c>
      <c r="F5001" s="150" t="s">
        <v>4068</v>
      </c>
      <c r="G5001" s="149" t="s">
        <v>400</v>
      </c>
      <c r="H5001" s="150" t="str">
        <f>IF(Proc[[#This Row],[type]]="LFF (MDG-F)",MID(Proc[[#This Row],[Obj]],13,10),"")</f>
        <v/>
      </c>
      <c r="J5001" s="150" t="b">
        <f>Proc[[#This Row],[Requested]]=Proc[[#This Row],[CurrentParent]]</f>
        <v>1</v>
      </c>
      <c r="K5001" s="150" t="str">
        <f>IF(Proc[[#This Row],[Author]]="Marcela Urrego",VLOOKUP(LEFT(Proc[[#This Row],[Requested]],1),Table3[#All],2,0),VLOOKUP(Proc[[#This Row],[Author]],Table4[],2,0))</f>
        <v>HC</v>
      </c>
      <c r="L5001" s="150" t="s">
        <v>6435</v>
      </c>
      <c r="M5001" s="173">
        <v>45992</v>
      </c>
      <c r="N5001" s="174"/>
      <c r="O5001" s="174"/>
      <c r="P5001" s="174" t="str">
        <f ca="1">IF(Proc[[#This Row],[DaysAgeing]]&gt;5,"yep","on track")</f>
        <v>yep</v>
      </c>
      <c r="Q5001" s="3">
        <f ca="1">IF(Proc[[#This Row],[DateClosed]]="",ABS(NETWORKDAYS(Proc[[#This Row],[DateOpened]],TODAY()))-1,ABS(NETWORKDAYS(Proc[[#This Row],[DateOpened]],Proc[[#This Row],[DateClosed]]))-1)</f>
        <v>9</v>
      </c>
      <c r="R5001" s="174" t="s">
        <v>1013</v>
      </c>
      <c r="S5001" s="150"/>
    </row>
    <row r="5002" spans="1:19" hidden="1">
      <c r="A5002" s="149" t="s">
        <v>7195</v>
      </c>
      <c r="B5002" s="150" t="str">
        <f>IFERROR(VLOOKUP(Proc[[#This Row],[App]],Table2[],3,0),"open")</f>
        <v>ok</v>
      </c>
      <c r="C5002" s="149" t="s">
        <v>369</v>
      </c>
      <c r="D5002" t="s">
        <v>7216</v>
      </c>
      <c r="E5002" t="s">
        <v>4068</v>
      </c>
      <c r="F5002" s="150" t="s">
        <v>4068</v>
      </c>
      <c r="G5002" s="149" t="s">
        <v>400</v>
      </c>
      <c r="H5002" s="150" t="str">
        <f>IF(Proc[[#This Row],[type]]="LFF (MDG-F)",MID(Proc[[#This Row],[Obj]],13,10),"")</f>
        <v/>
      </c>
      <c r="J5002" s="150" t="b">
        <f>Proc[[#This Row],[Requested]]=Proc[[#This Row],[CurrentParent]]</f>
        <v>1</v>
      </c>
      <c r="K5002" s="150" t="str">
        <f>IF(Proc[[#This Row],[Author]]="Marcela Urrego",VLOOKUP(LEFT(Proc[[#This Row],[Requested]],1),Table3[#All],2,0),VLOOKUP(Proc[[#This Row],[Author]],Table4[],2,0))</f>
        <v>HC</v>
      </c>
      <c r="L5002" s="150" t="s">
        <v>6435</v>
      </c>
      <c r="M5002" s="173">
        <v>45992</v>
      </c>
      <c r="N5002" s="174"/>
      <c r="O5002" s="174"/>
      <c r="P5002" s="174" t="str">
        <f ca="1">IF(Proc[[#This Row],[DaysAgeing]]&gt;5,"yep","on track")</f>
        <v>yep</v>
      </c>
      <c r="Q5002" s="3">
        <f ca="1">IF(Proc[[#This Row],[DateClosed]]="",ABS(NETWORKDAYS(Proc[[#This Row],[DateOpened]],TODAY()))-1,ABS(NETWORKDAYS(Proc[[#This Row],[DateOpened]],Proc[[#This Row],[DateClosed]]))-1)</f>
        <v>9</v>
      </c>
      <c r="R5002" s="174" t="s">
        <v>1013</v>
      </c>
      <c r="S5002" s="150"/>
    </row>
    <row r="5003" spans="1:19" hidden="1">
      <c r="A5003" t="s">
        <v>7221</v>
      </c>
      <c r="B5003" s="150" t="str">
        <f>IFERROR(VLOOKUP(Proc[[#This Row],[App]],Table2[],3,0),"open")</f>
        <v>ok</v>
      </c>
      <c r="C5003" s="149" t="s">
        <v>369</v>
      </c>
      <c r="D5003" t="s">
        <v>6783</v>
      </c>
      <c r="E5003" t="s">
        <v>759</v>
      </c>
      <c r="F5003" s="150" t="s">
        <v>759</v>
      </c>
      <c r="G5003" t="s">
        <v>400</v>
      </c>
      <c r="H5003" s="150" t="str">
        <f>IF(Proc[[#This Row],[type]]="LFF (MDG-F)",MID(Proc[[#This Row],[Obj]],13,10),"")</f>
        <v/>
      </c>
      <c r="J5003" s="150" t="b">
        <f>Proc[[#This Row],[Requested]]=Proc[[#This Row],[CurrentParent]]</f>
        <v>1</v>
      </c>
      <c r="K5003" s="150" t="str">
        <f>IF(Proc[[#This Row],[Author]]="Marcela Urrego",VLOOKUP(LEFT(Proc[[#This Row],[Requested]],1),Table3[#All],2,0),VLOOKUP(Proc[[#This Row],[Author]],Table4[],2,0))</f>
        <v>MGF</v>
      </c>
      <c r="L5003" s="150" t="s">
        <v>6435</v>
      </c>
      <c r="M5003" s="173">
        <v>45993</v>
      </c>
      <c r="N5003" s="174"/>
      <c r="O5003" s="174"/>
      <c r="P5003" s="174" t="str">
        <f ca="1">IF(Proc[[#This Row],[DaysAgeing]]&gt;5,"yep","on track")</f>
        <v>yep</v>
      </c>
      <c r="Q5003" s="3">
        <f ca="1">IF(Proc[[#This Row],[DateClosed]]="",ABS(NETWORKDAYS(Proc[[#This Row],[DateOpened]],TODAY()))-1,ABS(NETWORKDAYS(Proc[[#This Row],[DateOpened]],Proc[[#This Row],[DateClosed]]))-1)</f>
        <v>8</v>
      </c>
      <c r="R5003" s="174" t="s">
        <v>1459</v>
      </c>
      <c r="S5003" s="150"/>
    </row>
    <row r="5004" spans="1:19" hidden="1">
      <c r="A5004" t="s">
        <v>7221</v>
      </c>
      <c r="B5004" s="150" t="str">
        <f>IFERROR(VLOOKUP(Proc[[#This Row],[App]],Table2[],3,0),"open")</f>
        <v>ok</v>
      </c>
      <c r="C5004" s="149" t="s">
        <v>369</v>
      </c>
      <c r="D5004" t="s">
        <v>5278</v>
      </c>
      <c r="E5004" s="149" t="s">
        <v>7223</v>
      </c>
      <c r="F5004" s="150" t="s">
        <v>7223</v>
      </c>
      <c r="G5004" t="s">
        <v>406</v>
      </c>
      <c r="H5004" s="150" t="str">
        <f>IF(Proc[[#This Row],[type]]="LFF (MDG-F)",MID(Proc[[#This Row],[Obj]],13,10),"")</f>
        <v>CN90GM4004</v>
      </c>
      <c r="I5004" s="149" t="s">
        <v>7223</v>
      </c>
      <c r="J5004" s="150" t="b">
        <f>Proc[[#This Row],[Requested]]=Proc[[#This Row],[CurrentParent]]</f>
        <v>1</v>
      </c>
      <c r="K5004" s="150" t="str">
        <f>IF(Proc[[#This Row],[Author]]="Marcela Urrego",VLOOKUP(LEFT(Proc[[#This Row],[Requested]],1),Table3[#All],2,0),VLOOKUP(Proc[[#This Row],[Author]],Table4[],2,0))</f>
        <v>MGF</v>
      </c>
      <c r="L5004" s="150" t="s">
        <v>6435</v>
      </c>
      <c r="M5004" s="173">
        <v>45993</v>
      </c>
      <c r="N5004" s="174"/>
      <c r="O5004" s="174"/>
      <c r="P5004" s="174" t="str">
        <f ca="1">IF(Proc[[#This Row],[DaysAgeing]]&gt;5,"yep","on track")</f>
        <v>yep</v>
      </c>
      <c r="Q5004" s="3">
        <f ca="1">IF(Proc[[#This Row],[DateClosed]]="",ABS(NETWORKDAYS(Proc[[#This Row],[DateOpened]],TODAY()))-1,ABS(NETWORKDAYS(Proc[[#This Row],[DateOpened]],Proc[[#This Row],[DateClosed]]))-1)</f>
        <v>8</v>
      </c>
      <c r="R5004" s="174" t="s">
        <v>1459</v>
      </c>
      <c r="S5004" s="150"/>
    </row>
    <row r="5005" spans="1:19" hidden="1">
      <c r="A5005" s="149" t="s">
        <v>7221</v>
      </c>
      <c r="B5005" s="150" t="str">
        <f>IFERROR(VLOOKUP(Proc[[#This Row],[App]],Table2[],3,0),"open")</f>
        <v>ok</v>
      </c>
      <c r="C5005" s="149" t="s">
        <v>369</v>
      </c>
      <c r="D5005" t="s">
        <v>5293</v>
      </c>
      <c r="E5005" s="149" t="s">
        <v>7224</v>
      </c>
      <c r="F5005" s="150" t="s">
        <v>7224</v>
      </c>
      <c r="G5005" t="s">
        <v>400</v>
      </c>
      <c r="H5005" s="150" t="str">
        <f>IF(Proc[[#This Row],[type]]="LFF (MDG-F)",MID(Proc[[#This Row],[Obj]],13,10),"")</f>
        <v/>
      </c>
      <c r="I5005" s="149" t="s">
        <v>7224</v>
      </c>
      <c r="J5005" s="150" t="b">
        <f>Proc[[#This Row],[Requested]]=Proc[[#This Row],[CurrentParent]]</f>
        <v>1</v>
      </c>
      <c r="K5005" s="150" t="str">
        <f>IF(Proc[[#This Row],[Author]]="Marcela Urrego",VLOOKUP(LEFT(Proc[[#This Row],[Requested]],1),Table3[#All],2,0),VLOOKUP(Proc[[#This Row],[Author]],Table4[],2,0))</f>
        <v>MGF</v>
      </c>
      <c r="L5005" s="150" t="s">
        <v>6435</v>
      </c>
      <c r="M5005" s="173">
        <v>45993</v>
      </c>
      <c r="N5005" s="174"/>
      <c r="O5005" s="174"/>
      <c r="P5005" s="174" t="str">
        <f ca="1">IF(Proc[[#This Row],[DaysAgeing]]&gt;5,"yep","on track")</f>
        <v>yep</v>
      </c>
      <c r="Q5005" s="3">
        <f ca="1">IF(Proc[[#This Row],[DateClosed]]="",ABS(NETWORKDAYS(Proc[[#This Row],[DateOpened]],TODAY()))-1,ABS(NETWORKDAYS(Proc[[#This Row],[DateOpened]],Proc[[#This Row],[DateClosed]]))-1)</f>
        <v>8</v>
      </c>
      <c r="R5005" s="174" t="s">
        <v>1459</v>
      </c>
      <c r="S5005" s="150"/>
    </row>
    <row r="5006" spans="1:19" hidden="1">
      <c r="A5006" s="149" t="s">
        <v>7221</v>
      </c>
      <c r="B5006" s="150" t="str">
        <f>IFERROR(VLOOKUP(Proc[[#This Row],[App]],Table2[],3,0),"open")</f>
        <v>ok</v>
      </c>
      <c r="C5006" s="149" t="s">
        <v>369</v>
      </c>
      <c r="D5006" t="s">
        <v>5297</v>
      </c>
      <c r="E5006" s="149" t="s">
        <v>7225</v>
      </c>
      <c r="F5006" s="150" t="s">
        <v>7225</v>
      </c>
      <c r="G5006" t="s">
        <v>400</v>
      </c>
      <c r="H5006" s="150" t="str">
        <f>IF(Proc[[#This Row],[type]]="LFF (MDG-F)",MID(Proc[[#This Row],[Obj]],13,10),"")</f>
        <v/>
      </c>
      <c r="I5006" s="149" t="s">
        <v>7225</v>
      </c>
      <c r="J5006" s="150" t="b">
        <f>Proc[[#This Row],[Requested]]=Proc[[#This Row],[CurrentParent]]</f>
        <v>1</v>
      </c>
      <c r="K5006" s="150" t="str">
        <f>IF(Proc[[#This Row],[Author]]="Marcela Urrego",VLOOKUP(LEFT(Proc[[#This Row],[Requested]],1),Table3[#All],2,0),VLOOKUP(Proc[[#This Row],[Author]],Table4[],2,0))</f>
        <v>MGF</v>
      </c>
      <c r="L5006" s="150" t="s">
        <v>6435</v>
      </c>
      <c r="M5006" s="173">
        <v>45993</v>
      </c>
      <c r="N5006" s="174"/>
      <c r="O5006" s="174"/>
      <c r="P5006" s="174" t="str">
        <f ca="1">IF(Proc[[#This Row],[DaysAgeing]]&gt;5,"yep","on track")</f>
        <v>yep</v>
      </c>
      <c r="Q5006" s="3">
        <f ca="1">IF(Proc[[#This Row],[DateClosed]]="",ABS(NETWORKDAYS(Proc[[#This Row],[DateOpened]],TODAY()))-1,ABS(NETWORKDAYS(Proc[[#This Row],[DateOpened]],Proc[[#This Row],[DateClosed]]))-1)</f>
        <v>8</v>
      </c>
      <c r="R5006" s="174" t="s">
        <v>1459</v>
      </c>
      <c r="S5006" s="150"/>
    </row>
    <row r="5007" spans="1:19" hidden="1">
      <c r="A5007" s="149" t="s">
        <v>7221</v>
      </c>
      <c r="B5007" s="150" t="str">
        <f>IFERROR(VLOOKUP(Proc[[#This Row],[App]],Table2[],3,0),"open")</f>
        <v>ok</v>
      </c>
      <c r="C5007" s="149" t="s">
        <v>369</v>
      </c>
      <c r="D5007" t="s">
        <v>5440</v>
      </c>
      <c r="E5007" s="149" t="s">
        <v>7226</v>
      </c>
      <c r="F5007" s="150" t="s">
        <v>7226</v>
      </c>
      <c r="G5007" s="149" t="s">
        <v>400</v>
      </c>
      <c r="H5007" s="150" t="str">
        <f>IF(Proc[[#This Row],[type]]="LFF (MDG-F)",MID(Proc[[#This Row],[Obj]],13,10),"")</f>
        <v/>
      </c>
      <c r="I5007" s="149" t="s">
        <v>7226</v>
      </c>
      <c r="J5007" s="150" t="b">
        <f>Proc[[#This Row],[Requested]]=Proc[[#This Row],[CurrentParent]]</f>
        <v>1</v>
      </c>
      <c r="K5007" s="150" t="str">
        <f>IF(Proc[[#This Row],[Author]]="Marcela Urrego",VLOOKUP(LEFT(Proc[[#This Row],[Requested]],1),Table3[#All],2,0),VLOOKUP(Proc[[#This Row],[Author]],Table4[],2,0))</f>
        <v>MGF</v>
      </c>
      <c r="L5007" s="150" t="s">
        <v>6435</v>
      </c>
      <c r="M5007" s="173">
        <v>45993</v>
      </c>
      <c r="N5007" s="174"/>
      <c r="O5007" s="174"/>
      <c r="P5007" s="174" t="str">
        <f ca="1">IF(Proc[[#This Row],[DaysAgeing]]&gt;5,"yep","on track")</f>
        <v>yep</v>
      </c>
      <c r="Q5007" s="3">
        <f ca="1">IF(Proc[[#This Row],[DateClosed]]="",ABS(NETWORKDAYS(Proc[[#This Row],[DateOpened]],TODAY()))-1,ABS(NETWORKDAYS(Proc[[#This Row],[DateOpened]],Proc[[#This Row],[DateClosed]]))-1)</f>
        <v>8</v>
      </c>
      <c r="R5007" s="174" t="s">
        <v>1459</v>
      </c>
      <c r="S5007" s="150"/>
    </row>
    <row r="5008" spans="1:19" hidden="1">
      <c r="A5008" s="149" t="s">
        <v>7221</v>
      </c>
      <c r="B5008" s="150" t="str">
        <f>IFERROR(VLOOKUP(Proc[[#This Row],[App]],Table2[],3,0),"open")</f>
        <v>ok</v>
      </c>
      <c r="C5008" s="149" t="s">
        <v>369</v>
      </c>
      <c r="D5008" t="s">
        <v>5305</v>
      </c>
      <c r="E5008" s="149" t="s">
        <v>7223</v>
      </c>
      <c r="F5008" s="150" t="s">
        <v>7223</v>
      </c>
      <c r="G5008" s="149" t="s">
        <v>400</v>
      </c>
      <c r="H5008" s="150" t="str">
        <f>IF(Proc[[#This Row],[type]]="LFF (MDG-F)",MID(Proc[[#This Row],[Obj]],13,10),"")</f>
        <v/>
      </c>
      <c r="I5008" s="149" t="s">
        <v>7223</v>
      </c>
      <c r="J5008" s="150" t="b">
        <f>Proc[[#This Row],[Requested]]=Proc[[#This Row],[CurrentParent]]</f>
        <v>1</v>
      </c>
      <c r="K5008" s="150" t="str">
        <f>IF(Proc[[#This Row],[Author]]="Marcela Urrego",VLOOKUP(LEFT(Proc[[#This Row],[Requested]],1),Table3[#All],2,0),VLOOKUP(Proc[[#This Row],[Author]],Table4[],2,0))</f>
        <v>MGF</v>
      </c>
      <c r="L5008" s="150" t="s">
        <v>6435</v>
      </c>
      <c r="M5008" s="173">
        <v>45993</v>
      </c>
      <c r="N5008" s="174"/>
      <c r="O5008" s="174"/>
      <c r="P5008" s="174" t="str">
        <f ca="1">IF(Proc[[#This Row],[DaysAgeing]]&gt;5,"yep","on track")</f>
        <v>yep</v>
      </c>
      <c r="Q5008" s="3">
        <f ca="1">IF(Proc[[#This Row],[DateClosed]]="",ABS(NETWORKDAYS(Proc[[#This Row],[DateOpened]],TODAY()))-1,ABS(NETWORKDAYS(Proc[[#This Row],[DateOpened]],Proc[[#This Row],[DateClosed]]))-1)</f>
        <v>8</v>
      </c>
      <c r="R5008" s="174" t="s">
        <v>1459</v>
      </c>
      <c r="S5008" s="150"/>
    </row>
    <row r="5009" spans="1:19" hidden="1">
      <c r="A5009" s="149" t="s">
        <v>7221</v>
      </c>
      <c r="B5009" s="150" t="str">
        <f>IFERROR(VLOOKUP(Proc[[#This Row],[App]],Table2[],3,0),"open")</f>
        <v>ok</v>
      </c>
      <c r="C5009" s="149" t="s">
        <v>369</v>
      </c>
      <c r="D5009" t="s">
        <v>5350</v>
      </c>
      <c r="E5009" s="149" t="s">
        <v>7225</v>
      </c>
      <c r="F5009" s="150" t="s">
        <v>7225</v>
      </c>
      <c r="G5009" t="s">
        <v>406</v>
      </c>
      <c r="H5009" s="150" t="str">
        <f>IF(Proc[[#This Row],[type]]="LFF (MDG-F)",MID(Proc[[#This Row],[Obj]],13,10),"")</f>
        <v>DE10GMS041</v>
      </c>
      <c r="I5009" s="149" t="s">
        <v>7225</v>
      </c>
      <c r="J5009" s="150" t="b">
        <f>Proc[[#This Row],[Requested]]=Proc[[#This Row],[CurrentParent]]</f>
        <v>1</v>
      </c>
      <c r="K5009" s="150" t="str">
        <f>IF(Proc[[#This Row],[Author]]="Marcela Urrego",VLOOKUP(LEFT(Proc[[#This Row],[Requested]],1),Table3[#All],2,0),VLOOKUP(Proc[[#This Row],[Author]],Table4[],2,0))</f>
        <v>MGF</v>
      </c>
      <c r="L5009" s="150" t="s">
        <v>6435</v>
      </c>
      <c r="M5009" s="173">
        <v>45993</v>
      </c>
      <c r="N5009" s="174"/>
      <c r="O5009" s="174"/>
      <c r="P5009" s="174" t="str">
        <f ca="1">IF(Proc[[#This Row],[DaysAgeing]]&gt;5,"yep","on track")</f>
        <v>yep</v>
      </c>
      <c r="Q5009" s="3">
        <f ca="1">IF(Proc[[#This Row],[DateClosed]]="",ABS(NETWORKDAYS(Proc[[#This Row],[DateOpened]],TODAY()))-1,ABS(NETWORKDAYS(Proc[[#This Row],[DateOpened]],Proc[[#This Row],[DateClosed]]))-1)</f>
        <v>8</v>
      </c>
      <c r="R5009" s="174" t="s">
        <v>1459</v>
      </c>
      <c r="S5009" s="150"/>
    </row>
    <row r="5010" spans="1:19" hidden="1">
      <c r="A5010" s="149" t="s">
        <v>7221</v>
      </c>
      <c r="B5010" s="150" t="str">
        <f>IFERROR(VLOOKUP(Proc[[#This Row],[App]],Table2[],3,0),"open")</f>
        <v>ok</v>
      </c>
      <c r="C5010" s="149" t="s">
        <v>369</v>
      </c>
      <c r="D5010" t="s">
        <v>5438</v>
      </c>
      <c r="E5010" s="149" t="s">
        <v>7226</v>
      </c>
      <c r="F5010" s="150" t="s">
        <v>7226</v>
      </c>
      <c r="G5010" t="s">
        <v>406</v>
      </c>
      <c r="H5010" s="150" t="str">
        <f>IF(Proc[[#This Row],[type]]="LFF (MDG-F)",MID(Proc[[#This Row],[Obj]],13,10),"")</f>
        <v>DE10GMS070</v>
      </c>
      <c r="I5010" s="149" t="s">
        <v>7226</v>
      </c>
      <c r="J5010" s="150" t="b">
        <f>Proc[[#This Row],[Requested]]=Proc[[#This Row],[CurrentParent]]</f>
        <v>1</v>
      </c>
      <c r="K5010" s="150" t="str">
        <f>IF(Proc[[#This Row],[Author]]="Marcela Urrego",VLOOKUP(LEFT(Proc[[#This Row],[Requested]],1),Table3[#All],2,0),VLOOKUP(Proc[[#This Row],[Author]],Table4[],2,0))</f>
        <v>MGF</v>
      </c>
      <c r="L5010" s="150" t="s">
        <v>6435</v>
      </c>
      <c r="M5010" s="173">
        <v>45993</v>
      </c>
      <c r="N5010" s="174"/>
      <c r="O5010" s="174"/>
      <c r="P5010" s="174" t="str">
        <f ca="1">IF(Proc[[#This Row],[DaysAgeing]]&gt;5,"yep","on track")</f>
        <v>yep</v>
      </c>
      <c r="Q5010" s="3">
        <f ca="1">IF(Proc[[#This Row],[DateClosed]]="",ABS(NETWORKDAYS(Proc[[#This Row],[DateOpened]],TODAY()))-1,ABS(NETWORKDAYS(Proc[[#This Row],[DateOpened]],Proc[[#This Row],[DateClosed]]))-1)</f>
        <v>8</v>
      </c>
      <c r="R5010" s="174" t="s">
        <v>1459</v>
      </c>
      <c r="S5010" s="150"/>
    </row>
    <row r="5011" spans="1:19" hidden="1">
      <c r="A5011" s="149" t="s">
        <v>7221</v>
      </c>
      <c r="B5011" s="150" t="str">
        <f>IFERROR(VLOOKUP(Proc[[#This Row],[App]],Table2[],3,0),"open")</f>
        <v>ok</v>
      </c>
      <c r="C5011" s="149" t="s">
        <v>369</v>
      </c>
      <c r="D5011" t="s">
        <v>5338</v>
      </c>
      <c r="E5011" s="149" t="s">
        <v>7225</v>
      </c>
      <c r="F5011" s="150" t="s">
        <v>7225</v>
      </c>
      <c r="G5011" t="s">
        <v>406</v>
      </c>
      <c r="H5011" s="150" t="str">
        <f>IF(Proc[[#This Row],[type]]="LFF (MDG-F)",MID(Proc[[#This Row],[Obj]],13,10),"")</f>
        <v>DE10669632</v>
      </c>
      <c r="I5011" s="149" t="s">
        <v>7225</v>
      </c>
      <c r="J5011" s="150" t="b">
        <f>Proc[[#This Row],[Requested]]=Proc[[#This Row],[CurrentParent]]</f>
        <v>1</v>
      </c>
      <c r="K5011" s="150" t="str">
        <f>IF(Proc[[#This Row],[Author]]="Marcela Urrego",VLOOKUP(LEFT(Proc[[#This Row],[Requested]],1),Table3[#All],2,0),VLOOKUP(Proc[[#This Row],[Author]],Table4[],2,0))</f>
        <v>MGF</v>
      </c>
      <c r="L5011" s="150" t="s">
        <v>6435</v>
      </c>
      <c r="M5011" s="174">
        <v>45993</v>
      </c>
      <c r="N5011" s="174"/>
      <c r="O5011" s="174"/>
      <c r="P5011" s="174" t="str">
        <f ca="1">IF(Proc[[#This Row],[DaysAgeing]]&gt;5,"yep","on track")</f>
        <v>yep</v>
      </c>
      <c r="Q5011" s="3">
        <f ca="1">IF(Proc[[#This Row],[DateClosed]]="",ABS(NETWORKDAYS(Proc[[#This Row],[DateOpened]],TODAY()))-1,ABS(NETWORKDAYS(Proc[[#This Row],[DateOpened]],Proc[[#This Row],[DateClosed]]))-1)</f>
        <v>8</v>
      </c>
      <c r="R5011" s="174" t="s">
        <v>1459</v>
      </c>
      <c r="S5011" s="150"/>
    </row>
    <row r="5012" spans="1:19" hidden="1">
      <c r="A5012" s="149" t="s">
        <v>7221</v>
      </c>
      <c r="B5012" s="150" t="str">
        <f>IFERROR(VLOOKUP(Proc[[#This Row],[App]],Table2[],3,0),"open")</f>
        <v>ok</v>
      </c>
      <c r="C5012" s="149" t="s">
        <v>369</v>
      </c>
      <c r="D5012" t="s">
        <v>5361</v>
      </c>
      <c r="E5012" s="149" t="s">
        <v>7223</v>
      </c>
      <c r="F5012" s="150" t="s">
        <v>7223</v>
      </c>
      <c r="G5012" t="s">
        <v>400</v>
      </c>
      <c r="H5012" s="150" t="str">
        <f>IF(Proc[[#This Row],[type]]="LFF (MDG-F)",MID(Proc[[#This Row],[Obj]],13,10),"")</f>
        <v/>
      </c>
      <c r="I5012" s="149" t="s">
        <v>7223</v>
      </c>
      <c r="J5012" s="150" t="b">
        <f>Proc[[#This Row],[Requested]]=Proc[[#This Row],[CurrentParent]]</f>
        <v>1</v>
      </c>
      <c r="K5012" s="150" t="str">
        <f>IF(Proc[[#This Row],[Author]]="Marcela Urrego",VLOOKUP(LEFT(Proc[[#This Row],[Requested]],1),Table3[#All],2,0),VLOOKUP(Proc[[#This Row],[Author]],Table4[],2,0))</f>
        <v>MGF</v>
      </c>
      <c r="L5012" s="150" t="s">
        <v>6435</v>
      </c>
      <c r="M5012" s="174">
        <v>45993</v>
      </c>
      <c r="N5012" s="174"/>
      <c r="O5012" s="174"/>
      <c r="P5012" s="174" t="str">
        <f ca="1">IF(Proc[[#This Row],[DaysAgeing]]&gt;5,"yep","on track")</f>
        <v>yep</v>
      </c>
      <c r="Q5012" s="3">
        <f ca="1">IF(Proc[[#This Row],[DateClosed]]="",ABS(NETWORKDAYS(Proc[[#This Row],[DateOpened]],TODAY()))-1,ABS(NETWORKDAYS(Proc[[#This Row],[DateOpened]],Proc[[#This Row],[DateClosed]]))-1)</f>
        <v>8</v>
      </c>
      <c r="R5012" s="174" t="s">
        <v>1459</v>
      </c>
      <c r="S5012" s="150"/>
    </row>
    <row r="5013" spans="1:19" hidden="1">
      <c r="A5013" s="149" t="s">
        <v>7221</v>
      </c>
      <c r="B5013" s="150" t="str">
        <f>IFERROR(VLOOKUP(Proc[[#This Row],[App]],Table2[],3,0),"open")</f>
        <v>ok</v>
      </c>
      <c r="C5013" s="149" t="s">
        <v>369</v>
      </c>
      <c r="D5013" t="s">
        <v>7222</v>
      </c>
      <c r="E5013" s="149" t="s">
        <v>7227</v>
      </c>
      <c r="F5013" s="150" t="s">
        <v>7227</v>
      </c>
      <c r="G5013" s="149" t="s">
        <v>400</v>
      </c>
      <c r="H5013" s="150" t="str">
        <f>IF(Proc[[#This Row],[type]]="LFF (MDG-F)",MID(Proc[[#This Row],[Obj]],13,10),"")</f>
        <v/>
      </c>
      <c r="I5013" s="149" t="s">
        <v>7227</v>
      </c>
      <c r="J5013" s="150" t="b">
        <f>Proc[[#This Row],[Requested]]=Proc[[#This Row],[CurrentParent]]</f>
        <v>1</v>
      </c>
      <c r="K5013" s="150" t="str">
        <f>IF(Proc[[#This Row],[Author]]="Marcela Urrego",VLOOKUP(LEFT(Proc[[#This Row],[Requested]],1),Table3[#All],2,0),VLOOKUP(Proc[[#This Row],[Author]],Table4[],2,0))</f>
        <v>MGF</v>
      </c>
      <c r="L5013" s="150" t="s">
        <v>6435</v>
      </c>
      <c r="M5013" s="174">
        <v>45993</v>
      </c>
      <c r="N5013" s="174"/>
      <c r="O5013" s="174"/>
      <c r="P5013" s="174" t="str">
        <f ca="1">IF(Proc[[#This Row],[DaysAgeing]]&gt;5,"yep","on track")</f>
        <v>yep</v>
      </c>
      <c r="Q5013" s="3">
        <f ca="1">IF(Proc[[#This Row],[DateClosed]]="",ABS(NETWORKDAYS(Proc[[#This Row],[DateOpened]],TODAY()))-1,ABS(NETWORKDAYS(Proc[[#This Row],[DateOpened]],Proc[[#This Row],[DateClosed]]))-1)</f>
        <v>8</v>
      </c>
      <c r="R5013" s="174" t="s">
        <v>1459</v>
      </c>
      <c r="S5013" s="150"/>
    </row>
    <row r="5014" spans="1:19" hidden="1">
      <c r="A5014" t="s">
        <v>7247</v>
      </c>
      <c r="B5014" s="150" t="str">
        <f>IFERROR(VLOOKUP(Proc[[#This Row],[App]],Table2[],3,0),"open")</f>
        <v>ok</v>
      </c>
      <c r="C5014" s="149" t="s">
        <v>369</v>
      </c>
      <c r="D5014" t="s">
        <v>7248</v>
      </c>
      <c r="E5014" t="s">
        <v>4939</v>
      </c>
      <c r="F5014" s="150" t="s">
        <v>4939</v>
      </c>
      <c r="G5014" s="149" t="s">
        <v>400</v>
      </c>
      <c r="H5014" s="150" t="str">
        <f>IF(Proc[[#This Row],[type]]="LFF (MDG-F)",MID(Proc[[#This Row],[Obj]],13,10),"")</f>
        <v/>
      </c>
      <c r="J5014" s="150" t="b">
        <f>Proc[[#This Row],[Requested]]=Proc[[#This Row],[CurrentParent]]</f>
        <v>1</v>
      </c>
      <c r="K5014" s="150" t="str">
        <f>IF(Proc[[#This Row],[Author]]="Marcela Urrego",VLOOKUP(LEFT(Proc[[#This Row],[Requested]],1),Table3[#All],2,0),VLOOKUP(Proc[[#This Row],[Author]],Table4[],2,0))</f>
        <v>HC</v>
      </c>
      <c r="L5014" s="150" t="s">
        <v>6435</v>
      </c>
      <c r="M5014" s="174">
        <v>45994</v>
      </c>
      <c r="N5014" s="175"/>
      <c r="O5014" s="175"/>
      <c r="P5014" s="175" t="str">
        <f ca="1">IF(Proc[[#This Row],[DaysAgeing]]&gt;5,"yep","on track")</f>
        <v>yep</v>
      </c>
      <c r="Q5014" s="3">
        <f ca="1">IF(Proc[[#This Row],[DateClosed]]="",ABS(NETWORKDAYS(Proc[[#This Row],[DateOpened]],TODAY()))-1,ABS(NETWORKDAYS(Proc[[#This Row],[DateOpened]],Proc[[#This Row],[DateClosed]]))-1)</f>
        <v>7</v>
      </c>
      <c r="R5014" s="175" t="s">
        <v>415</v>
      </c>
      <c r="S5014" s="150"/>
    </row>
    <row r="5015" spans="1:19" hidden="1">
      <c r="A5015" s="149" t="s">
        <v>7247</v>
      </c>
      <c r="B5015" s="150" t="str">
        <f>IFERROR(VLOOKUP(Proc[[#This Row],[App]],Table2[],3,0),"open")</f>
        <v>ok</v>
      </c>
      <c r="C5015" s="149" t="s">
        <v>369</v>
      </c>
      <c r="D5015" t="s">
        <v>7249</v>
      </c>
      <c r="E5015" t="s">
        <v>4939</v>
      </c>
      <c r="F5015" s="150" t="s">
        <v>4939</v>
      </c>
      <c r="G5015" s="149" t="s">
        <v>400</v>
      </c>
      <c r="H5015" s="150" t="str">
        <f>IF(Proc[[#This Row],[type]]="LFF (MDG-F)",MID(Proc[[#This Row],[Obj]],13,10),"")</f>
        <v/>
      </c>
      <c r="J5015" s="150" t="b">
        <f>Proc[[#This Row],[Requested]]=Proc[[#This Row],[CurrentParent]]</f>
        <v>1</v>
      </c>
      <c r="K5015" s="150" t="str">
        <f>IF(Proc[[#This Row],[Author]]="Marcela Urrego",VLOOKUP(LEFT(Proc[[#This Row],[Requested]],1),Table3[#All],2,0),VLOOKUP(Proc[[#This Row],[Author]],Table4[],2,0))</f>
        <v>HC</v>
      </c>
      <c r="L5015" s="150" t="s">
        <v>6435</v>
      </c>
      <c r="M5015" s="174">
        <v>45994</v>
      </c>
      <c r="N5015" s="175"/>
      <c r="O5015" s="175"/>
      <c r="P5015" s="175" t="str">
        <f ca="1">IF(Proc[[#This Row],[DaysAgeing]]&gt;5,"yep","on track")</f>
        <v>yep</v>
      </c>
      <c r="Q5015" s="3">
        <f ca="1">IF(Proc[[#This Row],[DateClosed]]="",ABS(NETWORKDAYS(Proc[[#This Row],[DateOpened]],TODAY()))-1,ABS(NETWORKDAYS(Proc[[#This Row],[DateOpened]],Proc[[#This Row],[DateClosed]]))-1)</f>
        <v>7</v>
      </c>
      <c r="R5015" s="175" t="s">
        <v>415</v>
      </c>
      <c r="S5015" s="150"/>
    </row>
    <row r="5016" spans="1:19" hidden="1">
      <c r="A5016" s="149" t="s">
        <v>7247</v>
      </c>
      <c r="B5016" s="150" t="str">
        <f>IFERROR(VLOOKUP(Proc[[#This Row],[App]],Table2[],3,0),"open")</f>
        <v>ok</v>
      </c>
      <c r="C5016" s="149" t="s">
        <v>369</v>
      </c>
      <c r="D5016" t="s">
        <v>7250</v>
      </c>
      <c r="E5016" t="s">
        <v>4939</v>
      </c>
      <c r="F5016" s="150" t="s">
        <v>4939</v>
      </c>
      <c r="G5016" s="149" t="s">
        <v>400</v>
      </c>
      <c r="H5016" s="150" t="str">
        <f>IF(Proc[[#This Row],[type]]="LFF (MDG-F)",MID(Proc[[#This Row],[Obj]],13,10),"")</f>
        <v/>
      </c>
      <c r="J5016" s="150" t="b">
        <f>Proc[[#This Row],[Requested]]=Proc[[#This Row],[CurrentParent]]</f>
        <v>1</v>
      </c>
      <c r="K5016" s="150" t="str">
        <f>IF(Proc[[#This Row],[Author]]="Marcela Urrego",VLOOKUP(LEFT(Proc[[#This Row],[Requested]],1),Table3[#All],2,0),VLOOKUP(Proc[[#This Row],[Author]],Table4[],2,0))</f>
        <v>HC</v>
      </c>
      <c r="L5016" s="150" t="s">
        <v>6435</v>
      </c>
      <c r="M5016" s="174">
        <v>45994</v>
      </c>
      <c r="N5016" s="175"/>
      <c r="O5016" s="175"/>
      <c r="P5016" s="175" t="str">
        <f ca="1">IF(Proc[[#This Row],[DaysAgeing]]&gt;5,"yep","on track")</f>
        <v>yep</v>
      </c>
      <c r="Q5016" s="3">
        <f ca="1">IF(Proc[[#This Row],[DateClosed]]="",ABS(NETWORKDAYS(Proc[[#This Row],[DateOpened]],TODAY()))-1,ABS(NETWORKDAYS(Proc[[#This Row],[DateOpened]],Proc[[#This Row],[DateClosed]]))-1)</f>
        <v>7</v>
      </c>
      <c r="R5016" s="175" t="s">
        <v>415</v>
      </c>
      <c r="S5016" s="150"/>
    </row>
    <row r="5017" spans="1:19" hidden="1">
      <c r="A5017" t="s">
        <v>7252</v>
      </c>
      <c r="B5017" s="150" t="str">
        <f>IFERROR(VLOOKUP(Proc[[#This Row],[App]],Table2[],3,0),"open")</f>
        <v>ok</v>
      </c>
      <c r="C5017" s="149" t="s">
        <v>369</v>
      </c>
      <c r="D5017" t="s">
        <v>7251</v>
      </c>
      <c r="E5017" s="149" t="s">
        <v>4939</v>
      </c>
      <c r="F5017" s="150" t="str">
        <f>VLOOKUP(Proc[[#This Row],[Obj]],Sheet3!A:B,2,0)</f>
        <v>H000004401</v>
      </c>
      <c r="G5017" s="149" t="s">
        <v>400</v>
      </c>
      <c r="H5017" s="150" t="str">
        <f>IF(Proc[[#This Row],[type]]="LFF (MDG-F)",MID(Proc[[#This Row],[Obj]],13,10),"")</f>
        <v/>
      </c>
      <c r="J5017" s="150" t="b">
        <f>Proc[[#This Row],[Requested]]=Proc[[#This Row],[CurrentParent]]</f>
        <v>1</v>
      </c>
      <c r="K5017" s="150" t="str">
        <f>IF(Proc[[#This Row],[Author]]="Marcela Urrego",VLOOKUP(LEFT(Proc[[#This Row],[Requested]],1),Table3[#All],2,0),VLOOKUP(Proc[[#This Row],[Author]],Table4[],2,0))</f>
        <v>HC</v>
      </c>
      <c r="L5017" s="150" t="s">
        <v>6435</v>
      </c>
      <c r="M5017" s="174">
        <v>45994</v>
      </c>
      <c r="N5017" s="175"/>
      <c r="O5017" s="175"/>
      <c r="P5017" s="175" t="str">
        <f ca="1">IF(Proc[[#This Row],[DaysAgeing]]&gt;5,"yep","on track")</f>
        <v>yep</v>
      </c>
      <c r="Q5017" s="3">
        <f ca="1">IF(Proc[[#This Row],[DateClosed]]="",ABS(NETWORKDAYS(Proc[[#This Row],[DateOpened]],TODAY()))-1,ABS(NETWORKDAYS(Proc[[#This Row],[DateOpened]],Proc[[#This Row],[DateClosed]]))-1)</f>
        <v>7</v>
      </c>
      <c r="R5017" s="175" t="s">
        <v>415</v>
      </c>
      <c r="S5017" s="150"/>
    </row>
    <row r="5018" spans="1:19" hidden="1">
      <c r="A5018" t="s">
        <v>7252</v>
      </c>
      <c r="B5018" s="150" t="str">
        <f>IFERROR(VLOOKUP(Proc[[#This Row],[App]],Table2[],3,0),"open")</f>
        <v>ok</v>
      </c>
      <c r="C5018" s="149" t="s">
        <v>369</v>
      </c>
      <c r="D5018" t="s">
        <v>7253</v>
      </c>
      <c r="E5018" s="149" t="s">
        <v>4939</v>
      </c>
      <c r="F5018" s="150" t="str">
        <f>VLOOKUP(Proc[[#This Row],[Obj]],Sheet3!A:B,2,0)</f>
        <v>H000004401</v>
      </c>
      <c r="G5018" s="149" t="s">
        <v>400</v>
      </c>
      <c r="H5018" s="150" t="str">
        <f>IF(Proc[[#This Row],[type]]="LFF (MDG-F)",MID(Proc[[#This Row],[Obj]],13,10),"")</f>
        <v/>
      </c>
      <c r="J5018" s="150" t="b">
        <f>Proc[[#This Row],[Requested]]=Proc[[#This Row],[CurrentParent]]</f>
        <v>1</v>
      </c>
      <c r="K5018" s="150" t="str">
        <f>IF(Proc[[#This Row],[Author]]="Marcela Urrego",VLOOKUP(LEFT(Proc[[#This Row],[Requested]],1),Table3[#All],2,0),VLOOKUP(Proc[[#This Row],[Author]],Table4[],2,0))</f>
        <v>HC</v>
      </c>
      <c r="L5018" s="150" t="s">
        <v>6435</v>
      </c>
      <c r="M5018" s="174">
        <v>45994</v>
      </c>
      <c r="N5018" s="175"/>
      <c r="O5018" s="175"/>
      <c r="P5018" s="175" t="str">
        <f ca="1">IF(Proc[[#This Row],[DaysAgeing]]&gt;5,"yep","on track")</f>
        <v>yep</v>
      </c>
      <c r="Q5018" s="3">
        <f ca="1">IF(Proc[[#This Row],[DateClosed]]="",ABS(NETWORKDAYS(Proc[[#This Row],[DateOpened]],TODAY()))-1,ABS(NETWORKDAYS(Proc[[#This Row],[DateOpened]],Proc[[#This Row],[DateClosed]]))-1)</f>
        <v>7</v>
      </c>
      <c r="R5018" s="175" t="s">
        <v>415</v>
      </c>
      <c r="S5018" s="150"/>
    </row>
    <row r="5019" spans="1:19" hidden="1">
      <c r="A5019" s="149" t="s">
        <v>7252</v>
      </c>
      <c r="B5019" s="150" t="str">
        <f>IFERROR(VLOOKUP(Proc[[#This Row],[App]],Table2[],3,0),"open")</f>
        <v>ok</v>
      </c>
      <c r="C5019" s="149" t="s">
        <v>369</v>
      </c>
      <c r="D5019" t="s">
        <v>7254</v>
      </c>
      <c r="E5019" s="149" t="s">
        <v>4939</v>
      </c>
      <c r="F5019" s="150" t="str">
        <f>VLOOKUP(Proc[[#This Row],[Obj]],Sheet3!A:B,2,0)</f>
        <v>H000004401</v>
      </c>
      <c r="G5019" s="149" t="s">
        <v>400</v>
      </c>
      <c r="H5019" s="150" t="str">
        <f>IF(Proc[[#This Row],[type]]="LFF (MDG-F)",MID(Proc[[#This Row],[Obj]],13,10),"")</f>
        <v/>
      </c>
      <c r="J5019" s="150" t="b">
        <f>Proc[[#This Row],[Requested]]=Proc[[#This Row],[CurrentParent]]</f>
        <v>1</v>
      </c>
      <c r="K5019" s="150" t="str">
        <f>IF(Proc[[#This Row],[Author]]="Marcela Urrego",VLOOKUP(LEFT(Proc[[#This Row],[Requested]],1),Table3[#All],2,0),VLOOKUP(Proc[[#This Row],[Author]],Table4[],2,0))</f>
        <v>HC</v>
      </c>
      <c r="L5019" s="150" t="s">
        <v>6435</v>
      </c>
      <c r="M5019" s="174">
        <v>45994</v>
      </c>
      <c r="N5019" s="175"/>
      <c r="O5019" s="175"/>
      <c r="P5019" s="175" t="str">
        <f ca="1">IF(Proc[[#This Row],[DaysAgeing]]&gt;5,"yep","on track")</f>
        <v>yep</v>
      </c>
      <c r="Q5019" s="3">
        <f ca="1">IF(Proc[[#This Row],[DateClosed]]="",ABS(NETWORKDAYS(Proc[[#This Row],[DateOpened]],TODAY()))-1,ABS(NETWORKDAYS(Proc[[#This Row],[DateOpened]],Proc[[#This Row],[DateClosed]]))-1)</f>
        <v>7</v>
      </c>
      <c r="R5019" s="175" t="s">
        <v>415</v>
      </c>
      <c r="S5019" s="150"/>
    </row>
    <row r="5020" spans="1:19" hidden="1">
      <c r="A5020" s="149" t="s">
        <v>7252</v>
      </c>
      <c r="B5020" s="150" t="str">
        <f>IFERROR(VLOOKUP(Proc[[#This Row],[App]],Table2[],3,0),"open")</f>
        <v>ok</v>
      </c>
      <c r="C5020" s="149" t="s">
        <v>369</v>
      </c>
      <c r="D5020" t="s">
        <v>7255</v>
      </c>
      <c r="E5020" s="149" t="s">
        <v>4939</v>
      </c>
      <c r="F5020" s="150" t="str">
        <f>VLOOKUP(Proc[[#This Row],[Obj]],Sheet3!A:B,2,0)</f>
        <v>H000004401</v>
      </c>
      <c r="G5020" s="149" t="s">
        <v>400</v>
      </c>
      <c r="H5020" s="150" t="str">
        <f>IF(Proc[[#This Row],[type]]="LFF (MDG-F)",MID(Proc[[#This Row],[Obj]],13,10),"")</f>
        <v/>
      </c>
      <c r="J5020" s="150" t="b">
        <f>Proc[[#This Row],[Requested]]=Proc[[#This Row],[CurrentParent]]</f>
        <v>1</v>
      </c>
      <c r="K5020" s="150" t="str">
        <f>IF(Proc[[#This Row],[Author]]="Marcela Urrego",VLOOKUP(LEFT(Proc[[#This Row],[Requested]],1),Table3[#All],2,0),VLOOKUP(Proc[[#This Row],[Author]],Table4[],2,0))</f>
        <v>HC</v>
      </c>
      <c r="L5020" s="150" t="s">
        <v>6435</v>
      </c>
      <c r="M5020" s="174">
        <v>45994</v>
      </c>
      <c r="N5020" s="175"/>
      <c r="O5020" s="175"/>
      <c r="P5020" s="175" t="str">
        <f ca="1">IF(Proc[[#This Row],[DaysAgeing]]&gt;5,"yep","on track")</f>
        <v>yep</v>
      </c>
      <c r="Q5020" s="3">
        <f ca="1">IF(Proc[[#This Row],[DateClosed]]="",ABS(NETWORKDAYS(Proc[[#This Row],[DateOpened]],TODAY()))-1,ABS(NETWORKDAYS(Proc[[#This Row],[DateOpened]],Proc[[#This Row],[DateClosed]]))-1)</f>
        <v>7</v>
      </c>
      <c r="R5020" s="175" t="s">
        <v>415</v>
      </c>
      <c r="S5020" s="150"/>
    </row>
    <row r="5021" spans="1:19" hidden="1">
      <c r="A5021" s="149" t="s">
        <v>7252</v>
      </c>
      <c r="B5021" s="150" t="str">
        <f>IFERROR(VLOOKUP(Proc[[#This Row],[App]],Table2[],3,0),"open")</f>
        <v>ok</v>
      </c>
      <c r="C5021" s="149" t="s">
        <v>369</v>
      </c>
      <c r="D5021" t="s">
        <v>7256</v>
      </c>
      <c r="E5021" s="149" t="s">
        <v>4939</v>
      </c>
      <c r="F5021" s="150" t="str">
        <f>VLOOKUP(Proc[[#This Row],[Obj]],Sheet3!A:B,2,0)</f>
        <v>H000004401</v>
      </c>
      <c r="G5021" s="149" t="s">
        <v>400</v>
      </c>
      <c r="H5021" s="150" t="str">
        <f>IF(Proc[[#This Row],[type]]="LFF (MDG-F)",MID(Proc[[#This Row],[Obj]],13,10),"")</f>
        <v/>
      </c>
      <c r="J5021" s="150" t="b">
        <f>Proc[[#This Row],[Requested]]=Proc[[#This Row],[CurrentParent]]</f>
        <v>1</v>
      </c>
      <c r="K5021" s="150" t="str">
        <f>IF(Proc[[#This Row],[Author]]="Marcela Urrego",VLOOKUP(LEFT(Proc[[#This Row],[Requested]],1),Table3[#All],2,0),VLOOKUP(Proc[[#This Row],[Author]],Table4[],2,0))</f>
        <v>HC</v>
      </c>
      <c r="L5021" s="150" t="s">
        <v>6435</v>
      </c>
      <c r="M5021" s="174">
        <v>45994</v>
      </c>
      <c r="N5021" s="175"/>
      <c r="O5021" s="175"/>
      <c r="P5021" s="175" t="str">
        <f ca="1">IF(Proc[[#This Row],[DaysAgeing]]&gt;5,"yep","on track")</f>
        <v>yep</v>
      </c>
      <c r="Q5021" s="3">
        <f ca="1">IF(Proc[[#This Row],[DateClosed]]="",ABS(NETWORKDAYS(Proc[[#This Row],[DateOpened]],TODAY()))-1,ABS(NETWORKDAYS(Proc[[#This Row],[DateOpened]],Proc[[#This Row],[DateClosed]]))-1)</f>
        <v>7</v>
      </c>
      <c r="R5021" s="175" t="s">
        <v>415</v>
      </c>
      <c r="S5021" s="150"/>
    </row>
    <row r="5022" spans="1:19" hidden="1">
      <c r="A5022" s="149" t="s">
        <v>7252</v>
      </c>
      <c r="B5022" s="150" t="str">
        <f>IFERROR(VLOOKUP(Proc[[#This Row],[App]],Table2[],3,0),"open")</f>
        <v>ok</v>
      </c>
      <c r="C5022" s="149" t="s">
        <v>369</v>
      </c>
      <c r="D5022" t="s">
        <v>7257</v>
      </c>
      <c r="E5022" s="149" t="s">
        <v>4939</v>
      </c>
      <c r="F5022" s="150" t="str">
        <f>VLOOKUP(Proc[[#This Row],[Obj]],Sheet3!A:B,2,0)</f>
        <v>H000004401</v>
      </c>
      <c r="G5022" s="149" t="s">
        <v>400</v>
      </c>
      <c r="H5022" s="150" t="str">
        <f>IF(Proc[[#This Row],[type]]="LFF (MDG-F)",MID(Proc[[#This Row],[Obj]],13,10),"")</f>
        <v/>
      </c>
      <c r="J5022" s="150" t="b">
        <f>Proc[[#This Row],[Requested]]=Proc[[#This Row],[CurrentParent]]</f>
        <v>1</v>
      </c>
      <c r="K5022" s="150" t="str">
        <f>IF(Proc[[#This Row],[Author]]="Marcela Urrego",VLOOKUP(LEFT(Proc[[#This Row],[Requested]],1),Table3[#All],2,0),VLOOKUP(Proc[[#This Row],[Author]],Table4[],2,0))</f>
        <v>HC</v>
      </c>
      <c r="L5022" s="150" t="s">
        <v>6435</v>
      </c>
      <c r="M5022" s="174">
        <v>45994</v>
      </c>
      <c r="N5022" s="175"/>
      <c r="O5022" s="175"/>
      <c r="P5022" s="175" t="str">
        <f ca="1">IF(Proc[[#This Row],[DaysAgeing]]&gt;5,"yep","on track")</f>
        <v>yep</v>
      </c>
      <c r="Q5022" s="3">
        <f ca="1">IF(Proc[[#This Row],[DateClosed]]="",ABS(NETWORKDAYS(Proc[[#This Row],[DateOpened]],TODAY()))-1,ABS(NETWORKDAYS(Proc[[#This Row],[DateOpened]],Proc[[#This Row],[DateClosed]]))-1)</f>
        <v>7</v>
      </c>
      <c r="R5022" s="175" t="s">
        <v>415</v>
      </c>
      <c r="S5022" s="150"/>
    </row>
    <row r="5023" spans="1:19" hidden="1">
      <c r="A5023" t="s">
        <v>7258</v>
      </c>
      <c r="B5023" s="150" t="str">
        <f>IFERROR(VLOOKUP(Proc[[#This Row],[App]],Table2[],3,0),"open")</f>
        <v>ok</v>
      </c>
      <c r="C5023" s="8" t="s">
        <v>377</v>
      </c>
      <c r="D5023" t="s">
        <v>4295</v>
      </c>
      <c r="E5023" t="s">
        <v>7269</v>
      </c>
      <c r="F5023" s="150" t="s">
        <v>7302</v>
      </c>
      <c r="G5023" s="149" t="s">
        <v>400</v>
      </c>
      <c r="H5023" s="150" t="str">
        <f>IF(Proc[[#This Row],[type]]="LFF (MDG-F)",MID(Proc[[#This Row],[Obj]],13,10),"")</f>
        <v/>
      </c>
      <c r="J5023" s="150" t="b">
        <f>Proc[[#This Row],[Requested]]=Proc[[#This Row],[CurrentParent]]</f>
        <v>0</v>
      </c>
      <c r="K5023" s="150" t="str">
        <f>IF(Proc[[#This Row],[Author]]="Marcela Urrego",VLOOKUP(LEFT(Proc[[#This Row],[Requested]],1),Table3[#All],2,0),VLOOKUP(Proc[[#This Row],[Author]],Table4[],2,0))</f>
        <v>HC</v>
      </c>
      <c r="L5023" s="150" t="s">
        <v>6435</v>
      </c>
      <c r="M5023" s="174">
        <v>45994</v>
      </c>
      <c r="N5023" s="175"/>
      <c r="O5023" s="175"/>
      <c r="P5023" s="175" t="str">
        <f ca="1">IF(Proc[[#This Row],[DaysAgeing]]&gt;5,"yep","on track")</f>
        <v>yep</v>
      </c>
      <c r="Q5023" s="3">
        <f ca="1">IF(Proc[[#This Row],[DateClosed]]="",ABS(NETWORKDAYS(Proc[[#This Row],[DateOpened]],TODAY()))-1,ABS(NETWORKDAYS(Proc[[#This Row],[DateOpened]],Proc[[#This Row],[DateClosed]]))-1)</f>
        <v>7</v>
      </c>
      <c r="R5023" s="175" t="s">
        <v>415</v>
      </c>
      <c r="S5023" s="150"/>
    </row>
    <row r="5024" spans="1:19" hidden="1">
      <c r="A5024" t="s">
        <v>7258</v>
      </c>
      <c r="B5024" s="150" t="str">
        <f>IFERROR(VLOOKUP(Proc[[#This Row],[App]],Table2[],3,0),"open")</f>
        <v>ok</v>
      </c>
      <c r="C5024" s="149" t="s">
        <v>369</v>
      </c>
      <c r="D5024" t="s">
        <v>7259</v>
      </c>
      <c r="E5024" t="s">
        <v>7270</v>
      </c>
      <c r="F5024" s="150" t="s">
        <v>7270</v>
      </c>
      <c r="G5024" s="149" t="s">
        <v>400</v>
      </c>
      <c r="H5024" s="150" t="str">
        <f>IF(Proc[[#This Row],[type]]="LFF (MDG-F)",MID(Proc[[#This Row],[Obj]],13,10),"")</f>
        <v/>
      </c>
      <c r="J5024" s="150" t="b">
        <f>Proc[[#This Row],[Requested]]=Proc[[#This Row],[CurrentParent]]</f>
        <v>1</v>
      </c>
      <c r="K5024" s="150" t="str">
        <f>IF(Proc[[#This Row],[Author]]="Marcela Urrego",VLOOKUP(LEFT(Proc[[#This Row],[Requested]],1),Table3[#All],2,0),VLOOKUP(Proc[[#This Row],[Author]],Table4[],2,0))</f>
        <v>HC</v>
      </c>
      <c r="L5024" s="150" t="s">
        <v>6435</v>
      </c>
      <c r="M5024" s="174">
        <v>45994</v>
      </c>
      <c r="N5024" s="175"/>
      <c r="O5024" s="175"/>
      <c r="P5024" s="175" t="str">
        <f ca="1">IF(Proc[[#This Row],[DaysAgeing]]&gt;5,"yep","on track")</f>
        <v>yep</v>
      </c>
      <c r="Q5024" s="3">
        <f ca="1">IF(Proc[[#This Row],[DateClosed]]="",ABS(NETWORKDAYS(Proc[[#This Row],[DateOpened]],TODAY()))-1,ABS(NETWORKDAYS(Proc[[#This Row],[DateOpened]],Proc[[#This Row],[DateClosed]]))-1)</f>
        <v>7</v>
      </c>
      <c r="R5024" s="175" t="s">
        <v>415</v>
      </c>
      <c r="S5024" s="150"/>
    </row>
    <row r="5025" spans="1:19" hidden="1">
      <c r="A5025" s="149" t="s">
        <v>7258</v>
      </c>
      <c r="B5025" s="150" t="str">
        <f>IFERROR(VLOOKUP(Proc[[#This Row],[App]],Table2[],3,0),"open")</f>
        <v>ok</v>
      </c>
      <c r="C5025" s="149" t="s">
        <v>369</v>
      </c>
      <c r="D5025" t="s">
        <v>7260</v>
      </c>
      <c r="E5025" t="s">
        <v>7270</v>
      </c>
      <c r="F5025" s="150" t="s">
        <v>7270</v>
      </c>
      <c r="G5025" s="149" t="s">
        <v>400</v>
      </c>
      <c r="H5025" s="150" t="str">
        <f>IF(Proc[[#This Row],[type]]="LFF (MDG-F)",MID(Proc[[#This Row],[Obj]],13,10),"")</f>
        <v/>
      </c>
      <c r="J5025" s="150" t="b">
        <f>Proc[[#This Row],[Requested]]=Proc[[#This Row],[CurrentParent]]</f>
        <v>1</v>
      </c>
      <c r="K5025" s="150" t="str">
        <f>IF(Proc[[#This Row],[Author]]="Marcela Urrego",VLOOKUP(LEFT(Proc[[#This Row],[Requested]],1),Table3[#All],2,0),VLOOKUP(Proc[[#This Row],[Author]],Table4[],2,0))</f>
        <v>HC</v>
      </c>
      <c r="L5025" s="150" t="s">
        <v>6435</v>
      </c>
      <c r="M5025" s="174">
        <v>45994</v>
      </c>
      <c r="N5025" s="175"/>
      <c r="O5025" s="175"/>
      <c r="P5025" s="175" t="str">
        <f ca="1">IF(Proc[[#This Row],[DaysAgeing]]&gt;5,"yep","on track")</f>
        <v>yep</v>
      </c>
      <c r="Q5025" s="3">
        <f ca="1">IF(Proc[[#This Row],[DateClosed]]="",ABS(NETWORKDAYS(Proc[[#This Row],[DateOpened]],TODAY()))-1,ABS(NETWORKDAYS(Proc[[#This Row],[DateOpened]],Proc[[#This Row],[DateClosed]]))-1)</f>
        <v>7</v>
      </c>
      <c r="R5025" s="175" t="s">
        <v>415</v>
      </c>
      <c r="S5025" s="150"/>
    </row>
    <row r="5026" spans="1:19" hidden="1">
      <c r="A5026" s="149" t="s">
        <v>7258</v>
      </c>
      <c r="B5026" s="150" t="str">
        <f>IFERROR(VLOOKUP(Proc[[#This Row],[App]],Table2[],3,0),"open")</f>
        <v>ok</v>
      </c>
      <c r="C5026" s="149" t="s">
        <v>369</v>
      </c>
      <c r="D5026" t="s">
        <v>7261</v>
      </c>
      <c r="E5026" t="s">
        <v>7270</v>
      </c>
      <c r="F5026" s="150" t="s">
        <v>7270</v>
      </c>
      <c r="G5026" s="149" t="s">
        <v>400</v>
      </c>
      <c r="H5026" s="150" t="str">
        <f>IF(Proc[[#This Row],[type]]="LFF (MDG-F)",MID(Proc[[#This Row],[Obj]],13,10),"")</f>
        <v/>
      </c>
      <c r="J5026" s="150" t="b">
        <f>Proc[[#This Row],[Requested]]=Proc[[#This Row],[CurrentParent]]</f>
        <v>1</v>
      </c>
      <c r="K5026" s="150" t="str">
        <f>IF(Proc[[#This Row],[Author]]="Marcela Urrego",VLOOKUP(LEFT(Proc[[#This Row],[Requested]],1),Table3[#All],2,0),VLOOKUP(Proc[[#This Row],[Author]],Table4[],2,0))</f>
        <v>HC</v>
      </c>
      <c r="L5026" s="150" t="s">
        <v>6435</v>
      </c>
      <c r="M5026" s="174">
        <v>45994</v>
      </c>
      <c r="N5026" s="175"/>
      <c r="O5026" s="175"/>
      <c r="P5026" s="175" t="str">
        <f ca="1">IF(Proc[[#This Row],[DaysAgeing]]&gt;5,"yep","on track")</f>
        <v>yep</v>
      </c>
      <c r="Q5026" s="3">
        <f ca="1">IF(Proc[[#This Row],[DateClosed]]="",ABS(NETWORKDAYS(Proc[[#This Row],[DateOpened]],TODAY()))-1,ABS(NETWORKDAYS(Proc[[#This Row],[DateOpened]],Proc[[#This Row],[DateClosed]]))-1)</f>
        <v>7</v>
      </c>
      <c r="R5026" s="175" t="s">
        <v>415</v>
      </c>
      <c r="S5026" s="150"/>
    </row>
    <row r="5027" spans="1:19" hidden="1">
      <c r="A5027" s="149" t="s">
        <v>7258</v>
      </c>
      <c r="B5027" s="150" t="str">
        <f>IFERROR(VLOOKUP(Proc[[#This Row],[App]],Table2[],3,0),"open")</f>
        <v>ok</v>
      </c>
      <c r="C5027" s="149" t="s">
        <v>369</v>
      </c>
      <c r="D5027" t="s">
        <v>7262</v>
      </c>
      <c r="E5027" t="s">
        <v>7270</v>
      </c>
      <c r="F5027" s="150" t="s">
        <v>7270</v>
      </c>
      <c r="G5027" s="149" t="s">
        <v>400</v>
      </c>
      <c r="H5027" s="150" t="str">
        <f>IF(Proc[[#This Row],[type]]="LFF (MDG-F)",MID(Proc[[#This Row],[Obj]],13,10),"")</f>
        <v/>
      </c>
      <c r="J5027" s="150" t="b">
        <f>Proc[[#This Row],[Requested]]=Proc[[#This Row],[CurrentParent]]</f>
        <v>1</v>
      </c>
      <c r="K5027" s="150" t="str">
        <f>IF(Proc[[#This Row],[Author]]="Marcela Urrego",VLOOKUP(LEFT(Proc[[#This Row],[Requested]],1),Table3[#All],2,0),VLOOKUP(Proc[[#This Row],[Author]],Table4[],2,0))</f>
        <v>HC</v>
      </c>
      <c r="L5027" s="150" t="s">
        <v>6435</v>
      </c>
      <c r="M5027" s="174">
        <v>45994</v>
      </c>
      <c r="N5027" s="175"/>
      <c r="O5027" s="175"/>
      <c r="P5027" s="175" t="str">
        <f ca="1">IF(Proc[[#This Row],[DaysAgeing]]&gt;5,"yep","on track")</f>
        <v>yep</v>
      </c>
      <c r="Q5027" s="3">
        <f ca="1">IF(Proc[[#This Row],[DateClosed]]="",ABS(NETWORKDAYS(Proc[[#This Row],[DateOpened]],TODAY()))-1,ABS(NETWORKDAYS(Proc[[#This Row],[DateOpened]],Proc[[#This Row],[DateClosed]]))-1)</f>
        <v>7</v>
      </c>
      <c r="R5027" s="175" t="s">
        <v>415</v>
      </c>
      <c r="S5027" s="150"/>
    </row>
    <row r="5028" spans="1:19" hidden="1">
      <c r="A5028" s="149" t="s">
        <v>7258</v>
      </c>
      <c r="B5028" s="150" t="str">
        <f>IFERROR(VLOOKUP(Proc[[#This Row],[App]],Table2[],3,0),"open")</f>
        <v>ok</v>
      </c>
      <c r="C5028" s="149" t="s">
        <v>369</v>
      </c>
      <c r="D5028" t="s">
        <v>7263</v>
      </c>
      <c r="E5028" t="s">
        <v>7270</v>
      </c>
      <c r="F5028" s="150" t="s">
        <v>7270</v>
      </c>
      <c r="G5028" s="149" t="s">
        <v>400</v>
      </c>
      <c r="H5028" s="150" t="str">
        <f>IF(Proc[[#This Row],[type]]="LFF (MDG-F)",MID(Proc[[#This Row],[Obj]],13,10),"")</f>
        <v/>
      </c>
      <c r="J5028" s="150" t="b">
        <f>Proc[[#This Row],[Requested]]=Proc[[#This Row],[CurrentParent]]</f>
        <v>1</v>
      </c>
      <c r="K5028" s="150" t="str">
        <f>IF(Proc[[#This Row],[Author]]="Marcela Urrego",VLOOKUP(LEFT(Proc[[#This Row],[Requested]],1),Table3[#All],2,0),VLOOKUP(Proc[[#This Row],[Author]],Table4[],2,0))</f>
        <v>HC</v>
      </c>
      <c r="L5028" s="150" t="s">
        <v>6435</v>
      </c>
      <c r="M5028" s="174">
        <v>45994</v>
      </c>
      <c r="N5028" s="175"/>
      <c r="O5028" s="175"/>
      <c r="P5028" s="175" t="str">
        <f ca="1">IF(Proc[[#This Row],[DaysAgeing]]&gt;5,"yep","on track")</f>
        <v>yep</v>
      </c>
      <c r="Q5028" s="3">
        <f ca="1">IF(Proc[[#This Row],[DateClosed]]="",ABS(NETWORKDAYS(Proc[[#This Row],[DateOpened]],TODAY()))-1,ABS(NETWORKDAYS(Proc[[#This Row],[DateOpened]],Proc[[#This Row],[DateClosed]]))-1)</f>
        <v>7</v>
      </c>
      <c r="R5028" s="175" t="s">
        <v>415</v>
      </c>
      <c r="S5028" s="150"/>
    </row>
    <row r="5029" spans="1:19" hidden="1">
      <c r="A5029" s="149" t="s">
        <v>7258</v>
      </c>
      <c r="B5029" s="150" t="str">
        <f>IFERROR(VLOOKUP(Proc[[#This Row],[App]],Table2[],3,0),"open")</f>
        <v>ok</v>
      </c>
      <c r="C5029" s="149" t="s">
        <v>369</v>
      </c>
      <c r="D5029" t="s">
        <v>7264</v>
      </c>
      <c r="E5029" t="s">
        <v>7271</v>
      </c>
      <c r="F5029" s="150" t="s">
        <v>7271</v>
      </c>
      <c r="G5029" s="149" t="s">
        <v>400</v>
      </c>
      <c r="H5029" s="150" t="str">
        <f>IF(Proc[[#This Row],[type]]="LFF (MDG-F)",MID(Proc[[#This Row],[Obj]],13,10),"")</f>
        <v/>
      </c>
      <c r="J5029" s="150" t="b">
        <f>Proc[[#This Row],[Requested]]=Proc[[#This Row],[CurrentParent]]</f>
        <v>1</v>
      </c>
      <c r="K5029" s="150" t="str">
        <f>IF(Proc[[#This Row],[Author]]="Marcela Urrego",VLOOKUP(LEFT(Proc[[#This Row],[Requested]],1),Table3[#All],2,0),VLOOKUP(Proc[[#This Row],[Author]],Table4[],2,0))</f>
        <v>HC</v>
      </c>
      <c r="L5029" s="150" t="s">
        <v>6435</v>
      </c>
      <c r="M5029" s="174">
        <v>45994</v>
      </c>
      <c r="N5029" s="175"/>
      <c r="O5029" s="175"/>
      <c r="P5029" s="175" t="str">
        <f ca="1">IF(Proc[[#This Row],[DaysAgeing]]&gt;5,"yep","on track")</f>
        <v>yep</v>
      </c>
      <c r="Q5029" s="3">
        <f ca="1">IF(Proc[[#This Row],[DateClosed]]="",ABS(NETWORKDAYS(Proc[[#This Row],[DateOpened]],TODAY()))-1,ABS(NETWORKDAYS(Proc[[#This Row],[DateOpened]],Proc[[#This Row],[DateClosed]]))-1)</f>
        <v>7</v>
      </c>
      <c r="R5029" s="175" t="s">
        <v>415</v>
      </c>
      <c r="S5029" s="150"/>
    </row>
    <row r="5030" spans="1:19" hidden="1">
      <c r="A5030" s="149" t="s">
        <v>7258</v>
      </c>
      <c r="B5030" s="150" t="str">
        <f>IFERROR(VLOOKUP(Proc[[#This Row],[App]],Table2[],3,0),"open")</f>
        <v>ok</v>
      </c>
      <c r="C5030" s="149" t="s">
        <v>369</v>
      </c>
      <c r="D5030" t="s">
        <v>7265</v>
      </c>
      <c r="E5030" t="s">
        <v>7272</v>
      </c>
      <c r="F5030" s="150" t="s">
        <v>7272</v>
      </c>
      <c r="G5030" s="149" t="s">
        <v>400</v>
      </c>
      <c r="H5030" s="150" t="str">
        <f>IF(Proc[[#This Row],[type]]="LFF (MDG-F)",MID(Proc[[#This Row],[Obj]],13,10),"")</f>
        <v/>
      </c>
      <c r="J5030" s="150" t="b">
        <f>Proc[[#This Row],[Requested]]=Proc[[#This Row],[CurrentParent]]</f>
        <v>1</v>
      </c>
      <c r="K5030" s="150" t="str">
        <f>IF(Proc[[#This Row],[Author]]="Marcela Urrego",VLOOKUP(LEFT(Proc[[#This Row],[Requested]],1),Table3[#All],2,0),VLOOKUP(Proc[[#This Row],[Author]],Table4[],2,0))</f>
        <v>HC</v>
      </c>
      <c r="L5030" s="150" t="s">
        <v>6435</v>
      </c>
      <c r="M5030" s="174">
        <v>45994</v>
      </c>
      <c r="N5030" s="175"/>
      <c r="O5030" s="175"/>
      <c r="P5030" s="175" t="str">
        <f ca="1">IF(Proc[[#This Row],[DaysAgeing]]&gt;5,"yep","on track")</f>
        <v>yep</v>
      </c>
      <c r="Q5030" s="3">
        <f ca="1">IF(Proc[[#This Row],[DateClosed]]="",ABS(NETWORKDAYS(Proc[[#This Row],[DateOpened]],TODAY()))-1,ABS(NETWORKDAYS(Proc[[#This Row],[DateOpened]],Proc[[#This Row],[DateClosed]]))-1)</f>
        <v>7</v>
      </c>
      <c r="R5030" s="175" t="s">
        <v>415</v>
      </c>
      <c r="S5030" s="150"/>
    </row>
    <row r="5031" spans="1:19" hidden="1">
      <c r="A5031" s="149" t="s">
        <v>7258</v>
      </c>
      <c r="B5031" s="150" t="str">
        <f>IFERROR(VLOOKUP(Proc[[#This Row],[App]],Table2[],3,0),"open")</f>
        <v>ok</v>
      </c>
      <c r="C5031" s="149" t="s">
        <v>369</v>
      </c>
      <c r="D5031" t="s">
        <v>7266</v>
      </c>
      <c r="E5031" t="s">
        <v>7272</v>
      </c>
      <c r="F5031" s="150" t="s">
        <v>7272</v>
      </c>
      <c r="G5031" s="149" t="s">
        <v>400</v>
      </c>
      <c r="H5031" s="150" t="str">
        <f>IF(Proc[[#This Row],[type]]="LFF (MDG-F)",MID(Proc[[#This Row],[Obj]],13,10),"")</f>
        <v/>
      </c>
      <c r="J5031" s="150" t="b">
        <f>Proc[[#This Row],[Requested]]=Proc[[#This Row],[CurrentParent]]</f>
        <v>1</v>
      </c>
      <c r="K5031" s="150" t="str">
        <f>IF(Proc[[#This Row],[Author]]="Marcela Urrego",VLOOKUP(LEFT(Proc[[#This Row],[Requested]],1),Table3[#All],2,0),VLOOKUP(Proc[[#This Row],[Author]],Table4[],2,0))</f>
        <v>HC</v>
      </c>
      <c r="L5031" s="150" t="s">
        <v>6435</v>
      </c>
      <c r="M5031" s="174">
        <v>45994</v>
      </c>
      <c r="N5031" s="175"/>
      <c r="O5031" s="175"/>
      <c r="P5031" s="175" t="str">
        <f ca="1">IF(Proc[[#This Row],[DaysAgeing]]&gt;5,"yep","on track")</f>
        <v>yep</v>
      </c>
      <c r="Q5031" s="3">
        <f ca="1">IF(Proc[[#This Row],[DateClosed]]="",ABS(NETWORKDAYS(Proc[[#This Row],[DateOpened]],TODAY()))-1,ABS(NETWORKDAYS(Proc[[#This Row],[DateOpened]],Proc[[#This Row],[DateClosed]]))-1)</f>
        <v>7</v>
      </c>
      <c r="R5031" s="175" t="s">
        <v>415</v>
      </c>
      <c r="S5031" s="150"/>
    </row>
    <row r="5032" spans="1:19" hidden="1">
      <c r="A5032" s="149" t="s">
        <v>7258</v>
      </c>
      <c r="B5032" s="150" t="str">
        <f>IFERROR(VLOOKUP(Proc[[#This Row],[App]],Table2[],3,0),"open")</f>
        <v>ok</v>
      </c>
      <c r="C5032" s="149" t="s">
        <v>369</v>
      </c>
      <c r="D5032" t="s">
        <v>7267</v>
      </c>
      <c r="E5032" t="s">
        <v>4939</v>
      </c>
      <c r="F5032" s="150" t="s">
        <v>4939</v>
      </c>
      <c r="G5032" s="149" t="s">
        <v>400</v>
      </c>
      <c r="H5032" s="150" t="str">
        <f>IF(Proc[[#This Row],[type]]="LFF (MDG-F)",MID(Proc[[#This Row],[Obj]],13,10),"")</f>
        <v/>
      </c>
      <c r="J5032" s="150" t="b">
        <f>Proc[[#This Row],[Requested]]=Proc[[#This Row],[CurrentParent]]</f>
        <v>1</v>
      </c>
      <c r="K5032" s="150" t="str">
        <f>IF(Proc[[#This Row],[Author]]="Marcela Urrego",VLOOKUP(LEFT(Proc[[#This Row],[Requested]],1),Table3[#All],2,0),VLOOKUP(Proc[[#This Row],[Author]],Table4[],2,0))</f>
        <v>HC</v>
      </c>
      <c r="L5032" s="150" t="s">
        <v>6435</v>
      </c>
      <c r="M5032" s="174">
        <v>45994</v>
      </c>
      <c r="N5032" s="175"/>
      <c r="O5032" s="175"/>
      <c r="P5032" s="175" t="str">
        <f ca="1">IF(Proc[[#This Row],[DaysAgeing]]&gt;5,"yep","on track")</f>
        <v>yep</v>
      </c>
      <c r="Q5032" s="3">
        <f ca="1">IF(Proc[[#This Row],[DateClosed]]="",ABS(NETWORKDAYS(Proc[[#This Row],[DateOpened]],TODAY()))-1,ABS(NETWORKDAYS(Proc[[#This Row],[DateOpened]],Proc[[#This Row],[DateClosed]]))-1)</f>
        <v>7</v>
      </c>
      <c r="R5032" s="175" t="s">
        <v>415</v>
      </c>
      <c r="S5032" s="150"/>
    </row>
    <row r="5033" spans="1:19" hidden="1">
      <c r="A5033" s="149" t="s">
        <v>7258</v>
      </c>
      <c r="B5033" s="150" t="str">
        <f>IFERROR(VLOOKUP(Proc[[#This Row],[App]],Table2[],3,0),"open")</f>
        <v>ok</v>
      </c>
      <c r="C5033" s="149" t="s">
        <v>369</v>
      </c>
      <c r="D5033" t="s">
        <v>7251</v>
      </c>
      <c r="E5033" t="s">
        <v>4914</v>
      </c>
      <c r="F5033" s="150" t="s">
        <v>4914</v>
      </c>
      <c r="G5033" s="149" t="s">
        <v>400</v>
      </c>
      <c r="H5033" s="150" t="str">
        <f>IF(Proc[[#This Row],[type]]="LFF (MDG-F)",MID(Proc[[#This Row],[Obj]],13,10),"")</f>
        <v/>
      </c>
      <c r="J5033" s="150" t="b">
        <f>Proc[[#This Row],[Requested]]=Proc[[#This Row],[CurrentParent]]</f>
        <v>1</v>
      </c>
      <c r="K5033" s="150" t="str">
        <f>IF(Proc[[#This Row],[Author]]="Marcela Urrego",VLOOKUP(LEFT(Proc[[#This Row],[Requested]],1),Table3[#All],2,0),VLOOKUP(Proc[[#This Row],[Author]],Table4[],2,0))</f>
        <v>HC</v>
      </c>
      <c r="L5033" s="150" t="s">
        <v>6435</v>
      </c>
      <c r="M5033" s="174">
        <v>45994</v>
      </c>
      <c r="N5033" s="175"/>
      <c r="O5033" s="175"/>
      <c r="P5033" s="175" t="str">
        <f ca="1">IF(Proc[[#This Row],[DaysAgeing]]&gt;5,"yep","on track")</f>
        <v>yep</v>
      </c>
      <c r="Q5033" s="3">
        <f ca="1">IF(Proc[[#This Row],[DateClosed]]="",ABS(NETWORKDAYS(Proc[[#This Row],[DateOpened]],TODAY()))-1,ABS(NETWORKDAYS(Proc[[#This Row],[DateOpened]],Proc[[#This Row],[DateClosed]]))-1)</f>
        <v>7</v>
      </c>
      <c r="R5033" s="175" t="s">
        <v>415</v>
      </c>
      <c r="S5033" s="150"/>
    </row>
    <row r="5034" spans="1:19" hidden="1">
      <c r="A5034" s="149" t="s">
        <v>7258</v>
      </c>
      <c r="B5034" s="150" t="str">
        <f>IFERROR(VLOOKUP(Proc[[#This Row],[App]],Table2[],3,0),"open")</f>
        <v>ok</v>
      </c>
      <c r="C5034" s="149" t="s">
        <v>369</v>
      </c>
      <c r="D5034" t="s">
        <v>7268</v>
      </c>
      <c r="E5034" t="s">
        <v>2419</v>
      </c>
      <c r="F5034" s="150" t="s">
        <v>2419</v>
      </c>
      <c r="G5034" s="149" t="s">
        <v>400</v>
      </c>
      <c r="H5034" s="150" t="str">
        <f>IF(Proc[[#This Row],[type]]="LFF (MDG-F)",MID(Proc[[#This Row],[Obj]],13,10),"")</f>
        <v/>
      </c>
      <c r="J5034" s="150" t="b">
        <f>Proc[[#This Row],[Requested]]=Proc[[#This Row],[CurrentParent]]</f>
        <v>1</v>
      </c>
      <c r="K5034" s="150" t="str">
        <f>IF(Proc[[#This Row],[Author]]="Marcela Urrego",VLOOKUP(LEFT(Proc[[#This Row],[Requested]],1),Table3[#All],2,0),VLOOKUP(Proc[[#This Row],[Author]],Table4[],2,0))</f>
        <v>HC</v>
      </c>
      <c r="L5034" s="150" t="s">
        <v>6435</v>
      </c>
      <c r="M5034" s="174">
        <v>45994</v>
      </c>
      <c r="N5034" s="175"/>
      <c r="O5034" s="175"/>
      <c r="P5034" s="175" t="str">
        <f ca="1">IF(Proc[[#This Row],[DaysAgeing]]&gt;5,"yep","on track")</f>
        <v>yep</v>
      </c>
      <c r="Q5034" s="3">
        <f ca="1">IF(Proc[[#This Row],[DateClosed]]="",ABS(NETWORKDAYS(Proc[[#This Row],[DateOpened]],TODAY()))-1,ABS(NETWORKDAYS(Proc[[#This Row],[DateOpened]],Proc[[#This Row],[DateClosed]]))-1)</f>
        <v>7</v>
      </c>
      <c r="R5034" s="175" t="s">
        <v>415</v>
      </c>
      <c r="S5034" s="150"/>
    </row>
    <row r="5035" spans="1:19" hidden="1">
      <c r="A5035" t="s">
        <v>7273</v>
      </c>
      <c r="B5035" s="150" t="str">
        <f>IFERROR(VLOOKUP(Proc[[#This Row],[App]],Table2[],3,0),"open")</f>
        <v>ok</v>
      </c>
      <c r="C5035" s="149" t="s">
        <v>369</v>
      </c>
      <c r="D5035" t="s">
        <v>7274</v>
      </c>
      <c r="E5035" t="s">
        <v>4939</v>
      </c>
      <c r="F5035" s="150" t="str">
        <f>VLOOKUP(Proc[[#This Row],[Obj]],Sheet3!A:B,2,0)</f>
        <v>H000004401</v>
      </c>
      <c r="G5035" s="149" t="s">
        <v>400</v>
      </c>
      <c r="H5035" s="150" t="str">
        <f>IF(Proc[[#This Row],[type]]="LFF (MDG-F)",MID(Proc[[#This Row],[Obj]],13,10),"")</f>
        <v/>
      </c>
      <c r="J5035" s="150" t="b">
        <f>Proc[[#This Row],[Requested]]=Proc[[#This Row],[CurrentParent]]</f>
        <v>1</v>
      </c>
      <c r="K5035" s="150" t="str">
        <f>IF(Proc[[#This Row],[Author]]="Marcela Urrego",VLOOKUP(LEFT(Proc[[#This Row],[Requested]],1),Table3[#All],2,0),VLOOKUP(Proc[[#This Row],[Author]],Table4[],2,0))</f>
        <v>HC</v>
      </c>
      <c r="L5035" s="150" t="s">
        <v>6435</v>
      </c>
      <c r="M5035" s="174">
        <v>45994</v>
      </c>
      <c r="N5035" s="175"/>
      <c r="O5035" s="175"/>
      <c r="P5035" s="175" t="str">
        <f ca="1">IF(Proc[[#This Row],[DaysAgeing]]&gt;5,"yep","on track")</f>
        <v>yep</v>
      </c>
      <c r="Q5035" s="3">
        <f ca="1">IF(Proc[[#This Row],[DateClosed]]="",ABS(NETWORKDAYS(Proc[[#This Row],[DateOpened]],TODAY()))-1,ABS(NETWORKDAYS(Proc[[#This Row],[DateOpened]],Proc[[#This Row],[DateClosed]]))-1)</f>
        <v>7</v>
      </c>
      <c r="R5035" s="175" t="s">
        <v>415</v>
      </c>
      <c r="S5035" s="150"/>
    </row>
    <row r="5036" spans="1:19" hidden="1">
      <c r="A5036" t="s">
        <v>7273</v>
      </c>
      <c r="B5036" s="150" t="str">
        <f>IFERROR(VLOOKUP(Proc[[#This Row],[App]],Table2[],3,0),"open")</f>
        <v>ok</v>
      </c>
      <c r="C5036" s="149" t="s">
        <v>369</v>
      </c>
      <c r="D5036" t="s">
        <v>7275</v>
      </c>
      <c r="E5036" t="s">
        <v>4939</v>
      </c>
      <c r="F5036" s="150" t="str">
        <f>VLOOKUP(Proc[[#This Row],[Obj]],Sheet3!A:B,2,0)</f>
        <v>H000004401</v>
      </c>
      <c r="G5036" s="149" t="s">
        <v>400</v>
      </c>
      <c r="H5036" s="150" t="str">
        <f>IF(Proc[[#This Row],[type]]="LFF (MDG-F)",MID(Proc[[#This Row],[Obj]],13,10),"")</f>
        <v/>
      </c>
      <c r="J5036" s="150" t="b">
        <f>Proc[[#This Row],[Requested]]=Proc[[#This Row],[CurrentParent]]</f>
        <v>1</v>
      </c>
      <c r="K5036" s="150" t="str">
        <f>IF(Proc[[#This Row],[Author]]="Marcela Urrego",VLOOKUP(LEFT(Proc[[#This Row],[Requested]],1),Table3[#All],2,0),VLOOKUP(Proc[[#This Row],[Author]],Table4[],2,0))</f>
        <v>HC</v>
      </c>
      <c r="L5036" s="150" t="s">
        <v>6435</v>
      </c>
      <c r="M5036" s="174">
        <v>45994</v>
      </c>
      <c r="N5036" s="175"/>
      <c r="O5036" s="175"/>
      <c r="P5036" s="175" t="str">
        <f ca="1">IF(Proc[[#This Row],[DaysAgeing]]&gt;5,"yep","on track")</f>
        <v>yep</v>
      </c>
      <c r="Q5036" s="3">
        <f ca="1">IF(Proc[[#This Row],[DateClosed]]="",ABS(NETWORKDAYS(Proc[[#This Row],[DateOpened]],TODAY()))-1,ABS(NETWORKDAYS(Proc[[#This Row],[DateOpened]],Proc[[#This Row],[DateClosed]]))-1)</f>
        <v>7</v>
      </c>
      <c r="R5036" s="175" t="s">
        <v>415</v>
      </c>
      <c r="S5036" s="150"/>
    </row>
    <row r="5037" spans="1:19" hidden="1">
      <c r="A5037" s="149" t="s">
        <v>7273</v>
      </c>
      <c r="B5037" s="150" t="str">
        <f>IFERROR(VLOOKUP(Proc[[#This Row],[App]],Table2[],3,0),"open")</f>
        <v>ok</v>
      </c>
      <c r="C5037" s="149" t="s">
        <v>369</v>
      </c>
      <c r="D5037" t="s">
        <v>7276</v>
      </c>
      <c r="E5037" t="s">
        <v>4939</v>
      </c>
      <c r="F5037" s="150" t="str">
        <f>VLOOKUP(Proc[[#This Row],[Obj]],Sheet3!A:B,2,0)</f>
        <v>H000004401</v>
      </c>
      <c r="G5037" s="149" t="s">
        <v>400</v>
      </c>
      <c r="H5037" s="150" t="str">
        <f>IF(Proc[[#This Row],[type]]="LFF (MDG-F)",MID(Proc[[#This Row],[Obj]],13,10),"")</f>
        <v/>
      </c>
      <c r="J5037" s="150" t="b">
        <f>Proc[[#This Row],[Requested]]=Proc[[#This Row],[CurrentParent]]</f>
        <v>1</v>
      </c>
      <c r="K5037" s="150" t="str">
        <f>IF(Proc[[#This Row],[Author]]="Marcela Urrego",VLOOKUP(LEFT(Proc[[#This Row],[Requested]],1),Table3[#All],2,0),VLOOKUP(Proc[[#This Row],[Author]],Table4[],2,0))</f>
        <v>HC</v>
      </c>
      <c r="L5037" s="150" t="s">
        <v>6435</v>
      </c>
      <c r="M5037" s="174">
        <v>45994</v>
      </c>
      <c r="N5037" s="175"/>
      <c r="O5037" s="175"/>
      <c r="P5037" s="175" t="str">
        <f ca="1">IF(Proc[[#This Row],[DaysAgeing]]&gt;5,"yep","on track")</f>
        <v>yep</v>
      </c>
      <c r="Q5037" s="3">
        <f ca="1">IF(Proc[[#This Row],[DateClosed]]="",ABS(NETWORKDAYS(Proc[[#This Row],[DateOpened]],TODAY()))-1,ABS(NETWORKDAYS(Proc[[#This Row],[DateOpened]],Proc[[#This Row],[DateClosed]]))-1)</f>
        <v>7</v>
      </c>
      <c r="R5037" s="175" t="s">
        <v>415</v>
      </c>
      <c r="S5037" s="150"/>
    </row>
    <row r="5038" spans="1:19" hidden="1">
      <c r="A5038" s="149" t="s">
        <v>7273</v>
      </c>
      <c r="B5038" s="150" t="str">
        <f>IFERROR(VLOOKUP(Proc[[#This Row],[App]],Table2[],3,0),"open")</f>
        <v>ok</v>
      </c>
      <c r="C5038" s="149" t="s">
        <v>369</v>
      </c>
      <c r="D5038" t="s">
        <v>7277</v>
      </c>
      <c r="E5038" t="s">
        <v>4939</v>
      </c>
      <c r="F5038" s="150" t="str">
        <f>VLOOKUP(Proc[[#This Row],[Obj]],Sheet3!A:B,2,0)</f>
        <v>H000004401</v>
      </c>
      <c r="G5038" s="149" t="s">
        <v>400</v>
      </c>
      <c r="H5038" s="150" t="str">
        <f>IF(Proc[[#This Row],[type]]="LFF (MDG-F)",MID(Proc[[#This Row],[Obj]],13,10),"")</f>
        <v/>
      </c>
      <c r="J5038" s="150" t="b">
        <f>Proc[[#This Row],[Requested]]=Proc[[#This Row],[CurrentParent]]</f>
        <v>1</v>
      </c>
      <c r="K5038" s="150" t="str">
        <f>IF(Proc[[#This Row],[Author]]="Marcela Urrego",VLOOKUP(LEFT(Proc[[#This Row],[Requested]],1),Table3[#All],2,0),VLOOKUP(Proc[[#This Row],[Author]],Table4[],2,0))</f>
        <v>HC</v>
      </c>
      <c r="L5038" s="150" t="s">
        <v>6435</v>
      </c>
      <c r="M5038" s="174">
        <v>45994</v>
      </c>
      <c r="N5038" s="175"/>
      <c r="O5038" s="175"/>
      <c r="P5038" s="175" t="str">
        <f ca="1">IF(Proc[[#This Row],[DaysAgeing]]&gt;5,"yep","on track")</f>
        <v>yep</v>
      </c>
      <c r="Q5038" s="3">
        <f ca="1">IF(Proc[[#This Row],[DateClosed]]="",ABS(NETWORKDAYS(Proc[[#This Row],[DateOpened]],TODAY()))-1,ABS(NETWORKDAYS(Proc[[#This Row],[DateOpened]],Proc[[#This Row],[DateClosed]]))-1)</f>
        <v>7</v>
      </c>
      <c r="R5038" s="175" t="s">
        <v>415</v>
      </c>
      <c r="S5038" s="150"/>
    </row>
    <row r="5039" spans="1:19" hidden="1">
      <c r="A5039" s="149" t="s">
        <v>7273</v>
      </c>
      <c r="B5039" s="150" t="str">
        <f>IFERROR(VLOOKUP(Proc[[#This Row],[App]],Table2[],3,0),"open")</f>
        <v>ok</v>
      </c>
      <c r="C5039" s="149" t="s">
        <v>369</v>
      </c>
      <c r="D5039" t="s">
        <v>7278</v>
      </c>
      <c r="E5039" s="149" t="s">
        <v>4939</v>
      </c>
      <c r="F5039" s="150" t="str">
        <f>VLOOKUP(Proc[[#This Row],[Obj]],Sheet3!A:B,2,0)</f>
        <v>H000004401</v>
      </c>
      <c r="G5039" s="149" t="s">
        <v>400</v>
      </c>
      <c r="H5039" s="150" t="str">
        <f>IF(Proc[[#This Row],[type]]="LFF (MDG-F)",MID(Proc[[#This Row],[Obj]],13,10),"")</f>
        <v/>
      </c>
      <c r="J5039" s="150" t="b">
        <f>Proc[[#This Row],[Requested]]=Proc[[#This Row],[CurrentParent]]</f>
        <v>1</v>
      </c>
      <c r="K5039" s="150" t="str">
        <f>IF(Proc[[#This Row],[Author]]="Marcela Urrego",VLOOKUP(LEFT(Proc[[#This Row],[Requested]],1),Table3[#All],2,0),VLOOKUP(Proc[[#This Row],[Author]],Table4[],2,0))</f>
        <v>HC</v>
      </c>
      <c r="L5039" s="150" t="s">
        <v>6435</v>
      </c>
      <c r="M5039" s="174">
        <v>45994</v>
      </c>
      <c r="N5039" s="175"/>
      <c r="O5039" s="175"/>
      <c r="P5039" s="175" t="str">
        <f ca="1">IF(Proc[[#This Row],[DaysAgeing]]&gt;5,"yep","on track")</f>
        <v>yep</v>
      </c>
      <c r="Q5039" s="3">
        <f ca="1">IF(Proc[[#This Row],[DateClosed]]="",ABS(NETWORKDAYS(Proc[[#This Row],[DateOpened]],TODAY()))-1,ABS(NETWORKDAYS(Proc[[#This Row],[DateOpened]],Proc[[#This Row],[DateClosed]]))-1)</f>
        <v>7</v>
      </c>
      <c r="R5039" s="175" t="s">
        <v>415</v>
      </c>
      <c r="S5039" s="150"/>
    </row>
    <row r="5040" spans="1:19" hidden="1">
      <c r="A5040" t="s">
        <v>7279</v>
      </c>
      <c r="B5040" s="150" t="str">
        <f>IFERROR(VLOOKUP(Proc[[#This Row],[App]],Table2[],3,0),"open")</f>
        <v>ok</v>
      </c>
      <c r="C5040" s="149" t="s">
        <v>369</v>
      </c>
      <c r="D5040" t="s">
        <v>7280</v>
      </c>
      <c r="E5040" t="s">
        <v>7281</v>
      </c>
      <c r="F5040" s="150" t="s">
        <v>7281</v>
      </c>
      <c r="G5040" s="149" t="s">
        <v>400</v>
      </c>
      <c r="H5040" s="150" t="str">
        <f>IF(Proc[[#This Row],[type]]="LFF (MDG-F)",MID(Proc[[#This Row],[Obj]],13,10),"")</f>
        <v/>
      </c>
      <c r="J5040" s="150" t="b">
        <f>Proc[[#This Row],[Requested]]=Proc[[#This Row],[CurrentParent]]</f>
        <v>1</v>
      </c>
      <c r="K5040" s="150" t="str">
        <f>IF(Proc[[#This Row],[Author]]="Marcela Urrego",VLOOKUP(LEFT(Proc[[#This Row],[Requested]],1),Table3[#All],2,0),VLOOKUP(Proc[[#This Row],[Author]],Table4[],2,0))</f>
        <v>HC</v>
      </c>
      <c r="L5040" s="150" t="s">
        <v>6435</v>
      </c>
      <c r="M5040" s="174">
        <v>45995</v>
      </c>
      <c r="N5040" s="175"/>
      <c r="O5040" s="175"/>
      <c r="P5040" s="175" t="str">
        <f ca="1">IF(Proc[[#This Row],[DaysAgeing]]&gt;5,"yep","on track")</f>
        <v>yep</v>
      </c>
      <c r="Q5040" s="3">
        <f ca="1">IF(Proc[[#This Row],[DateClosed]]="",ABS(NETWORKDAYS(Proc[[#This Row],[DateOpened]],TODAY()))-1,ABS(NETWORKDAYS(Proc[[#This Row],[DateOpened]],Proc[[#This Row],[DateClosed]]))-1)</f>
        <v>6</v>
      </c>
      <c r="R5040" s="175" t="s">
        <v>764</v>
      </c>
      <c r="S5040" s="150"/>
    </row>
    <row r="5041" spans="1:19" hidden="1">
      <c r="A5041" t="s">
        <v>7283</v>
      </c>
      <c r="B5041" s="150" t="str">
        <f>IFERROR(VLOOKUP(Proc[[#This Row],[App]],Table2[],3,0),"open")</f>
        <v>ok</v>
      </c>
      <c r="C5041" t="s">
        <v>369</v>
      </c>
      <c r="D5041" t="s">
        <v>7284</v>
      </c>
      <c r="E5041" t="s">
        <v>425</v>
      </c>
      <c r="F5041" s="150" t="str">
        <f>VLOOKUP(Proc[[#This Row],[Obj]],Sheet3!A:B,2,0)</f>
        <v>G000000895</v>
      </c>
      <c r="G5041" s="149" t="s">
        <v>400</v>
      </c>
      <c r="H5041" s="150" t="str">
        <f>IF(Proc[[#This Row],[type]]="LFF (MDG-F)",MID(Proc[[#This Row],[Obj]],13,10),"")</f>
        <v/>
      </c>
      <c r="J5041" s="150" t="b">
        <f>Proc[[#This Row],[Requested]]=Proc[[#This Row],[CurrentParent]]</f>
        <v>1</v>
      </c>
      <c r="K5041" s="150" t="str">
        <f>IF(Proc[[#This Row],[Author]]="Marcela Urrego",VLOOKUP(LEFT(Proc[[#This Row],[Requested]],1),Table3[#All],2,0),VLOOKUP(Proc[[#This Row],[Author]],Table4[],2,0))</f>
        <v>MGF</v>
      </c>
      <c r="L5041" s="150" t="s">
        <v>6435</v>
      </c>
      <c r="M5041" s="174">
        <v>45995</v>
      </c>
      <c r="N5041" s="175"/>
      <c r="O5041" s="175"/>
      <c r="P5041" s="175" t="str">
        <f ca="1">IF(Proc[[#This Row],[DaysAgeing]]&gt;5,"yep","on track")</f>
        <v>yep</v>
      </c>
      <c r="Q5041" s="3">
        <f ca="1">IF(Proc[[#This Row],[DateClosed]]="",ABS(NETWORKDAYS(Proc[[#This Row],[DateOpened]],TODAY()))-1,ABS(NETWORKDAYS(Proc[[#This Row],[DateOpened]],Proc[[#This Row],[DateClosed]]))-1)</f>
        <v>6</v>
      </c>
      <c r="R5041" s="175" t="s">
        <v>1459</v>
      </c>
      <c r="S5041" s="150"/>
    </row>
    <row r="5042" spans="1:19" hidden="1">
      <c r="A5042" t="s">
        <v>7285</v>
      </c>
      <c r="B5042" s="150" t="str">
        <f>IFERROR(VLOOKUP(Proc[[#This Row],[App]],Table2[],3,0),"open")</f>
        <v>ok</v>
      </c>
      <c r="C5042" s="149" t="s">
        <v>369</v>
      </c>
      <c r="D5042" t="s">
        <v>7286</v>
      </c>
      <c r="E5042" t="s">
        <v>4937</v>
      </c>
      <c r="F5042" s="150" t="s">
        <v>4937</v>
      </c>
      <c r="G5042" s="149" t="s">
        <v>400</v>
      </c>
      <c r="H5042" s="150" t="str">
        <f>IF(Proc[[#This Row],[type]]="LFF (MDG-F)",MID(Proc[[#This Row],[Obj]],13,10),"")</f>
        <v/>
      </c>
      <c r="J5042" s="150" t="b">
        <f>Proc[[#This Row],[Requested]]=Proc[[#This Row],[CurrentParent]]</f>
        <v>1</v>
      </c>
      <c r="K5042" s="150" t="str">
        <f>IF(Proc[[#This Row],[Author]]="Marcela Urrego",VLOOKUP(LEFT(Proc[[#This Row],[Requested]],1),Table3[#All],2,0),VLOOKUP(Proc[[#This Row],[Author]],Table4[],2,0))</f>
        <v>HC</v>
      </c>
      <c r="L5042" s="150" t="s">
        <v>6435</v>
      </c>
      <c r="M5042" s="174">
        <v>45996</v>
      </c>
      <c r="N5042" s="175"/>
      <c r="O5042" s="175"/>
      <c r="P5042" s="175" t="str">
        <f ca="1">IF(Proc[[#This Row],[DaysAgeing]]&gt;5,"yep","on track")</f>
        <v>on track</v>
      </c>
      <c r="Q5042" s="3">
        <f ca="1">IF(Proc[[#This Row],[DateClosed]]="",ABS(NETWORKDAYS(Proc[[#This Row],[DateOpened]],TODAY()))-1,ABS(NETWORKDAYS(Proc[[#This Row],[DateOpened]],Proc[[#This Row],[DateClosed]]))-1)</f>
        <v>5</v>
      </c>
      <c r="R5042" s="175" t="s">
        <v>415</v>
      </c>
      <c r="S5042" s="150"/>
    </row>
    <row r="5043" spans="1:19" hidden="1">
      <c r="A5043" t="s">
        <v>7285</v>
      </c>
      <c r="B5043" s="150" t="str">
        <f>IFERROR(VLOOKUP(Proc[[#This Row],[App]],Table2[],3,0),"open")</f>
        <v>ok</v>
      </c>
      <c r="C5043" s="149" t="s">
        <v>369</v>
      </c>
      <c r="D5043" t="s">
        <v>7287</v>
      </c>
      <c r="E5043" t="s">
        <v>7296</v>
      </c>
      <c r="F5043" s="150" t="s">
        <v>7296</v>
      </c>
      <c r="G5043" s="149" t="s">
        <v>400</v>
      </c>
      <c r="H5043" s="150" t="str">
        <f>IF(Proc[[#This Row],[type]]="LFF (MDG-F)",MID(Proc[[#This Row],[Obj]],13,10),"")</f>
        <v/>
      </c>
      <c r="J5043" s="150" t="b">
        <f>Proc[[#This Row],[Requested]]=Proc[[#This Row],[CurrentParent]]</f>
        <v>1</v>
      </c>
      <c r="K5043" s="150" t="str">
        <f>IF(Proc[[#This Row],[Author]]="Marcela Urrego",VLOOKUP(LEFT(Proc[[#This Row],[Requested]],1),Table3[#All],2,0),VLOOKUP(Proc[[#This Row],[Author]],Table4[],2,0))</f>
        <v>HC</v>
      </c>
      <c r="L5043" s="150" t="s">
        <v>6435</v>
      </c>
      <c r="M5043" s="174">
        <v>45996</v>
      </c>
      <c r="N5043" s="175"/>
      <c r="O5043" s="175"/>
      <c r="P5043" s="175" t="str">
        <f ca="1">IF(Proc[[#This Row],[DaysAgeing]]&gt;5,"yep","on track")</f>
        <v>on track</v>
      </c>
      <c r="Q5043" s="3">
        <f ca="1">IF(Proc[[#This Row],[DateClosed]]="",ABS(NETWORKDAYS(Proc[[#This Row],[DateOpened]],TODAY()))-1,ABS(NETWORKDAYS(Proc[[#This Row],[DateOpened]],Proc[[#This Row],[DateClosed]]))-1)</f>
        <v>5</v>
      </c>
      <c r="R5043" s="175" t="s">
        <v>415</v>
      </c>
      <c r="S5043" s="150"/>
    </row>
    <row r="5044" spans="1:19" hidden="1">
      <c r="A5044" s="149" t="s">
        <v>7285</v>
      </c>
      <c r="B5044" s="150" t="str">
        <f>IFERROR(VLOOKUP(Proc[[#This Row],[App]],Table2[],3,0),"open")</f>
        <v>ok</v>
      </c>
      <c r="C5044" s="149" t="s">
        <v>369</v>
      </c>
      <c r="D5044" t="s">
        <v>7288</v>
      </c>
      <c r="E5044" t="s">
        <v>7297</v>
      </c>
      <c r="F5044" s="150" t="s">
        <v>7297</v>
      </c>
      <c r="G5044" s="149" t="s">
        <v>400</v>
      </c>
      <c r="H5044" s="150" t="str">
        <f>IF(Proc[[#This Row],[type]]="LFF (MDG-F)",MID(Proc[[#This Row],[Obj]],13,10),"")</f>
        <v/>
      </c>
      <c r="J5044" s="150" t="b">
        <f>Proc[[#This Row],[Requested]]=Proc[[#This Row],[CurrentParent]]</f>
        <v>1</v>
      </c>
      <c r="K5044" s="150" t="str">
        <f>IF(Proc[[#This Row],[Author]]="Marcela Urrego",VLOOKUP(LEFT(Proc[[#This Row],[Requested]],1),Table3[#All],2,0),VLOOKUP(Proc[[#This Row],[Author]],Table4[],2,0))</f>
        <v>HC</v>
      </c>
      <c r="L5044" s="150" t="s">
        <v>6435</v>
      </c>
      <c r="M5044" s="174">
        <v>45996</v>
      </c>
      <c r="N5044" s="175"/>
      <c r="O5044" s="175"/>
      <c r="P5044" s="175" t="str">
        <f ca="1">IF(Proc[[#This Row],[DaysAgeing]]&gt;5,"yep","on track")</f>
        <v>on track</v>
      </c>
      <c r="Q5044" s="3">
        <f ca="1">IF(Proc[[#This Row],[DateClosed]]="",ABS(NETWORKDAYS(Proc[[#This Row],[DateOpened]],TODAY()))-1,ABS(NETWORKDAYS(Proc[[#This Row],[DateOpened]],Proc[[#This Row],[DateClosed]]))-1)</f>
        <v>5</v>
      </c>
      <c r="R5044" s="175" t="s">
        <v>415</v>
      </c>
      <c r="S5044" s="150"/>
    </row>
    <row r="5045" spans="1:19" hidden="1">
      <c r="A5045" s="149" t="s">
        <v>7285</v>
      </c>
      <c r="B5045" s="150" t="str">
        <f>IFERROR(VLOOKUP(Proc[[#This Row],[App]],Table2[],3,0),"open")</f>
        <v>ok</v>
      </c>
      <c r="C5045" s="149" t="s">
        <v>369</v>
      </c>
      <c r="D5045" t="s">
        <v>7289</v>
      </c>
      <c r="E5045" t="s">
        <v>7298</v>
      </c>
      <c r="F5045" s="150" t="s">
        <v>7298</v>
      </c>
      <c r="G5045" s="149" t="s">
        <v>400</v>
      </c>
      <c r="H5045" s="150" t="str">
        <f>IF(Proc[[#This Row],[type]]="LFF (MDG-F)",MID(Proc[[#This Row],[Obj]],13,10),"")</f>
        <v/>
      </c>
      <c r="J5045" s="150" t="b">
        <f>Proc[[#This Row],[Requested]]=Proc[[#This Row],[CurrentParent]]</f>
        <v>1</v>
      </c>
      <c r="K5045" s="150" t="str">
        <f>IF(Proc[[#This Row],[Author]]="Marcela Urrego",VLOOKUP(LEFT(Proc[[#This Row],[Requested]],1),Table3[#All],2,0),VLOOKUP(Proc[[#This Row],[Author]],Table4[],2,0))</f>
        <v>HC</v>
      </c>
      <c r="L5045" s="150" t="s">
        <v>6435</v>
      </c>
      <c r="M5045" s="174">
        <v>45996</v>
      </c>
      <c r="N5045" s="175"/>
      <c r="O5045" s="175"/>
      <c r="P5045" s="175" t="str">
        <f ca="1">IF(Proc[[#This Row],[DaysAgeing]]&gt;5,"yep","on track")</f>
        <v>on track</v>
      </c>
      <c r="Q5045" s="3">
        <f ca="1">IF(Proc[[#This Row],[DateClosed]]="",ABS(NETWORKDAYS(Proc[[#This Row],[DateOpened]],TODAY()))-1,ABS(NETWORKDAYS(Proc[[#This Row],[DateOpened]],Proc[[#This Row],[DateClosed]]))-1)</f>
        <v>5</v>
      </c>
      <c r="R5045" s="175" t="s">
        <v>415</v>
      </c>
      <c r="S5045" s="150"/>
    </row>
    <row r="5046" spans="1:19" hidden="1">
      <c r="A5046" s="149" t="s">
        <v>7285</v>
      </c>
      <c r="B5046" s="150" t="str">
        <f>IFERROR(VLOOKUP(Proc[[#This Row],[App]],Table2[],3,0),"open")</f>
        <v>ok</v>
      </c>
      <c r="C5046" s="149" t="s">
        <v>369</v>
      </c>
      <c r="D5046" t="s">
        <v>7290</v>
      </c>
      <c r="E5046" t="s">
        <v>7298</v>
      </c>
      <c r="F5046" s="150" t="s">
        <v>7298</v>
      </c>
      <c r="G5046" s="149" t="s">
        <v>400</v>
      </c>
      <c r="H5046" s="150" t="str">
        <f>IF(Proc[[#This Row],[type]]="LFF (MDG-F)",MID(Proc[[#This Row],[Obj]],13,10),"")</f>
        <v/>
      </c>
      <c r="J5046" s="150" t="b">
        <f>Proc[[#This Row],[Requested]]=Proc[[#This Row],[CurrentParent]]</f>
        <v>1</v>
      </c>
      <c r="K5046" s="150" t="str">
        <f>IF(Proc[[#This Row],[Author]]="Marcela Urrego",VLOOKUP(LEFT(Proc[[#This Row],[Requested]],1),Table3[#All],2,0),VLOOKUP(Proc[[#This Row],[Author]],Table4[],2,0))</f>
        <v>HC</v>
      </c>
      <c r="L5046" s="150" t="s">
        <v>6435</v>
      </c>
      <c r="M5046" s="174">
        <v>45996</v>
      </c>
      <c r="N5046" s="175"/>
      <c r="O5046" s="175"/>
      <c r="P5046" s="175" t="str">
        <f ca="1">IF(Proc[[#This Row],[DaysAgeing]]&gt;5,"yep","on track")</f>
        <v>on track</v>
      </c>
      <c r="Q5046" s="3">
        <f ca="1">IF(Proc[[#This Row],[DateClosed]]="",ABS(NETWORKDAYS(Proc[[#This Row],[DateOpened]],TODAY()))-1,ABS(NETWORKDAYS(Proc[[#This Row],[DateOpened]],Proc[[#This Row],[DateClosed]]))-1)</f>
        <v>5</v>
      </c>
      <c r="R5046" s="175" t="s">
        <v>415</v>
      </c>
      <c r="S5046" s="150"/>
    </row>
    <row r="5047" spans="1:19" hidden="1">
      <c r="A5047" s="149" t="s">
        <v>7285</v>
      </c>
      <c r="B5047" s="150" t="str">
        <f>IFERROR(VLOOKUP(Proc[[#This Row],[App]],Table2[],3,0),"open")</f>
        <v>ok</v>
      </c>
      <c r="C5047" s="149" t="s">
        <v>369</v>
      </c>
      <c r="D5047" t="s">
        <v>7291</v>
      </c>
      <c r="E5047" t="s">
        <v>7299</v>
      </c>
      <c r="F5047" s="150" t="s">
        <v>7299</v>
      </c>
      <c r="G5047" s="149" t="s">
        <v>400</v>
      </c>
      <c r="H5047" s="150" t="str">
        <f>IF(Proc[[#This Row],[type]]="LFF (MDG-F)",MID(Proc[[#This Row],[Obj]],13,10),"")</f>
        <v/>
      </c>
      <c r="J5047" s="150" t="b">
        <f>Proc[[#This Row],[Requested]]=Proc[[#This Row],[CurrentParent]]</f>
        <v>1</v>
      </c>
      <c r="K5047" s="150" t="str">
        <f>IF(Proc[[#This Row],[Author]]="Marcela Urrego",VLOOKUP(LEFT(Proc[[#This Row],[Requested]],1),Table3[#All],2,0),VLOOKUP(Proc[[#This Row],[Author]],Table4[],2,0))</f>
        <v>HC</v>
      </c>
      <c r="L5047" s="150" t="s">
        <v>6435</v>
      </c>
      <c r="M5047" s="174">
        <v>45996</v>
      </c>
      <c r="N5047" s="175"/>
      <c r="O5047" s="175"/>
      <c r="P5047" s="175" t="str">
        <f ca="1">IF(Proc[[#This Row],[DaysAgeing]]&gt;5,"yep","on track")</f>
        <v>on track</v>
      </c>
      <c r="Q5047" s="3">
        <f ca="1">IF(Proc[[#This Row],[DateClosed]]="",ABS(NETWORKDAYS(Proc[[#This Row],[DateOpened]],TODAY()))-1,ABS(NETWORKDAYS(Proc[[#This Row],[DateOpened]],Proc[[#This Row],[DateClosed]]))-1)</f>
        <v>5</v>
      </c>
      <c r="R5047" s="175" t="s">
        <v>415</v>
      </c>
      <c r="S5047" s="150"/>
    </row>
    <row r="5048" spans="1:19" hidden="1">
      <c r="A5048" s="149" t="s">
        <v>7285</v>
      </c>
      <c r="B5048" s="150" t="str">
        <f>IFERROR(VLOOKUP(Proc[[#This Row],[App]],Table2[],3,0),"open")</f>
        <v>ok</v>
      </c>
      <c r="C5048" s="149" t="s">
        <v>369</v>
      </c>
      <c r="D5048" t="s">
        <v>7292</v>
      </c>
      <c r="E5048" t="s">
        <v>7299</v>
      </c>
      <c r="F5048" s="150" t="s">
        <v>7299</v>
      </c>
      <c r="G5048" s="149" t="s">
        <v>400</v>
      </c>
      <c r="H5048" s="150" t="str">
        <f>IF(Proc[[#This Row],[type]]="LFF (MDG-F)",MID(Proc[[#This Row],[Obj]],13,10),"")</f>
        <v/>
      </c>
      <c r="J5048" s="150" t="b">
        <f>Proc[[#This Row],[Requested]]=Proc[[#This Row],[CurrentParent]]</f>
        <v>1</v>
      </c>
      <c r="K5048" s="150" t="str">
        <f>IF(Proc[[#This Row],[Author]]="Marcela Urrego",VLOOKUP(LEFT(Proc[[#This Row],[Requested]],1),Table3[#All],2,0),VLOOKUP(Proc[[#This Row],[Author]],Table4[],2,0))</f>
        <v>HC</v>
      </c>
      <c r="L5048" s="150" t="s">
        <v>6435</v>
      </c>
      <c r="M5048" s="174">
        <v>45996</v>
      </c>
      <c r="N5048" s="175"/>
      <c r="O5048" s="175"/>
      <c r="P5048" s="175" t="str">
        <f ca="1">IF(Proc[[#This Row],[DaysAgeing]]&gt;5,"yep","on track")</f>
        <v>on track</v>
      </c>
      <c r="Q5048" s="3">
        <f ca="1">IF(Proc[[#This Row],[DateClosed]]="",ABS(NETWORKDAYS(Proc[[#This Row],[DateOpened]],TODAY()))-1,ABS(NETWORKDAYS(Proc[[#This Row],[DateOpened]],Proc[[#This Row],[DateClosed]]))-1)</f>
        <v>5</v>
      </c>
      <c r="R5048" s="175" t="s">
        <v>415</v>
      </c>
      <c r="S5048" s="150"/>
    </row>
    <row r="5049" spans="1:19" hidden="1">
      <c r="A5049" s="149" t="s">
        <v>7285</v>
      </c>
      <c r="B5049" s="150" t="str">
        <f>IFERROR(VLOOKUP(Proc[[#This Row],[App]],Table2[],3,0),"open")</f>
        <v>ok</v>
      </c>
      <c r="C5049" s="149" t="s">
        <v>369</v>
      </c>
      <c r="D5049" t="s">
        <v>7293</v>
      </c>
      <c r="E5049" t="s">
        <v>7299</v>
      </c>
      <c r="F5049" s="150" t="s">
        <v>7299</v>
      </c>
      <c r="G5049" s="149" t="s">
        <v>400</v>
      </c>
      <c r="H5049" s="150" t="str">
        <f>IF(Proc[[#This Row],[type]]="LFF (MDG-F)",MID(Proc[[#This Row],[Obj]],13,10),"")</f>
        <v/>
      </c>
      <c r="J5049" s="150" t="b">
        <f>Proc[[#This Row],[Requested]]=Proc[[#This Row],[CurrentParent]]</f>
        <v>1</v>
      </c>
      <c r="K5049" s="150" t="str">
        <f>IF(Proc[[#This Row],[Author]]="Marcela Urrego",VLOOKUP(LEFT(Proc[[#This Row],[Requested]],1),Table3[#All],2,0),VLOOKUP(Proc[[#This Row],[Author]],Table4[],2,0))</f>
        <v>HC</v>
      </c>
      <c r="L5049" s="150" t="s">
        <v>6435</v>
      </c>
      <c r="M5049" s="174">
        <v>45996</v>
      </c>
      <c r="N5049" s="175"/>
      <c r="O5049" s="175"/>
      <c r="P5049" s="175" t="str">
        <f ca="1">IF(Proc[[#This Row],[DaysAgeing]]&gt;5,"yep","on track")</f>
        <v>on track</v>
      </c>
      <c r="Q5049" s="3">
        <f ca="1">IF(Proc[[#This Row],[DateClosed]]="",ABS(NETWORKDAYS(Proc[[#This Row],[DateOpened]],TODAY()))-1,ABS(NETWORKDAYS(Proc[[#This Row],[DateOpened]],Proc[[#This Row],[DateClosed]]))-1)</f>
        <v>5</v>
      </c>
      <c r="R5049" s="175" t="s">
        <v>415</v>
      </c>
      <c r="S5049" s="150"/>
    </row>
    <row r="5050" spans="1:19" hidden="1">
      <c r="A5050" s="149" t="s">
        <v>7285</v>
      </c>
      <c r="B5050" s="150" t="str">
        <f>IFERROR(VLOOKUP(Proc[[#This Row],[App]],Table2[],3,0),"open")</f>
        <v>ok</v>
      </c>
      <c r="C5050" s="149" t="s">
        <v>369</v>
      </c>
      <c r="D5050" t="s">
        <v>7294</v>
      </c>
      <c r="E5050" t="s">
        <v>7299</v>
      </c>
      <c r="F5050" s="150" t="s">
        <v>7299</v>
      </c>
      <c r="G5050" s="149" t="s">
        <v>400</v>
      </c>
      <c r="H5050" s="150" t="str">
        <f>IF(Proc[[#This Row],[type]]="LFF (MDG-F)",MID(Proc[[#This Row],[Obj]],13,10),"")</f>
        <v/>
      </c>
      <c r="J5050" s="150" t="b">
        <f>Proc[[#This Row],[Requested]]=Proc[[#This Row],[CurrentParent]]</f>
        <v>1</v>
      </c>
      <c r="K5050" s="150" t="str">
        <f>IF(Proc[[#This Row],[Author]]="Marcela Urrego",VLOOKUP(LEFT(Proc[[#This Row],[Requested]],1),Table3[#All],2,0),VLOOKUP(Proc[[#This Row],[Author]],Table4[],2,0))</f>
        <v>HC</v>
      </c>
      <c r="L5050" s="150" t="s">
        <v>6435</v>
      </c>
      <c r="M5050" s="174">
        <v>45996</v>
      </c>
      <c r="N5050" s="175"/>
      <c r="O5050" s="175"/>
      <c r="P5050" s="175" t="str">
        <f ca="1">IF(Proc[[#This Row],[DaysAgeing]]&gt;5,"yep","on track")</f>
        <v>on track</v>
      </c>
      <c r="Q5050" s="3">
        <f ca="1">IF(Proc[[#This Row],[DateClosed]]="",ABS(NETWORKDAYS(Proc[[#This Row],[DateOpened]],TODAY()))-1,ABS(NETWORKDAYS(Proc[[#This Row],[DateOpened]],Proc[[#This Row],[DateClosed]]))-1)</f>
        <v>5</v>
      </c>
      <c r="R5050" s="175" t="s">
        <v>415</v>
      </c>
      <c r="S5050" s="150"/>
    </row>
    <row r="5051" spans="1:19" hidden="1">
      <c r="A5051" s="149" t="s">
        <v>7285</v>
      </c>
      <c r="B5051" s="150" t="str">
        <f>IFERROR(VLOOKUP(Proc[[#This Row],[App]],Table2[],3,0),"open")</f>
        <v>ok</v>
      </c>
      <c r="C5051" s="149" t="s">
        <v>369</v>
      </c>
      <c r="D5051" t="s">
        <v>7295</v>
      </c>
      <c r="E5051" t="s">
        <v>7299</v>
      </c>
      <c r="F5051" s="150" t="s">
        <v>7299</v>
      </c>
      <c r="G5051" s="149" t="s">
        <v>400</v>
      </c>
      <c r="H5051" s="150" t="str">
        <f>IF(Proc[[#This Row],[type]]="LFF (MDG-F)",MID(Proc[[#This Row],[Obj]],13,10),"")</f>
        <v/>
      </c>
      <c r="J5051" s="150" t="b">
        <f>Proc[[#This Row],[Requested]]=Proc[[#This Row],[CurrentParent]]</f>
        <v>1</v>
      </c>
      <c r="K5051" s="150" t="str">
        <f>IF(Proc[[#This Row],[Author]]="Marcela Urrego",VLOOKUP(LEFT(Proc[[#This Row],[Requested]],1),Table3[#All],2,0),VLOOKUP(Proc[[#This Row],[Author]],Table4[],2,0))</f>
        <v>HC</v>
      </c>
      <c r="L5051" s="150" t="s">
        <v>6435</v>
      </c>
      <c r="M5051" s="174">
        <v>45996</v>
      </c>
      <c r="N5051" s="175"/>
      <c r="O5051" s="175"/>
      <c r="P5051" s="175" t="str">
        <f ca="1">IF(Proc[[#This Row],[DaysAgeing]]&gt;5,"yep","on track")</f>
        <v>on track</v>
      </c>
      <c r="Q5051" s="3">
        <f ca="1">IF(Proc[[#This Row],[DateClosed]]="",ABS(NETWORKDAYS(Proc[[#This Row],[DateOpened]],TODAY()))-1,ABS(NETWORKDAYS(Proc[[#This Row],[DateOpened]],Proc[[#This Row],[DateClosed]]))-1)</f>
        <v>5</v>
      </c>
      <c r="R5051" s="175" t="s">
        <v>415</v>
      </c>
      <c r="S5051" s="150"/>
    </row>
    <row r="5052" spans="1:19" hidden="1">
      <c r="A5052" t="s">
        <v>7301</v>
      </c>
      <c r="B5052" s="150" t="str">
        <f>IFERROR(VLOOKUP(Proc[[#This Row],[App]],Table2[],3,0),"open")</f>
        <v>ok</v>
      </c>
      <c r="C5052" s="149" t="s">
        <v>369</v>
      </c>
      <c r="D5052" t="s">
        <v>7253</v>
      </c>
      <c r="E5052" t="s">
        <v>7300</v>
      </c>
      <c r="F5052" s="150" t="s">
        <v>7300</v>
      </c>
      <c r="G5052" s="149" t="s">
        <v>400</v>
      </c>
      <c r="H5052" s="150" t="str">
        <f>IF(Proc[[#This Row],[type]]="LFF (MDG-F)",MID(Proc[[#This Row],[Obj]],13,10),"")</f>
        <v/>
      </c>
      <c r="J5052" s="150" t="b">
        <f>Proc[[#This Row],[Requested]]=Proc[[#This Row],[CurrentParent]]</f>
        <v>1</v>
      </c>
      <c r="K5052" s="150" t="str">
        <f>IF(Proc[[#This Row],[Author]]="Marcela Urrego",VLOOKUP(LEFT(Proc[[#This Row],[Requested]],1),Table3[#All],2,0),VLOOKUP(Proc[[#This Row],[Author]],Table4[],2,0))</f>
        <v>HC</v>
      </c>
      <c r="L5052" s="150" t="s">
        <v>6435</v>
      </c>
      <c r="M5052" s="174">
        <v>45996</v>
      </c>
      <c r="N5052" s="175"/>
      <c r="O5052" s="175"/>
      <c r="P5052" s="175" t="str">
        <f ca="1">IF(Proc[[#This Row],[DaysAgeing]]&gt;5,"yep","on track")</f>
        <v>on track</v>
      </c>
      <c r="Q5052" s="3">
        <f ca="1">IF(Proc[[#This Row],[DateClosed]]="",ABS(NETWORKDAYS(Proc[[#This Row],[DateOpened]],TODAY()))-1,ABS(NETWORKDAYS(Proc[[#This Row],[DateOpened]],Proc[[#This Row],[DateClosed]]))-1)</f>
        <v>5</v>
      </c>
      <c r="R5052" s="175" t="s">
        <v>415</v>
      </c>
      <c r="S5052" s="150"/>
    </row>
    <row r="5053" spans="1:19" hidden="1">
      <c r="A5053" t="s">
        <v>7301</v>
      </c>
      <c r="B5053" s="150" t="str">
        <f>IFERROR(VLOOKUP(Proc[[#This Row],[App]],Table2[],3,0),"open")</f>
        <v>ok</v>
      </c>
      <c r="C5053" s="149" t="s">
        <v>369</v>
      </c>
      <c r="D5053" t="s">
        <v>7254</v>
      </c>
      <c r="E5053" t="s">
        <v>7300</v>
      </c>
      <c r="F5053" s="150" t="s">
        <v>7300</v>
      </c>
      <c r="G5053" s="149" t="s">
        <v>400</v>
      </c>
      <c r="H5053" s="150" t="str">
        <f>IF(Proc[[#This Row],[type]]="LFF (MDG-F)",MID(Proc[[#This Row],[Obj]],13,10),"")</f>
        <v/>
      </c>
      <c r="J5053" s="150" t="b">
        <f>Proc[[#This Row],[Requested]]=Proc[[#This Row],[CurrentParent]]</f>
        <v>1</v>
      </c>
      <c r="K5053" s="150" t="str">
        <f>IF(Proc[[#This Row],[Author]]="Marcela Urrego",VLOOKUP(LEFT(Proc[[#This Row],[Requested]],1),Table3[#All],2,0),VLOOKUP(Proc[[#This Row],[Author]],Table4[],2,0))</f>
        <v>HC</v>
      </c>
      <c r="L5053" s="150" t="s">
        <v>6435</v>
      </c>
      <c r="M5053" s="174">
        <v>45996</v>
      </c>
      <c r="N5053" s="175"/>
      <c r="O5053" s="175"/>
      <c r="P5053" s="175" t="str">
        <f ca="1">IF(Proc[[#This Row],[DaysAgeing]]&gt;5,"yep","on track")</f>
        <v>on track</v>
      </c>
      <c r="Q5053" s="3">
        <f ca="1">IF(Proc[[#This Row],[DateClosed]]="",ABS(NETWORKDAYS(Proc[[#This Row],[DateOpened]],TODAY()))-1,ABS(NETWORKDAYS(Proc[[#This Row],[DateOpened]],Proc[[#This Row],[DateClosed]]))-1)</f>
        <v>5</v>
      </c>
      <c r="R5053" s="175" t="s">
        <v>415</v>
      </c>
      <c r="S5053" s="150"/>
    </row>
    <row r="5054" spans="1:19" hidden="1">
      <c r="A5054" s="149" t="s">
        <v>7301</v>
      </c>
      <c r="B5054" s="150" t="str">
        <f>IFERROR(VLOOKUP(Proc[[#This Row],[App]],Table2[],3,0),"open")</f>
        <v>ok</v>
      </c>
      <c r="C5054" s="149" t="s">
        <v>369</v>
      </c>
      <c r="D5054" t="s">
        <v>7255</v>
      </c>
      <c r="E5054" t="s">
        <v>7300</v>
      </c>
      <c r="F5054" s="150" t="s">
        <v>7300</v>
      </c>
      <c r="G5054" s="149" t="s">
        <v>400</v>
      </c>
      <c r="H5054" s="150" t="str">
        <f>IF(Proc[[#This Row],[type]]="LFF (MDG-F)",MID(Proc[[#This Row],[Obj]],13,10),"")</f>
        <v/>
      </c>
      <c r="J5054" s="150" t="b">
        <f>Proc[[#This Row],[Requested]]=Proc[[#This Row],[CurrentParent]]</f>
        <v>1</v>
      </c>
      <c r="K5054" s="150" t="str">
        <f>IF(Proc[[#This Row],[Author]]="Marcela Urrego",VLOOKUP(LEFT(Proc[[#This Row],[Requested]],1),Table3[#All],2,0),VLOOKUP(Proc[[#This Row],[Author]],Table4[],2,0))</f>
        <v>HC</v>
      </c>
      <c r="L5054" s="150" t="s">
        <v>6435</v>
      </c>
      <c r="M5054" s="174">
        <v>45996</v>
      </c>
      <c r="N5054" s="175"/>
      <c r="O5054" s="175"/>
      <c r="P5054" s="175" t="str">
        <f ca="1">IF(Proc[[#This Row],[DaysAgeing]]&gt;5,"yep","on track")</f>
        <v>on track</v>
      </c>
      <c r="Q5054" s="3">
        <f ca="1">IF(Proc[[#This Row],[DateClosed]]="",ABS(NETWORKDAYS(Proc[[#This Row],[DateOpened]],TODAY()))-1,ABS(NETWORKDAYS(Proc[[#This Row],[DateOpened]],Proc[[#This Row],[DateClosed]]))-1)</f>
        <v>5</v>
      </c>
      <c r="R5054" s="175" t="s">
        <v>415</v>
      </c>
      <c r="S5054" s="150"/>
    </row>
    <row r="5055" spans="1:19" hidden="1">
      <c r="A5055" s="149" t="s">
        <v>7301</v>
      </c>
      <c r="B5055" s="150" t="str">
        <f>IFERROR(VLOOKUP(Proc[[#This Row],[App]],Table2[],3,0),"open")</f>
        <v>ok</v>
      </c>
      <c r="C5055" s="149" t="s">
        <v>369</v>
      </c>
      <c r="D5055" t="s">
        <v>7256</v>
      </c>
      <c r="E5055" t="s">
        <v>7300</v>
      </c>
      <c r="F5055" s="150" t="s">
        <v>7300</v>
      </c>
      <c r="G5055" s="149" t="s">
        <v>400</v>
      </c>
      <c r="H5055" s="150" t="str">
        <f>IF(Proc[[#This Row],[type]]="LFF (MDG-F)",MID(Proc[[#This Row],[Obj]],13,10),"")</f>
        <v/>
      </c>
      <c r="J5055" s="150" t="b">
        <f>Proc[[#This Row],[Requested]]=Proc[[#This Row],[CurrentParent]]</f>
        <v>1</v>
      </c>
      <c r="K5055" s="150" t="str">
        <f>IF(Proc[[#This Row],[Author]]="Marcela Urrego",VLOOKUP(LEFT(Proc[[#This Row],[Requested]],1),Table3[#All],2,0),VLOOKUP(Proc[[#This Row],[Author]],Table4[],2,0))</f>
        <v>HC</v>
      </c>
      <c r="L5055" s="150" t="s">
        <v>6435</v>
      </c>
      <c r="M5055" s="174">
        <v>45996</v>
      </c>
      <c r="N5055" s="175"/>
      <c r="O5055" s="175"/>
      <c r="P5055" s="175" t="str">
        <f ca="1">IF(Proc[[#This Row],[DaysAgeing]]&gt;5,"yep","on track")</f>
        <v>on track</v>
      </c>
      <c r="Q5055" s="3">
        <f ca="1">IF(Proc[[#This Row],[DateClosed]]="",ABS(NETWORKDAYS(Proc[[#This Row],[DateOpened]],TODAY()))-1,ABS(NETWORKDAYS(Proc[[#This Row],[DateOpened]],Proc[[#This Row],[DateClosed]]))-1)</f>
        <v>5</v>
      </c>
      <c r="R5055" s="175" t="s">
        <v>415</v>
      </c>
      <c r="S5055" s="150"/>
    </row>
    <row r="5056" spans="1:19" hidden="1">
      <c r="A5056" s="149" t="s">
        <v>7301</v>
      </c>
      <c r="B5056" s="150" t="str">
        <f>IFERROR(VLOOKUP(Proc[[#This Row],[App]],Table2[],3,0),"open")</f>
        <v>ok</v>
      </c>
      <c r="C5056" s="149" t="s">
        <v>369</v>
      </c>
      <c r="D5056" t="s">
        <v>7257</v>
      </c>
      <c r="E5056" t="s">
        <v>7300</v>
      </c>
      <c r="F5056" s="150" t="s">
        <v>7300</v>
      </c>
      <c r="G5056" s="149" t="s">
        <v>400</v>
      </c>
      <c r="H5056" s="150" t="str">
        <f>IF(Proc[[#This Row],[type]]="LFF (MDG-F)",MID(Proc[[#This Row],[Obj]],13,10),"")</f>
        <v/>
      </c>
      <c r="J5056" s="150" t="b">
        <f>Proc[[#This Row],[Requested]]=Proc[[#This Row],[CurrentParent]]</f>
        <v>1</v>
      </c>
      <c r="K5056" s="150" t="str">
        <f>IF(Proc[[#This Row],[Author]]="Marcela Urrego",VLOOKUP(LEFT(Proc[[#This Row],[Requested]],1),Table3[#All],2,0),VLOOKUP(Proc[[#This Row],[Author]],Table4[],2,0))</f>
        <v>HC</v>
      </c>
      <c r="L5056" s="150" t="s">
        <v>6435</v>
      </c>
      <c r="M5056" s="174">
        <v>45996</v>
      </c>
      <c r="N5056" s="175"/>
      <c r="O5056" s="175"/>
      <c r="P5056" s="175" t="str">
        <f ca="1">IF(Proc[[#This Row],[DaysAgeing]]&gt;5,"yep","on track")</f>
        <v>on track</v>
      </c>
      <c r="Q5056" s="3">
        <f ca="1">IF(Proc[[#This Row],[DateClosed]]="",ABS(NETWORKDAYS(Proc[[#This Row],[DateOpened]],TODAY()))-1,ABS(NETWORKDAYS(Proc[[#This Row],[DateOpened]],Proc[[#This Row],[DateClosed]]))-1)</f>
        <v>5</v>
      </c>
      <c r="R5056" s="175" t="s">
        <v>415</v>
      </c>
      <c r="S5056" s="150"/>
    </row>
    <row r="5057" spans="1:19" hidden="1">
      <c r="A5057" s="149" t="s">
        <v>7301</v>
      </c>
      <c r="B5057" s="150" t="str">
        <f>IFERROR(VLOOKUP(Proc[[#This Row],[App]],Table2[],3,0),"open")</f>
        <v>ok</v>
      </c>
      <c r="C5057" s="149" t="s">
        <v>369</v>
      </c>
      <c r="D5057" t="s">
        <v>7274</v>
      </c>
      <c r="E5057" t="s">
        <v>7299</v>
      </c>
      <c r="F5057" s="150" t="s">
        <v>7299</v>
      </c>
      <c r="G5057" s="149" t="s">
        <v>400</v>
      </c>
      <c r="H5057" s="150" t="str">
        <f>IF(Proc[[#This Row],[type]]="LFF (MDG-F)",MID(Proc[[#This Row],[Obj]],13,10),"")</f>
        <v/>
      </c>
      <c r="J5057" s="150" t="b">
        <f>Proc[[#This Row],[Requested]]=Proc[[#This Row],[CurrentParent]]</f>
        <v>1</v>
      </c>
      <c r="K5057" s="150" t="str">
        <f>IF(Proc[[#This Row],[Author]]="Marcela Urrego",VLOOKUP(LEFT(Proc[[#This Row],[Requested]],1),Table3[#All],2,0),VLOOKUP(Proc[[#This Row],[Author]],Table4[],2,0))</f>
        <v>HC</v>
      </c>
      <c r="L5057" s="150" t="s">
        <v>6435</v>
      </c>
      <c r="M5057" s="174">
        <v>45996</v>
      </c>
      <c r="N5057" s="175"/>
      <c r="O5057" s="175"/>
      <c r="P5057" s="175" t="str">
        <f ca="1">IF(Proc[[#This Row],[DaysAgeing]]&gt;5,"yep","on track")</f>
        <v>on track</v>
      </c>
      <c r="Q5057" s="3">
        <f ca="1">IF(Proc[[#This Row],[DateClosed]]="",ABS(NETWORKDAYS(Proc[[#This Row],[DateOpened]],TODAY()))-1,ABS(NETWORKDAYS(Proc[[#This Row],[DateOpened]],Proc[[#This Row],[DateClosed]]))-1)</f>
        <v>5</v>
      </c>
      <c r="R5057" s="175" t="s">
        <v>415</v>
      </c>
      <c r="S5057" s="150"/>
    </row>
    <row r="5058" spans="1:19" hidden="1">
      <c r="A5058" s="149" t="s">
        <v>7301</v>
      </c>
      <c r="B5058" s="150" t="str">
        <f>IFERROR(VLOOKUP(Proc[[#This Row],[App]],Table2[],3,0),"open")</f>
        <v>ok</v>
      </c>
      <c r="C5058" s="149" t="s">
        <v>369</v>
      </c>
      <c r="D5058" t="s">
        <v>7275</v>
      </c>
      <c r="E5058" t="s">
        <v>7299</v>
      </c>
      <c r="F5058" s="150" t="s">
        <v>7299</v>
      </c>
      <c r="G5058" s="149" t="s">
        <v>400</v>
      </c>
      <c r="H5058" s="150" t="str">
        <f>IF(Proc[[#This Row],[type]]="LFF (MDG-F)",MID(Proc[[#This Row],[Obj]],13,10),"")</f>
        <v/>
      </c>
      <c r="J5058" s="150" t="b">
        <f>Proc[[#This Row],[Requested]]=Proc[[#This Row],[CurrentParent]]</f>
        <v>1</v>
      </c>
      <c r="K5058" s="150" t="str">
        <f>IF(Proc[[#This Row],[Author]]="Marcela Urrego",VLOOKUP(LEFT(Proc[[#This Row],[Requested]],1),Table3[#All],2,0),VLOOKUP(Proc[[#This Row],[Author]],Table4[],2,0))</f>
        <v>HC</v>
      </c>
      <c r="L5058" s="150" t="s">
        <v>6435</v>
      </c>
      <c r="M5058" s="174">
        <v>45996</v>
      </c>
      <c r="N5058" s="175"/>
      <c r="O5058" s="175"/>
      <c r="P5058" s="175" t="str">
        <f ca="1">IF(Proc[[#This Row],[DaysAgeing]]&gt;5,"yep","on track")</f>
        <v>on track</v>
      </c>
      <c r="Q5058" s="3">
        <f ca="1">IF(Proc[[#This Row],[DateClosed]]="",ABS(NETWORKDAYS(Proc[[#This Row],[DateOpened]],TODAY()))-1,ABS(NETWORKDAYS(Proc[[#This Row],[DateOpened]],Proc[[#This Row],[DateClosed]]))-1)</f>
        <v>5</v>
      </c>
      <c r="R5058" s="175" t="s">
        <v>415</v>
      </c>
      <c r="S5058" s="150"/>
    </row>
    <row r="5059" spans="1:19" hidden="1">
      <c r="A5059" s="149" t="s">
        <v>7301</v>
      </c>
      <c r="B5059" s="150" t="str">
        <f>IFERROR(VLOOKUP(Proc[[#This Row],[App]],Table2[],3,0),"open")</f>
        <v>ok</v>
      </c>
      <c r="C5059" s="149" t="s">
        <v>369</v>
      </c>
      <c r="D5059" t="s">
        <v>7276</v>
      </c>
      <c r="E5059" t="s">
        <v>7299</v>
      </c>
      <c r="F5059" s="150" t="s">
        <v>7299</v>
      </c>
      <c r="G5059" s="149" t="s">
        <v>400</v>
      </c>
      <c r="H5059" s="150" t="str">
        <f>IF(Proc[[#This Row],[type]]="LFF (MDG-F)",MID(Proc[[#This Row],[Obj]],13,10),"")</f>
        <v/>
      </c>
      <c r="J5059" s="150" t="b">
        <f>Proc[[#This Row],[Requested]]=Proc[[#This Row],[CurrentParent]]</f>
        <v>1</v>
      </c>
      <c r="K5059" s="150" t="str">
        <f>IF(Proc[[#This Row],[Author]]="Marcela Urrego",VLOOKUP(LEFT(Proc[[#This Row],[Requested]],1),Table3[#All],2,0),VLOOKUP(Proc[[#This Row],[Author]],Table4[],2,0))</f>
        <v>HC</v>
      </c>
      <c r="L5059" s="150" t="s">
        <v>6435</v>
      </c>
      <c r="M5059" s="174">
        <v>45996</v>
      </c>
      <c r="N5059" s="175"/>
      <c r="O5059" s="175"/>
      <c r="P5059" s="175" t="str">
        <f ca="1">IF(Proc[[#This Row],[DaysAgeing]]&gt;5,"yep","on track")</f>
        <v>on track</v>
      </c>
      <c r="Q5059" s="3">
        <f ca="1">IF(Proc[[#This Row],[DateClosed]]="",ABS(NETWORKDAYS(Proc[[#This Row],[DateOpened]],TODAY()))-1,ABS(NETWORKDAYS(Proc[[#This Row],[DateOpened]],Proc[[#This Row],[DateClosed]]))-1)</f>
        <v>5</v>
      </c>
      <c r="R5059" s="175" t="s">
        <v>415</v>
      </c>
      <c r="S5059" s="150"/>
    </row>
    <row r="5060" spans="1:19" hidden="1">
      <c r="A5060" s="149" t="s">
        <v>7301</v>
      </c>
      <c r="B5060" s="150" t="str">
        <f>IFERROR(VLOOKUP(Proc[[#This Row],[App]],Table2[],3,0),"open")</f>
        <v>ok</v>
      </c>
      <c r="C5060" s="149" t="s">
        <v>369</v>
      </c>
      <c r="D5060" t="s">
        <v>7277</v>
      </c>
      <c r="E5060" t="s">
        <v>7299</v>
      </c>
      <c r="F5060" s="150" t="s">
        <v>7299</v>
      </c>
      <c r="G5060" s="149" t="s">
        <v>400</v>
      </c>
      <c r="H5060" s="150" t="str">
        <f>IF(Proc[[#This Row],[type]]="LFF (MDG-F)",MID(Proc[[#This Row],[Obj]],13,10),"")</f>
        <v/>
      </c>
      <c r="J5060" s="150" t="b">
        <f>Proc[[#This Row],[Requested]]=Proc[[#This Row],[CurrentParent]]</f>
        <v>1</v>
      </c>
      <c r="K5060" s="150" t="str">
        <f>IF(Proc[[#This Row],[Author]]="Marcela Urrego",VLOOKUP(LEFT(Proc[[#This Row],[Requested]],1),Table3[#All],2,0),VLOOKUP(Proc[[#This Row],[Author]],Table4[],2,0))</f>
        <v>HC</v>
      </c>
      <c r="L5060" s="150" t="s">
        <v>6435</v>
      </c>
      <c r="M5060" s="174">
        <v>45996</v>
      </c>
      <c r="N5060" s="175"/>
      <c r="O5060" s="175"/>
      <c r="P5060" s="175" t="str">
        <f ca="1">IF(Proc[[#This Row],[DaysAgeing]]&gt;5,"yep","on track")</f>
        <v>on track</v>
      </c>
      <c r="Q5060" s="3">
        <f ca="1">IF(Proc[[#This Row],[DateClosed]]="",ABS(NETWORKDAYS(Proc[[#This Row],[DateOpened]],TODAY()))-1,ABS(NETWORKDAYS(Proc[[#This Row],[DateOpened]],Proc[[#This Row],[DateClosed]]))-1)</f>
        <v>5</v>
      </c>
      <c r="R5060" s="175" t="s">
        <v>415</v>
      </c>
      <c r="S5060" s="150"/>
    </row>
    <row r="5061" spans="1:19" hidden="1">
      <c r="A5061" s="149" t="s">
        <v>7301</v>
      </c>
      <c r="B5061" s="150" t="str">
        <f>IFERROR(VLOOKUP(Proc[[#This Row],[App]],Table2[],3,0),"open")</f>
        <v>ok</v>
      </c>
      <c r="C5061" s="149" t="s">
        <v>369</v>
      </c>
      <c r="D5061" t="s">
        <v>7278</v>
      </c>
      <c r="E5061" t="s">
        <v>7299</v>
      </c>
      <c r="F5061" s="150" t="s">
        <v>7299</v>
      </c>
      <c r="G5061" s="149" t="s">
        <v>400</v>
      </c>
      <c r="H5061" s="150" t="str">
        <f>IF(Proc[[#This Row],[type]]="LFF (MDG-F)",MID(Proc[[#This Row],[Obj]],13,10),"")</f>
        <v/>
      </c>
      <c r="J5061" s="150" t="b">
        <f>Proc[[#This Row],[Requested]]=Proc[[#This Row],[CurrentParent]]</f>
        <v>1</v>
      </c>
      <c r="K5061" s="150" t="str">
        <f>IF(Proc[[#This Row],[Author]]="Marcela Urrego",VLOOKUP(LEFT(Proc[[#This Row],[Requested]],1),Table3[#All],2,0),VLOOKUP(Proc[[#This Row],[Author]],Table4[],2,0))</f>
        <v>HC</v>
      </c>
      <c r="L5061" s="150" t="s">
        <v>6435</v>
      </c>
      <c r="M5061" s="174">
        <v>45996</v>
      </c>
      <c r="N5061" s="175"/>
      <c r="O5061" s="175"/>
      <c r="P5061" s="175" t="str">
        <f ca="1">IF(Proc[[#This Row],[DaysAgeing]]&gt;5,"yep","on track")</f>
        <v>on track</v>
      </c>
      <c r="Q5061" s="3">
        <f ca="1">IF(Proc[[#This Row],[DateClosed]]="",ABS(NETWORKDAYS(Proc[[#This Row],[DateOpened]],TODAY()))-1,ABS(NETWORKDAYS(Proc[[#This Row],[DateOpened]],Proc[[#This Row],[DateClosed]]))-1)</f>
        <v>5</v>
      </c>
      <c r="R5061" s="175" t="s">
        <v>415</v>
      </c>
      <c r="S5061" s="150"/>
    </row>
    <row r="5062" spans="1:19" hidden="1">
      <c r="A5062" t="s">
        <v>7303</v>
      </c>
      <c r="B5062" s="150" t="str">
        <f>IFERROR(VLOOKUP(Proc[[#This Row],[App]],Table2[],3,0),"open")</f>
        <v>ok</v>
      </c>
      <c r="C5062" s="149" t="s">
        <v>369</v>
      </c>
      <c r="D5062" t="s">
        <v>7289</v>
      </c>
      <c r="E5062" t="s">
        <v>7282</v>
      </c>
      <c r="F5062" s="150" t="str">
        <f>VLOOKUP(Proc[[#This Row],[Obj]],Sheet3!A:B,2,0)</f>
        <v>H000000725</v>
      </c>
      <c r="G5062" s="149" t="s">
        <v>400</v>
      </c>
      <c r="H5062" s="150" t="str">
        <f>IF(Proc[[#This Row],[type]]="LFF (MDG-F)",MID(Proc[[#This Row],[Obj]],13,10),"")</f>
        <v/>
      </c>
      <c r="J5062" s="150" t="b">
        <f>Proc[[#This Row],[Requested]]=Proc[[#This Row],[CurrentParent]]</f>
        <v>1</v>
      </c>
      <c r="K5062" s="150" t="str">
        <f>IF(Proc[[#This Row],[Author]]="Marcela Urrego",VLOOKUP(LEFT(Proc[[#This Row],[Requested]],1),Table3[#All],2,0),VLOOKUP(Proc[[#This Row],[Author]],Table4[],2,0))</f>
        <v>HC</v>
      </c>
      <c r="L5062" s="150" t="s">
        <v>6435</v>
      </c>
      <c r="M5062" s="175">
        <v>45999</v>
      </c>
      <c r="N5062" s="175"/>
      <c r="O5062" s="175"/>
      <c r="P5062" s="175" t="str">
        <f ca="1">IF(Proc[[#This Row],[DaysAgeing]]&gt;5,"yep","on track")</f>
        <v>on track</v>
      </c>
      <c r="Q5062" s="3">
        <f ca="1">IF(Proc[[#This Row],[DateClosed]]="",ABS(NETWORKDAYS(Proc[[#This Row],[DateOpened]],TODAY()))-1,ABS(NETWORKDAYS(Proc[[#This Row],[DateOpened]],Proc[[#This Row],[DateClosed]]))-1)</f>
        <v>4</v>
      </c>
      <c r="R5062" s="175" t="s">
        <v>415</v>
      </c>
      <c r="S5062" s="150"/>
    </row>
    <row r="5063" spans="1:19" hidden="1">
      <c r="A5063" s="149" t="s">
        <v>7303</v>
      </c>
      <c r="B5063" s="150" t="str">
        <f>IFERROR(VLOOKUP(Proc[[#This Row],[App]],Table2[],3,0),"open")</f>
        <v>ok</v>
      </c>
      <c r="C5063" s="149" t="s">
        <v>369</v>
      </c>
      <c r="D5063" t="s">
        <v>7290</v>
      </c>
      <c r="E5063" t="s">
        <v>7282</v>
      </c>
      <c r="F5063" s="150" t="str">
        <f>VLOOKUP(Proc[[#This Row],[Obj]],Sheet3!A:B,2,0)</f>
        <v>H000000725</v>
      </c>
      <c r="G5063" s="149" t="s">
        <v>400</v>
      </c>
      <c r="H5063" s="150" t="str">
        <f>IF(Proc[[#This Row],[type]]="LFF (MDG-F)",MID(Proc[[#This Row],[Obj]],13,10),"")</f>
        <v/>
      </c>
      <c r="J5063" s="150" t="b">
        <f>Proc[[#This Row],[Requested]]=Proc[[#This Row],[CurrentParent]]</f>
        <v>1</v>
      </c>
      <c r="K5063" s="150" t="str">
        <f>IF(Proc[[#This Row],[Author]]="Marcela Urrego",VLOOKUP(LEFT(Proc[[#This Row],[Requested]],1),Table3[#All],2,0),VLOOKUP(Proc[[#This Row],[Author]],Table4[],2,0))</f>
        <v>HC</v>
      </c>
      <c r="L5063" s="150" t="s">
        <v>6435</v>
      </c>
      <c r="M5063" s="175">
        <v>45999</v>
      </c>
      <c r="N5063" s="175"/>
      <c r="O5063" s="175"/>
      <c r="P5063" s="175" t="str">
        <f ca="1">IF(Proc[[#This Row],[DaysAgeing]]&gt;5,"yep","on track")</f>
        <v>on track</v>
      </c>
      <c r="Q5063" s="3">
        <f ca="1">IF(Proc[[#This Row],[DateClosed]]="",ABS(NETWORKDAYS(Proc[[#This Row],[DateOpened]],TODAY()))-1,ABS(NETWORKDAYS(Proc[[#This Row],[DateOpened]],Proc[[#This Row],[DateClosed]]))-1)</f>
        <v>4</v>
      </c>
      <c r="R5063" s="175" t="s">
        <v>415</v>
      </c>
      <c r="S5063" s="150"/>
    </row>
    <row r="5064" spans="1:19" hidden="1">
      <c r="A5064" t="s">
        <v>7304</v>
      </c>
      <c r="B5064" s="150" t="str">
        <f>IFERROR(VLOOKUP(Proc[[#This Row],[App]],Table2[],3,0),"open")</f>
        <v>ok</v>
      </c>
      <c r="C5064" s="149" t="s">
        <v>369</v>
      </c>
      <c r="D5064" t="s">
        <v>7305</v>
      </c>
      <c r="E5064" t="s">
        <v>496</v>
      </c>
      <c r="F5064" s="150" t="str">
        <f>VLOOKUP(Proc[[#This Row],[Obj]],Sheet3!A:B,2,0)</f>
        <v>L000013461</v>
      </c>
      <c r="G5064" t="s">
        <v>400</v>
      </c>
      <c r="H5064" s="150" t="str">
        <f>IF(Proc[[#This Row],[type]]="LFF (MDG-F)",MID(Proc[[#This Row],[Obj]],13,10),"")</f>
        <v/>
      </c>
      <c r="J5064" s="150" t="b">
        <f>Proc[[#This Row],[Requested]]=Proc[[#This Row],[CurrentParent]]</f>
        <v>1</v>
      </c>
      <c r="K5064" s="150" t="str">
        <f>IF(Proc[[#This Row],[Author]]="Marcela Urrego",VLOOKUP(LEFT(Proc[[#This Row],[Requested]],1),Table3[#All],2,0),VLOOKUP(Proc[[#This Row],[Author]],Table4[],2,0))</f>
        <v>LS</v>
      </c>
      <c r="L5064" s="150" t="s">
        <v>6435</v>
      </c>
      <c r="M5064" s="175">
        <v>45999</v>
      </c>
      <c r="N5064" s="175"/>
      <c r="O5064" s="175"/>
      <c r="P5064" s="175" t="str">
        <f ca="1">IF(Proc[[#This Row],[DaysAgeing]]&gt;5,"yep","on track")</f>
        <v>on track</v>
      </c>
      <c r="Q5064" s="3">
        <f ca="1">IF(Proc[[#This Row],[DateClosed]]="",ABS(NETWORKDAYS(Proc[[#This Row],[DateOpened]],TODAY()))-1,ABS(NETWORKDAYS(Proc[[#This Row],[DateOpened]],Proc[[#This Row],[DateClosed]]))-1)</f>
        <v>4</v>
      </c>
      <c r="R5064" s="175" t="s">
        <v>489</v>
      </c>
      <c r="S5064" s="150"/>
    </row>
    <row r="5065" spans="1:19" hidden="1">
      <c r="A5065" s="149" t="s">
        <v>7304</v>
      </c>
      <c r="B5065" s="150" t="str">
        <f>IFERROR(VLOOKUP(Proc[[#This Row],[App]],Table2[],3,0),"open")</f>
        <v>ok</v>
      </c>
      <c r="C5065" s="149" t="s">
        <v>369</v>
      </c>
      <c r="D5065" t="s">
        <v>7306</v>
      </c>
      <c r="E5065" t="s">
        <v>7331</v>
      </c>
      <c r="F5065" s="150" t="str">
        <f>VLOOKUP(Proc[[#This Row],[Obj]],Sheet3!A:B,2,0)</f>
        <v>L000009635</v>
      </c>
      <c r="G5065" s="149" t="s">
        <v>400</v>
      </c>
      <c r="H5065" s="150" t="str">
        <f>IF(Proc[[#This Row],[type]]="LFF (MDG-F)",MID(Proc[[#This Row],[Obj]],13,10),"")</f>
        <v/>
      </c>
      <c r="J5065" s="150" t="b">
        <f>Proc[[#This Row],[Requested]]=Proc[[#This Row],[CurrentParent]]</f>
        <v>1</v>
      </c>
      <c r="K5065" s="150" t="str">
        <f>IF(Proc[[#This Row],[Author]]="Marcela Urrego",VLOOKUP(LEFT(Proc[[#This Row],[Requested]],1),Table3[#All],2,0),VLOOKUP(Proc[[#This Row],[Author]],Table4[],2,0))</f>
        <v>LS</v>
      </c>
      <c r="L5065" s="150" t="s">
        <v>6435</v>
      </c>
      <c r="M5065" s="175">
        <v>45999</v>
      </c>
      <c r="N5065" s="175"/>
      <c r="O5065" s="175"/>
      <c r="P5065" s="175" t="str">
        <f ca="1">IF(Proc[[#This Row],[DaysAgeing]]&gt;5,"yep","on track")</f>
        <v>on track</v>
      </c>
      <c r="Q5065" s="3">
        <f ca="1">IF(Proc[[#This Row],[DateClosed]]="",ABS(NETWORKDAYS(Proc[[#This Row],[DateOpened]],TODAY()))-1,ABS(NETWORKDAYS(Proc[[#This Row],[DateOpened]],Proc[[#This Row],[DateClosed]]))-1)</f>
        <v>4</v>
      </c>
      <c r="R5065" s="175" t="s">
        <v>489</v>
      </c>
      <c r="S5065" s="150"/>
    </row>
    <row r="5066" spans="1:19" hidden="1">
      <c r="A5066" s="149" t="s">
        <v>7304</v>
      </c>
      <c r="B5066" s="150" t="str">
        <f>IFERROR(VLOOKUP(Proc[[#This Row],[App]],Table2[],3,0),"open")</f>
        <v>ok</v>
      </c>
      <c r="C5066" s="149" t="s">
        <v>369</v>
      </c>
      <c r="D5066" t="s">
        <v>7307</v>
      </c>
      <c r="E5066" t="s">
        <v>2776</v>
      </c>
      <c r="F5066" s="150" t="str">
        <f>VLOOKUP(Proc[[#This Row],[Obj]],Sheet3!A:B,2,0)</f>
        <v>L000013359</v>
      </c>
      <c r="G5066" s="149" t="s">
        <v>400</v>
      </c>
      <c r="H5066" s="150" t="str">
        <f>IF(Proc[[#This Row],[type]]="LFF (MDG-F)",MID(Proc[[#This Row],[Obj]],13,10),"")</f>
        <v/>
      </c>
      <c r="J5066" s="150" t="b">
        <f>Proc[[#This Row],[Requested]]=Proc[[#This Row],[CurrentParent]]</f>
        <v>1</v>
      </c>
      <c r="K5066" s="150" t="str">
        <f>IF(Proc[[#This Row],[Author]]="Marcela Urrego",VLOOKUP(LEFT(Proc[[#This Row],[Requested]],1),Table3[#All],2,0),VLOOKUP(Proc[[#This Row],[Author]],Table4[],2,0))</f>
        <v>LS</v>
      </c>
      <c r="L5066" s="150" t="s">
        <v>6435</v>
      </c>
      <c r="M5066" s="175">
        <v>45999</v>
      </c>
      <c r="N5066" s="175"/>
      <c r="O5066" s="175"/>
      <c r="P5066" s="175" t="str">
        <f ca="1">IF(Proc[[#This Row],[DaysAgeing]]&gt;5,"yep","on track")</f>
        <v>on track</v>
      </c>
      <c r="Q5066" s="3">
        <f ca="1">IF(Proc[[#This Row],[DateClosed]]="",ABS(NETWORKDAYS(Proc[[#This Row],[DateOpened]],TODAY()))-1,ABS(NETWORKDAYS(Proc[[#This Row],[DateOpened]],Proc[[#This Row],[DateClosed]]))-1)</f>
        <v>4</v>
      </c>
      <c r="R5066" s="175" t="s">
        <v>489</v>
      </c>
      <c r="S5066" s="150"/>
    </row>
    <row r="5067" spans="1:19" hidden="1">
      <c r="A5067" s="149" t="s">
        <v>7304</v>
      </c>
      <c r="B5067" s="150" t="str">
        <f>IFERROR(VLOOKUP(Proc[[#This Row],[App]],Table2[],3,0),"open")</f>
        <v>ok</v>
      </c>
      <c r="C5067" s="149" t="s">
        <v>369</v>
      </c>
      <c r="D5067" t="s">
        <v>7308</v>
      </c>
      <c r="E5067" t="s">
        <v>4890</v>
      </c>
      <c r="F5067" s="150" t="str">
        <f>VLOOKUP(Proc[[#This Row],[Obj]],Sheet3!A:B,2,0)</f>
        <v>L000010020</v>
      </c>
      <c r="G5067" s="149" t="s">
        <v>400</v>
      </c>
      <c r="H5067" s="150" t="str">
        <f>IF(Proc[[#This Row],[type]]="LFF (MDG-F)",MID(Proc[[#This Row],[Obj]],13,10),"")</f>
        <v/>
      </c>
      <c r="J5067" s="150" t="b">
        <f>Proc[[#This Row],[Requested]]=Proc[[#This Row],[CurrentParent]]</f>
        <v>1</v>
      </c>
      <c r="K5067" s="150" t="str">
        <f>IF(Proc[[#This Row],[Author]]="Marcela Urrego",VLOOKUP(LEFT(Proc[[#This Row],[Requested]],1),Table3[#All],2,0),VLOOKUP(Proc[[#This Row],[Author]],Table4[],2,0))</f>
        <v>LS</v>
      </c>
      <c r="L5067" s="150" t="s">
        <v>6435</v>
      </c>
      <c r="M5067" s="175">
        <v>45999</v>
      </c>
      <c r="N5067" s="175"/>
      <c r="O5067" s="175"/>
      <c r="P5067" s="175" t="str">
        <f ca="1">IF(Proc[[#This Row],[DaysAgeing]]&gt;5,"yep","on track")</f>
        <v>on track</v>
      </c>
      <c r="Q5067" s="3">
        <f ca="1">IF(Proc[[#This Row],[DateClosed]]="",ABS(NETWORKDAYS(Proc[[#This Row],[DateOpened]],TODAY()))-1,ABS(NETWORKDAYS(Proc[[#This Row],[DateOpened]],Proc[[#This Row],[DateClosed]]))-1)</f>
        <v>4</v>
      </c>
      <c r="R5067" s="175" t="s">
        <v>489</v>
      </c>
      <c r="S5067" s="150"/>
    </row>
    <row r="5068" spans="1:19" hidden="1">
      <c r="A5068" s="149" t="s">
        <v>7304</v>
      </c>
      <c r="B5068" s="150" t="str">
        <f>IFERROR(VLOOKUP(Proc[[#This Row],[App]],Table2[],3,0),"open")</f>
        <v>ok</v>
      </c>
      <c r="C5068" s="149" t="s">
        <v>369</v>
      </c>
      <c r="D5068" t="s">
        <v>7309</v>
      </c>
      <c r="E5068" t="s">
        <v>2206</v>
      </c>
      <c r="F5068" s="150" t="str">
        <f>VLOOKUP(Proc[[#This Row],[Obj]],Sheet3!A:B,2,0)</f>
        <v>L000010037</v>
      </c>
      <c r="G5068" s="149" t="s">
        <v>400</v>
      </c>
      <c r="H5068" s="150" t="str">
        <f>IF(Proc[[#This Row],[type]]="LFF (MDG-F)",MID(Proc[[#This Row],[Obj]],13,10),"")</f>
        <v/>
      </c>
      <c r="J5068" s="150" t="b">
        <f>Proc[[#This Row],[Requested]]=Proc[[#This Row],[CurrentParent]]</f>
        <v>1</v>
      </c>
      <c r="K5068" s="150" t="str">
        <f>IF(Proc[[#This Row],[Author]]="Marcela Urrego",VLOOKUP(LEFT(Proc[[#This Row],[Requested]],1),Table3[#All],2,0),VLOOKUP(Proc[[#This Row],[Author]],Table4[],2,0))</f>
        <v>LS</v>
      </c>
      <c r="L5068" s="150" t="s">
        <v>6435</v>
      </c>
      <c r="M5068" s="175">
        <v>45999</v>
      </c>
      <c r="N5068" s="175"/>
      <c r="O5068" s="175"/>
      <c r="P5068" s="175" t="str">
        <f ca="1">IF(Proc[[#This Row],[DaysAgeing]]&gt;5,"yep","on track")</f>
        <v>on track</v>
      </c>
      <c r="Q5068" s="3">
        <f ca="1">IF(Proc[[#This Row],[DateClosed]]="",ABS(NETWORKDAYS(Proc[[#This Row],[DateOpened]],TODAY()))-1,ABS(NETWORKDAYS(Proc[[#This Row],[DateOpened]],Proc[[#This Row],[DateClosed]]))-1)</f>
        <v>4</v>
      </c>
      <c r="R5068" s="175" t="s">
        <v>489</v>
      </c>
      <c r="S5068" s="150"/>
    </row>
    <row r="5069" spans="1:19" hidden="1">
      <c r="A5069" s="149" t="s">
        <v>7304</v>
      </c>
      <c r="B5069" s="150" t="str">
        <f>IFERROR(VLOOKUP(Proc[[#This Row],[App]],Table2[],3,0),"open")</f>
        <v>ok</v>
      </c>
      <c r="C5069" s="149" t="s">
        <v>369</v>
      </c>
      <c r="D5069" t="s">
        <v>7310</v>
      </c>
      <c r="E5069" t="s">
        <v>7332</v>
      </c>
      <c r="F5069" s="150" t="str">
        <f>VLOOKUP(Proc[[#This Row],[Obj]],Sheet3!A:B,2,0)</f>
        <v>L000005341</v>
      </c>
      <c r="G5069" s="149" t="s">
        <v>400</v>
      </c>
      <c r="H5069" s="150" t="str">
        <f>IF(Proc[[#This Row],[type]]="LFF (MDG-F)",MID(Proc[[#This Row],[Obj]],13,10),"")</f>
        <v/>
      </c>
      <c r="J5069" s="150" t="b">
        <f>Proc[[#This Row],[Requested]]=Proc[[#This Row],[CurrentParent]]</f>
        <v>1</v>
      </c>
      <c r="K5069" s="150" t="str">
        <f>IF(Proc[[#This Row],[Author]]="Marcela Urrego",VLOOKUP(LEFT(Proc[[#This Row],[Requested]],1),Table3[#All],2,0),VLOOKUP(Proc[[#This Row],[Author]],Table4[],2,0))</f>
        <v>LS</v>
      </c>
      <c r="L5069" s="150" t="s">
        <v>6435</v>
      </c>
      <c r="M5069" s="175">
        <v>45999</v>
      </c>
      <c r="N5069" s="175"/>
      <c r="O5069" s="175"/>
      <c r="P5069" s="175" t="str">
        <f ca="1">IF(Proc[[#This Row],[DaysAgeing]]&gt;5,"yep","on track")</f>
        <v>on track</v>
      </c>
      <c r="Q5069" s="3">
        <f ca="1">IF(Proc[[#This Row],[DateClosed]]="",ABS(NETWORKDAYS(Proc[[#This Row],[DateOpened]],TODAY()))-1,ABS(NETWORKDAYS(Proc[[#This Row],[DateOpened]],Proc[[#This Row],[DateClosed]]))-1)</f>
        <v>4</v>
      </c>
      <c r="R5069" s="175" t="s">
        <v>489</v>
      </c>
      <c r="S5069" s="150"/>
    </row>
    <row r="5070" spans="1:19" hidden="1">
      <c r="A5070" s="149" t="s">
        <v>7304</v>
      </c>
      <c r="B5070" s="150" t="str">
        <f>IFERROR(VLOOKUP(Proc[[#This Row],[App]],Table2[],3,0),"open")</f>
        <v>ok</v>
      </c>
      <c r="C5070" s="149" t="s">
        <v>369</v>
      </c>
      <c r="D5070" t="s">
        <v>7311</v>
      </c>
      <c r="E5070" t="s">
        <v>7333</v>
      </c>
      <c r="F5070" s="150" t="str">
        <f>VLOOKUP(Proc[[#This Row],[Obj]],Sheet3!A:B,2,0)</f>
        <v>L000007080</v>
      </c>
      <c r="G5070" s="149" t="s">
        <v>400</v>
      </c>
      <c r="H5070" s="150" t="str">
        <f>IF(Proc[[#This Row],[type]]="LFF (MDG-F)",MID(Proc[[#This Row],[Obj]],13,10),"")</f>
        <v/>
      </c>
      <c r="J5070" s="150" t="b">
        <f>Proc[[#This Row],[Requested]]=Proc[[#This Row],[CurrentParent]]</f>
        <v>1</v>
      </c>
      <c r="K5070" s="150" t="str">
        <f>IF(Proc[[#This Row],[Author]]="Marcela Urrego",VLOOKUP(LEFT(Proc[[#This Row],[Requested]],1),Table3[#All],2,0),VLOOKUP(Proc[[#This Row],[Author]],Table4[],2,0))</f>
        <v>LS</v>
      </c>
      <c r="L5070" s="150" t="s">
        <v>6435</v>
      </c>
      <c r="M5070" s="175">
        <v>45999</v>
      </c>
      <c r="N5070" s="175"/>
      <c r="O5070" s="175"/>
      <c r="P5070" s="175" t="str">
        <f ca="1">IF(Proc[[#This Row],[DaysAgeing]]&gt;5,"yep","on track")</f>
        <v>on track</v>
      </c>
      <c r="Q5070" s="3">
        <f ca="1">IF(Proc[[#This Row],[DateClosed]]="",ABS(NETWORKDAYS(Proc[[#This Row],[DateOpened]],TODAY()))-1,ABS(NETWORKDAYS(Proc[[#This Row],[DateOpened]],Proc[[#This Row],[DateClosed]]))-1)</f>
        <v>4</v>
      </c>
      <c r="R5070" s="175" t="s">
        <v>489</v>
      </c>
      <c r="S5070" s="150"/>
    </row>
    <row r="5071" spans="1:19" hidden="1">
      <c r="A5071" s="149" t="s">
        <v>7304</v>
      </c>
      <c r="B5071" s="150" t="str">
        <f>IFERROR(VLOOKUP(Proc[[#This Row],[App]],Table2[],3,0),"open")</f>
        <v>ok</v>
      </c>
      <c r="C5071" s="149" t="s">
        <v>369</v>
      </c>
      <c r="D5071" t="s">
        <v>7312</v>
      </c>
      <c r="E5071" t="s">
        <v>7334</v>
      </c>
      <c r="F5071" s="150" t="str">
        <f>VLOOKUP(Proc[[#This Row],[Obj]],Sheet3!A:B,2,0)</f>
        <v>L000013317</v>
      </c>
      <c r="G5071" s="149" t="s">
        <v>400</v>
      </c>
      <c r="H5071" s="150" t="str">
        <f>IF(Proc[[#This Row],[type]]="LFF (MDG-F)",MID(Proc[[#This Row],[Obj]],13,10),"")</f>
        <v/>
      </c>
      <c r="J5071" s="150" t="b">
        <f>Proc[[#This Row],[Requested]]=Proc[[#This Row],[CurrentParent]]</f>
        <v>1</v>
      </c>
      <c r="K5071" s="150" t="str">
        <f>IF(Proc[[#This Row],[Author]]="Marcela Urrego",VLOOKUP(LEFT(Proc[[#This Row],[Requested]],1),Table3[#All],2,0),VLOOKUP(Proc[[#This Row],[Author]],Table4[],2,0))</f>
        <v>LS</v>
      </c>
      <c r="L5071" s="150" t="s">
        <v>6435</v>
      </c>
      <c r="M5071" s="175">
        <v>45999</v>
      </c>
      <c r="N5071" s="175"/>
      <c r="O5071" s="175"/>
      <c r="P5071" s="175" t="str">
        <f ca="1">IF(Proc[[#This Row],[DaysAgeing]]&gt;5,"yep","on track")</f>
        <v>on track</v>
      </c>
      <c r="Q5071" s="3">
        <f ca="1">IF(Proc[[#This Row],[DateClosed]]="",ABS(NETWORKDAYS(Proc[[#This Row],[DateOpened]],TODAY()))-1,ABS(NETWORKDAYS(Proc[[#This Row],[DateOpened]],Proc[[#This Row],[DateClosed]]))-1)</f>
        <v>4</v>
      </c>
      <c r="R5071" s="175" t="s">
        <v>489</v>
      </c>
      <c r="S5071" s="150"/>
    </row>
    <row r="5072" spans="1:19" hidden="1">
      <c r="A5072" s="149" t="s">
        <v>7304</v>
      </c>
      <c r="B5072" s="150" t="str">
        <f>IFERROR(VLOOKUP(Proc[[#This Row],[App]],Table2[],3,0),"open")</f>
        <v>ok</v>
      </c>
      <c r="C5072" s="149" t="s">
        <v>369</v>
      </c>
      <c r="D5072" t="s">
        <v>7313</v>
      </c>
      <c r="E5072" t="s">
        <v>7335</v>
      </c>
      <c r="F5072" s="150" t="str">
        <f>VLOOKUP(Proc[[#This Row],[Obj]],Sheet3!A:B,2,0)</f>
        <v>L000013227</v>
      </c>
      <c r="G5072" s="149" t="s">
        <v>400</v>
      </c>
      <c r="H5072" s="150" t="str">
        <f>IF(Proc[[#This Row],[type]]="LFF (MDG-F)",MID(Proc[[#This Row],[Obj]],13,10),"")</f>
        <v/>
      </c>
      <c r="J5072" s="150" t="b">
        <f>Proc[[#This Row],[Requested]]=Proc[[#This Row],[CurrentParent]]</f>
        <v>1</v>
      </c>
      <c r="K5072" s="150" t="str">
        <f>IF(Proc[[#This Row],[Author]]="Marcela Urrego",VLOOKUP(LEFT(Proc[[#This Row],[Requested]],1),Table3[#All],2,0),VLOOKUP(Proc[[#This Row],[Author]],Table4[],2,0))</f>
        <v>LS</v>
      </c>
      <c r="L5072" s="150" t="s">
        <v>6435</v>
      </c>
      <c r="M5072" s="175">
        <v>45999</v>
      </c>
      <c r="N5072" s="175"/>
      <c r="O5072" s="175"/>
      <c r="P5072" s="175" t="str">
        <f ca="1">IF(Proc[[#This Row],[DaysAgeing]]&gt;5,"yep","on track")</f>
        <v>on track</v>
      </c>
      <c r="Q5072" s="3">
        <f ca="1">IF(Proc[[#This Row],[DateClosed]]="",ABS(NETWORKDAYS(Proc[[#This Row],[DateOpened]],TODAY()))-1,ABS(NETWORKDAYS(Proc[[#This Row],[DateOpened]],Proc[[#This Row],[DateClosed]]))-1)</f>
        <v>4</v>
      </c>
      <c r="R5072" s="175" t="s">
        <v>489</v>
      </c>
      <c r="S5072" s="150"/>
    </row>
    <row r="5073" spans="1:19" hidden="1">
      <c r="A5073" s="149" t="s">
        <v>7304</v>
      </c>
      <c r="B5073" s="150" t="str">
        <f>IFERROR(VLOOKUP(Proc[[#This Row],[App]],Table2[],3,0),"open")</f>
        <v>ok</v>
      </c>
      <c r="C5073" s="149" t="s">
        <v>369</v>
      </c>
      <c r="D5073" t="s">
        <v>7314</v>
      </c>
      <c r="E5073" t="s">
        <v>7336</v>
      </c>
      <c r="F5073" s="150" t="str">
        <f>VLOOKUP(Proc[[#This Row],[Obj]],Sheet3!A:B,2,0)</f>
        <v>L000011186</v>
      </c>
      <c r="G5073" s="149" t="s">
        <v>400</v>
      </c>
      <c r="H5073" s="150" t="str">
        <f>IF(Proc[[#This Row],[type]]="LFF (MDG-F)",MID(Proc[[#This Row],[Obj]],13,10),"")</f>
        <v/>
      </c>
      <c r="J5073" s="150" t="b">
        <f>Proc[[#This Row],[Requested]]=Proc[[#This Row],[CurrentParent]]</f>
        <v>1</v>
      </c>
      <c r="K5073" s="150" t="str">
        <f>IF(Proc[[#This Row],[Author]]="Marcela Urrego",VLOOKUP(LEFT(Proc[[#This Row],[Requested]],1),Table3[#All],2,0),VLOOKUP(Proc[[#This Row],[Author]],Table4[],2,0))</f>
        <v>LS</v>
      </c>
      <c r="L5073" s="150" t="s">
        <v>6435</v>
      </c>
      <c r="M5073" s="175">
        <v>45999</v>
      </c>
      <c r="N5073" s="175"/>
      <c r="O5073" s="175"/>
      <c r="P5073" s="175" t="str">
        <f ca="1">IF(Proc[[#This Row],[DaysAgeing]]&gt;5,"yep","on track")</f>
        <v>on track</v>
      </c>
      <c r="Q5073" s="3">
        <f ca="1">IF(Proc[[#This Row],[DateClosed]]="",ABS(NETWORKDAYS(Proc[[#This Row],[DateOpened]],TODAY()))-1,ABS(NETWORKDAYS(Proc[[#This Row],[DateOpened]],Proc[[#This Row],[DateClosed]]))-1)</f>
        <v>4</v>
      </c>
      <c r="R5073" s="175" t="s">
        <v>489</v>
      </c>
      <c r="S5073" s="150"/>
    </row>
    <row r="5074" spans="1:19" hidden="1">
      <c r="A5074" s="149" t="s">
        <v>7304</v>
      </c>
      <c r="B5074" s="150" t="str">
        <f>IFERROR(VLOOKUP(Proc[[#This Row],[App]],Table2[],3,0),"open")</f>
        <v>ok</v>
      </c>
      <c r="C5074" s="149" t="s">
        <v>369</v>
      </c>
      <c r="D5074" t="s">
        <v>7315</v>
      </c>
      <c r="E5074" t="s">
        <v>7336</v>
      </c>
      <c r="F5074" s="150" t="str">
        <f>VLOOKUP(Proc[[#This Row],[Obj]],Sheet3!A:B,2,0)</f>
        <v>L000011186</v>
      </c>
      <c r="G5074" s="149" t="s">
        <v>400</v>
      </c>
      <c r="H5074" s="150" t="str">
        <f>IF(Proc[[#This Row],[type]]="LFF (MDG-F)",MID(Proc[[#This Row],[Obj]],13,10),"")</f>
        <v/>
      </c>
      <c r="J5074" s="150" t="b">
        <f>Proc[[#This Row],[Requested]]=Proc[[#This Row],[CurrentParent]]</f>
        <v>1</v>
      </c>
      <c r="K5074" s="150" t="str">
        <f>IF(Proc[[#This Row],[Author]]="Marcela Urrego",VLOOKUP(LEFT(Proc[[#This Row],[Requested]],1),Table3[#All],2,0),VLOOKUP(Proc[[#This Row],[Author]],Table4[],2,0))</f>
        <v>LS</v>
      </c>
      <c r="L5074" s="150" t="s">
        <v>6435</v>
      </c>
      <c r="M5074" s="175">
        <v>45999</v>
      </c>
      <c r="N5074" s="175"/>
      <c r="O5074" s="175"/>
      <c r="P5074" s="175" t="str">
        <f ca="1">IF(Proc[[#This Row],[DaysAgeing]]&gt;5,"yep","on track")</f>
        <v>on track</v>
      </c>
      <c r="Q5074" s="3">
        <f ca="1">IF(Proc[[#This Row],[DateClosed]]="",ABS(NETWORKDAYS(Proc[[#This Row],[DateOpened]],TODAY()))-1,ABS(NETWORKDAYS(Proc[[#This Row],[DateOpened]],Proc[[#This Row],[DateClosed]]))-1)</f>
        <v>4</v>
      </c>
      <c r="R5074" s="175" t="s">
        <v>489</v>
      </c>
      <c r="S5074" s="150"/>
    </row>
    <row r="5075" spans="1:19" hidden="1">
      <c r="A5075" s="149" t="s">
        <v>7304</v>
      </c>
      <c r="B5075" s="150" t="str">
        <f>IFERROR(VLOOKUP(Proc[[#This Row],[App]],Table2[],3,0),"open")</f>
        <v>ok</v>
      </c>
      <c r="C5075" s="149" t="s">
        <v>369</v>
      </c>
      <c r="D5075" t="s">
        <v>7316</v>
      </c>
      <c r="E5075" t="s">
        <v>7337</v>
      </c>
      <c r="F5075" s="150" t="str">
        <f>VLOOKUP(Proc[[#This Row],[Obj]],Sheet3!A:B,2,0)</f>
        <v>L000011185</v>
      </c>
      <c r="G5075" s="149" t="s">
        <v>400</v>
      </c>
      <c r="H5075" s="150" t="str">
        <f>IF(Proc[[#This Row],[type]]="LFF (MDG-F)",MID(Proc[[#This Row],[Obj]],13,10),"")</f>
        <v/>
      </c>
      <c r="J5075" s="150" t="b">
        <f>Proc[[#This Row],[Requested]]=Proc[[#This Row],[CurrentParent]]</f>
        <v>1</v>
      </c>
      <c r="K5075" s="150" t="str">
        <f>IF(Proc[[#This Row],[Author]]="Marcela Urrego",VLOOKUP(LEFT(Proc[[#This Row],[Requested]],1),Table3[#All],2,0),VLOOKUP(Proc[[#This Row],[Author]],Table4[],2,0))</f>
        <v>LS</v>
      </c>
      <c r="L5075" s="150" t="s">
        <v>6435</v>
      </c>
      <c r="M5075" s="175">
        <v>45999</v>
      </c>
      <c r="N5075" s="175"/>
      <c r="O5075" s="175"/>
      <c r="P5075" s="175" t="str">
        <f ca="1">IF(Proc[[#This Row],[DaysAgeing]]&gt;5,"yep","on track")</f>
        <v>on track</v>
      </c>
      <c r="Q5075" s="3">
        <f ca="1">IF(Proc[[#This Row],[DateClosed]]="",ABS(NETWORKDAYS(Proc[[#This Row],[DateOpened]],TODAY()))-1,ABS(NETWORKDAYS(Proc[[#This Row],[DateOpened]],Proc[[#This Row],[DateClosed]]))-1)</f>
        <v>4</v>
      </c>
      <c r="R5075" s="175" t="s">
        <v>489</v>
      </c>
      <c r="S5075" s="150"/>
    </row>
    <row r="5076" spans="1:19" hidden="1">
      <c r="A5076" s="149" t="s">
        <v>7304</v>
      </c>
      <c r="B5076" s="150" t="str">
        <f>IFERROR(VLOOKUP(Proc[[#This Row],[App]],Table2[],3,0),"open")</f>
        <v>ok</v>
      </c>
      <c r="C5076" s="149" t="s">
        <v>369</v>
      </c>
      <c r="D5076" t="s">
        <v>7317</v>
      </c>
      <c r="E5076" t="s">
        <v>7337</v>
      </c>
      <c r="F5076" s="150" t="str">
        <f>VLOOKUP(Proc[[#This Row],[Obj]],Sheet3!A:B,2,0)</f>
        <v>L000011185</v>
      </c>
      <c r="G5076" s="149" t="s">
        <v>400</v>
      </c>
      <c r="H5076" s="150" t="str">
        <f>IF(Proc[[#This Row],[type]]="LFF (MDG-F)",MID(Proc[[#This Row],[Obj]],13,10),"")</f>
        <v/>
      </c>
      <c r="J5076" s="150" t="b">
        <f>Proc[[#This Row],[Requested]]=Proc[[#This Row],[CurrentParent]]</f>
        <v>1</v>
      </c>
      <c r="K5076" s="150" t="str">
        <f>IF(Proc[[#This Row],[Author]]="Marcela Urrego",VLOOKUP(LEFT(Proc[[#This Row],[Requested]],1),Table3[#All],2,0),VLOOKUP(Proc[[#This Row],[Author]],Table4[],2,0))</f>
        <v>LS</v>
      </c>
      <c r="L5076" s="150" t="s">
        <v>6435</v>
      </c>
      <c r="M5076" s="175">
        <v>45999</v>
      </c>
      <c r="N5076" s="175"/>
      <c r="O5076" s="175"/>
      <c r="P5076" s="175" t="str">
        <f ca="1">IF(Proc[[#This Row],[DaysAgeing]]&gt;5,"yep","on track")</f>
        <v>on track</v>
      </c>
      <c r="Q5076" s="3">
        <f ca="1">IF(Proc[[#This Row],[DateClosed]]="",ABS(NETWORKDAYS(Proc[[#This Row],[DateOpened]],TODAY()))-1,ABS(NETWORKDAYS(Proc[[#This Row],[DateOpened]],Proc[[#This Row],[DateClosed]]))-1)</f>
        <v>4</v>
      </c>
      <c r="R5076" s="175" t="s">
        <v>489</v>
      </c>
      <c r="S5076" s="150"/>
    </row>
    <row r="5077" spans="1:19" hidden="1">
      <c r="A5077" s="149" t="s">
        <v>7304</v>
      </c>
      <c r="B5077" s="150" t="str">
        <f>IFERROR(VLOOKUP(Proc[[#This Row],[App]],Table2[],3,0),"open")</f>
        <v>ok</v>
      </c>
      <c r="C5077" s="149" t="s">
        <v>369</v>
      </c>
      <c r="D5077" t="s">
        <v>7318</v>
      </c>
      <c r="E5077" t="s">
        <v>6956</v>
      </c>
      <c r="F5077" s="150" t="str">
        <f>VLOOKUP(Proc[[#This Row],[Obj]],Sheet3!A:B,2,0)</f>
        <v>L000013915</v>
      </c>
      <c r="G5077" s="149" t="s">
        <v>400</v>
      </c>
      <c r="H5077" s="150" t="str">
        <f>IF(Proc[[#This Row],[type]]="LFF (MDG-F)",MID(Proc[[#This Row],[Obj]],13,10),"")</f>
        <v/>
      </c>
      <c r="J5077" s="150" t="b">
        <f>Proc[[#This Row],[Requested]]=Proc[[#This Row],[CurrentParent]]</f>
        <v>1</v>
      </c>
      <c r="K5077" s="150" t="str">
        <f>IF(Proc[[#This Row],[Author]]="Marcela Urrego",VLOOKUP(LEFT(Proc[[#This Row],[Requested]],1),Table3[#All],2,0),VLOOKUP(Proc[[#This Row],[Author]],Table4[],2,0))</f>
        <v>LS</v>
      </c>
      <c r="L5077" s="150" t="s">
        <v>6435</v>
      </c>
      <c r="M5077" s="175">
        <v>45999</v>
      </c>
      <c r="N5077" s="175"/>
      <c r="O5077" s="175"/>
      <c r="P5077" s="175" t="str">
        <f ca="1">IF(Proc[[#This Row],[DaysAgeing]]&gt;5,"yep","on track")</f>
        <v>on track</v>
      </c>
      <c r="Q5077" s="3">
        <f ca="1">IF(Proc[[#This Row],[DateClosed]]="",ABS(NETWORKDAYS(Proc[[#This Row],[DateOpened]],TODAY()))-1,ABS(NETWORKDAYS(Proc[[#This Row],[DateOpened]],Proc[[#This Row],[DateClosed]]))-1)</f>
        <v>4</v>
      </c>
      <c r="R5077" s="175" t="s">
        <v>489</v>
      </c>
      <c r="S5077" s="150"/>
    </row>
    <row r="5078" spans="1:19" hidden="1">
      <c r="A5078" s="149" t="s">
        <v>7304</v>
      </c>
      <c r="B5078" s="150" t="str">
        <f>IFERROR(VLOOKUP(Proc[[#This Row],[App]],Table2[],3,0),"open")</f>
        <v>ok</v>
      </c>
      <c r="C5078" s="149" t="s">
        <v>369</v>
      </c>
      <c r="D5078" t="s">
        <v>7319</v>
      </c>
      <c r="E5078" t="s">
        <v>7338</v>
      </c>
      <c r="F5078" s="150" t="str">
        <f>VLOOKUP(Proc[[#This Row],[Obj]],Sheet3!A:B,2,0)</f>
        <v>L000009119</v>
      </c>
      <c r="G5078" s="149" t="s">
        <v>400</v>
      </c>
      <c r="H5078" s="150" t="str">
        <f>IF(Proc[[#This Row],[type]]="LFF (MDG-F)",MID(Proc[[#This Row],[Obj]],13,10),"")</f>
        <v/>
      </c>
      <c r="J5078" s="150" t="b">
        <f>Proc[[#This Row],[Requested]]=Proc[[#This Row],[CurrentParent]]</f>
        <v>1</v>
      </c>
      <c r="K5078" s="150" t="str">
        <f>IF(Proc[[#This Row],[Author]]="Marcela Urrego",VLOOKUP(LEFT(Proc[[#This Row],[Requested]],1),Table3[#All],2,0),VLOOKUP(Proc[[#This Row],[Author]],Table4[],2,0))</f>
        <v>LS</v>
      </c>
      <c r="L5078" s="150" t="s">
        <v>6435</v>
      </c>
      <c r="M5078" s="175">
        <v>45999</v>
      </c>
      <c r="N5078" s="175"/>
      <c r="O5078" s="175"/>
      <c r="P5078" s="175" t="str">
        <f ca="1">IF(Proc[[#This Row],[DaysAgeing]]&gt;5,"yep","on track")</f>
        <v>on track</v>
      </c>
      <c r="Q5078" s="3">
        <f ca="1">IF(Proc[[#This Row],[DateClosed]]="",ABS(NETWORKDAYS(Proc[[#This Row],[DateOpened]],TODAY()))-1,ABS(NETWORKDAYS(Proc[[#This Row],[DateOpened]],Proc[[#This Row],[DateClosed]]))-1)</f>
        <v>4</v>
      </c>
      <c r="R5078" s="175" t="s">
        <v>489</v>
      </c>
      <c r="S5078" s="150"/>
    </row>
    <row r="5079" spans="1:19" hidden="1">
      <c r="A5079" s="149" t="s">
        <v>7304</v>
      </c>
      <c r="B5079" s="150" t="str">
        <f>IFERROR(VLOOKUP(Proc[[#This Row],[App]],Table2[],3,0),"open")</f>
        <v>ok</v>
      </c>
      <c r="C5079" s="149" t="s">
        <v>369</v>
      </c>
      <c r="D5079" t="s">
        <v>7320</v>
      </c>
      <c r="E5079" t="s">
        <v>7338</v>
      </c>
      <c r="F5079" s="150" t="str">
        <f>VLOOKUP(Proc[[#This Row],[Obj]],Sheet3!A:B,2,0)</f>
        <v>L000009119</v>
      </c>
      <c r="G5079" s="149" t="s">
        <v>400</v>
      </c>
      <c r="H5079" s="150" t="str">
        <f>IF(Proc[[#This Row],[type]]="LFF (MDG-F)",MID(Proc[[#This Row],[Obj]],13,10),"")</f>
        <v/>
      </c>
      <c r="J5079" s="150" t="b">
        <f>Proc[[#This Row],[Requested]]=Proc[[#This Row],[CurrentParent]]</f>
        <v>1</v>
      </c>
      <c r="K5079" s="150" t="str">
        <f>IF(Proc[[#This Row],[Author]]="Marcela Urrego",VLOOKUP(LEFT(Proc[[#This Row],[Requested]],1),Table3[#All],2,0),VLOOKUP(Proc[[#This Row],[Author]],Table4[],2,0))</f>
        <v>LS</v>
      </c>
      <c r="L5079" s="150" t="s">
        <v>6435</v>
      </c>
      <c r="M5079" s="175">
        <v>45999</v>
      </c>
      <c r="N5079" s="175"/>
      <c r="O5079" s="175"/>
      <c r="P5079" s="175" t="str">
        <f ca="1">IF(Proc[[#This Row],[DaysAgeing]]&gt;5,"yep","on track")</f>
        <v>on track</v>
      </c>
      <c r="Q5079" s="3">
        <f ca="1">IF(Proc[[#This Row],[DateClosed]]="",ABS(NETWORKDAYS(Proc[[#This Row],[DateOpened]],TODAY()))-1,ABS(NETWORKDAYS(Proc[[#This Row],[DateOpened]],Proc[[#This Row],[DateClosed]]))-1)</f>
        <v>4</v>
      </c>
      <c r="R5079" s="175" t="s">
        <v>489</v>
      </c>
      <c r="S5079" s="150"/>
    </row>
    <row r="5080" spans="1:19" hidden="1">
      <c r="A5080" s="149" t="s">
        <v>7304</v>
      </c>
      <c r="B5080" s="150" t="str">
        <f>IFERROR(VLOOKUP(Proc[[#This Row],[App]],Table2[],3,0),"open")</f>
        <v>ok</v>
      </c>
      <c r="C5080" s="149" t="s">
        <v>369</v>
      </c>
      <c r="D5080" t="s">
        <v>7321</v>
      </c>
      <c r="E5080" t="s">
        <v>7338</v>
      </c>
      <c r="F5080" s="150" t="str">
        <f>VLOOKUP(Proc[[#This Row],[Obj]],Sheet3!A:B,2,0)</f>
        <v>L000009119</v>
      </c>
      <c r="G5080" s="149" t="s">
        <v>400</v>
      </c>
      <c r="H5080" s="150" t="str">
        <f>IF(Proc[[#This Row],[type]]="LFF (MDG-F)",MID(Proc[[#This Row],[Obj]],13,10),"")</f>
        <v/>
      </c>
      <c r="J5080" s="150" t="b">
        <f>Proc[[#This Row],[Requested]]=Proc[[#This Row],[CurrentParent]]</f>
        <v>1</v>
      </c>
      <c r="K5080" s="150" t="str">
        <f>IF(Proc[[#This Row],[Author]]="Marcela Urrego",VLOOKUP(LEFT(Proc[[#This Row],[Requested]],1),Table3[#All],2,0),VLOOKUP(Proc[[#This Row],[Author]],Table4[],2,0))</f>
        <v>LS</v>
      </c>
      <c r="L5080" s="150" t="s">
        <v>6435</v>
      </c>
      <c r="M5080" s="175">
        <v>45999</v>
      </c>
      <c r="N5080" s="175"/>
      <c r="O5080" s="175"/>
      <c r="P5080" s="175" t="str">
        <f ca="1">IF(Proc[[#This Row],[DaysAgeing]]&gt;5,"yep","on track")</f>
        <v>on track</v>
      </c>
      <c r="Q5080" s="3">
        <f ca="1">IF(Proc[[#This Row],[DateClosed]]="",ABS(NETWORKDAYS(Proc[[#This Row],[DateOpened]],TODAY()))-1,ABS(NETWORKDAYS(Proc[[#This Row],[DateOpened]],Proc[[#This Row],[DateClosed]]))-1)</f>
        <v>4</v>
      </c>
      <c r="R5080" s="175" t="s">
        <v>489</v>
      </c>
      <c r="S5080" s="150"/>
    </row>
    <row r="5081" spans="1:19" hidden="1">
      <c r="A5081" s="149" t="s">
        <v>7304</v>
      </c>
      <c r="B5081" s="150" t="str">
        <f>IFERROR(VLOOKUP(Proc[[#This Row],[App]],Table2[],3,0),"open")</f>
        <v>ok</v>
      </c>
      <c r="C5081" s="149" t="s">
        <v>369</v>
      </c>
      <c r="D5081" t="s">
        <v>7322</v>
      </c>
      <c r="E5081" t="s">
        <v>7338</v>
      </c>
      <c r="F5081" s="150" t="str">
        <f>VLOOKUP(Proc[[#This Row],[Obj]],Sheet3!A:B,2,0)</f>
        <v>L000009119</v>
      </c>
      <c r="G5081" s="149" t="s">
        <v>400</v>
      </c>
      <c r="H5081" s="150" t="str">
        <f>IF(Proc[[#This Row],[type]]="LFF (MDG-F)",MID(Proc[[#This Row],[Obj]],13,10),"")</f>
        <v/>
      </c>
      <c r="J5081" s="150" t="b">
        <f>Proc[[#This Row],[Requested]]=Proc[[#This Row],[CurrentParent]]</f>
        <v>1</v>
      </c>
      <c r="K5081" s="150" t="str">
        <f>IF(Proc[[#This Row],[Author]]="Marcela Urrego",VLOOKUP(LEFT(Proc[[#This Row],[Requested]],1),Table3[#All],2,0),VLOOKUP(Proc[[#This Row],[Author]],Table4[],2,0))</f>
        <v>LS</v>
      </c>
      <c r="L5081" s="150" t="s">
        <v>6435</v>
      </c>
      <c r="M5081" s="175">
        <v>45999</v>
      </c>
      <c r="N5081" s="175"/>
      <c r="O5081" s="175"/>
      <c r="P5081" s="175" t="str">
        <f ca="1">IF(Proc[[#This Row],[DaysAgeing]]&gt;5,"yep","on track")</f>
        <v>on track</v>
      </c>
      <c r="Q5081" s="3">
        <f ca="1">IF(Proc[[#This Row],[DateClosed]]="",ABS(NETWORKDAYS(Proc[[#This Row],[DateOpened]],TODAY()))-1,ABS(NETWORKDAYS(Proc[[#This Row],[DateOpened]],Proc[[#This Row],[DateClosed]]))-1)</f>
        <v>4</v>
      </c>
      <c r="R5081" s="175" t="s">
        <v>489</v>
      </c>
      <c r="S5081" s="150"/>
    </row>
    <row r="5082" spans="1:19" hidden="1">
      <c r="A5082" s="149" t="s">
        <v>7304</v>
      </c>
      <c r="B5082" s="150" t="str">
        <f>IFERROR(VLOOKUP(Proc[[#This Row],[App]],Table2[],3,0),"open")</f>
        <v>ok</v>
      </c>
      <c r="C5082" s="149" t="s">
        <v>369</v>
      </c>
      <c r="D5082" t="s">
        <v>7323</v>
      </c>
      <c r="E5082" t="s">
        <v>7338</v>
      </c>
      <c r="F5082" s="150" t="str">
        <f>VLOOKUP(Proc[[#This Row],[Obj]],Sheet3!A:B,2,0)</f>
        <v>L000009119</v>
      </c>
      <c r="G5082" s="149" t="s">
        <v>400</v>
      </c>
      <c r="H5082" s="150" t="str">
        <f>IF(Proc[[#This Row],[type]]="LFF (MDG-F)",MID(Proc[[#This Row],[Obj]],13,10),"")</f>
        <v/>
      </c>
      <c r="J5082" s="150" t="b">
        <f>Proc[[#This Row],[Requested]]=Proc[[#This Row],[CurrentParent]]</f>
        <v>1</v>
      </c>
      <c r="K5082" s="150" t="str">
        <f>IF(Proc[[#This Row],[Author]]="Marcela Urrego",VLOOKUP(LEFT(Proc[[#This Row],[Requested]],1),Table3[#All],2,0),VLOOKUP(Proc[[#This Row],[Author]],Table4[],2,0))</f>
        <v>LS</v>
      </c>
      <c r="L5082" s="150" t="s">
        <v>6435</v>
      </c>
      <c r="M5082" s="175">
        <v>45999</v>
      </c>
      <c r="N5082" s="175"/>
      <c r="O5082" s="175"/>
      <c r="P5082" s="175" t="str">
        <f ca="1">IF(Proc[[#This Row],[DaysAgeing]]&gt;5,"yep","on track")</f>
        <v>on track</v>
      </c>
      <c r="Q5082" s="3">
        <f ca="1">IF(Proc[[#This Row],[DateClosed]]="",ABS(NETWORKDAYS(Proc[[#This Row],[DateOpened]],TODAY()))-1,ABS(NETWORKDAYS(Proc[[#This Row],[DateOpened]],Proc[[#This Row],[DateClosed]]))-1)</f>
        <v>4</v>
      </c>
      <c r="R5082" s="175" t="s">
        <v>489</v>
      </c>
      <c r="S5082" s="150"/>
    </row>
    <row r="5083" spans="1:19" hidden="1">
      <c r="A5083" s="149" t="s">
        <v>7304</v>
      </c>
      <c r="B5083" s="150" t="str">
        <f>IFERROR(VLOOKUP(Proc[[#This Row],[App]],Table2[],3,0),"open")</f>
        <v>ok</v>
      </c>
      <c r="C5083" s="149" t="s">
        <v>369</v>
      </c>
      <c r="D5083" t="s">
        <v>7324</v>
      </c>
      <c r="E5083" t="s">
        <v>7338</v>
      </c>
      <c r="F5083" s="150" t="str">
        <f>VLOOKUP(Proc[[#This Row],[Obj]],Sheet3!A:B,2,0)</f>
        <v>L000009119</v>
      </c>
      <c r="G5083" s="149" t="s">
        <v>400</v>
      </c>
      <c r="H5083" s="150" t="str">
        <f>IF(Proc[[#This Row],[type]]="LFF (MDG-F)",MID(Proc[[#This Row],[Obj]],13,10),"")</f>
        <v/>
      </c>
      <c r="J5083" s="150" t="b">
        <f>Proc[[#This Row],[Requested]]=Proc[[#This Row],[CurrentParent]]</f>
        <v>1</v>
      </c>
      <c r="K5083" s="150" t="str">
        <f>IF(Proc[[#This Row],[Author]]="Marcela Urrego",VLOOKUP(LEFT(Proc[[#This Row],[Requested]],1),Table3[#All],2,0),VLOOKUP(Proc[[#This Row],[Author]],Table4[],2,0))</f>
        <v>LS</v>
      </c>
      <c r="L5083" s="150" t="s">
        <v>6435</v>
      </c>
      <c r="M5083" s="175">
        <v>45999</v>
      </c>
      <c r="N5083" s="175"/>
      <c r="O5083" s="175"/>
      <c r="P5083" s="175" t="str">
        <f ca="1">IF(Proc[[#This Row],[DaysAgeing]]&gt;5,"yep","on track")</f>
        <v>on track</v>
      </c>
      <c r="Q5083" s="3">
        <f ca="1">IF(Proc[[#This Row],[DateClosed]]="",ABS(NETWORKDAYS(Proc[[#This Row],[DateOpened]],TODAY()))-1,ABS(NETWORKDAYS(Proc[[#This Row],[DateOpened]],Proc[[#This Row],[DateClosed]]))-1)</f>
        <v>4</v>
      </c>
      <c r="R5083" s="175" t="s">
        <v>489</v>
      </c>
      <c r="S5083" s="150"/>
    </row>
    <row r="5084" spans="1:19" hidden="1">
      <c r="A5084" s="149" t="s">
        <v>7304</v>
      </c>
      <c r="B5084" s="150" t="str">
        <f>IFERROR(VLOOKUP(Proc[[#This Row],[App]],Table2[],3,0),"open")</f>
        <v>ok</v>
      </c>
      <c r="C5084" s="149" t="s">
        <v>369</v>
      </c>
      <c r="D5084" t="s">
        <v>7325</v>
      </c>
      <c r="E5084" t="s">
        <v>7338</v>
      </c>
      <c r="F5084" s="150" t="str">
        <f>VLOOKUP(Proc[[#This Row],[Obj]],Sheet3!A:B,2,0)</f>
        <v>L000009119</v>
      </c>
      <c r="G5084" s="149" t="s">
        <v>400</v>
      </c>
      <c r="H5084" s="150" t="str">
        <f>IF(Proc[[#This Row],[type]]="LFF (MDG-F)",MID(Proc[[#This Row],[Obj]],13,10),"")</f>
        <v/>
      </c>
      <c r="J5084" s="150" t="b">
        <f>Proc[[#This Row],[Requested]]=Proc[[#This Row],[CurrentParent]]</f>
        <v>1</v>
      </c>
      <c r="K5084" s="150" t="str">
        <f>IF(Proc[[#This Row],[Author]]="Marcela Urrego",VLOOKUP(LEFT(Proc[[#This Row],[Requested]],1),Table3[#All],2,0),VLOOKUP(Proc[[#This Row],[Author]],Table4[],2,0))</f>
        <v>LS</v>
      </c>
      <c r="L5084" s="150" t="s">
        <v>6435</v>
      </c>
      <c r="M5084" s="175">
        <v>45999</v>
      </c>
      <c r="N5084" s="175"/>
      <c r="O5084" s="175"/>
      <c r="P5084" s="175" t="str">
        <f ca="1">IF(Proc[[#This Row],[DaysAgeing]]&gt;5,"yep","on track")</f>
        <v>on track</v>
      </c>
      <c r="Q5084" s="3">
        <f ca="1">IF(Proc[[#This Row],[DateClosed]]="",ABS(NETWORKDAYS(Proc[[#This Row],[DateOpened]],TODAY()))-1,ABS(NETWORKDAYS(Proc[[#This Row],[DateOpened]],Proc[[#This Row],[DateClosed]]))-1)</f>
        <v>4</v>
      </c>
      <c r="R5084" s="175" t="s">
        <v>489</v>
      </c>
      <c r="S5084" s="150"/>
    </row>
    <row r="5085" spans="1:19" hidden="1">
      <c r="A5085" s="149" t="s">
        <v>7304</v>
      </c>
      <c r="B5085" s="150" t="str">
        <f>IFERROR(VLOOKUP(Proc[[#This Row],[App]],Table2[],3,0),"open")</f>
        <v>ok</v>
      </c>
      <c r="C5085" s="149" t="s">
        <v>369</v>
      </c>
      <c r="D5085" t="s">
        <v>7326</v>
      </c>
      <c r="E5085" t="s">
        <v>7338</v>
      </c>
      <c r="F5085" s="150" t="str">
        <f>VLOOKUP(Proc[[#This Row],[Obj]],Sheet3!A:B,2,0)</f>
        <v>L000009119</v>
      </c>
      <c r="G5085" s="149" t="s">
        <v>400</v>
      </c>
      <c r="H5085" s="150" t="str">
        <f>IF(Proc[[#This Row],[type]]="LFF (MDG-F)",MID(Proc[[#This Row],[Obj]],13,10),"")</f>
        <v/>
      </c>
      <c r="J5085" s="150" t="b">
        <f>Proc[[#This Row],[Requested]]=Proc[[#This Row],[CurrentParent]]</f>
        <v>1</v>
      </c>
      <c r="K5085" s="150" t="str">
        <f>IF(Proc[[#This Row],[Author]]="Marcela Urrego",VLOOKUP(LEFT(Proc[[#This Row],[Requested]],1),Table3[#All],2,0),VLOOKUP(Proc[[#This Row],[Author]],Table4[],2,0))</f>
        <v>LS</v>
      </c>
      <c r="L5085" s="150" t="s">
        <v>6435</v>
      </c>
      <c r="M5085" s="175">
        <v>45999</v>
      </c>
      <c r="N5085" s="175"/>
      <c r="O5085" s="175"/>
      <c r="P5085" s="175" t="str">
        <f ca="1">IF(Proc[[#This Row],[DaysAgeing]]&gt;5,"yep","on track")</f>
        <v>on track</v>
      </c>
      <c r="Q5085" s="3">
        <f ca="1">IF(Proc[[#This Row],[DateClosed]]="",ABS(NETWORKDAYS(Proc[[#This Row],[DateOpened]],TODAY()))-1,ABS(NETWORKDAYS(Proc[[#This Row],[DateOpened]],Proc[[#This Row],[DateClosed]]))-1)</f>
        <v>4</v>
      </c>
      <c r="R5085" s="175" t="s">
        <v>489</v>
      </c>
      <c r="S5085" s="150"/>
    </row>
    <row r="5086" spans="1:19" hidden="1">
      <c r="A5086" s="149" t="s">
        <v>7304</v>
      </c>
      <c r="B5086" s="150" t="str">
        <f>IFERROR(VLOOKUP(Proc[[#This Row],[App]],Table2[],3,0),"open")</f>
        <v>ok</v>
      </c>
      <c r="C5086" s="149" t="s">
        <v>369</v>
      </c>
      <c r="D5086" t="s">
        <v>7327</v>
      </c>
      <c r="E5086" t="s">
        <v>7339</v>
      </c>
      <c r="F5086" s="150" t="str">
        <f>VLOOKUP(Proc[[#This Row],[Obj]],Sheet3!A:B,2,0)</f>
        <v>L000005269</v>
      </c>
      <c r="G5086" s="149" t="s">
        <v>400</v>
      </c>
      <c r="H5086" s="150" t="str">
        <f>IF(Proc[[#This Row],[type]]="LFF (MDG-F)",MID(Proc[[#This Row],[Obj]],13,10),"")</f>
        <v/>
      </c>
      <c r="J5086" s="150" t="b">
        <f>Proc[[#This Row],[Requested]]=Proc[[#This Row],[CurrentParent]]</f>
        <v>1</v>
      </c>
      <c r="K5086" s="150" t="str">
        <f>IF(Proc[[#This Row],[Author]]="Marcela Urrego",VLOOKUP(LEFT(Proc[[#This Row],[Requested]],1),Table3[#All],2,0),VLOOKUP(Proc[[#This Row],[Author]],Table4[],2,0))</f>
        <v>LS</v>
      </c>
      <c r="L5086" s="150" t="s">
        <v>6435</v>
      </c>
      <c r="M5086" s="175">
        <v>45999</v>
      </c>
      <c r="N5086" s="175"/>
      <c r="O5086" s="175"/>
      <c r="P5086" s="175" t="str">
        <f ca="1">IF(Proc[[#This Row],[DaysAgeing]]&gt;5,"yep","on track")</f>
        <v>on track</v>
      </c>
      <c r="Q5086" s="3">
        <f ca="1">IF(Proc[[#This Row],[DateClosed]]="",ABS(NETWORKDAYS(Proc[[#This Row],[DateOpened]],TODAY()))-1,ABS(NETWORKDAYS(Proc[[#This Row],[DateOpened]],Proc[[#This Row],[DateClosed]]))-1)</f>
        <v>4</v>
      </c>
      <c r="R5086" s="175" t="s">
        <v>489</v>
      </c>
      <c r="S5086" s="150"/>
    </row>
    <row r="5087" spans="1:19" hidden="1">
      <c r="A5087" s="149" t="s">
        <v>7304</v>
      </c>
      <c r="B5087" s="150" t="str">
        <f>IFERROR(VLOOKUP(Proc[[#This Row],[App]],Table2[],3,0),"open")</f>
        <v>ok</v>
      </c>
      <c r="C5087" s="149" t="s">
        <v>369</v>
      </c>
      <c r="D5087" t="s">
        <v>7328</v>
      </c>
      <c r="E5087" t="s">
        <v>7340</v>
      </c>
      <c r="F5087" s="150" t="str">
        <f>VLOOKUP(Proc[[#This Row],[Obj]],Sheet3!A:B,2,0)</f>
        <v>L000011184</v>
      </c>
      <c r="G5087" s="149" t="s">
        <v>400</v>
      </c>
      <c r="H5087" s="150" t="str">
        <f>IF(Proc[[#This Row],[type]]="LFF (MDG-F)",MID(Proc[[#This Row],[Obj]],13,10),"")</f>
        <v/>
      </c>
      <c r="J5087" s="150" t="b">
        <f>Proc[[#This Row],[Requested]]=Proc[[#This Row],[CurrentParent]]</f>
        <v>1</v>
      </c>
      <c r="K5087" s="150" t="str">
        <f>IF(Proc[[#This Row],[Author]]="Marcela Urrego",VLOOKUP(LEFT(Proc[[#This Row],[Requested]],1),Table3[#All],2,0),VLOOKUP(Proc[[#This Row],[Author]],Table4[],2,0))</f>
        <v>LS</v>
      </c>
      <c r="L5087" s="150" t="s">
        <v>6435</v>
      </c>
      <c r="M5087" s="175">
        <v>45999</v>
      </c>
      <c r="N5087" s="175"/>
      <c r="O5087" s="175"/>
      <c r="P5087" s="175" t="str">
        <f ca="1">IF(Proc[[#This Row],[DaysAgeing]]&gt;5,"yep","on track")</f>
        <v>on track</v>
      </c>
      <c r="Q5087" s="3">
        <f ca="1">IF(Proc[[#This Row],[DateClosed]]="",ABS(NETWORKDAYS(Proc[[#This Row],[DateOpened]],TODAY()))-1,ABS(NETWORKDAYS(Proc[[#This Row],[DateOpened]],Proc[[#This Row],[DateClosed]]))-1)</f>
        <v>4</v>
      </c>
      <c r="R5087" s="175" t="s">
        <v>489</v>
      </c>
      <c r="S5087" s="150"/>
    </row>
    <row r="5088" spans="1:19" hidden="1">
      <c r="A5088" s="149" t="s">
        <v>7304</v>
      </c>
      <c r="B5088" s="150" t="str">
        <f>IFERROR(VLOOKUP(Proc[[#This Row],[App]],Table2[],3,0),"open")</f>
        <v>ok</v>
      </c>
      <c r="C5088" s="149" t="s">
        <v>369</v>
      </c>
      <c r="D5088" t="s">
        <v>7329</v>
      </c>
      <c r="E5088" t="s">
        <v>7341</v>
      </c>
      <c r="F5088" s="150" t="str">
        <f>VLOOKUP(Proc[[#This Row],[Obj]],Sheet3!A:B,2,0)</f>
        <v>L000011188</v>
      </c>
      <c r="G5088" s="149" t="s">
        <v>400</v>
      </c>
      <c r="H5088" s="150" t="str">
        <f>IF(Proc[[#This Row],[type]]="LFF (MDG-F)",MID(Proc[[#This Row],[Obj]],13,10),"")</f>
        <v/>
      </c>
      <c r="J5088" s="150" t="b">
        <f>Proc[[#This Row],[Requested]]=Proc[[#This Row],[CurrentParent]]</f>
        <v>1</v>
      </c>
      <c r="K5088" s="150" t="str">
        <f>IF(Proc[[#This Row],[Author]]="Marcela Urrego",VLOOKUP(LEFT(Proc[[#This Row],[Requested]],1),Table3[#All],2,0),VLOOKUP(Proc[[#This Row],[Author]],Table4[],2,0))</f>
        <v>LS</v>
      </c>
      <c r="L5088" s="150" t="s">
        <v>6435</v>
      </c>
      <c r="M5088" s="175">
        <v>45999</v>
      </c>
      <c r="N5088" s="175"/>
      <c r="O5088" s="175"/>
      <c r="P5088" s="175" t="str">
        <f ca="1">IF(Proc[[#This Row],[DaysAgeing]]&gt;5,"yep","on track")</f>
        <v>on track</v>
      </c>
      <c r="Q5088" s="3">
        <f ca="1">IF(Proc[[#This Row],[DateClosed]]="",ABS(NETWORKDAYS(Proc[[#This Row],[DateOpened]],TODAY()))-1,ABS(NETWORKDAYS(Proc[[#This Row],[DateOpened]],Proc[[#This Row],[DateClosed]]))-1)</f>
        <v>4</v>
      </c>
      <c r="R5088" s="175" t="s">
        <v>489</v>
      </c>
      <c r="S5088" s="150"/>
    </row>
    <row r="5089" spans="1:19" hidden="1">
      <c r="A5089" s="149" t="s">
        <v>7304</v>
      </c>
      <c r="B5089" s="150" t="str">
        <f>IFERROR(VLOOKUP(Proc[[#This Row],[App]],Table2[],3,0),"open")</f>
        <v>ok</v>
      </c>
      <c r="C5089" s="149" t="s">
        <v>369</v>
      </c>
      <c r="D5089" t="s">
        <v>7330</v>
      </c>
      <c r="E5089" t="s">
        <v>4100</v>
      </c>
      <c r="F5089" s="150" t="str">
        <f>VLOOKUP(Proc[[#This Row],[Obj]],Sheet3!A:B,2,0)</f>
        <v>L000011451</v>
      </c>
      <c r="G5089" s="149" t="s">
        <v>400</v>
      </c>
      <c r="H5089" s="150" t="str">
        <f>IF(Proc[[#This Row],[type]]="LFF (MDG-F)",MID(Proc[[#This Row],[Obj]],13,10),"")</f>
        <v/>
      </c>
      <c r="J5089" s="150" t="b">
        <f>Proc[[#This Row],[Requested]]=Proc[[#This Row],[CurrentParent]]</f>
        <v>1</v>
      </c>
      <c r="K5089" s="150" t="str">
        <f>IF(Proc[[#This Row],[Author]]="Marcela Urrego",VLOOKUP(LEFT(Proc[[#This Row],[Requested]],1),Table3[#All],2,0),VLOOKUP(Proc[[#This Row],[Author]],Table4[],2,0))</f>
        <v>LS</v>
      </c>
      <c r="L5089" s="150" t="s">
        <v>6435</v>
      </c>
      <c r="M5089" s="175">
        <v>45999</v>
      </c>
      <c r="N5089" s="175"/>
      <c r="O5089" s="175"/>
      <c r="P5089" s="175" t="str">
        <f ca="1">IF(Proc[[#This Row],[DaysAgeing]]&gt;5,"yep","on track")</f>
        <v>on track</v>
      </c>
      <c r="Q5089" s="3">
        <f ca="1">IF(Proc[[#This Row],[DateClosed]]="",ABS(NETWORKDAYS(Proc[[#This Row],[DateOpened]],TODAY()))-1,ABS(NETWORKDAYS(Proc[[#This Row],[DateOpened]],Proc[[#This Row],[DateClosed]]))-1)</f>
        <v>4</v>
      </c>
      <c r="R5089" s="175" t="s">
        <v>489</v>
      </c>
      <c r="S5089" s="150"/>
    </row>
    <row r="5090" spans="1:19" hidden="1">
      <c r="A5090" t="s">
        <v>7343</v>
      </c>
      <c r="B5090" s="150" t="str">
        <f>IFERROR(VLOOKUP(Proc[[#This Row],[App]],Table2[],3,0),"open")</f>
        <v>open</v>
      </c>
      <c r="C5090" s="149" t="s">
        <v>370</v>
      </c>
      <c r="D5090" t="s">
        <v>7342</v>
      </c>
      <c r="E5090" t="s">
        <v>4829</v>
      </c>
      <c r="F5090" s="150" t="str">
        <f>VLOOKUP(Proc[[#This Row],[Obj]],Sheet4!A:B,2,0)</f>
        <v>DFLTPGCOH_MISSING_NODES</v>
      </c>
      <c r="G5090" s="149" t="s">
        <v>400</v>
      </c>
      <c r="H5090" s="150" t="str">
        <f>IF(Proc[[#This Row],[type]]="LFF (MDG-F)",MID(Proc[[#This Row],[Obj]],13,10),"")</f>
        <v/>
      </c>
      <c r="J5090" s="150" t="b">
        <f>Proc[[#This Row],[Requested]]=Proc[[#This Row],[CurrentParent]]</f>
        <v>0</v>
      </c>
      <c r="K5090" s="150" t="str">
        <f>IF(Proc[[#This Row],[Author]]="Marcela Urrego",VLOOKUP(LEFT(Proc[[#This Row],[Requested]],1),Table3[#All],2,0),VLOOKUP(Proc[[#This Row],[Author]],Table4[],2,0))</f>
        <v>HC</v>
      </c>
      <c r="L5090" s="150" t="s">
        <v>6435</v>
      </c>
      <c r="M5090" s="175">
        <v>45999</v>
      </c>
      <c r="N5090" s="175"/>
      <c r="O5090" s="175"/>
      <c r="P5090" s="175" t="str">
        <f ca="1">IF(Proc[[#This Row],[DaysAgeing]]&gt;5,"yep","on track")</f>
        <v>on track</v>
      </c>
      <c r="Q5090" s="3">
        <f ca="1">IF(Proc[[#This Row],[DateClosed]]="",ABS(NETWORKDAYS(Proc[[#This Row],[DateOpened]],TODAY()))-1,ABS(NETWORKDAYS(Proc[[#This Row],[DateOpened]],Proc[[#This Row],[DateClosed]]))-1)</f>
        <v>4</v>
      </c>
      <c r="R5090" s="175" t="s">
        <v>415</v>
      </c>
      <c r="S5090" s="150"/>
    </row>
    <row r="5091" spans="1:19" hidden="1">
      <c r="A5091" t="s">
        <v>7352</v>
      </c>
      <c r="B5091" s="150" t="str">
        <f>IFERROR(VLOOKUP(Proc[[#This Row],[App]],Table2[],3,0),"open")</f>
        <v>ok</v>
      </c>
      <c r="C5091" s="149" t="s">
        <v>369</v>
      </c>
      <c r="D5091" t="s">
        <v>7344</v>
      </c>
      <c r="E5091" t="s">
        <v>7349</v>
      </c>
      <c r="F5091" s="150" t="str">
        <f>VLOOKUP(Proc[[#This Row],[Obj]],Sheet3!A:B,2,0)</f>
        <v>L000013903</v>
      </c>
      <c r="G5091" t="s">
        <v>400</v>
      </c>
      <c r="H5091" s="150" t="str">
        <f>IF(Proc[[#This Row],[type]]="LFF (MDG-F)",MID(Proc[[#This Row],[Obj]],13,10),"")</f>
        <v/>
      </c>
      <c r="J5091" s="150" t="b">
        <f>Proc[[#This Row],[Requested]]=Proc[[#This Row],[CurrentParent]]</f>
        <v>1</v>
      </c>
      <c r="K5091" s="150" t="str">
        <f>IF(Proc[[#This Row],[Author]]="Marcela Urrego",VLOOKUP(LEFT(Proc[[#This Row],[Requested]],1),Table3[#All],2,0),VLOOKUP(Proc[[#This Row],[Author]],Table4[],2,0))</f>
        <v>LS</v>
      </c>
      <c r="L5091" s="150" t="s">
        <v>6435</v>
      </c>
      <c r="M5091" s="175">
        <v>45999</v>
      </c>
      <c r="N5091" s="175"/>
      <c r="O5091" s="175"/>
      <c r="P5091" s="175" t="str">
        <f ca="1">IF(Proc[[#This Row],[DaysAgeing]]&gt;5,"yep","on track")</f>
        <v>on track</v>
      </c>
      <c r="Q5091" s="3">
        <f ca="1">IF(Proc[[#This Row],[DateClosed]]="",ABS(NETWORKDAYS(Proc[[#This Row],[DateOpened]],TODAY()))-1,ABS(NETWORKDAYS(Proc[[#This Row],[DateOpened]],Proc[[#This Row],[DateClosed]]))-1)</f>
        <v>4</v>
      </c>
      <c r="R5091" s="175" t="s">
        <v>489</v>
      </c>
      <c r="S5091" s="150"/>
    </row>
    <row r="5092" spans="1:19" hidden="1">
      <c r="A5092" s="149" t="s">
        <v>7352</v>
      </c>
      <c r="B5092" s="150" t="str">
        <f>IFERROR(VLOOKUP(Proc[[#This Row],[App]],Table2[],3,0),"open")</f>
        <v>ok</v>
      </c>
      <c r="C5092" s="149" t="s">
        <v>369</v>
      </c>
      <c r="D5092" t="s">
        <v>7345</v>
      </c>
      <c r="E5092" t="s">
        <v>7350</v>
      </c>
      <c r="F5092" s="149" t="s">
        <v>7350</v>
      </c>
      <c r="G5092" t="s">
        <v>406</v>
      </c>
      <c r="H5092" s="150" t="str">
        <f>IF(Proc[[#This Row],[type]]="LFF (MDG-F)",MID(Proc[[#This Row],[Obj]],13,10),"")</f>
        <v>DE10Z0319A</v>
      </c>
      <c r="J5092" s="150" t="b">
        <f>Proc[[#This Row],[Requested]]=Proc[[#This Row],[CurrentParent]]</f>
        <v>1</v>
      </c>
      <c r="K5092" s="150" t="str">
        <f>IF(Proc[[#This Row],[Author]]="Marcela Urrego",VLOOKUP(LEFT(Proc[[#This Row],[Requested]],1),Table3[#All],2,0),VLOOKUP(Proc[[#This Row],[Author]],Table4[],2,0))</f>
        <v>LS</v>
      </c>
      <c r="L5092" s="150" t="s">
        <v>6435</v>
      </c>
      <c r="M5092" s="175">
        <v>45999</v>
      </c>
      <c r="N5092" s="175"/>
      <c r="O5092" s="175"/>
      <c r="P5092" s="175" t="str">
        <f ca="1">IF(Proc[[#This Row],[DaysAgeing]]&gt;5,"yep","on track")</f>
        <v>on track</v>
      </c>
      <c r="Q5092" s="3">
        <f ca="1">IF(Proc[[#This Row],[DateClosed]]="",ABS(NETWORKDAYS(Proc[[#This Row],[DateOpened]],TODAY()))-1,ABS(NETWORKDAYS(Proc[[#This Row],[DateOpened]],Proc[[#This Row],[DateClosed]]))-1)</f>
        <v>4</v>
      </c>
      <c r="R5092" s="175" t="s">
        <v>489</v>
      </c>
      <c r="S5092" s="150"/>
    </row>
    <row r="5093" spans="1:19" hidden="1">
      <c r="A5093" s="149" t="s">
        <v>7352</v>
      </c>
      <c r="B5093" s="150" t="str">
        <f>IFERROR(VLOOKUP(Proc[[#This Row],[App]],Table2[],3,0),"open")</f>
        <v>ok</v>
      </c>
      <c r="C5093" s="149" t="s">
        <v>369</v>
      </c>
      <c r="D5093" t="s">
        <v>7346</v>
      </c>
      <c r="E5093" t="s">
        <v>7350</v>
      </c>
      <c r="F5093" s="150" t="str">
        <f>VLOOKUP(Proc[[#This Row],[Obj]],Sheet3!A:B,2,0)</f>
        <v>L000013905</v>
      </c>
      <c r="G5093" s="149" t="s">
        <v>400</v>
      </c>
      <c r="H5093" s="150" t="str">
        <f>IF(Proc[[#This Row],[type]]="LFF (MDG-F)",MID(Proc[[#This Row],[Obj]],13,10),"")</f>
        <v/>
      </c>
      <c r="J5093" s="150" t="b">
        <f>Proc[[#This Row],[Requested]]=Proc[[#This Row],[CurrentParent]]</f>
        <v>1</v>
      </c>
      <c r="K5093" s="150" t="str">
        <f>IF(Proc[[#This Row],[Author]]="Marcela Urrego",VLOOKUP(LEFT(Proc[[#This Row],[Requested]],1),Table3[#All],2,0),VLOOKUP(Proc[[#This Row],[Author]],Table4[],2,0))</f>
        <v>LS</v>
      </c>
      <c r="L5093" s="150" t="s">
        <v>6435</v>
      </c>
      <c r="M5093" s="175">
        <v>45999</v>
      </c>
      <c r="N5093" s="175"/>
      <c r="O5093" s="175"/>
      <c r="P5093" s="175" t="str">
        <f ca="1">IF(Proc[[#This Row],[DaysAgeing]]&gt;5,"yep","on track")</f>
        <v>on track</v>
      </c>
      <c r="Q5093" s="3">
        <f ca="1">IF(Proc[[#This Row],[DateClosed]]="",ABS(NETWORKDAYS(Proc[[#This Row],[DateOpened]],TODAY()))-1,ABS(NETWORKDAYS(Proc[[#This Row],[DateOpened]],Proc[[#This Row],[DateClosed]]))-1)</f>
        <v>4</v>
      </c>
      <c r="R5093" s="175" t="s">
        <v>489</v>
      </c>
      <c r="S5093" s="150"/>
    </row>
    <row r="5094" spans="1:19" hidden="1">
      <c r="A5094" s="149" t="s">
        <v>7352</v>
      </c>
      <c r="B5094" s="150" t="str">
        <f>IFERROR(VLOOKUP(Proc[[#This Row],[App]],Table2[],3,0),"open")</f>
        <v>ok</v>
      </c>
      <c r="C5094" s="149" t="s">
        <v>369</v>
      </c>
      <c r="D5094" t="s">
        <v>7347</v>
      </c>
      <c r="E5094" t="s">
        <v>7350</v>
      </c>
      <c r="F5094" s="150" t="str">
        <f>VLOOKUP(Proc[[#This Row],[Obj]],Sheet3!A:B,2,0)</f>
        <v>L000013905</v>
      </c>
      <c r="G5094" s="149" t="s">
        <v>400</v>
      </c>
      <c r="H5094" s="150" t="str">
        <f>IF(Proc[[#This Row],[type]]="LFF (MDG-F)",MID(Proc[[#This Row],[Obj]],13,10),"")</f>
        <v/>
      </c>
      <c r="J5094" s="150" t="b">
        <f>Proc[[#This Row],[Requested]]=Proc[[#This Row],[CurrentParent]]</f>
        <v>1</v>
      </c>
      <c r="K5094" s="150" t="str">
        <f>IF(Proc[[#This Row],[Author]]="Marcela Urrego",VLOOKUP(LEFT(Proc[[#This Row],[Requested]],1),Table3[#All],2,0),VLOOKUP(Proc[[#This Row],[Author]],Table4[],2,0))</f>
        <v>LS</v>
      </c>
      <c r="L5094" s="150" t="s">
        <v>6435</v>
      </c>
      <c r="M5094" s="175">
        <v>45999</v>
      </c>
      <c r="N5094" s="175"/>
      <c r="O5094" s="175"/>
      <c r="P5094" s="175" t="str">
        <f ca="1">IF(Proc[[#This Row],[DaysAgeing]]&gt;5,"yep","on track")</f>
        <v>on track</v>
      </c>
      <c r="Q5094" s="3">
        <f ca="1">IF(Proc[[#This Row],[DateClosed]]="",ABS(NETWORKDAYS(Proc[[#This Row],[DateOpened]],TODAY()))-1,ABS(NETWORKDAYS(Proc[[#This Row],[DateOpened]],Proc[[#This Row],[DateClosed]]))-1)</f>
        <v>4</v>
      </c>
      <c r="R5094" s="175" t="s">
        <v>489</v>
      </c>
      <c r="S5094" s="150"/>
    </row>
    <row r="5095" spans="1:19" hidden="1">
      <c r="A5095" s="149" t="s">
        <v>7352</v>
      </c>
      <c r="B5095" s="150" t="str">
        <f>IFERROR(VLOOKUP(Proc[[#This Row],[App]],Table2[],3,0),"open")</f>
        <v>ok</v>
      </c>
      <c r="C5095" s="149" t="s">
        <v>369</v>
      </c>
      <c r="D5095" t="s">
        <v>7348</v>
      </c>
      <c r="E5095" t="s">
        <v>7351</v>
      </c>
      <c r="F5095" s="150" t="str">
        <f>VLOOKUP(Proc[[#This Row],[Obj]],Sheet3!A:B,2,0)</f>
        <v>L000005321</v>
      </c>
      <c r="G5095" s="149" t="s">
        <v>400</v>
      </c>
      <c r="H5095" s="150" t="str">
        <f>IF(Proc[[#This Row],[type]]="LFF (MDG-F)",MID(Proc[[#This Row],[Obj]],13,10),"")</f>
        <v/>
      </c>
      <c r="J5095" s="150" t="b">
        <f>Proc[[#This Row],[Requested]]=Proc[[#This Row],[CurrentParent]]</f>
        <v>1</v>
      </c>
      <c r="K5095" s="150" t="str">
        <f>IF(Proc[[#This Row],[Author]]="Marcela Urrego",VLOOKUP(LEFT(Proc[[#This Row],[Requested]],1),Table3[#All],2,0),VLOOKUP(Proc[[#This Row],[Author]],Table4[],2,0))</f>
        <v>LS</v>
      </c>
      <c r="L5095" s="150" t="s">
        <v>6435</v>
      </c>
      <c r="M5095" s="175">
        <v>45999</v>
      </c>
      <c r="N5095" s="175"/>
      <c r="O5095" s="175"/>
      <c r="P5095" s="175" t="str">
        <f ca="1">IF(Proc[[#This Row],[DaysAgeing]]&gt;5,"yep","on track")</f>
        <v>on track</v>
      </c>
      <c r="Q5095" s="3">
        <f ca="1">IF(Proc[[#This Row],[DateClosed]]="",ABS(NETWORKDAYS(Proc[[#This Row],[DateOpened]],TODAY()))-1,ABS(NETWORKDAYS(Proc[[#This Row],[DateOpened]],Proc[[#This Row],[DateClosed]]))-1)</f>
        <v>4</v>
      </c>
      <c r="R5095" s="175" t="s">
        <v>489</v>
      </c>
      <c r="S5095" s="150"/>
    </row>
    <row r="5096" spans="1:19" hidden="1">
      <c r="A5096" t="s">
        <v>7379</v>
      </c>
      <c r="B5096" s="150" t="str">
        <f>IFERROR(VLOOKUP(Proc[[#This Row],[App]],Table2[],3,0),"open")</f>
        <v>ok</v>
      </c>
      <c r="C5096" s="149" t="s">
        <v>369</v>
      </c>
      <c r="D5096" t="s">
        <v>7380</v>
      </c>
      <c r="E5096" t="s">
        <v>419</v>
      </c>
      <c r="F5096" s="150" t="str">
        <f>VLOOKUP(Proc[[#This Row],[Obj]],Sheet4!A:B,2,0)</f>
        <v>P000001013</v>
      </c>
      <c r="G5096" t="s">
        <v>400</v>
      </c>
      <c r="H5096" s="150" t="str">
        <f>IF(Proc[[#This Row],[type]]="LFF (MDG-F)",MID(Proc[[#This Row],[Obj]],13,10),"")</f>
        <v/>
      </c>
      <c r="J5096" s="150" t="b">
        <f>Proc[[#This Row],[Requested]]=Proc[[#This Row],[CurrentParent]]</f>
        <v>1</v>
      </c>
      <c r="K5096" s="150" t="str">
        <f>IF(Proc[[#This Row],[Author]]="Marcela Urrego",VLOOKUP(LEFT(Proc[[#This Row],[Requested]],1),Table3[#All],2,0),VLOOKUP(Proc[[#This Row],[Author]],Table4[],2,0))</f>
        <v>EL</v>
      </c>
      <c r="L5096" s="150" t="s">
        <v>6435</v>
      </c>
      <c r="M5096" s="175">
        <v>46001</v>
      </c>
      <c r="N5096" s="175"/>
      <c r="O5096" s="175"/>
      <c r="P5096" s="175" t="str">
        <f ca="1">IF(Proc[[#This Row],[DaysAgeing]]&gt;5,"yep","on track")</f>
        <v>on track</v>
      </c>
      <c r="Q5096" s="3">
        <f ca="1">IF(Proc[[#This Row],[DateClosed]]="",ABS(NETWORKDAYS(Proc[[#This Row],[DateOpened]],TODAY()))-1,ABS(NETWORKDAYS(Proc[[#This Row],[DateOpened]],Proc[[#This Row],[DateClosed]]))-1)</f>
        <v>2</v>
      </c>
      <c r="R5096" s="175" t="s">
        <v>5709</v>
      </c>
      <c r="S5096" s="150"/>
    </row>
    <row r="5097" spans="1:19" hidden="1">
      <c r="A5097" s="149" t="s">
        <v>7379</v>
      </c>
      <c r="B5097" s="150" t="str">
        <f>IFERROR(VLOOKUP(Proc[[#This Row],[App]],Table2[],3,0),"open")</f>
        <v>ok</v>
      </c>
      <c r="C5097" s="149" t="s">
        <v>369</v>
      </c>
      <c r="D5097" t="s">
        <v>7381</v>
      </c>
      <c r="E5097" s="149" t="s">
        <v>419</v>
      </c>
      <c r="F5097" s="150" t="str">
        <f>VLOOKUP(Proc[[#This Row],[Obj]],Sheet4!A:B,2,0)</f>
        <v>P000001013</v>
      </c>
      <c r="G5097" s="149" t="s">
        <v>400</v>
      </c>
      <c r="H5097" s="150" t="str">
        <f>IF(Proc[[#This Row],[type]]="LFF (MDG-F)",MID(Proc[[#This Row],[Obj]],13,10),"")</f>
        <v/>
      </c>
      <c r="J5097" s="150" t="b">
        <f>Proc[[#This Row],[Requested]]=Proc[[#This Row],[CurrentParent]]</f>
        <v>1</v>
      </c>
      <c r="K5097" s="150" t="str">
        <f>IF(Proc[[#This Row],[Author]]="Marcela Urrego",VLOOKUP(LEFT(Proc[[#This Row],[Requested]],1),Table3[#All],2,0),VLOOKUP(Proc[[#This Row],[Author]],Table4[],2,0))</f>
        <v>EL</v>
      </c>
      <c r="L5097" s="150" t="s">
        <v>6435</v>
      </c>
      <c r="M5097" s="175">
        <v>46001</v>
      </c>
      <c r="N5097" s="175"/>
      <c r="O5097" s="175"/>
      <c r="P5097" s="175" t="str">
        <f ca="1">IF(Proc[[#This Row],[DaysAgeing]]&gt;5,"yep","on track")</f>
        <v>on track</v>
      </c>
      <c r="Q5097" s="3">
        <f ca="1">IF(Proc[[#This Row],[DateClosed]]="",ABS(NETWORKDAYS(Proc[[#This Row],[DateOpened]],TODAY()))-1,ABS(NETWORKDAYS(Proc[[#This Row],[DateOpened]],Proc[[#This Row],[DateClosed]]))-1)</f>
        <v>2</v>
      </c>
      <c r="R5097" s="175" t="s">
        <v>5709</v>
      </c>
      <c r="S5097" s="150"/>
    </row>
    <row r="5098" spans="1:19" hidden="1">
      <c r="A5098" s="149" t="s">
        <v>7379</v>
      </c>
      <c r="B5098" s="150" t="str">
        <f>IFERROR(VLOOKUP(Proc[[#This Row],[App]],Table2[],3,0),"open")</f>
        <v>ok</v>
      </c>
      <c r="C5098" s="149" t="s">
        <v>369</v>
      </c>
      <c r="D5098" t="s">
        <v>7382</v>
      </c>
      <c r="E5098" s="149" t="s">
        <v>419</v>
      </c>
      <c r="F5098" s="150" t="str">
        <f>VLOOKUP(Proc[[#This Row],[Obj]],Sheet4!A:B,2,0)</f>
        <v>P000001013</v>
      </c>
      <c r="G5098" s="149" t="s">
        <v>400</v>
      </c>
      <c r="H5098" s="150"/>
      <c r="J5098" s="150" t="b">
        <f>Proc[[#This Row],[Requested]]=Proc[[#This Row],[CurrentParent]]</f>
        <v>1</v>
      </c>
      <c r="K5098" s="150" t="str">
        <f>IF(Proc[[#This Row],[Author]]="Marcela Urrego",VLOOKUP(LEFT(Proc[[#This Row],[Requested]],1),Table3[#All],2,0),VLOOKUP(Proc[[#This Row],[Author]],Table4[],2,0))</f>
        <v>EL</v>
      </c>
      <c r="L5098" s="150" t="s">
        <v>6435</v>
      </c>
      <c r="M5098" s="175">
        <v>46001</v>
      </c>
      <c r="N5098" s="175"/>
      <c r="O5098" s="175"/>
      <c r="P5098" s="175" t="str">
        <f ca="1">IF(Proc[[#This Row],[DaysAgeing]]&gt;5,"yep","on track")</f>
        <v>on track</v>
      </c>
      <c r="Q5098" s="3">
        <f ca="1">IF(Proc[[#This Row],[DateClosed]]="",ABS(NETWORKDAYS(Proc[[#This Row],[DateOpened]],TODAY()))-1,ABS(NETWORKDAYS(Proc[[#This Row],[DateOpened]],Proc[[#This Row],[DateClosed]]))-1)</f>
        <v>2</v>
      </c>
      <c r="R5098" s="175" t="s">
        <v>5709</v>
      </c>
      <c r="S5098" s="150"/>
    </row>
    <row r="5099" spans="1:19" hidden="1">
      <c r="A5099" s="149" t="s">
        <v>7379</v>
      </c>
      <c r="B5099" s="150" t="str">
        <f>IFERROR(VLOOKUP(Proc[[#This Row],[App]],Table2[],3,0),"open")</f>
        <v>ok</v>
      </c>
      <c r="C5099" s="149" t="s">
        <v>369</v>
      </c>
      <c r="D5099" t="s">
        <v>7383</v>
      </c>
      <c r="E5099" s="149" t="s">
        <v>419</v>
      </c>
      <c r="F5099" s="150" t="str">
        <f>VLOOKUP(Proc[[#This Row],[Obj]],Sheet4!A:B,2,0)</f>
        <v>P000001013</v>
      </c>
      <c r="G5099" s="149" t="s">
        <v>400</v>
      </c>
      <c r="H5099" s="150" t="str">
        <f>IF(Proc[[#This Row],[type]]="LFF (MDG-F)",MID(Proc[[#This Row],[Obj]],13,10),"")</f>
        <v/>
      </c>
      <c r="J5099" s="150" t="b">
        <f>Proc[[#This Row],[Requested]]=Proc[[#This Row],[CurrentParent]]</f>
        <v>1</v>
      </c>
      <c r="K5099" s="150" t="str">
        <f>IF(Proc[[#This Row],[Author]]="Marcela Urrego",VLOOKUP(LEFT(Proc[[#This Row],[Requested]],1),Table3[#All],2,0),VLOOKUP(Proc[[#This Row],[Author]],Table4[],2,0))</f>
        <v>EL</v>
      </c>
      <c r="L5099" s="150" t="s">
        <v>6435</v>
      </c>
      <c r="M5099" s="175">
        <v>46001</v>
      </c>
      <c r="N5099" s="175"/>
      <c r="O5099" s="175"/>
      <c r="P5099" s="175" t="str">
        <f ca="1">IF(Proc[[#This Row],[DaysAgeing]]&gt;5,"yep","on track")</f>
        <v>on track</v>
      </c>
      <c r="Q5099" s="3">
        <f ca="1">IF(Proc[[#This Row],[DateClosed]]="",ABS(NETWORKDAYS(Proc[[#This Row],[DateOpened]],TODAY()))-1,ABS(NETWORKDAYS(Proc[[#This Row],[DateOpened]],Proc[[#This Row],[DateClosed]]))-1)</f>
        <v>2</v>
      </c>
      <c r="R5099" s="175" t="s">
        <v>5709</v>
      </c>
      <c r="S5099" s="150"/>
    </row>
    <row r="5100" spans="1:19" hidden="1">
      <c r="A5100" s="149" t="s">
        <v>7379</v>
      </c>
      <c r="B5100" s="150" t="str">
        <f>IFERROR(VLOOKUP(Proc[[#This Row],[App]],Table2[],3,0),"open")</f>
        <v>ok</v>
      </c>
      <c r="C5100" s="149" t="s">
        <v>369</v>
      </c>
      <c r="D5100" t="s">
        <v>7384</v>
      </c>
      <c r="E5100" s="149" t="s">
        <v>419</v>
      </c>
      <c r="F5100" s="150" t="str">
        <f>VLOOKUP(Proc[[#This Row],[Obj]],Sheet4!A:B,2,0)</f>
        <v>P000001013</v>
      </c>
      <c r="G5100" s="149" t="s">
        <v>400</v>
      </c>
      <c r="H5100" s="150" t="str">
        <f>IF(Proc[[#This Row],[type]]="LFF (MDG-F)",MID(Proc[[#This Row],[Obj]],13,10),"")</f>
        <v/>
      </c>
      <c r="J5100" s="150" t="b">
        <f>Proc[[#This Row],[Requested]]=Proc[[#This Row],[CurrentParent]]</f>
        <v>1</v>
      </c>
      <c r="K5100" s="150" t="str">
        <f>IF(Proc[[#This Row],[Author]]="Marcela Urrego",VLOOKUP(LEFT(Proc[[#This Row],[Requested]],1),Table3[#All],2,0),VLOOKUP(Proc[[#This Row],[Author]],Table4[],2,0))</f>
        <v>EL</v>
      </c>
      <c r="L5100" s="150" t="s">
        <v>6435</v>
      </c>
      <c r="M5100" s="175">
        <v>46001</v>
      </c>
      <c r="N5100" s="175"/>
      <c r="O5100" s="175"/>
      <c r="P5100" s="175" t="str">
        <f ca="1">IF(Proc[[#This Row],[DaysAgeing]]&gt;5,"yep","on track")</f>
        <v>on track</v>
      </c>
      <c r="Q5100" s="3">
        <f ca="1">IF(Proc[[#This Row],[DateClosed]]="",ABS(NETWORKDAYS(Proc[[#This Row],[DateOpened]],TODAY()))-1,ABS(NETWORKDAYS(Proc[[#This Row],[DateOpened]],Proc[[#This Row],[DateClosed]]))-1)</f>
        <v>2</v>
      </c>
      <c r="R5100" s="175" t="s">
        <v>5709</v>
      </c>
      <c r="S5100" s="150"/>
    </row>
    <row r="5101" spans="1:19" hidden="1">
      <c r="A5101" s="149" t="s">
        <v>7379</v>
      </c>
      <c r="B5101" s="150" t="str">
        <f>IFERROR(VLOOKUP(Proc[[#This Row],[App]],Table2[],3,0),"open")</f>
        <v>ok</v>
      </c>
      <c r="C5101" s="149" t="s">
        <v>369</v>
      </c>
      <c r="D5101" t="s">
        <v>7385</v>
      </c>
      <c r="E5101" s="149" t="s">
        <v>419</v>
      </c>
      <c r="F5101" s="150" t="str">
        <f>VLOOKUP(Proc[[#This Row],[Obj]],Sheet4!A:B,2,0)</f>
        <v>P000001013</v>
      </c>
      <c r="G5101" s="149" t="s">
        <v>400</v>
      </c>
      <c r="H5101" s="150" t="str">
        <f>IF(Proc[[#This Row],[type]]="LFF (MDG-F)",MID(Proc[[#This Row],[Obj]],13,10),"")</f>
        <v/>
      </c>
      <c r="J5101" s="150" t="b">
        <f>Proc[[#This Row],[Requested]]=Proc[[#This Row],[CurrentParent]]</f>
        <v>1</v>
      </c>
      <c r="K5101" s="150" t="str">
        <f>IF(Proc[[#This Row],[Author]]="Marcela Urrego",VLOOKUP(LEFT(Proc[[#This Row],[Requested]],1),Table3[#All],2,0),VLOOKUP(Proc[[#This Row],[Author]],Table4[],2,0))</f>
        <v>EL</v>
      </c>
      <c r="L5101" s="150" t="s">
        <v>6435</v>
      </c>
      <c r="M5101" s="175">
        <v>46001</v>
      </c>
      <c r="N5101" s="175"/>
      <c r="O5101" s="175"/>
      <c r="P5101" s="175" t="str">
        <f ca="1">IF(Proc[[#This Row],[DaysAgeing]]&gt;5,"yep","on track")</f>
        <v>on track</v>
      </c>
      <c r="Q5101" s="3">
        <f ca="1">IF(Proc[[#This Row],[DateClosed]]="",ABS(NETWORKDAYS(Proc[[#This Row],[DateOpened]],TODAY()))-1,ABS(NETWORKDAYS(Proc[[#This Row],[DateOpened]],Proc[[#This Row],[DateClosed]]))-1)</f>
        <v>2</v>
      </c>
      <c r="R5101" s="175" t="s">
        <v>5709</v>
      </c>
      <c r="S5101" s="150"/>
    </row>
    <row r="5102" spans="1:19" hidden="1">
      <c r="A5102" s="149" t="s">
        <v>7379</v>
      </c>
      <c r="B5102" s="150" t="str">
        <f>IFERROR(VLOOKUP(Proc[[#This Row],[App]],Table2[],3,0),"open")</f>
        <v>ok</v>
      </c>
      <c r="C5102" s="149" t="s">
        <v>369</v>
      </c>
      <c r="D5102" t="s">
        <v>7386</v>
      </c>
      <c r="E5102" s="149" t="s">
        <v>419</v>
      </c>
      <c r="F5102" s="150" t="str">
        <f>VLOOKUP(Proc[[#This Row],[Obj]],Sheet4!A:B,2,0)</f>
        <v>P000001013</v>
      </c>
      <c r="G5102" s="149" t="s">
        <v>400</v>
      </c>
      <c r="H5102" s="150" t="str">
        <f>IF(Proc[[#This Row],[type]]="LFF (MDG-F)",MID(Proc[[#This Row],[Obj]],13,10),"")</f>
        <v/>
      </c>
      <c r="J5102" s="150" t="b">
        <f>Proc[[#This Row],[Requested]]=Proc[[#This Row],[CurrentParent]]</f>
        <v>1</v>
      </c>
      <c r="K5102" s="150" t="str">
        <f>IF(Proc[[#This Row],[Author]]="Marcela Urrego",VLOOKUP(LEFT(Proc[[#This Row],[Requested]],1),Table3[#All],2,0),VLOOKUP(Proc[[#This Row],[Author]],Table4[],2,0))</f>
        <v>EL</v>
      </c>
      <c r="L5102" s="150" t="s">
        <v>6435</v>
      </c>
      <c r="M5102" s="175">
        <v>46001</v>
      </c>
      <c r="N5102" s="175"/>
      <c r="O5102" s="175"/>
      <c r="P5102" s="175" t="str">
        <f ca="1">IF(Proc[[#This Row],[DaysAgeing]]&gt;5,"yep","on track")</f>
        <v>on track</v>
      </c>
      <c r="Q5102" s="3">
        <f ca="1">IF(Proc[[#This Row],[DateClosed]]="",ABS(NETWORKDAYS(Proc[[#This Row],[DateOpened]],TODAY()))-1,ABS(NETWORKDAYS(Proc[[#This Row],[DateOpened]],Proc[[#This Row],[DateClosed]]))-1)</f>
        <v>2</v>
      </c>
      <c r="R5102" s="175" t="s">
        <v>5709</v>
      </c>
      <c r="S5102" s="150"/>
    </row>
    <row r="5103" spans="1:19" hidden="1">
      <c r="A5103" s="149" t="s">
        <v>7379</v>
      </c>
      <c r="B5103" s="150" t="str">
        <f>IFERROR(VLOOKUP(Proc[[#This Row],[App]],Table2[],3,0),"open")</f>
        <v>ok</v>
      </c>
      <c r="C5103" s="149" t="s">
        <v>369</v>
      </c>
      <c r="D5103" t="s">
        <v>2785</v>
      </c>
      <c r="E5103" s="149" t="s">
        <v>419</v>
      </c>
      <c r="F5103" s="150" t="str">
        <f>VLOOKUP(Proc[[#This Row],[Obj]],Sheet4!A:B,2,0)</f>
        <v>P000001013</v>
      </c>
      <c r="G5103" s="149" t="s">
        <v>400</v>
      </c>
      <c r="H5103" s="150" t="str">
        <f>IF(Proc[[#This Row],[type]]="LFF (MDG-F)",MID(Proc[[#This Row],[Obj]],13,10),"")</f>
        <v/>
      </c>
      <c r="J5103" s="150" t="b">
        <f>Proc[[#This Row],[Requested]]=Proc[[#This Row],[CurrentParent]]</f>
        <v>1</v>
      </c>
      <c r="K5103" s="150" t="str">
        <f>IF(Proc[[#This Row],[Author]]="Marcela Urrego",VLOOKUP(LEFT(Proc[[#This Row],[Requested]],1),Table3[#All],2,0),VLOOKUP(Proc[[#This Row],[Author]],Table4[],2,0))</f>
        <v>EL</v>
      </c>
      <c r="L5103" s="150" t="s">
        <v>6435</v>
      </c>
      <c r="M5103" s="175">
        <v>46001</v>
      </c>
      <c r="N5103" s="175"/>
      <c r="O5103" s="175"/>
      <c r="P5103" s="175" t="str">
        <f ca="1">IF(Proc[[#This Row],[DaysAgeing]]&gt;5,"yep","on track")</f>
        <v>on track</v>
      </c>
      <c r="Q5103" s="3">
        <f ca="1">IF(Proc[[#This Row],[DateClosed]]="",ABS(NETWORKDAYS(Proc[[#This Row],[DateOpened]],TODAY()))-1,ABS(NETWORKDAYS(Proc[[#This Row],[DateOpened]],Proc[[#This Row],[DateClosed]]))-1)</f>
        <v>2</v>
      </c>
      <c r="R5103" s="175" t="s">
        <v>5709</v>
      </c>
      <c r="S5103" s="150"/>
    </row>
    <row r="5104" spans="1:19" hidden="1">
      <c r="A5104" t="s">
        <v>7393</v>
      </c>
      <c r="B5104" s="150" t="str">
        <f>IFERROR(VLOOKUP(Proc[[#This Row],[App]],Table2[],3,0),"open")</f>
        <v>open</v>
      </c>
      <c r="C5104" t="s">
        <v>370</v>
      </c>
      <c r="D5104" t="s">
        <v>7395</v>
      </c>
      <c r="E5104" t="s">
        <v>7394</v>
      </c>
      <c r="F5104" s="150"/>
      <c r="G5104" s="149" t="s">
        <v>400</v>
      </c>
      <c r="H5104" s="150" t="str">
        <f>IF(Proc[[#This Row],[type]]="LFF (MDG-F)",MID(Proc[[#This Row],[Obj]],13,10),"")</f>
        <v/>
      </c>
      <c r="J5104" s="150" t="b">
        <f>Proc[[#This Row],[Requested]]=Proc[[#This Row],[CurrentParent]]</f>
        <v>0</v>
      </c>
      <c r="K5104" s="150" t="str">
        <f>IF(Proc[[#This Row],[Author]]="Marcela Urrego",VLOOKUP(LEFT(Proc[[#This Row],[Requested]],1),Table3[#All],2,0),VLOOKUP(Proc[[#This Row],[Author]],Table4[],2,0))</f>
        <v>EL</v>
      </c>
      <c r="L5104" s="150" t="s">
        <v>6435</v>
      </c>
      <c r="M5104" s="177">
        <v>46003</v>
      </c>
      <c r="N5104" s="177"/>
      <c r="O5104" s="177"/>
      <c r="P5104" s="177" t="str">
        <f ca="1">IF(Proc[[#This Row],[DaysAgeing]]&gt;5,"yep","on track")</f>
        <v>on track</v>
      </c>
      <c r="Q5104" s="3">
        <f ca="1">IF(Proc[[#This Row],[DateClosed]]="",ABS(NETWORKDAYS(Proc[[#This Row],[DateOpened]],TODAY()))-1,ABS(NETWORKDAYS(Proc[[#This Row],[DateOpened]],Proc[[#This Row],[DateClosed]]))-1)</f>
        <v>0</v>
      </c>
      <c r="R5104" s="177" t="s">
        <v>780</v>
      </c>
      <c r="S5104" s="150"/>
    </row>
    <row r="5105" spans="1:19" hidden="1">
      <c r="A5105" t="s">
        <v>7393</v>
      </c>
      <c r="B5105" s="150" t="str">
        <f>IFERROR(VLOOKUP(Proc[[#This Row],[App]],Table2[],3,0),"open")</f>
        <v>open</v>
      </c>
      <c r="C5105" s="149" t="s">
        <v>692</v>
      </c>
      <c r="D5105" t="s">
        <v>7396</v>
      </c>
      <c r="E5105" t="s">
        <v>2467</v>
      </c>
      <c r="F5105" s="150"/>
      <c r="G5105" s="149" t="s">
        <v>400</v>
      </c>
      <c r="H5105" s="150" t="str">
        <f>IF(Proc[[#This Row],[type]]="LFF (MDG-F)",MID(Proc[[#This Row],[Obj]],13,10),"")</f>
        <v/>
      </c>
      <c r="J5105" s="150" t="b">
        <f>Proc[[#This Row],[Requested]]=Proc[[#This Row],[CurrentParent]]</f>
        <v>0</v>
      </c>
      <c r="K5105" s="150" t="str">
        <f>IF(Proc[[#This Row],[Author]]="Marcela Urrego",VLOOKUP(LEFT(Proc[[#This Row],[Requested]],1),Table3[#All],2,0),VLOOKUP(Proc[[#This Row],[Author]],Table4[],2,0))</f>
        <v>EL</v>
      </c>
      <c r="L5105" s="150" t="s">
        <v>6435</v>
      </c>
      <c r="M5105" s="177">
        <v>46003</v>
      </c>
      <c r="N5105" s="177"/>
      <c r="O5105" s="177"/>
      <c r="P5105" s="177" t="str">
        <f ca="1">IF(Proc[[#This Row],[DaysAgeing]]&gt;5,"yep","on track")</f>
        <v>on track</v>
      </c>
      <c r="Q5105" s="3">
        <f ca="1">IF(Proc[[#This Row],[DateClosed]]="",ABS(NETWORKDAYS(Proc[[#This Row],[DateOpened]],TODAY()))-1,ABS(NETWORKDAYS(Proc[[#This Row],[DateOpened]],Proc[[#This Row],[DateClosed]]))-1)</f>
        <v>0</v>
      </c>
      <c r="R5105" s="177" t="s">
        <v>780</v>
      </c>
      <c r="S5105" s="150"/>
    </row>
    <row r="5106" spans="1:19">
      <c r="A5106" s="149" t="s">
        <v>7393</v>
      </c>
      <c r="B5106" s="150" t="str">
        <f>IFERROR(VLOOKUP(Proc[[#This Row],[App]],Table2[],3,0),"open")</f>
        <v>open</v>
      </c>
      <c r="C5106" s="149" t="s">
        <v>375</v>
      </c>
      <c r="D5106" t="s">
        <v>7390</v>
      </c>
      <c r="E5106" t="s">
        <v>6828</v>
      </c>
      <c r="F5106" s="150"/>
      <c r="G5106" t="s">
        <v>406</v>
      </c>
      <c r="H5106" s="150" t="str">
        <f>IF(Proc[[#This Row],[type]]="LFF (MDG-F)",MID(Proc[[#This Row],[Obj]],13,10),"")</f>
        <v>DE04OF1000</v>
      </c>
      <c r="I5106" t="s">
        <v>7400</v>
      </c>
      <c r="J5106" s="150" t="b">
        <f>Proc[[#This Row],[Requested]]=Proc[[#This Row],[CurrentParent]]</f>
        <v>0</v>
      </c>
      <c r="K5106" s="150" t="str">
        <f>IF(Proc[[#This Row],[Author]]="Marcela Urrego",VLOOKUP(LEFT(Proc[[#This Row],[Requested]],1),Table3[#All],2,0),VLOOKUP(Proc[[#This Row],[Author]],Table4[],2,0))</f>
        <v>EL</v>
      </c>
      <c r="L5106" s="150" t="s">
        <v>6435</v>
      </c>
      <c r="M5106" s="177">
        <v>46003</v>
      </c>
      <c r="N5106" s="177"/>
      <c r="O5106" s="177"/>
      <c r="P5106" s="177" t="str">
        <f ca="1">IF(Proc[[#This Row],[DaysAgeing]]&gt;5,"yep","on track")</f>
        <v>on track</v>
      </c>
      <c r="Q5106" s="3">
        <f ca="1">IF(Proc[[#This Row],[DateClosed]]="",ABS(NETWORKDAYS(Proc[[#This Row],[DateOpened]],TODAY()))-1,ABS(NETWORKDAYS(Proc[[#This Row],[DateOpened]],Proc[[#This Row],[DateClosed]]))-1)</f>
        <v>0</v>
      </c>
      <c r="R5106" s="177" t="s">
        <v>780</v>
      </c>
      <c r="S5106" s="150"/>
    </row>
    <row r="5107" spans="1:19">
      <c r="A5107" s="149" t="s">
        <v>7393</v>
      </c>
      <c r="B5107" s="150" t="str">
        <f>IFERROR(VLOOKUP(Proc[[#This Row],[App]],Table2[],3,0),"open")</f>
        <v>open</v>
      </c>
      <c r="C5107" s="149" t="s">
        <v>375</v>
      </c>
      <c r="D5107" t="s">
        <v>7391</v>
      </c>
      <c r="E5107" t="s">
        <v>426</v>
      </c>
      <c r="F5107" s="150"/>
      <c r="G5107" t="s">
        <v>406</v>
      </c>
      <c r="H5107" s="150" t="str">
        <f>IF(Proc[[#This Row],[type]]="LFF (MDG-F)",MID(Proc[[#This Row],[Obj]],13,10),"")</f>
        <v>DE01OF0304</v>
      </c>
      <c r="I5107" s="149" t="s">
        <v>7400</v>
      </c>
      <c r="J5107" s="150" t="b">
        <f>Proc[[#This Row],[Requested]]=Proc[[#This Row],[CurrentParent]]</f>
        <v>0</v>
      </c>
      <c r="K5107" s="150" t="str">
        <f>IF(Proc[[#This Row],[Author]]="Marcela Urrego",VLOOKUP(LEFT(Proc[[#This Row],[Requested]],1),Table3[#All],2,0),VLOOKUP(Proc[[#This Row],[Author]],Table4[],2,0))</f>
        <v>EL</v>
      </c>
      <c r="L5107" s="150" t="s">
        <v>6435</v>
      </c>
      <c r="M5107" s="177">
        <v>46003</v>
      </c>
      <c r="N5107" s="177"/>
      <c r="O5107" s="177"/>
      <c r="P5107" s="177" t="str">
        <f ca="1">IF(Proc[[#This Row],[DaysAgeing]]&gt;5,"yep","on track")</f>
        <v>on track</v>
      </c>
      <c r="Q5107" s="3">
        <f ca="1">IF(Proc[[#This Row],[DateClosed]]="",ABS(NETWORKDAYS(Proc[[#This Row],[DateOpened]],TODAY()))-1,ABS(NETWORKDAYS(Proc[[#This Row],[DateOpened]],Proc[[#This Row],[DateClosed]]))-1)</f>
        <v>0</v>
      </c>
      <c r="R5107" s="177" t="s">
        <v>780</v>
      </c>
      <c r="S5107" s="150"/>
    </row>
    <row r="5108" spans="1:19">
      <c r="A5108" s="149" t="s">
        <v>7393</v>
      </c>
      <c r="B5108" s="150" t="str">
        <f>IFERROR(VLOOKUP(Proc[[#This Row],[App]],Table2[],3,0),"open")</f>
        <v>open</v>
      </c>
      <c r="C5108" s="149" t="s">
        <v>375</v>
      </c>
      <c r="D5108" t="s">
        <v>7392</v>
      </c>
      <c r="E5108" t="s">
        <v>426</v>
      </c>
      <c r="F5108" s="150"/>
      <c r="G5108" t="s">
        <v>406</v>
      </c>
      <c r="H5108" s="150" t="str">
        <f>IF(Proc[[#This Row],[type]]="LFF (MDG-F)",MID(Proc[[#This Row],[Obj]],13,10),"")</f>
        <v>TW02TPTA14</v>
      </c>
      <c r="I5108" s="149" t="s">
        <v>7400</v>
      </c>
      <c r="J5108" s="150" t="b">
        <f>Proc[[#This Row],[Requested]]=Proc[[#This Row],[CurrentParent]]</f>
        <v>0</v>
      </c>
      <c r="K5108" s="150" t="str">
        <f>IF(Proc[[#This Row],[Author]]="Marcela Urrego",VLOOKUP(LEFT(Proc[[#This Row],[Requested]],1),Table3[#All],2,0),VLOOKUP(Proc[[#This Row],[Author]],Table4[],2,0))</f>
        <v>EL</v>
      </c>
      <c r="L5108" s="150" t="s">
        <v>6435</v>
      </c>
      <c r="M5108" s="177">
        <v>46003</v>
      </c>
      <c r="N5108" s="177"/>
      <c r="O5108" s="177"/>
      <c r="P5108" s="177" t="str">
        <f ca="1">IF(Proc[[#This Row],[DaysAgeing]]&gt;5,"yep","on track")</f>
        <v>on track</v>
      </c>
      <c r="Q5108" s="3">
        <f ca="1">IF(Proc[[#This Row],[DateClosed]]="",ABS(NETWORKDAYS(Proc[[#This Row],[DateOpened]],TODAY()))-1,ABS(NETWORKDAYS(Proc[[#This Row],[DateOpened]],Proc[[#This Row],[DateClosed]]))-1)</f>
        <v>0</v>
      </c>
      <c r="R5108" s="177" t="s">
        <v>780</v>
      </c>
      <c r="S5108" s="150"/>
    </row>
  </sheetData>
  <phoneticPr fontId="0" type="noConversion"/>
  <conditionalFormatting sqref="D642">
    <cfRule type="duplicateValues" dxfId="23" priority="3"/>
  </conditionalFormatting>
  <conditionalFormatting sqref="D1017:D1042">
    <cfRule type="duplicateValues" dxfId="2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G2:G5108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92807-8D15-439B-B370-EE42D4B949F9}">
  <dimension ref="A1:C4"/>
  <sheetViews>
    <sheetView workbookViewId="0">
      <selection activeCell="H10" sqref="H10"/>
    </sheetView>
  </sheetViews>
  <sheetFormatPr defaultRowHeight="15"/>
  <sheetData>
    <row r="1" spans="1:3">
      <c r="A1">
        <v>1000</v>
      </c>
      <c r="B1" t="s">
        <v>7378</v>
      </c>
    </row>
    <row r="2" spans="1:3">
      <c r="A2" t="s">
        <v>6828</v>
      </c>
      <c r="C2" t="s">
        <v>7397</v>
      </c>
    </row>
    <row r="3" spans="1:3">
      <c r="A3" t="s">
        <v>426</v>
      </c>
      <c r="C3" t="s">
        <v>7398</v>
      </c>
    </row>
    <row r="4" spans="1:3">
      <c r="A4" t="s">
        <v>426</v>
      </c>
      <c r="C4" t="s">
        <v>7399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2C626-5C5E-4F91-8772-6CDC160978FA}">
  <dimension ref="A1:C14"/>
  <sheetViews>
    <sheetView workbookViewId="0">
      <selection activeCell="A20" sqref="A20"/>
    </sheetView>
  </sheetViews>
  <sheetFormatPr defaultRowHeight="15"/>
  <cols>
    <col min="1" max="1" width="51" bestFit="1" customWidth="1"/>
    <col min="2" max="2" width="27.7109375" bestFit="1" customWidth="1"/>
  </cols>
  <sheetData>
    <row r="1" spans="1:3">
      <c r="A1" t="s">
        <v>7284</v>
      </c>
      <c r="B1" s="149" t="s">
        <v>425</v>
      </c>
      <c r="C1" t="s">
        <v>425</v>
      </c>
    </row>
    <row r="2" spans="1:3">
      <c r="A2" t="s">
        <v>7342</v>
      </c>
      <c r="B2" t="s">
        <v>7372</v>
      </c>
    </row>
    <row r="3" spans="1:3">
      <c r="A3" t="s">
        <v>7380</v>
      </c>
      <c r="B3" t="s">
        <v>419</v>
      </c>
    </row>
    <row r="4" spans="1:3">
      <c r="A4" t="s">
        <v>7381</v>
      </c>
      <c r="B4" t="s">
        <v>419</v>
      </c>
    </row>
    <row r="5" spans="1:3">
      <c r="A5" t="s">
        <v>7382</v>
      </c>
      <c r="B5" t="s">
        <v>419</v>
      </c>
    </row>
    <row r="6" spans="1:3">
      <c r="A6" t="s">
        <v>7383</v>
      </c>
      <c r="B6" t="s">
        <v>419</v>
      </c>
    </row>
    <row r="7" spans="1:3">
      <c r="A7" t="s">
        <v>7384</v>
      </c>
      <c r="B7" t="s">
        <v>419</v>
      </c>
    </row>
    <row r="8" spans="1:3">
      <c r="A8" t="s">
        <v>7385</v>
      </c>
      <c r="B8" t="s">
        <v>419</v>
      </c>
    </row>
    <row r="9" spans="1:3">
      <c r="A9" t="s">
        <v>7386</v>
      </c>
      <c r="B9" t="s">
        <v>419</v>
      </c>
    </row>
    <row r="10" spans="1:3">
      <c r="A10" t="s">
        <v>2785</v>
      </c>
      <c r="B10" t="s">
        <v>419</v>
      </c>
    </row>
    <row r="11" spans="1:3">
      <c r="A11" t="s">
        <v>7345</v>
      </c>
      <c r="B11" t="s">
        <v>7350</v>
      </c>
    </row>
    <row r="12" spans="1:3">
      <c r="A12" t="s">
        <v>7387</v>
      </c>
      <c r="B12" t="s">
        <v>7300</v>
      </c>
    </row>
    <row r="13" spans="1:3">
      <c r="A13" t="s">
        <v>7388</v>
      </c>
      <c r="B13" t="s">
        <v>7299</v>
      </c>
    </row>
    <row r="14" spans="1:3">
      <c r="A14" t="s">
        <v>7389</v>
      </c>
      <c r="B14" t="s">
        <v>7299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2C718-1BE8-43D8-8B90-88B4F7D9DA61}">
  <dimension ref="A1:B46"/>
  <sheetViews>
    <sheetView workbookViewId="0">
      <selection activeCell="B13" sqref="B13"/>
    </sheetView>
  </sheetViews>
  <sheetFormatPr defaultRowHeight="15"/>
  <sheetData>
    <row r="1" spans="1:2">
      <c r="A1" t="s">
        <v>7251</v>
      </c>
      <c r="B1" t="s">
        <v>4939</v>
      </c>
    </row>
    <row r="2" spans="1:2">
      <c r="A2" t="s">
        <v>7251</v>
      </c>
      <c r="B2" t="s">
        <v>4939</v>
      </c>
    </row>
    <row r="3" spans="1:2">
      <c r="A3" t="s">
        <v>7253</v>
      </c>
      <c r="B3" t="s">
        <v>4939</v>
      </c>
    </row>
    <row r="4" spans="1:2">
      <c r="A4" t="s">
        <v>7254</v>
      </c>
      <c r="B4" t="s">
        <v>4939</v>
      </c>
    </row>
    <row r="5" spans="1:2">
      <c r="A5" t="s">
        <v>7255</v>
      </c>
      <c r="B5" t="s">
        <v>4939</v>
      </c>
    </row>
    <row r="6" spans="1:2">
      <c r="A6" t="s">
        <v>7256</v>
      </c>
      <c r="B6" t="s">
        <v>4939</v>
      </c>
    </row>
    <row r="7" spans="1:2">
      <c r="A7" t="s">
        <v>7257</v>
      </c>
      <c r="B7" t="s">
        <v>4939</v>
      </c>
    </row>
    <row r="8" spans="1:2">
      <c r="A8" t="s">
        <v>7274</v>
      </c>
      <c r="B8" t="s">
        <v>4939</v>
      </c>
    </row>
    <row r="9" spans="1:2">
      <c r="A9" t="s">
        <v>7275</v>
      </c>
      <c r="B9" t="s">
        <v>4939</v>
      </c>
    </row>
    <row r="10" spans="1:2">
      <c r="A10" t="s">
        <v>7276</v>
      </c>
      <c r="B10" t="s">
        <v>4939</v>
      </c>
    </row>
    <row r="11" spans="1:2">
      <c r="A11" t="s">
        <v>7277</v>
      </c>
      <c r="B11" t="s">
        <v>4939</v>
      </c>
    </row>
    <row r="12" spans="1:2">
      <c r="A12" t="s">
        <v>7278</v>
      </c>
      <c r="B12" t="s">
        <v>4939</v>
      </c>
    </row>
    <row r="13" spans="1:2">
      <c r="A13" t="s">
        <v>7284</v>
      </c>
      <c r="B13" s="149" t="s">
        <v>425</v>
      </c>
    </row>
    <row r="14" spans="1:2">
      <c r="A14" t="s">
        <v>7289</v>
      </c>
      <c r="B14" t="s">
        <v>7282</v>
      </c>
    </row>
    <row r="15" spans="1:2">
      <c r="A15" t="s">
        <v>7290</v>
      </c>
      <c r="B15" t="s">
        <v>7282</v>
      </c>
    </row>
    <row r="16" spans="1:2">
      <c r="A16" t="s">
        <v>7305</v>
      </c>
      <c r="B16" t="s">
        <v>496</v>
      </c>
    </row>
    <row r="17" spans="1:2">
      <c r="A17" t="s">
        <v>7306</v>
      </c>
      <c r="B17" t="s">
        <v>7331</v>
      </c>
    </row>
    <row r="18" spans="1:2">
      <c r="A18" t="s">
        <v>7307</v>
      </c>
      <c r="B18" t="s">
        <v>2776</v>
      </c>
    </row>
    <row r="19" spans="1:2">
      <c r="A19" t="s">
        <v>7308</v>
      </c>
      <c r="B19" t="s">
        <v>4890</v>
      </c>
    </row>
    <row r="20" spans="1:2">
      <c r="A20" t="s">
        <v>7309</v>
      </c>
      <c r="B20" t="s">
        <v>2206</v>
      </c>
    </row>
    <row r="21" spans="1:2">
      <c r="A21" t="s">
        <v>7310</v>
      </c>
      <c r="B21" t="s">
        <v>7332</v>
      </c>
    </row>
    <row r="22" spans="1:2">
      <c r="A22" t="s">
        <v>7311</v>
      </c>
      <c r="B22" t="s">
        <v>7333</v>
      </c>
    </row>
    <row r="23" spans="1:2">
      <c r="A23" t="s">
        <v>7312</v>
      </c>
      <c r="B23" t="s">
        <v>7334</v>
      </c>
    </row>
    <row r="24" spans="1:2">
      <c r="A24" t="s">
        <v>7313</v>
      </c>
      <c r="B24" t="s">
        <v>7335</v>
      </c>
    </row>
    <row r="25" spans="1:2">
      <c r="A25" t="s">
        <v>7314</v>
      </c>
      <c r="B25" t="s">
        <v>7336</v>
      </c>
    </row>
    <row r="26" spans="1:2">
      <c r="A26" t="s">
        <v>7315</v>
      </c>
      <c r="B26" t="s">
        <v>7336</v>
      </c>
    </row>
    <row r="27" spans="1:2">
      <c r="A27" t="s">
        <v>7316</v>
      </c>
      <c r="B27" t="s">
        <v>7337</v>
      </c>
    </row>
    <row r="28" spans="1:2">
      <c r="A28" t="s">
        <v>7317</v>
      </c>
      <c r="B28" t="s">
        <v>7337</v>
      </c>
    </row>
    <row r="29" spans="1:2">
      <c r="A29" t="s">
        <v>7318</v>
      </c>
      <c r="B29" t="s">
        <v>6956</v>
      </c>
    </row>
    <row r="30" spans="1:2">
      <c r="A30" t="s">
        <v>7319</v>
      </c>
      <c r="B30" t="s">
        <v>7338</v>
      </c>
    </row>
    <row r="31" spans="1:2">
      <c r="A31" t="s">
        <v>7320</v>
      </c>
      <c r="B31" t="s">
        <v>7338</v>
      </c>
    </row>
    <row r="32" spans="1:2">
      <c r="A32" t="s">
        <v>7321</v>
      </c>
      <c r="B32" t="s">
        <v>7338</v>
      </c>
    </row>
    <row r="33" spans="1:2">
      <c r="A33" t="s">
        <v>7322</v>
      </c>
      <c r="B33" t="s">
        <v>7338</v>
      </c>
    </row>
    <row r="34" spans="1:2">
      <c r="A34" t="s">
        <v>7323</v>
      </c>
      <c r="B34" t="s">
        <v>7338</v>
      </c>
    </row>
    <row r="35" spans="1:2">
      <c r="A35" t="s">
        <v>7324</v>
      </c>
      <c r="B35" t="s">
        <v>7338</v>
      </c>
    </row>
    <row r="36" spans="1:2">
      <c r="A36" t="s">
        <v>7325</v>
      </c>
      <c r="B36" t="s">
        <v>7338</v>
      </c>
    </row>
    <row r="37" spans="1:2">
      <c r="A37" t="s">
        <v>7326</v>
      </c>
      <c r="B37" t="s">
        <v>7338</v>
      </c>
    </row>
    <row r="38" spans="1:2">
      <c r="A38" t="s">
        <v>7327</v>
      </c>
      <c r="B38" t="s">
        <v>7339</v>
      </c>
    </row>
    <row r="39" spans="1:2">
      <c r="A39" t="s">
        <v>7328</v>
      </c>
      <c r="B39" t="s">
        <v>7340</v>
      </c>
    </row>
    <row r="40" spans="1:2">
      <c r="A40" t="s">
        <v>7329</v>
      </c>
      <c r="B40" t="s">
        <v>7341</v>
      </c>
    </row>
    <row r="41" spans="1:2">
      <c r="A41" t="s">
        <v>7330</v>
      </c>
      <c r="B41" t="s">
        <v>4100</v>
      </c>
    </row>
    <row r="42" spans="1:2">
      <c r="A42" t="s">
        <v>7342</v>
      </c>
      <c r="B42" t="s">
        <v>7372</v>
      </c>
    </row>
    <row r="43" spans="1:2">
      <c r="A43" t="s">
        <v>7344</v>
      </c>
      <c r="B43" t="s">
        <v>7349</v>
      </c>
    </row>
    <row r="44" spans="1:2">
      <c r="A44" t="s">
        <v>7346</v>
      </c>
      <c r="B44" t="s">
        <v>7350</v>
      </c>
    </row>
    <row r="45" spans="1:2">
      <c r="A45" t="s">
        <v>7347</v>
      </c>
      <c r="B45" t="s">
        <v>7350</v>
      </c>
    </row>
    <row r="46" spans="1:2">
      <c r="A46" t="s">
        <v>7348</v>
      </c>
      <c r="B46" t="s">
        <v>7351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62A40-031D-4E3E-AB92-FCC00665828B}">
  <dimension ref="A1:F5"/>
  <sheetViews>
    <sheetView workbookViewId="0">
      <selection activeCell="Q10" sqref="Q10"/>
    </sheetView>
  </sheetViews>
  <sheetFormatPr defaultRowHeight="15"/>
  <cols>
    <col min="1" max="1" width="11.5703125" bestFit="1" customWidth="1"/>
  </cols>
  <sheetData>
    <row r="1" spans="1:6">
      <c r="A1">
        <v>1000</v>
      </c>
      <c r="B1" t="s">
        <v>7377</v>
      </c>
    </row>
    <row r="2" spans="1:6">
      <c r="A2" s="176" t="s">
        <v>7342</v>
      </c>
      <c r="C2" t="s">
        <v>7376</v>
      </c>
      <c r="D2" s="149" t="s">
        <v>7376</v>
      </c>
      <c r="E2" s="149" t="s">
        <v>7376</v>
      </c>
      <c r="F2" s="149" t="s">
        <v>7376</v>
      </c>
    </row>
    <row r="4" spans="1:6">
      <c r="A4">
        <v>1000</v>
      </c>
      <c r="B4" t="s">
        <v>7378</v>
      </c>
    </row>
    <row r="5" spans="1:6">
      <c r="A5" s="176" t="s">
        <v>4829</v>
      </c>
      <c r="B5" s="176" t="s">
        <v>7342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F2684-0E69-4E01-ACE8-8BE9EB94A4E4}">
  <dimension ref="A1:B46"/>
  <sheetViews>
    <sheetView workbookViewId="0">
      <selection activeCell="A46" sqref="A46:B46"/>
    </sheetView>
  </sheetViews>
  <sheetFormatPr defaultRowHeight="15"/>
  <cols>
    <col min="1" max="1" width="53" bestFit="1" customWidth="1"/>
    <col min="2" max="2" width="27.7109375" bestFit="1" customWidth="1"/>
  </cols>
  <sheetData>
    <row r="1" spans="1:2">
      <c r="A1" t="s">
        <v>7251</v>
      </c>
      <c r="B1" t="s">
        <v>4914</v>
      </c>
    </row>
    <row r="2" spans="1:2">
      <c r="A2" t="s">
        <v>7253</v>
      </c>
      <c r="B2" t="s">
        <v>7300</v>
      </c>
    </row>
    <row r="3" spans="1:2">
      <c r="A3" t="s">
        <v>7254</v>
      </c>
      <c r="B3" t="s">
        <v>7300</v>
      </c>
    </row>
    <row r="4" spans="1:2">
      <c r="A4" t="s">
        <v>7255</v>
      </c>
      <c r="B4" t="s">
        <v>7300</v>
      </c>
    </row>
    <row r="5" spans="1:2">
      <c r="A5" t="s">
        <v>7256</v>
      </c>
      <c r="B5" t="s">
        <v>7300</v>
      </c>
    </row>
    <row r="6" spans="1:2">
      <c r="A6" t="s">
        <v>7257</v>
      </c>
      <c r="B6" t="s">
        <v>7300</v>
      </c>
    </row>
    <row r="7" spans="1:2">
      <c r="A7" t="s">
        <v>7274</v>
      </c>
      <c r="B7" t="s">
        <v>7299</v>
      </c>
    </row>
    <row r="8" spans="1:2">
      <c r="A8" t="s">
        <v>7275</v>
      </c>
      <c r="B8" t="s">
        <v>7299</v>
      </c>
    </row>
    <row r="9" spans="1:2">
      <c r="A9" t="s">
        <v>7276</v>
      </c>
      <c r="B9" t="s">
        <v>7299</v>
      </c>
    </row>
    <row r="10" spans="1:2">
      <c r="A10" t="s">
        <v>7277</v>
      </c>
      <c r="B10" t="s">
        <v>7299</v>
      </c>
    </row>
    <row r="11" spans="1:2">
      <c r="A11" t="s">
        <v>7278</v>
      </c>
      <c r="B11" t="s">
        <v>7299</v>
      </c>
    </row>
    <row r="12" spans="1:2">
      <c r="A12" t="s">
        <v>7284</v>
      </c>
      <c r="B12" t="s">
        <v>425</v>
      </c>
    </row>
    <row r="13" spans="1:2">
      <c r="A13" t="s">
        <v>7289</v>
      </c>
      <c r="B13" t="s">
        <v>7298</v>
      </c>
    </row>
    <row r="14" spans="1:2">
      <c r="A14" t="s">
        <v>7290</v>
      </c>
      <c r="B14" t="s">
        <v>7298</v>
      </c>
    </row>
    <row r="15" spans="1:2">
      <c r="A15" t="s">
        <v>7305</v>
      </c>
      <c r="B15" t="s">
        <v>7353</v>
      </c>
    </row>
    <row r="16" spans="1:2">
      <c r="A16" t="s">
        <v>7306</v>
      </c>
      <c r="B16" t="s">
        <v>7354</v>
      </c>
    </row>
    <row r="17" spans="1:2">
      <c r="A17" t="s">
        <v>7307</v>
      </c>
      <c r="B17" t="s">
        <v>7355</v>
      </c>
    </row>
    <row r="18" spans="1:2">
      <c r="A18" t="s">
        <v>7308</v>
      </c>
      <c r="B18" t="s">
        <v>7356</v>
      </c>
    </row>
    <row r="19" spans="1:2">
      <c r="A19" t="s">
        <v>7309</v>
      </c>
      <c r="B19" t="s">
        <v>7357</v>
      </c>
    </row>
    <row r="20" spans="1:2">
      <c r="A20" t="s">
        <v>7310</v>
      </c>
      <c r="B20" t="s">
        <v>7358</v>
      </c>
    </row>
    <row r="21" spans="1:2">
      <c r="A21" t="s">
        <v>7311</v>
      </c>
      <c r="B21" t="s">
        <v>7359</v>
      </c>
    </row>
    <row r="22" spans="1:2">
      <c r="A22" t="s">
        <v>7312</v>
      </c>
      <c r="B22" t="s">
        <v>7360</v>
      </c>
    </row>
    <row r="23" spans="1:2">
      <c r="A23" t="s">
        <v>7313</v>
      </c>
      <c r="B23" t="s">
        <v>7361</v>
      </c>
    </row>
    <row r="24" spans="1:2">
      <c r="A24" t="s">
        <v>7314</v>
      </c>
      <c r="B24" t="s">
        <v>7362</v>
      </c>
    </row>
    <row r="25" spans="1:2">
      <c r="A25" t="s">
        <v>7315</v>
      </c>
      <c r="B25" t="s">
        <v>7363</v>
      </c>
    </row>
    <row r="26" spans="1:2">
      <c r="A26" t="s">
        <v>7316</v>
      </c>
      <c r="B26" t="s">
        <v>7362</v>
      </c>
    </row>
    <row r="27" spans="1:2">
      <c r="A27" t="s">
        <v>7317</v>
      </c>
      <c r="B27" t="s">
        <v>7363</v>
      </c>
    </row>
    <row r="28" spans="1:2">
      <c r="A28" t="s">
        <v>7318</v>
      </c>
      <c r="B28" t="s">
        <v>7364</v>
      </c>
    </row>
    <row r="29" spans="1:2">
      <c r="A29" t="s">
        <v>7319</v>
      </c>
      <c r="B29" t="s">
        <v>7365</v>
      </c>
    </row>
    <row r="30" spans="1:2">
      <c r="A30" t="s">
        <v>7320</v>
      </c>
      <c r="B30" t="s">
        <v>7366</v>
      </c>
    </row>
    <row r="31" spans="1:2">
      <c r="A31" t="s">
        <v>7321</v>
      </c>
      <c r="B31" t="s">
        <v>7367</v>
      </c>
    </row>
    <row r="32" spans="1:2">
      <c r="A32" t="s">
        <v>7322</v>
      </c>
      <c r="B32" t="s">
        <v>7364</v>
      </c>
    </row>
    <row r="33" spans="1:2">
      <c r="A33" t="s">
        <v>7323</v>
      </c>
      <c r="B33" t="s">
        <v>7368</v>
      </c>
    </row>
    <row r="34" spans="1:2">
      <c r="A34" t="s">
        <v>7324</v>
      </c>
      <c r="B34" t="s">
        <v>7368</v>
      </c>
    </row>
    <row r="35" spans="1:2">
      <c r="A35" t="s">
        <v>7325</v>
      </c>
      <c r="B35" t="s">
        <v>7369</v>
      </c>
    </row>
    <row r="36" spans="1:2">
      <c r="A36" t="s">
        <v>7326</v>
      </c>
      <c r="B36" t="s">
        <v>7369</v>
      </c>
    </row>
    <row r="37" spans="1:2">
      <c r="A37" t="s">
        <v>7327</v>
      </c>
      <c r="B37" t="s">
        <v>7370</v>
      </c>
    </row>
    <row r="38" spans="1:2">
      <c r="A38" t="s">
        <v>7328</v>
      </c>
      <c r="B38" t="s">
        <v>7367</v>
      </c>
    </row>
    <row r="39" spans="1:2">
      <c r="A39" t="s">
        <v>7329</v>
      </c>
      <c r="B39" t="s">
        <v>7371</v>
      </c>
    </row>
    <row r="40" spans="1:2">
      <c r="A40" t="s">
        <v>7330</v>
      </c>
      <c r="B40" t="s">
        <v>7302</v>
      </c>
    </row>
    <row r="41" spans="1:2">
      <c r="A41" t="s">
        <v>7342</v>
      </c>
      <c r="B41" t="s">
        <v>7372</v>
      </c>
    </row>
    <row r="42" spans="1:2">
      <c r="A42" t="s">
        <v>7344</v>
      </c>
      <c r="B42" t="s">
        <v>7373</v>
      </c>
    </row>
    <row r="43" spans="1:2">
      <c r="A43" t="s">
        <v>7345</v>
      </c>
      <c r="B43" t="s">
        <v>7374</v>
      </c>
    </row>
    <row r="44" spans="1:2">
      <c r="A44" t="s">
        <v>7346</v>
      </c>
      <c r="B44" t="s">
        <v>7374</v>
      </c>
    </row>
    <row r="45" spans="1:2">
      <c r="A45" t="s">
        <v>7347</v>
      </c>
      <c r="B45" t="s">
        <v>7374</v>
      </c>
    </row>
    <row r="46" spans="1:2">
      <c r="A46" t="s">
        <v>7348</v>
      </c>
      <c r="B46" t="s">
        <v>7375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C75" sqref="C75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5"/>
  <sheetViews>
    <sheetView topLeftCell="A93" workbookViewId="0">
      <selection activeCell="B148" sqref="B148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4416</v>
      </c>
      <c r="B129" s="103" t="s">
        <v>569</v>
      </c>
    </row>
    <row r="130" spans="1:2">
      <c r="A130" t="s">
        <v>4820</v>
      </c>
      <c r="B130" s="117" t="s">
        <v>568</v>
      </c>
    </row>
    <row r="131" spans="1:2">
      <c r="A131" t="s">
        <v>4819</v>
      </c>
      <c r="B131" s="117" t="s">
        <v>568</v>
      </c>
    </row>
    <row r="132" spans="1:2">
      <c r="A132" s="115" t="s">
        <v>5501</v>
      </c>
      <c r="B132" t="s">
        <v>570</v>
      </c>
    </row>
    <row r="133" spans="1:2">
      <c r="A133" t="s">
        <v>5682</v>
      </c>
      <c r="B133" t="s">
        <v>569</v>
      </c>
    </row>
    <row r="134" spans="1:2">
      <c r="A134" s="130" t="s">
        <v>5709</v>
      </c>
      <c r="B134" t="s">
        <v>570</v>
      </c>
    </row>
    <row r="135" spans="1:2">
      <c r="A135" s="136" t="s">
        <v>6087</v>
      </c>
      <c r="B135" s="135" t="s">
        <v>570</v>
      </c>
    </row>
    <row r="136" spans="1:2">
      <c r="A136" t="s">
        <v>6247</v>
      </c>
      <c r="B136" t="s">
        <v>567</v>
      </c>
    </row>
    <row r="137" spans="1:2">
      <c r="A137" s="146" t="s">
        <v>6273</v>
      </c>
      <c r="B137" t="s">
        <v>569</v>
      </c>
    </row>
    <row r="138" spans="1:2">
      <c r="A138" s="146" t="s">
        <v>6305</v>
      </c>
      <c r="B138" t="s">
        <v>567</v>
      </c>
    </row>
    <row r="139" spans="1:2">
      <c r="A139" t="s">
        <v>6563</v>
      </c>
      <c r="B139" s="149" t="s">
        <v>570</v>
      </c>
    </row>
    <row r="140" spans="1:2">
      <c r="A140" s="159" t="s">
        <v>6573</v>
      </c>
      <c r="B140" s="149" t="s">
        <v>567</v>
      </c>
    </row>
    <row r="141" spans="1:2">
      <c r="A141" s="165" t="s">
        <v>6665</v>
      </c>
      <c r="B141" s="149" t="s">
        <v>569</v>
      </c>
    </row>
    <row r="142" spans="1:2">
      <c r="A142" t="s">
        <v>6862</v>
      </c>
      <c r="B142" t="s">
        <v>569</v>
      </c>
    </row>
    <row r="143" spans="1:2">
      <c r="A143" t="s">
        <v>6982</v>
      </c>
      <c r="B143" s="149" t="s">
        <v>569</v>
      </c>
    </row>
    <row r="144" spans="1:2">
      <c r="A144" s="173" t="s">
        <v>6990</v>
      </c>
      <c r="B144" t="s">
        <v>6998</v>
      </c>
    </row>
    <row r="145" spans="1:2">
      <c r="A145" s="174" t="s">
        <v>7193</v>
      </c>
      <c r="B145" t="s">
        <v>7194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KPI</vt:lpstr>
      <vt:lpstr>Report</vt:lpstr>
      <vt:lpstr>OK</vt:lpstr>
      <vt:lpstr>PROC</vt:lpstr>
      <vt:lpstr>Sheet5</vt:lpstr>
      <vt:lpstr>Sheet4</vt:lpstr>
      <vt:lpstr>Sheet3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2025-12-12T12:09:01Z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