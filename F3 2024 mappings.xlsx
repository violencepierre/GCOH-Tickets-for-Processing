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5EF3065-72E5-4A26-810D-58AE887C398E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F5326" i="1"/>
  <c r="J5326" i="1" s="1"/>
  <c r="F5325" i="1"/>
  <c r="F5324" i="1"/>
  <c r="F5322" i="1"/>
  <c r="F5321" i="1"/>
  <c r="J5321" i="1" s="1"/>
  <c r="F5320" i="1"/>
  <c r="F5319" i="1"/>
  <c r="F5318" i="1"/>
  <c r="J5318" i="1" s="1"/>
  <c r="F5314" i="1"/>
  <c r="J5314" i="1" s="1"/>
  <c r="F5312" i="1"/>
  <c r="J5312" i="1" s="1"/>
  <c r="F5311" i="1"/>
  <c r="J5311" i="1" s="1"/>
  <c r="F5310" i="1"/>
  <c r="J5310" i="1" s="1"/>
  <c r="F5309" i="1"/>
  <c r="J5309" i="1" s="1"/>
  <c r="F5306" i="1"/>
  <c r="J5306" i="1" s="1"/>
  <c r="F5296" i="1"/>
  <c r="J5296" i="1" s="1"/>
  <c r="F5294" i="1"/>
  <c r="F5267" i="1"/>
  <c r="F5262" i="1"/>
  <c r="F5259" i="1"/>
  <c r="F5244" i="1"/>
  <c r="F5243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4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7" i="1"/>
  <c r="J5260" i="1"/>
  <c r="J5259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2" i="1"/>
  <c r="J5263" i="1"/>
  <c r="J5265" i="1"/>
  <c r="J5271" i="1"/>
  <c r="J5278" i="1"/>
  <c r="J5280" i="1"/>
  <c r="J5281" i="1"/>
  <c r="J5285" i="1"/>
  <c r="J5286" i="1"/>
  <c r="J5287" i="1"/>
  <c r="J5288" i="1"/>
  <c r="J5292" i="1"/>
  <c r="J5294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<sst xmlns="http://schemas.openxmlformats.org/spreadsheetml/2006/main" count="48657" uniqueCount="7902">
  <si>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</si>
  <si>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</si>
  <si>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</si>
  <si>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</si>
  <si>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</si>
  <si>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</si>
  <si>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</si>
  <si>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</si>
  <si>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</si>
  <si>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</si>
  <si>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</si>
  <si>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</si>
  <si>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</si>
  <si>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</si>
  <si>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</si>
  <si>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</si>
  <si>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</si>
  <si>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</si>
  <si>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</si>
  <si>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</si>
  <si>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</si>
  <si>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</si>
  <si>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</si>
  <si>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</si>
  <si>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</si>
  <si>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</si>
  <si>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</si>
  <si>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</si>
  <si>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</si>
  <si>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</si>
  <si>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</si>
  <si>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</si>
  <si>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</si>
  <si>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</si>
  <si>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</si>
  <si>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</si>
  <si>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</si>
  <si>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</si>
  <si>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</si>
  <si>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</si>
  <si>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</si>
  <si>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</si>
  <si>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</si>
  <si>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</si>
  <si>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</si>
  <si>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</si>
  <si>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</si>
  <si>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</si>
  <si>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</si>
  <si>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</si>
  <si>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</si>
  <si>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</si>
  <si>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</si>
  <si>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</si>
  <si>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</si>
  <si>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</si>
  <si>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</si>
  <si>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</si>
  <si>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</si>
  <si>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</si>
  <si>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</si>
  <si>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</si>
  <si>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</si>
  <si>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</si>
  <si>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</si>
  <si>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</si>
  <si>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</si>
  <si>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</si>
  <si>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</si>
  <si>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</si>
  <si>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</si>
  <si>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</si>
  <si>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</si>
  <si>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</si>
  <si>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</si>
  <si>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</si>
  <si>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</si>
  <si>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</si>
  <si>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</si>
  <si>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</si>
  <si>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</si>
  <si>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</si>
  <si>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</si>
  <si>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</si>
  <si>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</si>
  <si>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</si>
  <si>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</si>
  <si>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</si>
  <si>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</si>
  <si>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</si>
  <si>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</si>
  <si>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</si>
  <si>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</si>
  <si>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</si>
  <si>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</si>
  <si>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</si>
  <si>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</si>
  <si>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</si>
  <si>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</si>
  <si>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</si>
  <si>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</si>
  <si>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</si>
  <si>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</si>
  <si>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</si>
  <si>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</si>
  <si>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</si>
  <si>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</si>
  <si>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</si>
  <si>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</si>
  <si>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</si>
  <si>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</si>
  <si>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</si>
  <si>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</si>
  <si>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</si>
  <si>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</si>
  <si>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</si>
  <si>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</si>
  <si>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</si>
  <si>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</si>
  <si>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</si>
  <si>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</si>
  <si>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</si>
  <si>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</si>
  <si>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</si>
  <si>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</si>
  <si>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</si>
  <si>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</si>
  <si>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</si>
  <si>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</si>
  <si>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</si>
  <si>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</si>
  <si>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</si>
  <si>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</si>
  <si>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</si>
  <si>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</si>
  <si>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</si>
  <si>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</si>
  <si>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</si>
  <si>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</si>
  <si>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</si>
  <si>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</si>
  <si>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</si>
  <si>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</si>
  <si>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</si>
  <si>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</si>
  <si>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</si>
  <si>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</si>
  <si>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</si>
  <si>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</si>
  <si>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</si>
  <si>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</si>
  <si>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</si>
  <si>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</si>
  <si>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</si>
  <si>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</si>
  <si>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</si>
  <si>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</si>
  <si>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</si>
  <si>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</si>
  <si>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</si>
  <si>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</si>
  <si>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</si>
  <si>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</si>
  <si>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</si>
  <si>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</si>
  <si>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</si>
  <si>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</si>
  <si>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</si>
  <si>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</si>
  <si>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</si>
  <si>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</si>
  <si>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</si>
  <si>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</si>
  <si>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</si>
  <si>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</si>
  <si>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</si>
  <si>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</si>
  <si>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</si>
  <si>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</si>
  <si>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</si>
  <si>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</si>
  <si>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</si>
  <si>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</si>
  <si>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</si>
  <si>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</si>
  <si>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</si>
  <si>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</si>
  <si>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</si>
  <si>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</si>
  <si>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</si>
  <si>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</si>
  <si>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</si>
  <si>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</si>
  <si>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</si>
  <si>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</si>
  <si>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</si>
  <si>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</si>
  <si>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</si>
  <si>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</si>
  <si>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</si>
  <si>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</si>
  <si>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</si>
  <si>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</si>
  <si>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</si>
  <si>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</si>
  <si>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</si>
  <si>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</si>
  <si>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</si>
  <si>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</si>
  <si>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</si>
  <si>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</si>
  <si>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</si>
  <si>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</si>
  <si>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</si>
  <si>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</si>
  <si>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</si>
  <si>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</si>
  <si>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</si>
  <si>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</si>
  <si>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</si>
  <si>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</si>
  <si>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</si>
  <si>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</si>
  <si>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</si>
  <si>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</si>
  <si>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</si>
  <si>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</si>
  <si>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</si>
  <si>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</si>
  <si>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</si>
  <si>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</si>
  <si>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</si>
  <si>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</si>
  <si>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</si>
  <si>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</si>
  <si>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</si>
  <si>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</si>
  <si>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</si>
  <si>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</si>
  <si>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</si>
  <si>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</si>
  <si>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</si>
  <si>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</si>
  <si>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</si>
  <si>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</si>
  <si>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</si>
  <si>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</si>
  <si>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</si>
  <si>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</si>
  <si>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</si>
  <si>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</si>
  <si>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</si>
  <si>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</si>
  <si>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</si>
  <si>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</si>
  <si>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</si>
  <si>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</si>
  <si>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</si>
  <si>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</si>
  <si>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</si>
  <si>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</si>
  <si>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</si>
  <si>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</si>
  <si>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</si>
  <si>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</si>
  <si>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</si>
  <si>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</si>
  <si>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</si>
  <si>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</si>
  <si>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</si>
  <si>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</si>
  <si>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</si>
  <si>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</si>
  <si>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</si>
  <si>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</si>
  <si>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</si>
  <si>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</si>
  <si>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</si>
  <si>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</si>
  <si>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</si>
  <si>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</si>
  <si>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</si>
  <si>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</si>
  <si>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</si>
  <si>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</si>
  <si>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</si>
  <si>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</si>
  <si>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</si>
  <si>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</si>
  <si>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</si>
  <si>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</si>
  <si>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</si>
  <si>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</si>
  <si>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</si>
  <si>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</si>
  <si>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</si>
  <si>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</si>
  <si>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</si>
  <si>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</si>
  <si>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</si>
  <si>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</si>
  <si>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</si>
  <si>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</si>
  <si>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</si>
  <si>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</si>
  <si>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</si>
  <si>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</si>
  <si>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</si>
  <si>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</si>
  <si>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</si>
  <si>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</si>
  <si>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</si>
  <si>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</si>
  <si>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</si>
  <si>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</si>
  <si>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</si>
  <si>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</si>
  <si>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</si>
  <si>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</si>
  <si>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</si>
  <si>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</si>
  <si>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</si>
  <si>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</si>
  <si>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</si>
  <si>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</si>
  <si>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</si>
  <si>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</si>
  <si>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</si>
  <si>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</si>
  <si>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</si>
  <si>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</si>
  <si>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</si>
  <si>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</si>
  <si>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</si>
  <si>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</si>
  <si>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</si>
  <si>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</si>
  <si>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</si>
  <si>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</si>
  <si>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</si>
  <si>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</si>
  <si>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</si>
  <si>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</si>
  <si>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</si>
  <si>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</si>
  <si>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</si>
  <si>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</si>
  <si>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</si>
  <si>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</si>
  <si>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</si>
  <si>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</si>
  <si>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</si>
  <si>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</si>
  <si>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</si>
  <si>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</si>
  <si>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</si>
  <si>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</si>
  <si>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</si>
  <si>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</si>
  <si>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</si>
  <si>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</si>
  <si>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</si>
  <si>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</si>
  <si>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</si>
  <si>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</si>
  <si>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</si>
  <si>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</si>
  <si>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</si>
  <si>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</si>
  <si>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</si>
  <si>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</si>
  <si>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</si>
  <si>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</si>
  <si>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</si>
  <si>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</si>
  <si>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</si>
  <si>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</si>
  <si>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</si>
  <si>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</si>
  <si>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</si>
  <si>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</si>
  <si>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</si>
  <si>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</si>
  <si>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</si>
  <si>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</si>
  <si>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</si>
  <si>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</si>
  <si>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</si>
  <si>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</si>
  <si>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</si>
  <si>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</si>
  <si>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</si>
  <si>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</si>
  <si>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</si>
  <si>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</si>
  <si>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</si>
  <si>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</si>
  <si>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</si>
  <si>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</si>
  <si>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</si>
  <si>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</si>
  <si>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</si>
  <si>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</si>
  <si>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</si>
  <si>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</si>
  <si>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</si>
  <si>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</si>
  <si>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</si>
  <si>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</si>
  <si>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</si>
  <si>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</si>
  <si>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</si>
  <si>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</si>
  <si>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</si>
  <si>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</si>
  <si>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</si>
  <si>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</si>
  <si>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</si>
  <si>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</si>
  <si>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</si>
  <si>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</si>
  <si>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</si>
  <si>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</si>
  <si>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</si>
  <si>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</si>
  <si>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</si>
  <si>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</si>
  <si>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</si>
  <si>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</si>
  <si>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</si>
  <si>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</si>
  <si>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</si>
  <si>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</si>
  <si>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</si>
  <si>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</si>
  <si>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</si>
  <si>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</si>
  <si>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</si>
  <si>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</si>
  <si>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</si>
  <si>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</si>
  <si>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</si>
  <si>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</si>
  <si>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</si>
  <si>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</si>
  <si>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</si>
  <si>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</si>
  <si>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</si>
  <si>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</si>
  <si>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</si>
  <si>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</si>
  <si>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</si>
  <si>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</si>
  <si>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</si>
  <si>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</si>
  <si>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</si>
  <si>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</si>
  <si>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</si>
  <si>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</si>
  <si>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</si>
  <si>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</si>
  <si>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</si>
  <si>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</si>
  <si>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</si>
  <si>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</si>
  <si>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</si>
  <si>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</si>
  <si>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</si>
  <si>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</si>
  <si>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</si>
  <si>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</si>
  <si>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</si>
  <si>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</si>
  <si>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</si>
  <si>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</si>
  <si>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</si>
  <si>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</si>
  <si>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</si>
  <si>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</si>
  <si>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</si>
  <si>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</si>
  <si>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</si>
  <si>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</si>
  <si>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</si>
  <si>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</si>
  <si>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</si>
  <si>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</si>
  <si>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</si>
  <si>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</si>
  <si>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</si>
  <si>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</si>
  <si>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</si>
  <si>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</si>
  <si>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</si>
  <si>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</si>
  <si>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</si>
  <si>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</si>
  <si>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</si>
  <si>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</si>
  <si>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</si>
  <si>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</si>
  <si>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</si>
  <si>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</si>
  <si>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</si>
  <si>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</si>
  <si>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</si>
  <si>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</si>
  <si>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</si>
  <si>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</si>
  <si>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</si>
  <si>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</si>
  <si>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</si>
  <si>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</si>
  <si>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</si>
  <si>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</si>
  <si>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</si>
  <si>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</si>
  <si>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</si>
  <si>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</si>
  <si>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</si>
  <si>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</si>
  <si>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</si>
  <si>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</si>
  <si>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</si>
  <si>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</si>
  <si>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</si>
  <si>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</si>
  <si>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</si>
  <si>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</si>
  <si>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</si>
  <si>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</si>
  <si>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</si>
  <si>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</si>
  <si>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</si>
  <si>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</si>
  <si>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</si>
  <si>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</si>
  <si>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</si>
  <si>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</si>
  <si>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</si>
  <si>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</si>
  <si>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</si>
  <si>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</si>
  <si>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</si>
  <si>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</si>
  <si>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</si>
  <si>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</si>
  <si>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</si>
  <si>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</si>
  <si>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</si>
  <si>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</si>
  <si>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</si>
  <si>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</si>
  <si>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</si>
  <si>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</si>
  <si>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</si>
  <si>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</si>
  <si>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</si>
  <si>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</si>
  <si>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</si>
  <si>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</si>
  <si>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</si>
  <si>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</si>
  <si>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</si>
  <si>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</si>
  <si>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</si>
  <si>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</si>
  <si>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</si>
  <si>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</si>
  <si>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</si>
  <si>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</si>
  <si>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</si>
  <si>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</si>
  <si>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</si>
  <si>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</si>
  <si>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</si>
  <si>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</si>
  <si>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</si>
  <si>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</si>
  <si>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</si>
  <si>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</si>
  <si>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</si>
  <si>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</si>
  <si>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</si>
  <si>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</si>
  <si>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</si>
  <si>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</si>
  <si>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</si>
  <si>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</si>
  <si>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</si>
  <si>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</si>
  <si>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</si>
  <si>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</si>
  <si>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</si>
  <si>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</si>
  <si>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</si>
  <si>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</si>
  <si>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</si>
  <si>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</si>
  <si>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</si>
  <si>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</si>
  <si>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</si>
  <si>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</si>
  <si>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</si>
  <si>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</si>
  <si>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</si>
  <si>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</si>
  <si>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</si>
  <si>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</si>
  <si>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</si>
  <si>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</si>
  <si>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</si>
  <si>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</si>
  <si>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</si>
  <si>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</si>
  <si>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</si>
  <si>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</si>
  <si>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</si>
  <si>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</si>
  <si>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</si>
  <si>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</si>
  <si>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</si>
  <si>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</si>
  <si>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</si>
  <si>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</si>
  <si>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</si>
  <si>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</si>
  <si>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</si>
  <si>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</si>
  <si>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</si>
  <si>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</si>
  <si>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</si>
  <si>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</si>
  <si>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</si>
  <si>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</si>
  <si>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</si>
  <si>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</si>
  <si>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</si>
  <si>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</si>
  <si>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</si>
  <si>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</si>
  <si>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</si>
  <si>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</si>
  <si>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</si>
  <si>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</si>
  <si>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</si>
  <si>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</si>
  <si>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</si>
  <si>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</si>
  <si>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</si>
  <si>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</si>
  <si>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</si>
  <si>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</si>
  <si>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</si>
  <si>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</si>
  <si>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</si>
  <si>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</si>
  <si>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</si>
  <si>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</si>
  <si>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</si>
  <si>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</si>
  <si>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</si>
  <si>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</si>
  <si>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</si>
  <si>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</si>
  <si>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</si>
  <si>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</si>
  <si>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</si>
  <si>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</si>
  <si>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</si>
  <si>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</si>
  <si>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</si>
  <si>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</si>
  <si>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</si>
  <si>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</si>
  <si>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</si>
  <si>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</si>
  <si>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</si>
  <si>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</si>
  <si>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</si>
  <si>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</si>
  <si>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</si>
  <si>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</si>
  <si>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</si>
  <si>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</si>
  <si>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</si>
  <si>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</si>
  <si>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</si>
  <si>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</si>
  <si>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</si>
  <si>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</si>
  <si>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</si>
  <si>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</si>
  <si>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</si>
  <si>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</si>
  <si>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</si>
  <si>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</si>
  <si>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</si>
  <si>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</si>
  <si>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</si>
  <si>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</si>
  <si>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</si>
  <si>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</si>
  <si>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</si>
  <si>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</si>
  <si>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</si>
  <si>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</si>
  <si>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</si>
  <si>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</si>
  <si>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</si>
  <si>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</si>
  <si>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</si>
  <si>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</si>
  <si>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</si>
  <si>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</si>
  <si>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</si>
  <si>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</si>
  <si>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</si>
  <si>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</si>
  <si>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</si>
  <si>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</si>
  <si>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</si>
  <si>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</si>
  <si>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</si>
  <si>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</si>
  <si>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</si>
  <si>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</si>
  <si>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</si>
  <si>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</si>
  <si>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</si>
  <si>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</si>
  <si>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</si>
  <si>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</si>
  <si>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</si>
  <si>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</si>
  <si>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</si>
  <si>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</si>
  <si>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</si>
  <si>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</si>
  <si>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</si>
  <si>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</si>
  <si>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</si>
  <si>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</si>
  <si>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</si>
  <si>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</si>
  <si>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</si>
  <si>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</si>
  <si>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</si>
  <si>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</si>
  <si>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</si>
  <si>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</si>
  <si>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</si>
  <si>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</si>
  <si>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</si>
  <si>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</si>
  <si>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</si>
  <si>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</si>
  <si>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</si>
  <si>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</si>
  <si>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</si>
  <si>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</si>
  <si>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</si>
  <si>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</si>
  <si>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</si>
  <si>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</si>
  <si>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</si>
  <si>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</si>
  <si>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</si>
  <si>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</si>
  <si>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</si>
  <si>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</si>
  <si>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</si>
  <si>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</si>
  <si>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</si>
  <si>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</si>
  <si>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</si>
  <si>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</si>
  <si>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</si>
  <si>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</si>
  <si>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</si>
  <si>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</si>
  <si>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</si>
  <si>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</si>
  <si>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</si>
  <si>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</si>
  <si>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</si>
  <si>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</si>
  <si>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</si>
  <si>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</si>
  <si>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</si>
  <si>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</si>
  <si>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</si>
  <si>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</si>
  <si>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</si>
  <si>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</si>
  <si>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</si>
  <si>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</si>
  <si>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</si>
  <si>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</si>
  <si>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</si>
  <si>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</si>
  <si>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</si>
  <si>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</si>
  <si>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</si>
  <si>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</si>
  <si>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</si>
  <si>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</si>
  <si>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</si>
  <si>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</si>
  <si>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</si>
  <si>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</si>
  <si>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</si>
  <si>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</si>
  <si>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</si>
  <si>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</si>
  <si>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</si>
  <si>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</si>
  <si>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</si>
  <si>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</si>
  <si>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</si>
  <si>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</si>
  <si>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</si>
  <si>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</si>
  <si>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</si>
  <si>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</si>
  <si>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</si>
  <si>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</si>
  <si>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</si>
  <si>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</si>
  <si>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</si>
  <si>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</si>
  <si>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</si>
  <si>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</si>
  <si>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</si>
  <si>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</si>
  <si>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</si>
  <si>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</si>
  <si>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</si>
  <si>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</si>
  <si>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</si>
  <si>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</si>
  <si>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</si>
  <si>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</si>
  <si>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</si>
  <si>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</si>
  <si>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</si>
  <si>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</si>
  <si>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</si>
  <si>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</si>
  <si>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</si>
  <si>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</si>
  <si>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</si>
  <si>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</si>
  <si>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</si>
  <si>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</si>
  <si>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</si>
  <si>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</si>
  <si>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</si>
  <si>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</si>
  <si>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</si>
  <si>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</si>
  <si>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</si>
  <si>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</si>
  <si>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</si>
  <si>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</si>
  <si>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</si>
  <si>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</si>
  <si>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</si>
  <si>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</si>
  <si>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</si>
  <si>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</si>
  <si>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</si>
  <si>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</si>
  <si>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</si>
  <si>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</si>
  <si>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</si>
  <si>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</si>
  <si>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</si>
  <si>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</si>
  <si>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</si>
  <si>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</si>
  <si>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</si>
  <si>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</si>
  <si>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</si>
  <si>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</si>
  <si>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</si>
  <si>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</si>
  <si>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</si>
  <si>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</si>
  <si>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</si>
  <si>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</si>
  <si>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</si>
  <si>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</si>
  <si>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</si>
  <si>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</si>
  <si>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</si>
  <si>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</si>
  <si>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</si>
  <si>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</si>
  <si>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</si>
  <si>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</si>
  <si>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</si>
  <si>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</si>
  <si>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</si>
  <si>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</si>
  <si>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</si>
  <si>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</si>
  <si>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</si>
  <si>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</si>
  <si>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</si>
  <si>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</si>
  <si>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</si>
  <si>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</si>
  <si>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</si>
  <si>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</si>
  <si>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</si>
  <si>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</si>
  <si>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</si>
  <si>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</si>
  <si>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</si>
  <si>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</si>
  <si>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</si>
  <si>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</si>
  <si>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</si>
  <si>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</si>
  <si>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</si>
  <si>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</si>
  <si>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</si>
  <si>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</si>
  <si>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</si>
  <si>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</si>
  <si>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</si>
  <si>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</si>
  <si>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</si>
  <si>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</si>
  <si>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</si>
  <si>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</si>
  <si>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</si>
  <si>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</si>
  <si>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</si>
  <si>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</si>
  <si>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</si>
  <si>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</si>
  <si>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</si>
  <si>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</si>
  <si>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</si>
  <si>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</si>
  <si>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</si>
  <si>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</si>
  <si>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</si>
  <si>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</si>
  <si>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</si>
  <si>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</si>
  <si>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</si>
  <si>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</si>
  <si>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</si>
  <si>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</si>
  <si>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</si>
  <si>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</si>
  <si>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</si>
  <si>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</si>
  <si>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</si>
  <si>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</si>
  <si>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</si>
  <si>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</si>
  <si>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</si>
  <si>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</si>
  <si>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</si>
  <si>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</si>
  <si>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</si>
  <si>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</si>
  <si>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</si>
  <si>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</si>
  <si>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</si>
  <si>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</si>
  <si>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</si>
  <si>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</si>
  <si>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</si>
  <si>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</si>
  <si>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</si>
  <si>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</si>
  <si>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</si>
  <si>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</si>
  <si>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</si>
  <si>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</si>
  <si>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</si>
  <si>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</si>
  <si>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</si>
  <si>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</si>
  <si>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</si>
  <si>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</si>
  <si>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</si>
  <si>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</si>
  <si>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</si>
  <si>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</si>
  <si>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</si>
  <si>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</si>
  <si>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</si>
  <si>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</si>
  <si>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</si>
  <si>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</si>
  <si>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</si>
  <si>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</si>
  <si>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</si>
  <si>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</si>
  <si>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</si>
  <si>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</si>
  <si>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</si>
  <si>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</si>
  <si>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</si>
  <si>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</si>
  <si>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</si>
  <si>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</si>
  <si>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</si>
  <si>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</si>
  <si>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</si>
  <si>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</si>
  <si>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</si>
  <si>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</si>
  <si>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</si>
  <si>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</si>
  <si>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</si>
  <si>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</si>
  <si>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</si>
  <si>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</si>
  <si>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</si>
  <si>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</si>
  <si>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</si>
  <si>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</si>
  <si>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</si>
  <si>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</si>
  <si>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</si>
  <si>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</si>
  <si>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</si>
  <si>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</si>
  <si>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</si>
  <si>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</si>
  <si>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</si>
  <si>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</si>
  <si>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</si>
  <si>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</si>
  <si>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</si>
  <si>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</si>
  <si>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</si>
  <si>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</si>
  <si>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</si>
  <si>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</si>
  <si>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</si>
  <si>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</si>
  <si>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</si>
  <si>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</si>
  <si>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</si>
  <si>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</si>
  <si>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</si>
  <si>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</si>
  <si>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</si>
  <si>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</si>
  <si>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</si>
  <si>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</si>
  <si>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</si>
  <si>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</si>
  <si>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</si>
  <si>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</si>
  <si>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</si>
  <si>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</si>
  <si>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</si>
  <si>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</si>
  <si>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</si>
  <si>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</si>
  <si>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</si>
  <si>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</si>
  <si>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</si>
  <si>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</si>
  <si>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</si>
  <si>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</si>
  <si>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</si>
  <si>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</si>
  <si>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</si>
  <si>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</si>
  <si>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</si>
  <si>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</si>
  <si>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</si>
  <si>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</si>
  <si>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</si>
  <si>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</si>
  <si>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</si>
  <si>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</si>
  <si>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</si>
  <si>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</si>
  <si>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</si>
  <si>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</si>
  <si>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</si>
  <si>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</si>
  <si>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</si>
  <si>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</si>
  <si>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</si>
  <si>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</si>
  <si>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</si>
  <si>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</si>
  <si>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</si>
  <si>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</si>
  <si>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</si>
  <si>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</si>
  <si>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</si>
  <si>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</si>
  <si>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</si>
  <si>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</si>
  <si>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</si>
  <si>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</si>
  <si>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</si>
  <si>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</si>
  <si>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</si>
  <si>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</si>
  <si>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</si>
  <si>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</si>
  <si>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</si>
  <si>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</si>
  <si>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</si>
  <si>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</si>
  <si>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</si>
  <si>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</si>
  <si>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</si>
  <si>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</si>
  <si>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</si>
  <si>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</si>
  <si>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</si>
  <si>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</si>
  <si>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</si>
  <si>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</si>
  <si>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</si>
  <si>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</si>
  <si>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</si>
  <si>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</si>
  <si>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</si>
  <si>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</si>
  <si>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</si>
  <si>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</si>
  <si>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</si>
  <si>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</si>
  <si>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</si>
  <si>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</si>
  <si>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</si>
  <si>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</si>
  <si>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</si>
  <si>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</si>
  <si>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</si>
  <si>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</si>
  <si>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</si>
  <si>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</si>
  <si>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</si>
  <si>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</si>
  <si>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</si>
  <si>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</si>
  <si>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</si>
  <si>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</si>
  <si>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</si>
  <si>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</si>
  <si>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</si>
  <si>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</si>
  <si>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</si>
  <si>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</si>
  <si>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</si>
  <si>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</si>
  <si>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</si>
  <si>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</si>
  <si>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</si>
  <si>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</si>
  <si>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</si>
  <si>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</si>
  <si>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</si>
  <si>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</si>
  <si>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</si>
  <si>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</si>
  <si>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</si>
  <si>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</si>
  <si>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</si>
  <si>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</si>
  <si>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</si>
  <si>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</si>
  <si>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</si>
  <si>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</si>
  <si>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</si>
  <si>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</si>
  <si>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</si>
  <si>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</si>
  <si>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</si>
  <si>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</si>
  <si>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</si>
  <si>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</si>
  <si>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</si>
  <si>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</si>
  <si>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</si>
  <si>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</si>
  <si>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</si>
  <si>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</si>
  <si>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</si>
  <si>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</si>
  <si>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</si>
  <si>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</si>
  <si>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</si>
  <si>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</si>
  <si>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</si>
  <si>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</si>
  <si>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</si>
  <si>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</si>
  <si>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</si>
  <si>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</si>
  <si>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</si>
  <si>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</si>
  <si>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</si>
  <si>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</si>
  <si>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</si>
  <si>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</si>
  <si>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</si>
  <si>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</si>
  <si>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</si>
  <si>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</si>
  <si>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</si>
  <si>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</si>
  <si>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</si>
  <si>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</si>
  <si>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</si>
  <si>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</si>
  <si>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</si>
  <si>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</si>
  <si>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</si>
  <si>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</si>
  <si>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</si>
  <si>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</si>
  <si>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</si>
  <si>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</si>
  <si>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</si>
  <si>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</si>
  <si>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</si>
  <si>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</si>
  <si>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</si>
  <si>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</si>
  <si>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</si>
  <si>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</si>
  <si>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</si>
  <si>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</si>
  <si>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</si>
  <si>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</si>
  <si>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</si>
  <si>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</si>
  <si>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</si>
  <si>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</si>
  <si>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</si>
  <si>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</si>
  <si>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</si>
  <si>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</si>
  <si>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</si>
  <si>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</si>
  <si>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</si>
  <si>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</si>
  <si>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</si>
  <si>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</si>
  <si>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</si>
  <si>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</si>
  <si>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</si>
  <si>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</si>
  <si>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</si>
  <si>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</si>
  <si>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</si>
  <si>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</si>
  <si>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</si>
  <si>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</si>
  <si>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</si>
  <si>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</si>
  <si>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</si>
  <si>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</si>
  <si>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</si>
  <si>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</si>
  <si>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</si>
  <si>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</si>
  <si>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</si>
  <si>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</si>
  <si>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</si>
  <si>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</si>
  <si>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</si>
  <si>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</si>
  <si>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</si>
  <si>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</si>
  <si>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</si>
  <si>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</si>
  <si>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</si>
  <si>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</si>
  <si>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</si>
  <si>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</si>
  <si>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</si>
  <si>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</si>
  <si>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</si>
  <si>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</si>
  <si>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</si>
  <si>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</si>
  <si>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</si>
  <si>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</si>
  <si>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</si>
  <si>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</si>
  <si>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</si>
  <si>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</si>
  <si>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</si>
  <si>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</si>
  <si>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</si>
  <si>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</si>
  <si>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</si>
  <si>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</si>
  <si>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</si>
  <si>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</si>
  <si>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</si>
  <si>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</si>
  <si>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</si>
  <si>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</si>
  <si>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</si>
  <si>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</si>
  <si>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</si>
  <si>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</si>
  <si>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</si>
  <si>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</si>
  <si>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</si>
  <si>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</si>
  <si>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</si>
  <si>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</si>
  <si>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</si>
  <si>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</si>
  <si>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</si>
  <si>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</si>
  <si>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</si>
  <si>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</si>
  <si>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</si>
  <si>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</si>
  <si>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</si>
  <si>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</si>
  <si>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</si>
  <si>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</si>
  <si>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</si>
  <si>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</si>
  <si>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</si>
  <si>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</si>
  <si>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</si>
  <si>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</si>
  <si>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</si>
  <si>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</si>
  <si>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</si>
  <si>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</si>
  <si>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</si>
  <si>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</si>
  <si>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</si>
  <si>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</si>
  <si>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</si>
  <si>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</si>
  <si>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</si>
  <si>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</si>
  <si>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</si>
  <si>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</si>
  <si>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</si>
  <si>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</si>
  <si>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</si>
  <si>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</si>
  <si>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</si>
  <si>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</si>
  <si>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</si>
  <si>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</si>
  <si>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</si>
  <si>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</si>
  <si>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</si>
  <si>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</si>
  <si>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</si>
  <si>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</si>
  <si>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</si>
  <si>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</si>
  <si>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</si>
  <si>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</si>
  <si>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</si>
  <si>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</si>
  <si>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</si>
  <si>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</si>
  <si>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</si>
  <si>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</si>
  <si>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</si>
  <si>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</si>
  <si>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</si>
  <si>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</si>
  <si>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</si>
  <si>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</si>
  <si>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</si>
  <si>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</si>
  <si>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</si>
  <si>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</si>
  <si>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</si>
  <si>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</si>
  <si>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</si>
  <si>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</si>
  <si>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</si>
  <si>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</si>
  <si>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</si>
  <si>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</si>
  <si>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</si>
  <si>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</si>
  <si>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</si>
  <si>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</si>
  <si>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</si>
  <si>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</si>
  <si>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</si>
  <si>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</si>
  <si>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</si>
  <si>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</si>
  <si>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</si>
  <si>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</si>
  <si>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</si>
  <si>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</si>
  <si>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</si>
  <si>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</si>
  <si>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</si>
  <si>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</si>
  <si>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</si>
  <si>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</si>
  <si>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</si>
  <si>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</si>
  <si>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</si>
  <si>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</si>
  <si>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</si>
  <si>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</si>
  <si>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</si>
  <si>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</si>
  <si>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</si>
  <si>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</si>
  <si>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</si>
  <si>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</si>
  <si>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</si>
  <si>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</si>
  <si>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</si>
  <si>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</si>
  <si>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</si>
  <si>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</si>
  <si>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</si>
  <si>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</si>
  <si>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</si>
  <si>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</si>
  <si>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</si>
  <si>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</si>
  <si>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</si>
  <si>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</si>
  <si>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</si>
  <si>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</si>
  <si>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</si>
  <si>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</si>
  <si>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</si>
  <si>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</si>
  <si>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</si>
  <si>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</si>
  <si>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</si>
  <si>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</si>
  <si>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</si>
  <si>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</si>
  <si>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</si>
  <si>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</si>
  <si>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</si>
  <si>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</si>
  <si>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</si>
  <si>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</si>
  <si>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</si>
  <si>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</si>
  <si>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</si>
  <si>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</si>
  <si>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</si>
  <si>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</si>
  <si>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</si>
  <si>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</si>
  <si>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</si>
  <si>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</si>
  <si>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</si>
  <si>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</si>
  <si>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</si>
  <si>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</si>
  <si>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</si>
  <si>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</si>
  <si>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</si>
  <si>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</si>
  <si>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</si>
  <si>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</si>
  <si>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</si>
  <si>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</si>
  <si>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</si>
  <si>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</si>
  <si>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</si>
  <si>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</si>
  <si>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</si>
  <si>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</si>
  <si>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</si>
  <si>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</si>
  <si>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</si>
  <si>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</si>
  <si>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</si>
  <si>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</si>
  <si>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</si>
  <si>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</si>
  <si>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</si>
  <si>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</si>
  <si>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</si>
  <si>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</si>
  <si>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</si>
  <si>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</si>
  <si>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</si>
  <si>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</si>
  <si>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</si>
  <si>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</si>
  <si>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</si>
  <si>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</si>
  <si>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</si>
  <si>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</si>
  <si>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</si>
  <si>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</si>
  <si>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</si>
  <si>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</si>
  <si>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</si>
  <si>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</si>
  <si>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</si>
  <si>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</si>
  <si>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</si>
  <si>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</si>
  <si>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</si>
  <si>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</si>
  <si>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</si>
  <si>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</si>
  <si>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</si>
  <si>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</si>
  <si>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</si>
  <si>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</si>
  <si>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</si>
  <si>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</si>
  <si>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</si>
  <si>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</si>
  <si>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</si>
  <si>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</si>
  <si>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</si>
  <si>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</si>
  <si>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</si>
  <si>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</si>
  <si>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</si>
  <si>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</si>
  <si>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</si>
  <si>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</si>
  <si>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</si>
  <si>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</si>
  <si>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</si>
  <si>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</si>
  <si>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</si>
  <si>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</si>
  <si>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</si>
  <si>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</si>
  <si>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</si>
  <si>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</si>
  <si>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</si>
  <si>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</si>
  <si>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</si>
  <si>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</si>
  <si>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</si>
  <si>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</si>
  <si>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</si>
  <si>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</si>
  <si>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</si>
  <si>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</si>
  <si>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</si>
  <si>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</si>
  <si>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</si>
  <si>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</si>
  <si>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</si>
  <si>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</si>
  <si>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</si>
  <si>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</si>
  <si>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</si>
  <si>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</si>
  <si>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</si>
  <si>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</si>
  <si>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</si>
  <si>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</si>
  <si>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</si>
  <si>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</si>
  <si>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</si>
  <si>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</si>
  <si>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</si>
  <si>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</si>
  <si>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</si>
  <si>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</si>
  <si>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</si>
  <si>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</si>
  <si>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</si>
  <si>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</si>
  <si>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</si>
  <si>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</si>
  <si>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</si>
  <si>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</si>
  <si>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</si>
  <si>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</si>
  <si>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</si>
  <si>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</si>
  <si>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</si>
  <si>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</si>
  <si>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</si>
  <si>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</si>
  <si>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</si>
  <si>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</si>
  <si>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</si>
  <si>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</si>
  <si>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</si>
  <si>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</si>
  <si>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</si>
  <si>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</si>
  <si>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</si>
  <si>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</si>
  <si>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</si>
  <si>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</si>
  <si>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</si>
  <si>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</si>
  <si>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</si>
  <si>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</si>
  <si>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</si>
  <si>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</si>
  <si>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</si>
  <si>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</si>
  <si>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</si>
  <si>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</si>
  <si>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</si>
  <si>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</si>
  <si>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</si>
  <si>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</si>
  <si>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</si>
  <si>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</si>
  <si>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</si>
  <si>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</si>
  <si>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</si>
  <si>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</si>
  <si>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</si>
  <si>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</si>
  <si>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</si>
  <si>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</si>
  <si>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</si>
  <si>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</si>
  <si>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</si>
  <si>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</si>
  <si>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</si>
  <si>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</si>
  <si>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</si>
  <si>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</si>
  <si>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</si>
  <si>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</si>
  <si>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</si>
  <si>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</si>
  <si>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</si>
  <si>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</si>
  <si>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</si>
  <si>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</si>
  <si>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</si>
  <si>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</si>
  <si>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</si>
  <si>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</si>
  <si>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</si>
  <si>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</si>
  <si>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</si>
  <si>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</si>
  <si>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</si>
  <si>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</si>
  <si>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</si>
  <si>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</si>
  <si>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</si>
  <si>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</si>
  <si>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</si>
  <si>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</si>
  <si>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</si>
  <si>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</si>
  <si>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</si>
  <si>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</si>
  <si>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</si>
  <si>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</si>
  <si>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</si>
  <si>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</si>
  <si>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</si>
  <si>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</si>
  <si>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</si>
  <si>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</si>
  <si>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</si>
  <si>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</si>
  <si>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</si>
  <si>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</si>
  <si>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</si>
  <si>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</si>
  <si>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</si>
  <si>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</si>
  <si>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</si>
  <si>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</si>
  <si>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</si>
  <si>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</si>
  <si>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</si>
  <si>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</si>
  <si>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</si>
  <si>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</si>
  <si>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</si>
  <si>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</si>
  <si>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</si>
  <si>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</si>
  <si>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</si>
  <si>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</si>
  <si>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</si>
  <si>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</si>
  <si>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</si>
  <si>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</si>
  <si>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</si>
  <si>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</si>
  <si>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</si>
  <si>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</si>
  <si>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</si>
  <si>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</si>
  <si>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</si>
  <si>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</si>
  <si>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</si>
  <si>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</si>
  <si>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</si>
  <si>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</si>
  <si>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</si>
  <si>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</si>
  <si>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</si>
  <si>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</si>
  <si>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</si>
  <si>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</si>
  <si>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</si>
  <si>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</si>
  <si>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</si>
  <si>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</si>
  <si>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</si>
  <si>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</si>
  <si>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</si>
  <si>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</si>
  <si>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</si>
  <si>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</si>
  <si>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</si>
  <si>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</si>
  <si>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</si>
  <si>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</si>
  <si>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</si>
  <si>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</si>
  <si>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</si>
  <si>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</si>
  <si>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</si>
  <si>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</si>
  <si>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</si>
  <si>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</si>
  <si>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</si>
  <si>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</si>
  <si>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</si>
  <si>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</si>
  <si>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</si>
  <si>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</si>
  <si>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</si>
  <si>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</si>
  <si>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</si>
  <si>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</si>
  <si>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</si>
  <si>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</si>
  <si>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</si>
  <si>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</si>
  <si>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</si>
  <si>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</si>
  <si>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</si>
  <si>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</si>
  <si>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</si>
  <si>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</si>
  <si>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</si>
  <si>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</si>
  <si>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</si>
  <si>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</si>
  <si>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</si>
  <si>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</si>
  <si>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</si>
  <si>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</si>
  <si>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</si>
  <si>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</si>
  <si>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</si>
  <si>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</si>
  <si>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</si>
  <si>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</si>
  <si>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</si>
  <si>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</si>
  <si>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</si>
  <si>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</si>
  <si>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</si>
  <si>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</si>
  <si>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</si>
  <si>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</si>
  <si>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</si>
  <si>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</si>
  <si>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</si>
  <si>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</si>
  <si>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</si>
  <si>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</si>
  <si>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</si>
  <si>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</si>
  <si>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</si>
  <si>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</si>
  <si>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</si>
  <si>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</si>
  <si>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</si>
  <si>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</si>
  <si>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</si>
  <si>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</si>
  <si>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</si>
  <si>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</si>
  <si>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</si>
  <si>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</si>
  <si>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</si>
  <si>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</si>
  <si>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</si>
  <si>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</si>
  <si>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</si>
  <si>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</si>
  <si>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</si>
  <si>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</si>
  <si>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</si>
  <si>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</si>
  <si>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</si>
  <si>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</si>
  <si>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</si>
  <si>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</si>
  <si>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</si>
  <si>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</si>
  <si>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</si>
  <si>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</si>
  <si>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</si>
  <si>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</si>
  <si>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</si>
  <si>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</si>
  <si>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</si>
  <si>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</si>
  <si>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</si>
  <si>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</si>
  <si>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</si>
  <si>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</si>
  <si>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</si>
  <si>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</si>
  <si>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</si>
  <si>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</si>
  <si>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</si>
  <si>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</si>
  <si>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</si>
  <si>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</si>
  <si>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</si>
  <si>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</si>
  <si>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</si>
  <si>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</si>
  <si>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</si>
  <si>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</si>
  <si>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</si>
  <si>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</si>
  <si>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</si>
  <si>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</si>
  <si>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</si>
  <si>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</si>
  <si>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</si>
  <si>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</si>
  <si>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</si>
  <si>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</si>
  <si>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</si>
  <si>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</si>
  <si>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</si>
  <si>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</si>
  <si>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</si>
  <si>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</si>
  <si>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</si>
  <si>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</si>
  <si>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</si>
  <si>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</si>
  <si>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</si>
  <si>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</si>
  <si>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</si>
  <si>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</si>
  <si>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</si>
  <si>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</si>
  <si>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</si>
  <si>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</si>
  <si>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</si>
  <si>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</si>
  <si>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</si>
  <si>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</si>
  <si>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</si>
  <si>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</si>
  <si>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</si>
  <si>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</si>
  <si>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</si>
  <si>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</si>
  <si>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</si>
  <si>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</si>
  <si>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</si>
  <si>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</si>
  <si>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</si>
  <si>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</si>
  <si>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</si>
  <si>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</si>
  <si>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</si>
  <si>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</si>
  <si>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</si>
  <si>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</si>
  <si>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</si>
  <si>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</si>
  <si>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</si>
  <si>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</si>
  <si>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</si>
  <si>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</si>
  <si>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</si>
  <si>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</si>
  <si>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</si>
  <si>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</si>
  <si>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</si>
  <si>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</si>
  <si>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</si>
  <si>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</si>
  <si>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</si>
  <si>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</si>
  <si>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</si>
  <si>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</si>
  <si>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</si>
  <si>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</si>
  <si>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</si>
  <si>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</si>
  <si>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</si>
  <si>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</si>
  <si>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</si>
  <si>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</si>
  <si>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</si>
  <si>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</si>
  <si>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</si>
  <si>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</si>
  <si>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</si>
  <si>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</si>
  <si>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</si>
  <si>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</si>
  <si>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</si>
  <si>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</si>
  <si>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</si>
  <si>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</si>
  <si>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</si>
  <si>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</si>
  <si>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</si>
  <si>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</si>
  <si>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</si>
  <si>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</si>
  <si>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</si>
  <si>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</si>
  <si>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</si>
  <si>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</si>
  <si>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</si>
  <si>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</si>
  <si>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</si>
  <si>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</si>
  <si>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</si>
  <si>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</si>
  <si>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</si>
  <si>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</si>
  <si>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</si>
  <si>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</si>
  <si>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</si>
  <si>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</si>
  <si>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</si>
  <si>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</si>
  <si>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</si>
  <si>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</si>
  <si>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</si>
  <si>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</si>
  <si>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</si>
  <si>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</si>
  <si>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</si>
  <si>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</si>
  <si>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</si>
  <si>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</si>
  <si>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</si>
  <si>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</si>
  <si>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</si>
  <si>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</si>
  <si>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</si>
  <si>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</si>
  <si>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</si>
  <si>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</si>
  <si>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</si>
  <si>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</si>
  <si>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</si>
  <si>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</si>
  <si>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</si>
  <si>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</si>
  <si>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</si>
  <si>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</si>
  <si>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</si>
  <si>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</si>
  <si>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</si>
  <si>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</si>
  <si>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</si>
  <si>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</si>
  <si>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</si>
  <si>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</si>
  <si>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</si>
  <si>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</si>
  <si>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</si>
  <si>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</si>
  <si>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</si>
  <si>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</si>
  <si>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</si>
  <si>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</si>
  <si>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</si>
  <si>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</si>
  <si>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</si>
  <si>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</si>
  <si>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</si>
  <si>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</si>
  <si>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</si>
  <si>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</si>
  <si>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</si>
  <si>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</si>
  <si>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</si>
  <si>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</si>
  <si>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</si>
  <si>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</si>
  <si>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</si>
  <si>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</si>
  <si>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</si>
  <si>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</si>
  <si>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</si>
  <si>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</si>
  <si>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</si>
  <si>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</si>
  <si>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</si>
  <si>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</si>
  <si>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</si>
  <si>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</si>
  <si>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</si>
  <si>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</si>
  <si>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</si>
  <si>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</si>
  <si>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</si>
  <si>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</si>
  <si>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</si>
  <si>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</si>
  <si>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</si>
  <si>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</si>
  <si>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</si>
  <si>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</si>
  <si>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</si>
  <si>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</si>
  <si>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</si>
  <si>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</si>
  <si>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</si>
  <si>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</si>
  <si>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</si>
  <si>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</si>
  <si>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</si>
  <si>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</si>
  <si>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</si>
  <si>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</si>
  <si>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</si>
  <si>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</si>
  <si>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</si>
  <si>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</si>
  <si>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</si>
  <si>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</si>
  <si>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</si>
  <si>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</si>
  <si>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</si>
  <si>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</si>
  <si>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</si>
  <si>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</si>
  <si>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</si>
  <si>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</si>
  <si>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</si>
  <si>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</si>
  <si>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</si>
  <si>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</si>
  <si>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</si>
  <si>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</si>
  <si>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</si>
  <si>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</si>
  <si>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</si>
  <si>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</si>
  <si>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</si>
  <si>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</si>
  <si>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</si>
  <si>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</si>
  <si>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</si>
  <si>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</si>
  <si>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</si>
  <si>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</si>
  <si>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</si>
  <si>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</si>
  <si>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</si>
  <si>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</si>
  <si>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</si>
  <si>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</si>
  <si>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</si>
  <si>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</si>
  <si>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</si>
  <si>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</si>
  <si>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</si>
  <si>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</si>
  <si>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</si>
  <si>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</si>
  <si>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</si>
  <si>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</si>
  <si>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</si>
  <si>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</si>
  <si>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</si>
  <si>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</si>
  <si>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</si>
  <si>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</si>
  <si>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</si>
  <si>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</si>
  <si>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</si>
  <si>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</si>
  <si>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</si>
  <si>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</si>
  <si>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</si>
  <si>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</si>
  <si>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</si>
  <si>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</si>
  <si>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</si>
  <si>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</si>
  <si>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</si>
  <si>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</si>
  <si>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</si>
  <si>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</si>
  <si>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</si>
  <si>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</si>
  <si>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</si>
  <si>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</si>
  <si>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</si>
  <si>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</si>
  <si>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</si>
  <si>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</si>
  <si>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</si>
  <si>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</si>
  <si>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</si>
  <si>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</si>
  <si>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</si>
  <si>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</si>
  <si>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</si>
  <si>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</si>
  <si>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</si>
  <si>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</si>
  <si>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</si>
  <si>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</si>
  <si>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</si>
  <si>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</si>
  <si>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</si>
  <si>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</si>
  <si>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</si>
  <si>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</si>
  <si>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</si>
  <si>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</si>
  <si>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</si>
  <si>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</si>
  <si>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</si>
  <si>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</si>
  <si>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</si>
  <si>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</si>
  <si>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</si>
  <si>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</si>
  <si>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</si>
  <si>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</si>
  <si>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</si>
  <si>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</si>
  <si>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</si>
  <si>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</si>
  <si>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</si>
  <si>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</si>
  <si>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</si>
  <si>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</si>
  <si>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</si>
  <si>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</si>
  <si>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</si>
  <si>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</si>
  <si>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</si>
  <si>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</si>
  <si>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</si>
  <si>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</si>
  <si>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</si>
  <si>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</si>
  <si>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</si>
  <si>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</si>
  <si>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</si>
  <si>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</si>
  <si>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</si>
  <si>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</si>
  <si>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</si>
  <si>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</si>
  <si>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</si>
  <si>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</si>
  <si>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</si>
  <si>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</si>
  <si>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</si>
  <si>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</si>
  <si>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</si>
  <si>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</si>
  <si>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</si>
  <si>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</si>
  <si>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</si>
  <si>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</si>
  <si>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</si>
  <si>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</si>
  <si>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</si>
  <si>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</si>
  <si>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</si>
  <si>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</si>
  <si>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</si>
  <si>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</si>
  <si>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</si>
  <si>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</si>
  <si>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</si>
  <si>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</si>
  <si>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</si>
  <si>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</si>
  <si>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</si>
  <si>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</si>
  <si>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</si>
  <si>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</si>
  <si>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</si>
  <si>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</si>
  <si>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</si>
  <si>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</si>
  <si>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</si>
  <si>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</si>
  <si>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</si>
  <si>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</si>
  <si>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</si>
  <si>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</si>
  <si>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</si>
  <si>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</si>
  <si>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</si>
  <si>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</si>
  <si>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</si>
  <si>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</si>
  <si>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</si>
  <si>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</si>
  <si>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</si>
  <si>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</si>
  <si>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</si>
  <si>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</si>
  <si>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</si>
  <si>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</si>
  <si>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</si>
  <si>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</si>
  <si>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</si>
  <si>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</si>
  <si>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</si>
  <si>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</si>
  <si>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</si>
  <si>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</si>
  <si>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</si>
  <si>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</si>
  <si>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</si>
  <si>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</si>
  <si>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</si>
  <si>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</si>
  <si>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</si>
  <si>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</si>
  <si>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</si>
  <si>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</si>
  <si>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</si>
  <si>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</si>
  <si>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</si>
  <si>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</si>
  <si>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</si>
  <si>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</si>
  <si>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</si>
  <si>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</si>
  <si>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</si>
  <si>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</si>
  <si>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</si>
  <si>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</si>
  <si>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</si>
  <si>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</si>
  <si>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</si>
  <si>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</si>
  <si>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</si>
  <si>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</si>
  <si>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</si>
  <si>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</si>
  <si>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</si>
  <si>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</si>
  <si>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</si>
  <si>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</si>
  <si>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</si>
  <si>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</si>
  <si>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</si>
  <si>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</si>
  <si>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</si>
  <si>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</si>
  <si>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</si>
  <si>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</si>
  <si>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</si>
  <si>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</si>
  <si>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</si>
  <si>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</si>
  <si>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</si>
  <si>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</si>
  <si>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</si>
  <si>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</si>
  <si>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</si>
  <si>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</si>
  <si>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</si>
  <si>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</si>
  <si>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</si>
  <si>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</si>
  <si>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</si>
  <si>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</si>
  <si>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</si>
  <si>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</si>
  <si>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</si>
  <si>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</si>
  <si>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</si>
  <si>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</si>
  <si>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</si>
  <si>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</si>
  <si>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</si>
  <si>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</si>
  <si>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</si>
  <si>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</si>
  <si>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</si>
  <si>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</si>
  <si>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</si>
  <si>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</si>
  <si>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</si>
  <si>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</si>
  <si>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</si>
  <si>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</si>
  <si>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</si>
  <si>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</si>
  <si>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</si>
  <si>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</si>
  <si>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</si>
  <si>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</si>
  <si>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</si>
  <si>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</si>
  <si>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</si>
  <si>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</si>
  <si>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</si>
  <si>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</si>
  <si>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</si>
  <si>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</si>
  <si>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</si>
  <si>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</si>
  <si>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</si>
  <si>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</si>
  <si>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</si>
  <si>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</si>
  <si>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</si>
  <si>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</si>
  <si>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</si>
  <si>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</si>
  <si>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</si>
  <si>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</si>
  <si>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</si>
  <si>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</si>
  <si>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</si>
  <si>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</si>
  <si>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</si>
  <si>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</si>
  <si>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</si>
  <si>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</si>
  <si>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</si>
  <si>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</si>
  <si>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</si>
  <si>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</si>
  <si>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</si>
  <si>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</si>
  <si>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</si>
  <si>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</si>
  <si>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</si>
  <si>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</si>
  <si>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</si>
  <si>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</si>
  <si>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</si>
  <si>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</si>
  <si>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</si>
  <si>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</si>
  <si>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</si>
  <si>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</si>
  <si>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</si>
  <si>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</si>
  <si>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</si>
  <si>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</si>
  <si>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</si>
  <si>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</si>
  <si>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</si>
  <si>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</si>
  <si>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</si>
  <si>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</si>
  <si>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</si>
  <si>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</si>
  <si>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</si>
  <si>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</si>
  <si>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</si>
  <si>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</si>
  <si>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</si>
  <si>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</si>
  <si>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</si>
  <si>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</si>
  <si>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</si>
  <si>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</si>
  <si>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</si>
  <si>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</si>
  <si>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</si>
  <si>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</si>
  <si>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</si>
  <si>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</si>
  <si>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</si>
  <si>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</si>
  <si>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</si>
  <si>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</si>
  <si>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</si>
  <si>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</si>
  <si>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</si>
  <si>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</si>
  <si>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</si>
  <si>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</si>
  <si>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</si>
  <si>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</si>
  <si>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</si>
  <si>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</si>
  <si>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</si>
  <si>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</si>
  <si>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</si>
  <si>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</si>
  <si>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</si>
  <si>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</si>
  <si>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</si>
  <si>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</si>
  <si>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</si>
  <si>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</si>
  <si>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</si>
  <si>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</si>
  <si>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</si>
  <si>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</si>
  <si>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</si>
  <si>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</si>
  <si>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</si>
  <si>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</si>
  <si>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</si>
  <si>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</si>
  <si>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</si>
  <si>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</si>
  <si>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</si>
  <si>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</si>
  <si>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</si>
  <si>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</si>
  <si>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</si>
  <si>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</si>
  <si>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</si>
  <si>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</si>
  <si>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</si>
  <si>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</si>
  <si>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</si>
  <si>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</si>
  <si>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</si>
  <si>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</si>
  <si>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</si>
  <si>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</si>
  <si>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</si>
  <si>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</si>
  <si>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</si>
  <si>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</si>
  <si>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</si>
  <si>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</si>
  <si>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</si>
  <si>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</si>
  <si>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</si>
  <si>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</si>
  <si>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</si>
  <si>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</si>
  <si>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</si>
  <si>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</si>
  <si>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</si>
  <si>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</si>
  <si>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</si>
  <si>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</si>
  <si>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</si>
  <si>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</si>
  <si>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</si>
  <si>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</si>
  <si>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</si>
  <si>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</si>
  <si>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</si>
  <si>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</si>
  <si>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</si>
  <si>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</si>
  <si>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</si>
  <si>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</si>
  <si>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</si>
  <si>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</si>
  <si>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</si>
  <si>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</si>
  <si>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</si>
  <si>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</si>
  <si>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</si>
  <si>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</si>
  <si>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</si>
  <si>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</si>
  <si>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</si>
  <si>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</si>
  <si>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</si>
  <si>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</si>
  <si>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</si>
  <si>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</si>
  <si>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</si>
  <si>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</si>
  <si>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</si>
  <si>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</si>
  <si>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</si>
  <si>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</si>
  <si>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</si>
  <si>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</si>
  <si>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</si>
  <si>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</si>
  <si>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</si>
  <si>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</si>
  <si>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</si>
  <si>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</si>
  <si>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</si>
  <si>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</si>
  <si>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</si>
  <si>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</si>
  <si>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</si>
  <si>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</si>
  <si>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</si>
  <si>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</si>
  <si>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</si>
  <si>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</si>
  <si>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</si>
  <si>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</si>
  <si>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</si>
  <si>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</si>
  <si>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</si>
  <si>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</si>
  <si>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</si>
  <si>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</si>
  <si>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</si>
  <si>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</si>
  <si>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</si>
  <si>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</si>
  <si>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</si>
  <si>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</si>
  <si>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</si>
  <si>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</si>
  <si>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</si>
  <si>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</si>
  <si>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</si>
  <si>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</si>
  <si>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</si>
  <si>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</si>
  <si>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</si>
  <si>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</si>
  <si>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</si>
  <si>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</si>
  <si>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</si>
  <si>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</si>
  <si>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</si>
  <si>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</si>
  <si>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</si>
  <si>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</si>
  <si>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</si>
  <si>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</si>
  <si>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</si>
  <si>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</si>
  <si>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</si>
  <si>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</si>
  <si>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</si>
  <si>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</si>
  <si>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</si>
  <si>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</si>
  <si>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</si>
  <si>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</si>
  <si>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</si>
  <si>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</si>
  <si>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</si>
  <si>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</si>
  <si>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</si>
  <si>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</si>
  <si>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</si>
  <si>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</si>
  <si>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</si>
  <si>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</si>
  <si>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</si>
  <si>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</si>
  <si>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</si>
  <si>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</si>
  <si>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</si>
  <si>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</si>
  <si>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</si>
  <si>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</si>
  <si>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</si>
  <si>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</si>
  <si>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</si>
  <si>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</si>
  <si>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</si>
  <si>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</si>
  <si>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</si>
  <si>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</si>
  <si>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</si>
  <si>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</si>
  <si>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</si>
  <si>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</si>
  <si>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</si>
  <si>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</si>
  <si>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</si>
  <si>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</si>
  <si>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</si>
  <si>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</si>
  <si>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</si>
  <si>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</si>
  <si>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</si>
  <si>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</si>
  <si>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</si>
  <si>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</si>
  <si>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</si>
  <si>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</si>
  <si>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</si>
  <si>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</si>
  <si>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</si>
  <si>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</si>
  <si>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</si>
  <si>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</si>
  <si>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</si>
  <si>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</si>
  <si>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</si>
  <si>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</si>
  <si>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</si>
  <si>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</si>
  <si>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</si>
  <si>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</si>
  <si>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</si>
  <si>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</si>
  <si>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</si>
  <si>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</si>
  <si>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</si>
  <si>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</si>
  <si>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</si>
  <si>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</si>
  <si>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</si>
  <si>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</si>
  <si>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</si>
  <si>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</si>
  <si>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</si>
  <si>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</si>
  <si>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</si>
  <si>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</si>
  <si>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</si>
  <si>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</si>
  <si>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</si>
  <si>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</si>
  <si>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</si>
  <si>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</si>
  <si>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</si>
  <si>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</si>
  <si>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</si>
  <si>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</si>
  <si>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</si>
  <si>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</si>
  <si>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</si>
  <si>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</si>
  <si>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</si>
  <si>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</si>
  <si>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</si>
  <si>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</si>
  <si>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</si>
  <si>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</si>
  <si>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</si>
  <si>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</si>
  <si>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</si>
  <si>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</si>
  <si>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</si>
  <si>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</si>
  <si>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</si>
  <si>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</si>
  <si>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</si>
  <si>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</si>
  <si>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</si>
  <si>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</si>
  <si>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</si>
  <si>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</si>
  <si>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</si>
  <si>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</si>
  <si>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</si>
  <si>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</si>
  <si>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</si>
  <si>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</si>
  <si>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</si>
  <si>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</si>
  <si>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</si>
  <si>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</si>
  <si>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</si>
  <si>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</si>
  <si>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</si>
  <si>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</si>
  <si>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</si>
  <si>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</si>
  <si>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</si>
  <si>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</si>
  <si>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</si>
  <si>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</si>
  <si>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</si>
  <si>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</si>
  <si>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</si>
  <si>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</si>
  <si>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</si>
  <si>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</si>
  <si>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</si>
  <si>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</si>
  <si>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</si>
  <si>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</si>
  <si>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</si>
  <si>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</si>
  <si>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</si>
  <si>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</si>
  <si>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</si>
  <si>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</si>
  <si>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</si>
  <si>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</si>
  <si>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</si>
  <si>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</si>
  <si>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</si>
  <si>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</si>
  <si>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</si>
  <si>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</si>
  <si>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</si>
  <si>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</si>
  <si>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</si>
  <si>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</si>
  <si>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</si>
  <si>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</si>
  <si>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</si>
  <si>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</si>
  <si>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</si>
  <si>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</si>
  <si>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</si>
  <si>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</si>
  <si>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</si>
  <si>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</si>
  <si>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</si>
  <si>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</si>
  <si>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</si>
  <si>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</si>
  <si>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</si>
  <si>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</si>
  <si>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</si>
  <si>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</si>
  <si>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</si>
  <si>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</si>
  <si>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</si>
  <si>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</si>
  <si>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</si>
  <si>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</si>
  <si>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</si>
  <si>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</si>
  <si>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</si>
  <si>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</si>
  <si>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</si>
  <si>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</si>
  <si>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</si>
  <si>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</si>
  <si>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</si>
  <si>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</si>
  <si>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</si>
  <si>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</si>
  <si>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</si>
  <si>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</si>
  <si>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</si>
  <si>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</si>
  <si>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</si>
  <si>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</si>
  <si>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</si>
  <si>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</si>
  <si>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</si>
  <si>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</si>
  <si>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</si>
  <si>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</si>
  <si>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</si>
  <si>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</si>
  <si>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</si>
  <si>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</si>
  <si>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</si>
  <si>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</si>
  <si>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</si>
  <si>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</si>
  <si>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</si>
  <si>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</si>
  <si>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</si>
  <si>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</si>
  <si>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</si>
  <si>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</si>
  <si>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</si>
  <si>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</si>
  <si>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</si>
  <si>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</si>
  <si>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</si>
  <si>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</si>
  <si>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</si>
  <si>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</si>
  <si>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</si>
  <si>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</si>
  <si>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</si>
  <si>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</si>
  <si>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</si>
  <si>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</si>
  <si>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</si>
  <si>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</si>
  <si>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</si>
  <si>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</si>
  <si>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</si>
  <si>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</si>
  <si>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</si>
  <si>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</si>
  <si>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</si>
  <si>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</si>
  <si>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</si>
  <si>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</si>
  <si>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</si>
  <si>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</si>
  <si>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</si>
  <si>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</si>
  <si>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</si>
  <si>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</si>
  <si>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</si>
  <si>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</si>
  <si>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</si>
  <si>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</si>
  <si>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</si>
  <si>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</si>
  <si>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</si>
  <si>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</si>
  <si>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</si>
  <si>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</si>
  <si>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</si>
  <si>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</si>
  <si>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</si>
  <si>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</si>
  <si>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</si>
  <si>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</si>
  <si>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</si>
  <si>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</si>
  <si>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</si>
  <si>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</si>
  <si>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</si>
  <si>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</si>
  <si>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</si>
  <si>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</si>
  <si>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</si>
  <si>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</si>
  <si>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</si>
  <si>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</si>
  <si>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</si>
  <si>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</si>
  <si>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</si>
  <si>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</si>
  <si>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</si>
  <si>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</si>
  <si>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</si>
  <si>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</si>
  <si>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</si>
  <si>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</si>
  <si>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</si>
  <si>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</si>
  <si>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</si>
  <si>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</si>
  <si>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</si>
  <si>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</si>
  <si>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</si>
  <si>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</si>
  <si>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</si>
  <si>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</si>
  <si>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</si>
  <si>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</si>
  <si>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</si>
  <si>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</si>
  <si>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</si>
  <si>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</si>
  <si>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</si>
  <si>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</si>
  <si>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</si>
  <si>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</si>
  <si>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</si>
  <si>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</si>
  <si>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</si>
  <si>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</si>
  <si>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</si>
  <si>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</si>
  <si>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</si>
  <si>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</si>
  <si>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</si>
  <si>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</si>
  <si>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</si>
  <si>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</si>
  <si>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</si>
  <si>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</si>
  <si>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</si>
  <si>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</si>
  <si>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</si>
  <si>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</si>
  <si>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</si>
  <si>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</si>
  <si>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</si>
  <si>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</si>
  <si>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</si>
  <si>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</si>
  <si>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</si>
  <si>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</si>
  <si>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</si>
  <si>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</si>
  <si>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</si>
  <si>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</si>
  <si>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</si>
  <si>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</si>
  <si>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</si>
  <si>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</si>
  <si>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</si>
  <si>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</si>
  <si>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</si>
  <si>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</si>
  <si>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</si>
  <si>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</si>
  <si>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</si>
  <si>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</si>
  <si>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</si>
  <si>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</si>
  <si>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</si>
  <si>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</si>
  <si>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</si>
  <si>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</si>
  <si>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</si>
  <si>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</si>
  <si>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</si>
  <si>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</si>
  <si>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</si>
  <si>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</si>
  <si>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</si>
  <si>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</si>
  <si>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</si>
  <si>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</si>
  <si>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</si>
  <si>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</si>
  <si>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</si>
  <si>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</si>
  <si>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</si>
  <si>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</si>
  <si>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</si>
  <si>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</si>
  <si>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</si>
  <si>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</si>
  <si>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</si>
  <si>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</si>
  <si>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</si>
  <si>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</si>
  <si>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</si>
  <si>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</si>
  <si>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</si>
  <si>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</si>
  <si>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</si>
  <si>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</si>
  <si>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</si>
  <si>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</si>
  <si>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</si>
  <si>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</si>
  <si>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</si>
  <si>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</si>
  <si>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</si>
  <si>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</si>
  <si>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</si>
  <si>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</si>
  <si>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</si>
  <si>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</si>
  <si>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</si>
  <si>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</si>
  <si>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</si>
  <si>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</si>
  <si>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</si>
  <si>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</si>
  <si>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</si>
  <si>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</si>
  <si>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</si>
  <si>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</si>
  <si>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</si>
  <si>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</si>
  <si>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</si>
  <si>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</si>
  <si>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</si>
  <si>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</si>
  <si>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</si>
  <si>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</si>
  <si>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</si>
  <si>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</si>
  <si>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</si>
  <si>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</si>
  <si>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</si>
  <si>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</si>
  <si>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</si>
  <si>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</si>
  <si>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</si>
  <si>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</si>
  <si>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</si>
  <si>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</si>
  <si>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</si>
  <si>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</si>
  <si>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</si>
  <si>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</si>
  <si>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</si>
  <si>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</si>
  <si>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</si>
  <si>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</si>
  <si>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</si>
  <si>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</si>
  <si>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</si>
  <si>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</si>
  <si>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</si>
  <si>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</si>
  <si>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</si>
  <si>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</si>
  <si>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</si>
  <si>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</si>
  <si>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</si>
  <si>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</si>
  <si>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</si>
  <si>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</si>
  <si>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</si>
  <si>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</si>
  <si>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</si>
  <si>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</si>
  <si>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</si>
  <si>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</si>
  <si>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</si>
  <si>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</si>
  <si>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</si>
  <si>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</si>
  <si>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</si>
  <si>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</si>
  <si>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</si>
  <si>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</si>
  <si>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</si>
  <si>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</si>
  <si>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</si>
  <si>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</si>
  <si>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</si>
  <si>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</si>
  <si>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</si>
  <si>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</si>
  <si>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</si>
  <si>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</si>
  <si>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</si>
  <si>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</si>
  <si>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</si>
  <si>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</si>
  <si>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</si>
  <si>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</si>
  <si>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</si>
  <si>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</si>
  <si>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</si>
  <si>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</si>
  <si>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</si>
  <si>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</si>
  <si>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</si>
  <si>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</si>
  <si>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</si>
  <si>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</si>
  <si>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</si>
  <si>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</si>
  <si>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</si>
  <si>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</si>
  <si>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</si>
  <si>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</si>
  <si>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</si>
  <si>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</si>
  <si>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</si>
  <si>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</si>
  <si>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</si>
  <si>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</si>
  <si>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</si>
  <si>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</si>
  <si>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</si>
  <si>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</si>
  <si>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</si>
  <si>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</si>
  <si>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</si>
  <si>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</si>
  <si>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</si>
  <si>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</si>
  <si>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</si>
  <si>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</si>
  <si>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</si>
  <si>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</si>
  <si>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</si>
  <si>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</si>
  <si>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</si>
  <si>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</si>
  <si>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</si>
  <si>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</si>
  <si>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</si>
  <si>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</si>
  <si>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</si>
  <si>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</si>
  <si>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</si>
  <si>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</si>
  <si>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</si>
  <si>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</si>
  <si>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</si>
  <si>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</si>
  <si>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</si>
  <si>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</si>
  <si>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</si>
  <si>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</si>
  <si>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</si>
  <si>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</si>
  <si>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</si>
  <si>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</si>
  <si>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</si>
  <si>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</si>
  <si>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</si>
  <si>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</si>
  <si>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</si>
  <si>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</si>
  <si>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</si>
  <si>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</si>
  <si>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</si>
  <si>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</si>
  <si>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</si>
  <si>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</si>
  <si>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</si>
  <si>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</si>
  <si>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</si>
  <si>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</si>
  <si>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</si>
  <si>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</si>
  <si>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</si>
  <si>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</si>
  <si>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</si>
  <si>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</si>
  <si>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</si>
  <si>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</si>
  <si>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</si>
  <si>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</si>
  <si>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</si>
  <si>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</si>
  <si>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</si>
  <si>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</si>
  <si>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</si>
  <si>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</si>
  <si>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</si>
  <si>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</si>
  <si>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</si>
  <si>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</si>
  <si>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</si>
  <si>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</si>
  <si>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</si>
  <si>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</si>
  <si>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</si>
  <si>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</si>
  <si>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</si>
  <si>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</si>
  <si>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</si>
  <si>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</si>
  <si>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</si>
  <si>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</si>
  <si>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</si>
  <si>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</si>
  <si>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</si>
  <si>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</si>
  <si>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</si>
  <si>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</si>
  <si>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</si>
  <si>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</si>
  <si>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</si>
  <si>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</si>
  <si>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</si>
  <si>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</si>
  <si>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</si>
  <si>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</si>
  <si>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</si>
  <si>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</si>
  <si>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</si>
  <si>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</si>
  <si>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</si>
  <si>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</si>
  <si>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</si>
  <si>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</si>
  <si>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</si>
  <si>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</si>
  <si>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</si>
  <si>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</si>
  <si>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</si>
  <si>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</si>
  <si>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</si>
  <si>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</si>
  <si>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</si>
  <si>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</si>
  <si>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</si>
  <si>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</si>
  <si>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</si>
  <si>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</si>
  <si>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</si>
  <si>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</si>
  <si>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</si>
  <si>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</si>
  <si>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</si>
  <si>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</si>
  <si>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</si>
  <si>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</si>
  <si>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</si>
  <si>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</si>
  <si>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</si>
  <si>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</si>
  <si>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</si>
  <si>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</si>
  <si>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</si>
  <si>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</si>
  <si>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</si>
  <si>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</si>
  <si>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</si>
  <si>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</si>
  <si>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</si>
  <si>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</si>
  <si>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</si>
  <si>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</si>
  <si>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</si>
  <si>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</si>
  <si>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</si>
  <si>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</si>
  <si>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</si>
  <si>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</si>
  <si>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</si>
  <si>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</si>
  <si>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</si>
  <si>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</si>
  <si>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</si>
  <si>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</si>
  <si>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</si>
  <si>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</si>
  <si>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</si>
  <si>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</si>
  <si>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</si>
  <si>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</si>
  <si>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</si>
  <si>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</si>
  <si>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</si>
  <si>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</si>
  <si>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</si>
  <si>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</si>
  <si>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</si>
  <si>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</si>
  <si>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</si>
  <si>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</si>
  <si>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</si>
  <si>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</si>
  <si>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</si>
  <si>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</si>
  <si>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</si>
  <si>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</si>
  <si>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</si>
  <si>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</si>
  <si>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</si>
  <si>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</si>
  <si>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</si>
  <si>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</si>
  <si>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</si>
  <si>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</si>
  <si>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</si>
  <si>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</si>
  <si>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</si>
  <si>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</si>
  <si>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</si>
  <si>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</si>
  <si>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</si>
  <si>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</si>
  <si>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</si>
  <si>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</si>
  <si>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</si>
  <si>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</si>
  <si>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</si>
  <si>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</si>
  <si>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</si>
  <si>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</si>
  <si>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</si>
  <si>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</si>
  <si>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</si>
  <si>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</si>
  <si>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</si>
  <si>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</si>
  <si>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</si>
  <si>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</si>
  <si>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</si>
  <si>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</si>
  <si>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</si>
  <si>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</si>
  <si>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</si>
  <si>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</si>
  <si>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</si>
  <si>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</si>
  <si>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</si>
  <si>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</si>
  <si>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</si>
  <si>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</si>
  <si>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</si>
  <si>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</si>
  <si>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</si>
  <si>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</si>
  <si>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</si>
  <si>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</si>
  <si>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</si>
  <si>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</si>
  <si>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</si>
  <si>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</si>
  <si>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</si>
  <si>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</si>
  <si>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</si>
  <si>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</si>
  <si>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</si>
  <si>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</si>
  <si>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</si>
  <si>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</si>
  <si>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</si>
  <si>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</si>
  <si>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</si>
  <si>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</si>
  <si>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</si>
  <si>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</si>
  <si>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</si>
  <si>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</si>
  <si>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</si>
  <si>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</si>
  <si>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</si>
  <si>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</si>
  <si>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</si>
  <si>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</si>
  <si>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</si>
  <si>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</si>
  <si>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</si>
  <si>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</si>
  <si>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</si>
  <si>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</si>
  <si>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</si>
  <si>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</si>
  <si>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</si>
  <si>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</si>
  <si>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</si>
  <si>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</si>
  <si>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</si>
  <si>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</si>
  <si>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</si>
  <si>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</si>
  <si>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</si>
  <si>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</si>
  <si>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</si>
  <si>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</si>
  <si>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</si>
  <si>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</si>
  <si>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</si>
  <si>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</si>
  <si>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</si>
  <si>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</si>
  <si>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</si>
  <si>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</si>
  <si>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</si>
  <si>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</si>
  <si>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</si>
  <si>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</si>
  <si>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</si>
  <si>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</si>
  <si>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</si>
  <si>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</si>
  <si>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</si>
  <si>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</si>
  <si>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</si>
  <si>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</si>
  <si>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</si>
  <si>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</si>
  <si>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</si>
  <si>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</si>
  <si>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</si>
  <si>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</si>
  <si>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</si>
  <si>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</si>
  <si>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</si>
  <si>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</si>
  <si>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</si>
  <si>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</si>
  <si>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</si>
  <si>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</si>
  <si>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</si>
  <si>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</si>
  <si>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</si>
  <si>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</si>
  <si>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</si>
  <si>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</si>
  <si>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</si>
  <si>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</si>
  <si>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</si>
  <si>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</si>
  <si>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</si>
  <si>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</si>
  <si>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</si>
  <si>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</si>
  <si>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</si>
  <si>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</si>
  <si>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</si>
  <si>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</si>
  <si>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</si>
  <si>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</si>
  <si>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</si>
  <si>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</si>
  <si>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</si>
  <si>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</si>
  <si>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</si>
  <si>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</si>
  <si>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</si>
  <si>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</si>
  <si>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</si>
  <si>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</si>
  <si>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</si>
  <si>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</si>
  <si>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</si>
  <si>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</si>
  <si>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</si>
  <si>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</si>
  <si>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</si>
  <si>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</si>
  <si>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</si>
  <si>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</si>
  <si>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</si>
  <si>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</si>
  <si>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</si>
  <si>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</si>
  <si>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</si>
  <si>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</si>
  <si>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</si>
  <si>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</si>
  <si>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</si>
  <si>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</si>
  <si>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</si>
  <si>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</si>
  <si>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</si>
  <si>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</si>
  <si>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</si>
  <si>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</si>
  <si>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</si>
  <si>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</si>
  <si>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</si>
  <si>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</si>
  <si>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</si>
  <si>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</si>
  <si>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</si>
  <si>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</si>
  <si>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</si>
  <si>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</si>
  <si>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</si>
  <si>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</si>
  <si>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</si>
  <si>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</si>
  <si>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</si>
  <si>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</si>
  <si>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</si>
  <si>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</si>
  <si>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</si>
  <si>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</si>
  <si>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</si>
  <si>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</si>
  <si>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</si>
  <si>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</si>
  <si>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</si>
  <si>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</si>
  <si>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</si>
  <si>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</si>
  <si>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</si>
  <si>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</si>
  <si>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</si>
  <si>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</si>
  <si>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</si>
  <si>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</si>
  <si>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</si>
  <si>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</si>
  <si>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</si>
  <si>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</si>
  <si>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</si>
  <si>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</si>
  <si>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</si>
  <si>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</si>
  <si>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</si>
  <si>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</si>
  <si>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</si>
  <si>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</si>
  <si>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</si>
  <si>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</si>
  <si>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</si>
  <si>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</si>
  <si>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</si>
  <si>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</si>
  <si>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</si>
  <si>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</si>
  <si>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</si>
  <si>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</si>
  <si>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</si>
  <si>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</si>
  <si>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</si>
  <si>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</si>
  <si>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</si>
  <si>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</si>
  <si>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</si>
  <si>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</si>
  <si>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</si>
  <si>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</si>
  <si>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</si>
  <si>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</si>
  <si>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</si>
  <si>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</si>
  <si>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</si>
  <si>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</si>
  <si>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</si>
  <si>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</si>
  <si>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</si>
  <si>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</si>
  <si>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</si>
  <si>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</si>
  <si>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</si>
  <si>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</si>
  <si>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</si>
  <si>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</si>
  <si>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</si>
  <si>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</si>
  <si>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</si>
  <si>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</si>
  <si>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</si>
  <si>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</si>
  <si>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</si>
  <si>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</si>
  <si>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</si>
  <si>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</si>
  <si>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</si>
  <si>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</si>
  <si>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</si>
  <si>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</si>
  <si>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</si>
  <si>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</si>
  <si>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</si>
  <si>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</si>
  <si>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</si>
  <si>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</si>
  <si>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</si>
  <si>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</si>
  <si>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</si>
  <si>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</si>
  <si>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</si>
  <si>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</si>
  <si>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</si>
  <si>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</si>
  <si>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</si>
  <si>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</si>
  <si>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</si>
  <si>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</si>
  <si>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</si>
  <si>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</si>
  <si>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</si>
  <si>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</si>
  <si>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</si>
  <si>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</si>
  <si>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</si>
  <si>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</si>
  <si>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</si>
  <si>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</si>
  <si>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</si>
  <si>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</si>
  <si>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</si>
  <si>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</si>
  <si>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</si>
  <si>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</si>
  <si>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</si>
  <si>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</si>
  <si>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</si>
  <si>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</si>
  <si>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</si>
  <si>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</si>
  <si>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</si>
  <si>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</si>
  <si>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</si>
  <si>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</si>
  <si>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</si>
  <si>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</si>
  <si>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</si>
  <si>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</si>
  <si>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</si>
  <si>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</si>
  <si>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</si>
  <si>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</si>
  <si>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</si>
  <si>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</si>
  <si>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</si>
  <si>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</si>
  <si>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</si>
  <si>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</si>
  <si>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</si>
  <si>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</si>
  <si>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</si>
  <si>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</si>
  <si>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</si>
  <si>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</si>
  <si>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</si>
  <si>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</si>
  <si>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</si>
  <si>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</si>
  <si>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</si>
  <si>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</si>
  <si>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</si>
  <si>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</si>
  <si>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</si>
  <si>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</si>
  <si>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</si>
  <si>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</si>
  <si>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</si>
  <si>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</si>
  <si>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</si>
  <si>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</si>
  <si>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</si>
  <si>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</si>
  <si>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</si>
  <si>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</si>
  <si>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</si>
  <si>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</si>
  <si>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</si>
  <si>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</si>
  <si>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</si>
  <si>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</si>
  <si>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</si>
  <si>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</si>
  <si>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</si>
  <si>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</si>
  <si>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</si>
  <si>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</si>
  <si>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</si>
  <si>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</si>
  <si>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</si>
  <si>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</si>
  <si>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</si>
  <si>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</si>
  <si>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</si>
  <si>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</si>
  <si>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</si>
  <si>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</si>
  <si>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</si>
  <si>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</si>
  <si>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</si>
  <si>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</si>
  <si>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</si>
  <si>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</si>
  <si>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</si>
  <si>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</si>
  <si>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</si>
  <si>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</si>
  <si>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</si>
  <si>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</si>
  <si>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</si>
  <si>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</si>
  <si>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</si>
  <si>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</si>
  <si>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</si>
  <si>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</si>
  <si>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</si>
  <si>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</si>
  <si>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</si>
  <si>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</si>
  <si>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</si>
  <si>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</si>
  <si>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</si>
  <si>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</si>
  <si>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</si>
  <si>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</si>
  <si>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</si>
  <si>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</si>
  <si>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</si>
  <si>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</si>
  <si>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</si>
  <si>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</si>
  <si>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</si>
  <si>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</si>
  <si>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</si>
  <si>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</si>
  <si>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</si>
  <si>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</si>
  <si>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</si>
  <si>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</si>
  <si>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</si>
  <si>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</si>
  <si>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</si>
  <si>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</si>
  <si>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</si>
  <si>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</si>
  <si>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</si>
  <si>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</si>
  <si>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</si>
  <si>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</si>
  <si>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</si>
  <si>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</si>
  <si>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</si>
  <si>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</si>
  <si>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</si>
  <si>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</si>
  <si>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</si>
  <si>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</si>
  <si>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</si>
  <si>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</si>
  <si>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</si>
  <si>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</si>
  <si>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</si>
  <si>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</si>
  <si>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</si>
  <si>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</si>
  <si>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</si>
  <si>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</si>
  <si>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</si>
  <si>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</si>
  <si>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</si>
  <si>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</si>
  <si>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</si>
  <si>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</si>
  <si>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</si>
  <si>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</si>
  <si>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</si>
  <si>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</si>
  <si>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</si>
  <si>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</si>
  <si>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</si>
  <si>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</si>
  <si>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</si>
  <si>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</si>
  <si>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</si>
  <si>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</si>
  <si>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</si>
  <si>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</si>
  <si>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</si>
  <si>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</si>
  <si>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</si>
  <si>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</si>
  <si>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</si>
  <si>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</si>
  <si>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</si>
  <si>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</si>
  <si>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</si>
  <si>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</si>
  <si>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</si>
  <si>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</si>
  <si>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</si>
  <si>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</si>
  <si>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</si>
  <si>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</si>
  <si>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</si>
  <si>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</si>
  <si>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</si>
  <si>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</si>
  <si>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</si>
  <si>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</si>
  <si>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</si>
  <si>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</si>
  <si>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</si>
  <si>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</si>
  <si>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</si>
  <si>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</si>
  <si>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</si>
  <si>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</si>
  <si>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</si>
  <si>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</si>
  <si>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</si>
  <si>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</si>
  <si>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</si>
  <si>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</si>
  <si>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</si>
  <si>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</si>
  <si>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</si>
  <si>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</si>
  <si>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</si>
  <si>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</si>
  <si>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</si>
  <si>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</si>
  <si>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</si>
  <si>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</si>
  <si>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</si>
  <si>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</si>
  <si>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</si>
  <si>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</si>
  <si>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</si>
  <si>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</si>
  <si>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</si>
  <si>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</si>
  <si>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</si>
  <si>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</si>
  <si>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</si>
  <si>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</si>
  <si>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</si>
  <si>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</si>
  <si>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</si>
  <si>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</si>
  <si>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</si>
  <si>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</si>
  <si>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</si>
  <si>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</si>
  <si>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</si>
  <si>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</si>
  <si>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</si>
  <si>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</si>
  <si>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</si>
  <si>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</si>
  <si>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</si>
  <si>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</si>
  <si>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</si>
  <si>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</si>
  <si>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</si>
  <si>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</si>
  <si>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</si>
  <si>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</si>
  <si>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</si>
  <si>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</si>
  <si>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</si>
  <si>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</si>
  <si>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</si>
  <si>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</si>
  <si>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</si>
  <si>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</si>
  <si>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</si>
  <si>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</si>
  <si>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</si>
  <si>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</si>
  <si>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</si>
  <si>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</si>
  <si>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</si>
  <si>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</si>
  <si>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</si>
  <si>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</si>
  <si>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</si>
  <si>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</si>
  <si>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</si>
  <si>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</si>
  <si>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</si>
  <si>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</si>
  <si>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</si>
  <si>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</si>
  <si>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</si>
  <si>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</si>
  <si>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</si>
  <si>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</si>
  <si>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</si>
  <si>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</si>
  <si>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</si>
  <si>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</si>
  <si>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</si>
  <si>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</si>
  <si>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</si>
  <si>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</si>
  <si>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</si>
  <si>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</si>
  <si>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</si>
  <si>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</si>
  <si>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</si>
  <si>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</si>
  <si>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</si>
  <si>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</si>
  <si>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</si>
  <si>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</si>
  <si>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</si>
  <si>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</si>
  <si>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</si>
  <si>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</si>
  <si>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</si>
  <si>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</si>
  <si>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</si>
  <si>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</si>
  <si>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</si>
  <si>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</si>
  <si>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</si>
  <si>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</si>
  <si>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</si>
  <si>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</si>
  <si>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</si>
  <si>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</si>
  <si>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</si>
  <si>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</si>
  <si>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</si>
  <si>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</si>
  <si>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</si>
  <si>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</si>
  <si>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</si>
  <si>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</si>
  <si>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</si>
  <si>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</si>
  <si>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</si>
  <si>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</si>
  <si>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</si>
  <si>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</si>
  <si>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</si>
  <si>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</si>
  <si>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</si>
  <si>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</si>
  <si>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</si>
  <si>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</si>
  <si>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</si>
  <si>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</si>
  <si>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</si>
  <si>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</si>
  <si>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</si>
  <si>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</si>
  <si>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</si>
  <si>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</si>
  <si>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</si>
  <si>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</si>
  <si>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</si>
  <si>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</si>
  <si>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</si>
  <si>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</si>
  <si>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</si>
  <si>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</si>
  <si>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</si>
  <si>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</si>
  <si>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</si>
  <si>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</si>
  <si>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</si>
  <si>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</si>
  <si>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</si>
  <si>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</si>
  <si>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</si>
  <si>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</si>
  <si>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</si>
  <si>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</si>
  <si>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</si>
  <si>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</si>
  <si>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</si>
  <si>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</si>
  <si>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</si>
  <si>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</si>
  <si>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</si>
  <si>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</si>
  <si>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</si>
  <si>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</si>
  <si>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</si>
  <si>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</si>
  <si>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</si>
  <si>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</si>
  <si>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</si>
  <si>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</si>
  <si>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</si>
  <si>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</si>
  <si>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</si>
  <si>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</si>
  <si>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</si>
  <si>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</si>
  <si>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</si>
  <si>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</si>
  <si>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</si>
  <si>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</si>
  <si>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</si>
  <si>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</si>
  <si>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</si>
  <si>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</si>
  <si>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</si>
  <si>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</si>
  <si>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</si>
  <si>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</si>
  <si>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</si>
  <si>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</si>
  <si>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</si>
  <si>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</si>
  <si>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</si>
  <si>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</si>
  <si>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</si>
  <si>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</si>
  <si>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</si>
  <si>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</si>
  <si>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</si>
  <si>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</si>
  <si>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</si>
  <si>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</si>
  <si>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</si>
  <si>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</si>
  <si>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</si>
  <si>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</si>
  <si>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</si>
  <si>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</si>
  <si>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</si>
  <si>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</si>
  <si>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</si>
  <si>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</si>
  <si>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</si>
  <si>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</si>
  <si>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</si>
  <si>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</si>
  <si>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</si>
  <si>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</si>
  <si>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</si>
  <si>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</si>
  <si>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</si>
  <si>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</si>
  <si>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</si>
  <si>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</si>
  <si>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</si>
  <si>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</si>
  <si>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</si>
  <si>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</si>
  <si>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</si>
  <si>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</si>
  <si>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</si>
  <si>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</si>
  <si>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</si>
  <si>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</si>
  <si>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</si>
  <si>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</si>
  <si>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</si>
  <si>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</si>
  <si>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</si>
  <si>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</si>
  <si>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</si>
  <si>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</si>
  <si>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</si>
  <si>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</si>
  <si>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</si>
  <si>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</si>
  <si>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</si>
  <si>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</si>
  <si>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</si>
  <si>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</si>
  <si>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</si>
  <si>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</si>
  <si>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</si>
  <si>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</si>
  <si>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</si>
  <si>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</si>
  <si>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</si>
  <si>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</si>
  <si>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</si>
  <si>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</si>
  <si>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</si>
  <si>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</si>
  <si>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</si>
  <si>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</si>
  <si>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</si>
  <si>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</si>
  <si>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</si>
  <si>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</si>
  <si>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</si>
  <si>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</si>
  <si>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</si>
  <si>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</si>
  <si>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</si>
  <si>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</si>
  <si>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</si>
  <si>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</si>
  <si>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</si>
  <si>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</si>
  <si>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</si>
  <si>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</si>
  <si>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</si>
  <si>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</si>
  <si>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</si>
  <si>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</si>
  <si>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</si>
  <si>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</si>
  <si>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</si>
  <si>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</si>
  <si>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</si>
  <si>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</si>
  <si>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</si>
  <si>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</si>
  <si>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</si>
  <si>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</si>
  <si>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</si>
  <si>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</si>
  <si>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</si>
  <si>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</si>
  <si>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</si>
  <si>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</si>
  <si>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</si>
  <si>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</si>
  <si>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</si>
  <si>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</si>
  <si>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</si>
  <si>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</si>
  <si>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</si>
  <si>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</si>
  <si>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</si>
  <si>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</si>
  <si>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</si>
  <si>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</si>
  <si>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</si>
  <si>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</si>
  <si>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</si>
  <si>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</si>
  <si>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</si>
  <si>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</si>
  <si>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</si>
  <si>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</si>
  <si>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</si>
  <si>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</si>
  <si>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</si>
  <si>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</si>
  <si>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</si>
  <si>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</si>
  <si>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</si>
  <si>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</si>
  <si>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</si>
  <si>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</si>
  <si>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</si>
  <si>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</si>
  <si>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</si>
  <si>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</si>
  <si>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</si>
  <si>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</si>
  <si>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</si>
  <si>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</si>
  <si>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</si>
  <si>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</si>
  <si>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</si>
  <si>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</si>
  <si>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</si>
  <si>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</si>
  <si>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</si>
  <si>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</si>
  <si>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</si>
  <si>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</si>
  <si>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</si>
  <si>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</si>
  <si>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</si>
  <si>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</si>
  <si>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</si>
  <si>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</si>
  <si>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</si>
  <si>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</si>
  <si>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</si>
  <si>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</si>
  <si>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</si>
  <si>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</si>
  <si>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</si>
  <si>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</si>
  <si>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</si>
  <si>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</si>
  <si>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</si>
  <si>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</si>
  <si>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</si>
  <si>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</si>
  <si>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</si>
  <si>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</si>
  <si>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</si>
  <si>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</si>
  <si>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</si>
  <si>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</si>
  <si>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</si>
  <si>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</si>
  <si>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</si>
  <si>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</si>
  <si>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</si>
  <si>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</si>
  <si>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</si>
  <si>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</si>
  <si>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</si>
  <si>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</si>
  <si>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</si>
  <si>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</si>
  <si>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</si>
  <si>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</si>
  <si>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</si>
  <si>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</si>
  <si>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</si>
  <si>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</si>
  <si>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</si>
  <si>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</si>
  <si>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</si>
  <si>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</si>
  <si>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</si>
  <si>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</si>
  <si>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</si>
  <si>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</si>
  <si>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</si>
  <si>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</si>
  <si>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</si>
  <si>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</si>
  <si>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</si>
  <si>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</si>
  <si>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</si>
  <si>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</si>
  <si>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</si>
  <si>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</si>
  <si>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</si>
  <si>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</si>
  <si>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</si>
  <si>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</si>
  <si>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</si>
  <si>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</si>
  <si>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</si>
  <si>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</si>
  <si>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</si>
  <si>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</si>
  <si>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</si>
  <si>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</si>
  <si>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</si>
  <si>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</si>
  <si>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</si>
  <si>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</si>
  <si>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</si>
  <si>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</si>
  <si>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</si>
  <si>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</si>
  <si>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</si>
  <si>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</si>
  <si>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</si>
  <si>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</si>
  <si>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</si>
  <si>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</si>
  <si>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</si>
  <si>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</si>
  <si>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</si>
  <si>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</si>
  <si>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</si>
  <si>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</si>
  <si>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</si>
  <si>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</si>
  <si>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</si>
  <si>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</si>
  <si>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</si>
  <si>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</si>
  <si>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</si>
  <si>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</si>
  <si>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</si>
  <si>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</si>
  <si>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</si>
  <si>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</si>
  <si>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</si>
  <si>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</si>
  <si>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</si>
  <si>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</si>
  <si>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</si>
  <si>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</si>
  <si>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</si>
  <si>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</si>
  <si>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</si>
  <si>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</si>
  <si>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</si>
  <si>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</si>
  <si>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</si>
  <si>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</si>
  <si>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</si>
  <si>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</si>
  <si>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</si>
  <si>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</si>
  <si>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</si>
  <si>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</si>
  <si>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</si>
  <si>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</si>
  <si>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</si>
  <si>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</si>
  <si>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</si>
  <si>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</si>
  <si>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</si>
  <si>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</si>
  <si>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</si>
  <si>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</si>
  <si>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</si>
  <si>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</si>
  <si>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</si>
  <si>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</si>
  <si>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</si>
  <si>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</si>
  <si>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</si>
  <si>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</si>
  <si>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</si>
  <si>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</si>
  <si>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</si>
  <si>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</si>
  <si>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</si>
  <si>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</si>
  <si>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</si>
  <si>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</si>
  <si>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</si>
  <si>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</si>
  <si>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</si>
  <si>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</si>
  <si>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</si>
  <si>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</si>
  <si>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</si>
  <si>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</si>
  <si>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</si>
  <si>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</si>
  <si>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</si>
  <si>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</si>
  <si>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</si>
  <si>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</si>
  <si>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</si>
  <si>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</si>
  <si>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</si>
  <si>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</si>
  <si>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</si>
  <si>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</si>
  <si>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</si>
  <si>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</si>
  <si>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</si>
  <si>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</si>
  <si>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</si>
  <si>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</si>
  <si>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</si>
  <si>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</si>
  <si>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</si>
  <si>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</si>
  <si>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</si>
  <si>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</si>
  <si>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</si>
  <si>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</si>
  <si>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</si>
  <si>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</si>
  <si>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</si>
  <si>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</si>
  <si>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</si>
  <si>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</si>
  <si>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</si>
  <si>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</si>
  <si>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</si>
  <si>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</si>
  <si>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</si>
  <si>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</si>
  <si>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</si>
  <si>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</si>
  <si>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</si>
  <si>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</si>
  <si>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</si>
  <si>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</si>
  <si>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</si>
  <si>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</si>
  <si>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</si>
  <si>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</si>
  <si>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</si>
  <si>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</si>
  <si>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</si>
  <si>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</si>
  <si>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</si>
  <si>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</si>
  <si>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</si>
  <si>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</si>
  <si>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</si>
  <si>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</si>
  <si>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</si>
  <si>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</si>
  <si>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</si>
  <si>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</si>
  <si>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</si>
  <si>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</si>
  <si>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</si>
  <si>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</si>
  <si>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</si>
  <si>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</si>
  <si>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</si>
  <si>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</si>
  <si>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</si>
  <si>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</si>
  <si>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</si>
  <si>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</si>
  <si>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</si>
  <si>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</si>
  <si>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</si>
  <si>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</si>
  <si>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</si>
  <si>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</si>
  <si>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</si>
  <si>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</si>
  <si>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</si>
  <si>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</si>
  <si>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</si>
  <si>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</si>
  <si>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</si>
  <si>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</si>
  <si>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</si>
  <si>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</si>
  <si>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</si>
  <si>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</si>
  <si>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</si>
  <si>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</si>
  <si>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</si>
  <si>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</si>
  <si>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</si>
  <si>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</si>
  <si>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</si>
  <si>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</si>
  <si>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</si>
  <si>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</si>
  <si>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</si>
  <si>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</si>
  <si>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</si>
  <si>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</si>
  <si>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</si>
  <si>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</si>
  <si>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</si>
  <si>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</si>
  <si>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</si>
  <si>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</si>
  <si>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</si>
  <si>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</si>
  <si>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</si>
  <si>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</si>
  <si>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</si>
  <si>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</si>
  <si>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</si>
  <si>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</si>
  <si>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</si>
  <si>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</si>
  <si>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</si>
  <si>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</si>
  <si>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</si>
  <si>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</si>
  <si>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</si>
  <si>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</si>
  <si>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</si>
  <si>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</si>
  <si>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</si>
  <si>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</si>
  <si>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</si>
  <si>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</si>
  <si>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</si>
  <si>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</si>
  <si>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</si>
  <si>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</si>
  <si>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</si>
  <si>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</si>
  <si>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</si>
  <si>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</si>
  <si>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</si>
  <si>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</si>
  <si>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</si>
  <si>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</si>
  <si>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</si>
  <si>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</si>
  <si>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</si>
  <si>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</si>
  <si>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</si>
  <si>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</si>
  <si>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</si>
  <si>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</si>
  <si>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</si>
  <si>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</si>
  <si>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</si>
  <si>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</si>
  <si>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</si>
  <si>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</si>
  <si>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</si>
  <si>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</si>
  <si>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</si>
  <si>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</si>
  <si>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</si>
  <si>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</si>
  <si>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</si>
  <si>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</si>
  <si>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</si>
  <si>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</si>
  <si>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</si>
  <si>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</si>
  <si>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</si>
  <si>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</si>
  <si>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</si>
  <si>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</si>
  <si>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</si>
  <si>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</si>
  <si>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</si>
  <si>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</si>
  <si>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</si>
  <si>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</si>
  <si>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</si>
  <si>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</si>
  <si>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</si>
  <si>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</si>
  <si>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</si>
  <si>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</si>
  <si>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</si>
  <si>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</si>
  <si>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</si>
  <si>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</si>
  <si>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</si>
  <si>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</si>
  <si>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</si>
  <si>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</si>
  <si>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</si>
  <si>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</si>
  <si>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</si>
  <si>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</si>
  <si>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</si>
  <si>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</si>
  <si>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</si>
  <si>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</si>
  <si>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</si>
  <si>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</si>
  <si>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</si>
  <si>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</si>
  <si>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</si>
  <si>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</si>
  <si>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</si>
  <si>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</si>
  <si>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</si>
  <si>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</si>
  <si>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</si>
  <si>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</si>
  <si>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</si>
  <si>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</si>
  <si>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</si>
  <si>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</si>
  <si>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</si>
  <si>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</si>
  <si>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</si>
  <si>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</si>
  <si>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</si>
  <si>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</si>
  <si>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</si>
  <si>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</si>
  <si>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</si>
  <si>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</si>
  <si>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</si>
  <si>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</si>
  <si>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</si>
  <si>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</si>
  <si>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</si>
  <si>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</si>
  <si>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</si>
  <si>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</si>
  <si>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</si>
  <si>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</si>
  <si>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</si>
  <si>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</si>
  <si>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</si>
  <si>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</si>
  <si>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</si>
  <si>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</si>
  <si>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</si>
  <si>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</si>
  <si>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</si>
  <si>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</si>
  <si>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</si>
  <si>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</si>
  <si>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</si>
  <si>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</si>
  <si>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</si>
  <si>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</si>
  <si>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</si>
  <si>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</si>
  <si>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</si>
  <si>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</si>
  <si>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</si>
  <si>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</si>
  <si>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</si>
  <si>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</si>
  <si>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</si>
  <si>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</si>
  <si>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</si>
  <si>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</si>
  <si>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</si>
  <si>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</si>
  <si>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</si>
  <si>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</si>
  <si>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</si>
  <si>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</si>
  <si>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</si>
  <si>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</si>
  <si>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</si>
  <si>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</si>
  <si>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</si>
  <si>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</si>
  <si>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</si>
  <si>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</si>
  <si>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</si>
  <si>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</si>
  <si>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</si>
  <si>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</si>
  <si>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</si>
  <si>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</si>
  <si>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</si>
  <si>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</si>
  <si>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</si>
  <si>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</si>
  <si>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</si>
  <si>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</si>
  <si>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</si>
  <si>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</si>
  <si>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</si>
  <si>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</si>
  <si>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</si>
  <si>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</si>
  <si>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</si>
  <si>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</si>
  <si>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</si>
  <si>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</si>
  <si>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</si>
  <si>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</si>
  <si>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</si>
  <si>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</si>
  <si>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</si>
  <si>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</si>
  <si>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</si>
  <si>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</si>
  <si>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</si>
  <si>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</si>
  <si>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</si>
  <si>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</si>
  <si>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</si>
  <si>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</si>
  <si>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</si>
  <si>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</si>
  <si>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</si>
  <si>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</si>
  <si>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</si>
  <si>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</si>
  <si>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</si>
  <si>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</si>
  <si>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</si>
  <si>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</si>
  <si>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</si>
  <si>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</si>
  <si>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</si>
  <si>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</si>
  <si>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</si>
  <si>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</si>
  <si>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</si>
  <si>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</si>
  <si>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</si>
  <si>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</si>
  <si>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</si>
  <si>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</si>
  <si>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</si>
  <si>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</si>
  <si>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</si>
  <si>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</si>
  <si>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</si>
  <si>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</si>
  <si>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</si>
  <si>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</si>
  <si>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</si>
  <si>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</si>
  <si>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</si>
  <si>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</si>
  <si>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</si>
  <si>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</si>
  <si>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</si>
  <si>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</si>
  <si>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</si>
  <si>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</si>
  <si>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</si>
  <si>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</si>
  <si>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</si>
  <si>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</si>
  <si>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</si>
  <si>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</si>
  <si>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</si>
  <si>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</si>
  <si>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</si>
  <si>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</si>
  <si>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</si>
  <si>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</si>
  <si>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</si>
  <si>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</si>
  <si>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</si>
  <si>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</si>
  <si>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</si>
  <si>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</si>
  <si>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</si>
  <si>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</si>
  <si>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</si>
  <si>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</si>
  <si>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</si>
  <si>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</si>
  <si>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</si>
  <si>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</si>
  <si>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</si>
  <si>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</si>
  <si>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</si>
  <si>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</si>
  <si>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</si>
  <si>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</si>
  <si>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</si>
  <si>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</si>
  <si>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</si>
  <si>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</si>
  <si>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</si>
  <si>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</si>
  <si>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</si>
  <si>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</si>
  <si>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</si>
  <si>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</si>
  <si>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</si>
  <si>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</si>
  <si>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</si>
  <si>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</si>
  <si>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</si>
  <si>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</si>
  <si>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</si>
  <si>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</si>
  <si>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</si>
  <si>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</si>
  <si>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</si>
  <si>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</si>
  <si>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</si>
  <si>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</si>
  <si>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</si>
  <si>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</si>
  <si>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</si>
  <si>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</si>
  <si>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</si>
  <si>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</si>
  <si>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</si>
  <si>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</si>
  <si>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</si>
  <si>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</si>
  <si>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</si>
  <si>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</si>
  <si>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</si>
  <si>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</si>
  <si>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</si>
  <si>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</si>
  <si>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</si>
  <si>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</si>
  <si>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</si>
  <si>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</si>
  <si>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</si>
  <si>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</si>
  <si>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</si>
  <si>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</si>
  <si>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</si>
  <si>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</si>
  <si>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</si>
  <si>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</si>
  <si>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</si>
  <si>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</si>
  <si>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</si>
  <si>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</si>
  <si>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</si>
  <si>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</si>
  <si>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</si>
  <si>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</si>
  <si>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</si>
  <si>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</si>
  <si>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</si>
  <si>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</si>
  <si>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</si>
  <si>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</si>
  <si>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</si>
  <si>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</si>
  <si>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</si>
  <si>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</si>
  <si>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</si>
  <si>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</si>
  <si>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</si>
  <si>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</si>
  <si>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</si>
  <si>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</si>
  <si>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</si>
  <si>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</si>
  <si>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</si>
  <si>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</si>
  <si>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</si>
  <si>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</si>
  <si>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</si>
  <si>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</si>
  <si>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</si>
  <si>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</si>
  <si>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</si>
  <si>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</si>
  <si>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</si>
  <si>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</si>
  <si>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</si>
  <si>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</si>
  <si>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</si>
  <si>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</si>
  <si>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</si>
  <si>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</si>
  <si>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</si>
  <si>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</si>
  <si>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</si>
  <si>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</si>
  <si>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</si>
  <si>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</si>
  <si>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</si>
  <si>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</si>
  <si>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</si>
  <si>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</si>
  <si>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</si>
  <si>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</si>
  <si>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</si>
  <si>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</si>
  <si>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</si>
  <si>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</si>
  <si>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</si>
  <si>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</si>
  <si>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</si>
  <si>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</si>
  <si>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</si>
  <si>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</si>
  <si>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</si>
  <si>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</si>
  <si>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</si>
  <si>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</si>
  <si>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</si>
  <si>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</si>
  <si>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</si>
  <si>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</si>
  <si>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</si>
  <si>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</si>
  <si>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</si>
  <si>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</si>
  <si>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</si>
  <si>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</si>
  <si>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</si>
  <si>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</si>
  <si>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</si>
  <si>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</si>
  <si>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</si>
  <si>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</si>
  <si>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</si>
  <si>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</si>
  <si>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</si>
  <si>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</si>
  <si>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</si>
  <si>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</si>
  <si>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</si>
  <si>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</si>
  <si>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</si>
  <si>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</si>
  <si>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</si>
  <si>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</si>
  <si>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</si>
  <si>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</si>
  <si>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</si>
  <si>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</si>
  <si>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</si>
  <si>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</si>
  <si>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</si>
  <si>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</si>
  <si>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</si>
  <si>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</si>
  <si>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</si>
  <si>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</si>
  <si>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</si>
  <si>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</si>
  <si>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</si>
  <si>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</si>
  <si>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</si>
  <si>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</si>
  <si>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</si>
  <si>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</si>
  <si>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</si>
  <si>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</si>
  <si>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</si>
  <si>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</si>
  <si>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</si>
  <si>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</si>
  <si>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</si>
  <si>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</si>
  <si>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</si>
  <si>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</si>
  <si>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</si>
  <si>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</si>
  <si>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</si>
  <si>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</si>
  <si>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</si>
  <si>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</si>
  <si>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</si>
  <si>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</si>
  <si>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</si>
  <si>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</si>
  <si>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</si>
  <si>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</si>
  <si>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</si>
  <si>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</si>
  <si>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</si>
  <si>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</si>
  <si>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</si>
  <si>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</si>
  <si>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</si>
  <si>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</si>
  <si>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</si>
  <si>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</si>
  <si>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</si>
  <si>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</si>
  <si>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</si>
  <si>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</si>
  <si>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</si>
  <si>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</si>
  <si>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</si>
  <si>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</si>
  <si>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</si>
  <si>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</si>
  <si>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</si>
  <si>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</si>
  <si>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</si>
  <si>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</si>
  <si>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</si>
  <si>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</si>
  <si>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</si>
  <si>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</si>
  <si>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</si>
  <si>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</si>
  <si>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</si>
  <si>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</si>
  <si>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</si>
  <si>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</si>
  <si>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</si>
  <si>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</si>
  <si>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</si>
  <si>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</si>
  <si>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</si>
  <si>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</si>
  <si>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</si>
  <si>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</si>
  <si>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</si>
  <si>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</si>
  <si>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</si>
  <si>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</si>
  <si>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</si>
  <si>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</si>
  <si>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</si>
  <si>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</si>
  <si>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</si>
  <si>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</si>
  <si>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</si>
  <si>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</si>
  <si>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</si>
  <si>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</si>
  <si>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</si>
  <si>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</si>
  <si>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</si>
  <si>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</si>
  <si>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</si>
  <si>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</si>
  <si>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</si>
  <si>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</si>
  <si>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</si>
  <si>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</si>
  <si>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</si>
  <si>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</si>
  <si>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</si>
  <si>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</si>
  <si>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</si>
  <si>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</si>
  <si>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</si>
  <si>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</si>
  <si>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</si>
  <si>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</si>
  <si>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</si>
  <si>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</si>
  <si>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</si>
  <si>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</si>
  <si>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</si>
  <si>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</si>
  <si>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</si>
  <si>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</si>
  <si>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</si>
  <si>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</si>
  <si>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</si>
  <si>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</si>
  <si>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</si>
  <si>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</si>
  <si>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</si>
  <si>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</si>
  <si>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</si>
  <si>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</si>
  <si>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</si>
  <si>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</si>
  <si>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</si>
  <si>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</si>
  <si>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</si>
  <si>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</si>
  <si>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</si>
  <si>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</si>
  <si>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</si>
  <si>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</si>
  <si>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</si>
  <si>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</si>
  <si>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</si>
  <si>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</si>
  <si>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</si>
  <si>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</si>
  <si>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</si>
  <si>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</si>
  <si>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</si>
  <si>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</si>
  <si>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</si>
  <si>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</si>
  <si>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</si>
  <si>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</si>
  <si>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</si>
  <si>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</si>
  <si>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</si>
  <si>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</si>
  <si>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</si>
  <si>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</si>
  <si>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</si>
  <si>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</si>
  <si>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</si>
  <si>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</si>
  <si>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</si>
  <si>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</si>
  <si>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</si>
  <si>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</si>
  <si>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</si>
  <si>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</si>
  <si>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</si>
  <si>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</si>
  <si>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</si>
  <si>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</si>
  <si>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</si>
  <si>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</si>
  <si>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</si>
  <si>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</si>
  <si>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</si>
  <si>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</si>
  <si>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</si>
  <si>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</si>
  <si>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</si>
  <si>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</si>
  <si>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</si>
  <si>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</si>
  <si>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</si>
  <si>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</si>
  <si>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</si>
  <si>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</si>
  <si>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</si>
  <si>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</si>
  <si>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</si>
  <si>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</si>
  <si>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</si>
  <si>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</si>
  <si>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</si>
  <si>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</si>
  <si>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</si>
  <si>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</si>
  <si>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</si>
  <si>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</si>
  <si>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</si>
  <si>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</si>
  <si>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</si>
  <si>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</si>
  <si>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</si>
  <si>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</si>
  <si>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</si>
  <si>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</si>
  <si>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</si>
  <si>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</si>
  <si>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</si>
  <si>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</si>
  <si>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</si>
  <si>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</si>
  <si>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</si>
  <si>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</si>
  <si>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</si>
  <si>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</si>
  <si>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</si>
  <si>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</si>
  <si>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</si>
  <si>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</si>
  <si>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</si>
  <si>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</si>
  <si>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</si>
  <si>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</si>
  <si>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</si>
  <si>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</si>
  <si>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</si>
  <si>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</si>
  <si>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</si>
  <si>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</si>
  <si>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</si>
  <si>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</si>
  <si>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</si>
  <si>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</si>
  <si>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</si>
  <si>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</si>
  <si>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</si>
  <si>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</si>
  <si>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</si>
  <si>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</si>
  <si>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</si>
  <si>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</si>
  <si>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</si>
  <si>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</si>
  <si>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</si>
  <si>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</si>
  <si>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</si>
  <si>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</si>
  <si>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</si>
  <si>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</si>
  <si>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</si>
  <si>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</si>
  <si>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</si>
  <si>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</si>
  <si>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</si>
  <si>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</si>
  <si>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</si>
  <si>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</si>
  <si>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</si>
  <si>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</si>
  <si>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</si>
  <si>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</si>
  <si>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</si>
  <si>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</si>
  <si>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</si>
  <si>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</si>
  <si>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</si>
  <si>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</si>
  <si>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</si>
  <si>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</si>
  <si>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</si>
  <si>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</si>
  <si>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</si>
  <si>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</si>
  <si>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</si>
  <si>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</si>
  <si>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</si>
  <si>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</si>
  <si>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</si>
  <si>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</si>
  <si>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</si>
  <si>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</si>
  <si>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</si>
  <si>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</si>
  <si>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</si>
  <si>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</si>
  <si>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</si>
  <si>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</si>
  <si>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</si>
  <si>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</si>
  <si>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</si>
  <si>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</si>
  <si>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</si>
  <si>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</si>
  <si>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</si>
  <si>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</si>
  <si>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</si>
  <si>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</si>
  <si>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</si>
  <si>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</si>
  <si>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</si>
  <si>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</si>
  <si>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</si>
  <si>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</si>
  <si>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</si>
  <si>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</si>
  <si>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</si>
  <si>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</si>
  <si>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</si>
  <si>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</si>
  <si>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</si>
  <si>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</si>
  <si>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</si>
  <si>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</si>
  <si>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</si>
  <si>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</si>
  <si>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</si>
  <si>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</si>
  <si>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</si>
  <si>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</si>
  <si>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</si>
  <si>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</si>
  <si>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</si>
  <si>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</si>
  <si>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</si>
  <si>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</si>
  <si>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</si>
  <si>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</si>
  <si>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</si>
  <si>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</si>
  <si>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</si>
  <si>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</si>
  <si>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</si>
  <si>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</si>
  <si>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</si>
  <si>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</si>
  <si>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</si>
  <si>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</si>
  <si>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</si>
  <si>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</si>
  <si>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</si>
  <si>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</si>
  <si>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</si>
  <si>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</si>
  <si>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</si>
  <si>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</si>
  <si>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</si>
  <si>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</si>
  <si>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</si>
  <si>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</si>
  <si>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</si>
  <si>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</si>
  <si>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</si>
  <si>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</si>
  <si>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</si>
  <si>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</si>
  <si>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</si>
  <si>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</si>
  <si>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</si>
  <si>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</si>
  <si>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</si>
  <si>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</si>
  <si>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</si>
  <si>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</si>
  <si>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</si>
  <si>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</si>
  <si>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</si>
  <si>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</si>
  <si>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</si>
  <si>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</si>
  <si>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</si>
  <si>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</si>
  <si>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</si>
  <si>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</si>
  <si>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</si>
  <si>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</si>
  <si>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</si>
  <si>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</si>
  <si>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</si>
  <si>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</si>
  <si>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</si>
  <si>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</si>
  <si>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</si>
  <si>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</si>
  <si>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</si>
  <si>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</si>
  <si>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</si>
  <si>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</si>
  <si>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</si>
  <si>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</si>
  <si>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</si>
  <si>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</si>
  <si>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</si>
  <si>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</si>
  <si>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</si>
  <si>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</si>
  <si>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</si>
  <si>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</si>
  <si>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</si>
  <si>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</si>
  <si>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</si>
  <si>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</si>
  <si>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</si>
  <si>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</si>
  <si>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</si>
  <si>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</si>
  <si>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</si>
  <si>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</si>
  <si>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</si>
  <si>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</si>
  <si>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</si>
  <si>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</si>
  <si>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</si>
  <si>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</si>
  <si>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</si>
  <si>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</si>
  <si>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</si>
  <si>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</si>
  <si>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</si>
  <si>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</si>
  <si>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</si>
  <si>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</si>
  <si>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</si>
  <si>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</si>
  <si>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</si>
  <si>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</si>
  <si>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</si>
  <si>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</si>
  <si>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</si>
  <si>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</si>
  <si>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</si>
  <si>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</si>
  <si>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</si>
  <si>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</si>
  <si>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</si>
  <si>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</si>
  <si>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</si>
  <si>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</si>
  <si>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</si>
  <si>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</si>
  <si>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</si>
  <si>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</si>
  <si>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</si>
  <si>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</si>
  <si>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</si>
  <si>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</si>
  <si>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</si>
  <si>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</si>
  <si>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</si>
  <si>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</si>
  <si>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</si>
  <si>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</si>
  <si>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</si>
  <si>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</si>
  <si>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</si>
  <si>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</si>
  <si>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</si>
  <si>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</si>
  <si>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</si>
  <si>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</si>
  <si>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</si>
  <si>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</si>
  <si>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</si>
  <si>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</si>
  <si>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</si>
  <si>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</si>
  <si>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</si>
  <si>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</si>
  <si>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</si>
  <si>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</si>
  <si>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</si>
  <si>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</si>
  <si>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</si>
  <si>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</si>
  <si>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</si>
  <si>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</si>
  <si>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</si>
  <si>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</si>
  <si>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</si>
  <si>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</si>
  <si>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</si>
  <si>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</si>
  <si>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</si>
  <si>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</si>
  <si>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</si>
  <si>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</si>
  <si>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</si>
  <si>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</si>
  <si>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</si>
  <si>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</si>
  <si>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</si>
  <si>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</si>
  <si>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</si>
  <si>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</si>
  <si>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</si>
  <si>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</si>
  <si>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</si>
  <si>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</si>
  <si>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</si>
  <si>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</si>
  <si>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</si>
  <si>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</si>
  <si>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</si>
  <si>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</si>
  <si>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</si>
  <si>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</si>
  <si>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</si>
  <si>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</si>
  <si>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</si>
  <si>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</si>
  <si>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</si>
  <si>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</si>
  <si>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</si>
  <si>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</si>
  <si>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</si>
  <si>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</si>
  <si>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</si>
  <si>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</si>
  <si>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</si>
  <si>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</si>
  <si>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</si>
  <si>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</si>
  <si>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</si>
  <si>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</si>
  <si>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</si>
  <si>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</si>
  <si>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</si>
  <si>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</si>
  <si>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</si>
  <si>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</si>
  <si>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</si>
  <si>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</si>
  <si>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</si>
  <si>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</si>
  <si>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</si>
  <si>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</si>
  <si>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</si>
  <si>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</si>
  <si>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</si>
  <si>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</si>
  <si>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</si>
  <si>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</si>
  <si>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</si>
  <si>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</si>
  <si>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</si>
  <si>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</si>
  <si>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</si>
  <si>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</si>
  <si>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</si>
  <si>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</si>
  <si>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</si>
  <si>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</si>
  <si>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</si>
  <si>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</si>
  <si>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</si>
  <si>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</si>
  <si>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</si>
  <si>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</si>
  <si>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</si>
  <si>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</si>
  <si>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</si>
  <si>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</si>
  <si>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</si>
  <si>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</si>
  <si>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</si>
  <si>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</si>
  <si>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</si>
  <si>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</si>
  <si>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</si>
  <si>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</si>
  <si>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</si>
  <si>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</si>
  <si>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</si>
  <si>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</si>
  <si>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</si>
  <si>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</si>
  <si>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</si>
  <si>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</si>
  <si>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</si>
  <si>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</si>
  <si>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</si>
  <si>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</si>
  <si>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</si>
  <si>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</si>
  <si>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</si>
  <si>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</si>
  <si>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</si>
  <si>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</si>
  <si>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</si>
  <si>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</si>
  <si>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</si>
  <si>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</si>
  <si>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</si>
  <si>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</si>
  <si>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</si>
  <si>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</si>
  <si>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</si>
  <si>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</si>
  <si>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</si>
  <si>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</si>
  <si>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</si>
  <si>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</si>
  <si>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</si>
  <si>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</si>
  <si>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</si>
  <si>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</si>
  <si>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</si>
  <si>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</si>
  <si>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</si>
  <si>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</si>
  <si>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</si>
  <si>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</si>
  <si>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</si>
  <si>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</si>
  <si>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</si>
  <si>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</si>
  <si>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</si>
  <si>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</si>
  <si>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</si>
  <si>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</si>
  <si>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</si>
  <si>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</si>
  <si>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</si>
  <si>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</si>
  <si>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</si>
  <si>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</si>
  <si>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</si>
  <si>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</si>
  <si>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</si>
  <si>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</si>
  <si>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</si>
  <si>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</si>
  <si>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</si>
  <si>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</si>
  <si>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</si>
  <si>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</si>
  <si>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</si>
  <si>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</si>
  <si>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</si>
  <si>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</si>
  <si>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</si>
  <si>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</si>
  <si>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</si>
  <si>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</si>
  <si>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</si>
  <si>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</si>
  <si>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</si>
  <si>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</si>
  <si>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</si>
  <si>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</si>
  <si>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</si>
  <si>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</si>
  <si>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</si>
  <si>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</si>
  <si>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</si>
  <si>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</si>
  <si>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</si>
  <si>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</si>
  <si>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</si>
  <si>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</si>
  <si>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</si>
  <si>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</si>
  <si>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</si>
  <si>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</si>
  <si>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</si>
  <si>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</si>
  <si>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</si>
  <si>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</si>
  <si>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</si>
  <si>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</si>
  <si>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</si>
  <si>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</si>
  <si>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</si>
  <si>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</si>
  <si>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</si>
  <si>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</si>
  <si>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</si>
  <si>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</si>
  <si>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</si>
  <si>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</si>
  <si>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</si>
  <si>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</si>
  <si>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</si>
  <si>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</si>
  <si>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</si>
  <si>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</si>
  <si>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</si>
  <si>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</si>
  <si>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</si>
  <si>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</si>
  <si>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</si>
  <si>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</si>
  <si>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</si>
  <si>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</si>
  <si>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</si>
  <si>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</si>
  <si>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</si>
  <si>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</si>
  <si>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</si>
  <si>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</si>
  <si>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</si>
  <si>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</si>
  <si>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</si>
  <si>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</si>
  <si>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</si>
  <si>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</si>
  <si>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</si>
  <si>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</si>
  <si>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</si>
  <si>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</si>
  <si>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</si>
  <si>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</si>
  <si>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</si>
  <si>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</si>
  <si>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</si>
  <si>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</si>
  <si>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</si>
  <si>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</si>
  <si>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</si>
  <si>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</si>
  <si>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</si>
  <si>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</si>
  <si>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</si>
  <si>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</si>
  <si>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</si>
  <si>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</si>
  <si>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</si>
  <si>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</si>
  <si>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</si>
  <si>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</si>
  <si>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</si>
  <si>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</si>
  <si>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</si>
  <si>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</si>
  <si>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</si>
  <si>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</si>
  <si>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</si>
  <si>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</si>
  <si>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</si>
  <si>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</si>
  <si>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</si>
  <si>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</si>
  <si>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</si>
  <si>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</si>
  <si>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</si>
  <si>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</si>
  <si>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</si>
  <si>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</si>
  <si>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</si>
  <si>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</si>
  <si>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</si>
  <si>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</si>
  <si>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</si>
  <si>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</si>
  <si>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</si>
  <si>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</si>
  <si>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</si>
  <si>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</si>
  <si>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</si>
  <si>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</si>
  <si>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</si>
  <si>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</si>
  <si>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</si>
  <si>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</si>
  <si>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</si>
  <si>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</si>
  <si>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</si>
  <si>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</si>
  <si>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</si>
  <si>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</si>
  <si>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</si>
  <si>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</si>
  <si>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</si>
  <si>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</si>
  <si>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</si>
  <si>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</si>
  <si>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</si>
  <si>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</si>
  <si>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</si>
  <si>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</si>
  <si>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</si>
  <si>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</si>
  <si>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</si>
  <si>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</si>
  <si>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</si>
  <si>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</si>
  <si>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</si>
  <si>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</si>
  <si>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</si>
  <si>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</si>
  <si>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</si>
  <si>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</si>
  <si>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</si>
  <si>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</si>
  <si>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</si>
  <si>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</si>
  <si>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</si>
  <si>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</si>
  <si>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</si>
  <si>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</si>
  <si>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</si>
  <si>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</si>
  <si>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</si>
  <si>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</si>
  <si>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</si>
  <si>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</si>
  <si>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</si>
  <si>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</si>
  <si>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</si>
  <si>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</si>
  <si>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</si>
  <si>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</si>
  <si>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</si>
  <si>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</si>
  <si>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</si>
  <si>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</si>
  <si>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</si>
  <si>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</si>
  <si>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</si>
  <si>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</si>
  <si>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</si>
  <si>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</si>
  <si>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</si>
  <si>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</si>
  <si>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</si>
  <si>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</si>
  <si>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</si>
  <si>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</si>
  <si>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</si>
  <si>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</si>
  <si>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</si>
  <si>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</si>
  <si>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</si>
  <si>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</si>
  <si>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</si>
  <si>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</si>
  <si>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</si>
  <si>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</si>
  <si>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</si>
  <si>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</si>
  <si>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</si>
  <si>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</si>
  <si>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</si>
  <si>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</si>
  <si>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</si>
  <si>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</si>
  <si>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</si>
  <si>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</si>
  <si>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</si>
  <si>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</si>
  <si>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</si>
  <si>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</si>
  <si>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</si>
  <si>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</si>
  <si>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</si>
  <si>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</si>
  <si>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</si>
  <si>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</si>
  <si>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</si>
  <si>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</si>
  <si>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</si>
  <si>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</si>
  <si>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</si>
  <si>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</si>
  <si>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</si>
  <si>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</si>
  <si>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</si>
  <si>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</si>
  <si>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</si>
  <si>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</si>
  <si>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</si>
  <si>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</si>
  <si>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</si>
  <si>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</si>
  <si>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</si>
  <si>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</si>
  <si>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</si>
  <si>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</si>
  <si>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</si>
  <si>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</si>
  <si>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</si>
  <si>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</si>
  <si>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</si>
  <si>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</si>
  <si>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</si>
  <si>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</si>
  <si>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</si>
  <si>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</si>
  <si>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</si>
  <si>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</si>
  <si>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</si>
  <si>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</si>
  <si>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</si>
  <si>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</si>
  <si>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</si>
  <si>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</si>
  <si>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</si>
  <si>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</si>
  <si>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</si>
  <si>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</si>
  <si>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</si>
  <si>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</si>
  <si>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</si>
  <si>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</si>
  <si>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</si>
  <si>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</si>
  <si>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</si>
  <si>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</si>
  <si>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</si>
  <si>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</si>
  <si>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</si>
  <si>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</si>
  <si>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</si>
  <si>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</si>
  <si>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</si>
  <si>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</si>
  <si>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</si>
  <si>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</si>
  <si>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</si>
  <si>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</si>
  <si>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</si>
  <si>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</si>
  <si>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</si>
  <si>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</si>
  <si>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</si>
  <si>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</si>
  <si>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</si>
  <si>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</si>
  <si>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</si>
  <si>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</si>
  <si>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</si>
  <si>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</si>
  <si>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</si>
  <si>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</si>
  <si>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</si>
  <si>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</si>
  <si>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</si>
  <si>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</si>
  <si>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</si>
  <si>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</si>
  <si>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</si>
  <si>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</si>
  <si>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</si>
  <si>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</si>
  <si>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</si>
  <si>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</si>
  <si>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</si>
  <si>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</si>
  <si>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</si>
  <si>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</si>
  <si>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</si>
  <si>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</si>
  <si>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</si>
  <si>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</si>
  <si>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</si>
  <si>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</si>
  <si>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</si>
  <si>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</si>
  <si>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</si>
  <si>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</si>
  <si>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</si>
  <si>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</si>
  <si>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</si>
  <si>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</si>
  <si>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</si>
  <si>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</si>
  <si>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</si>
  <si>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</si>
  <si>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</si>
  <si>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</si>
  <si>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</si>
  <si>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</si>
  <si>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</si>
  <si>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</si>
  <si>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</si>
  <si>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</si>
  <si>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</si>
  <si>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</si>
  <si>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</si>
  <si>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</si>
  <si>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</si>
  <si>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</si>
  <si>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</si>
  <si>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</si>
  <si>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</si>
  <si>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</si>
  <si>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</si>
  <si>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</si>
  <si>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</si>
  <si>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</si>
  <si>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</si>
  <si>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</si>
  <si>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</si>
  <si>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</si>
  <si>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</si>
  <si>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</si>
  <si>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</si>
  <si>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</si>
  <si>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</si>
  <si>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</si>
  <si>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</si>
  <si>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</si>
  <si>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</si>
  <si>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</si>
  <si>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</si>
  <si>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</si>
  <si>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</si>
  <si>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</si>
  <si>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</si>
  <si>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</si>
  <si>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</si>
  <si>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</si>
  <si>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</si>
  <si>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</si>
  <si>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</si>
  <si>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</si>
  <si>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</si>
  <si>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</si>
  <si>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</si>
  <si>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</si>
  <si>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</si>
  <si>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</si>
  <si>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</si>
  <si>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</si>
  <si>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</si>
  <si>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</si>
  <si>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</si>
  <si>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</si>
  <si>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</si>
  <si>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</si>
  <si>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</si>
  <si>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</si>
  <si>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</si>
  <si>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</si>
  <si>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</si>
  <si>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</si>
  <si>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</si>
  <si>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</si>
  <si>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</si>
  <si>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</si>
  <si>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</si>
  <si>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</si>
  <si>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</si>
  <si>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</si>
  <si>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</si>
  <si>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</si>
  <si>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</si>
  <si>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</si>
  <si>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</si>
  <si>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</si>
  <si>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</si>
  <si>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</si>
  <si>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</si>
  <si>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</si>
  <si>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</si>
  <si>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</si>
  <si>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</si>
  <si>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</si>
  <si>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</si>
  <si>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</si>
  <si>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</si>
  <si>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</si>
  <si>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</si>
  <si>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</si>
  <si>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</si>
  <si>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</si>
  <si>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</si>
  <si>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</si>
  <si>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</si>
  <si>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</si>
  <si>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</si>
  <si>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</si>
  <si>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</si>
  <si>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</si>
  <si>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</si>
  <si>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</si>
  <si>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</si>
  <si>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</si>
  <si>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</si>
  <si>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</si>
  <si>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</si>
  <si>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</si>
  <si>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</si>
  <si>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</si>
  <si>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</si>
  <si>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</si>
  <si>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</si>
  <si>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</si>
  <si>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</si>
  <si>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</si>
  <si>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</si>
  <si>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</si>
  <si>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</si>
  <si>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</si>
  <si>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</si>
  <si>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</si>
  <si>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</si>
  <si>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</si>
  <si>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</si>
  <si>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</si>
  <si>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</si>
  <si>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</si>
  <si>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</si>
  <si>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</si>
  <si>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</si>
  <si>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</si>
  <si>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</si>
  <si>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</si>
  <si>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</si>
  <si>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</si>
  <si>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</si>
  <si>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</si>
  <si>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</si>
  <si>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</si>
  <si>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</si>
  <si>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</si>
  <si>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</si>
  <si>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</si>
  <si>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</si>
  <si>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</si>
  <si>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</si>
  <si>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</si>
  <si>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</si>
  <si>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</si>
  <si>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</si>
  <si>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</si>
  <si>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</si>
  <si>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</si>
  <si>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</si>
  <si>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</si>
  <si>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</si>
  <si>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</si>
  <si>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</si>
  <si>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</si>
  <si>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</si>
  <si>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</si>
  <si>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</si>
  <si>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</si>
  <si>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</si>
  <si>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</si>
  <si>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</si>
  <si>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</si>
  <si>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</si>
  <si>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</si>
  <si>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</si>
  <si>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</si>
  <si>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</si>
  <si>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</si>
  <si>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</si>
  <si>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</si>
  <si>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</si>
  <si>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</si>
  <si>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</si>
  <si>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</si>
  <si>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</si>
  <si>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</si>
  <si>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</si>
  <si>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</si>
  <si>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</si>
  <si>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</si>
  <si>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</si>
  <si>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</si>
  <si>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</si>
  <si>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</si>
  <si>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</si>
  <si>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</si>
  <si>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</si>
  <si>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</si>
  <si>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</si>
  <si>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</si>
  <si>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</si>
  <si>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</si>
  <si>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</si>
  <si>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</si>
  <si>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</si>
  <si>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</si>
  <si>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</si>
  <si>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</si>
  <si>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</si>
  <si>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</si>
  <si>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</si>
  <si>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</si>
  <si>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</si>
  <si>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</si>
  <si>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</si>
  <si>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</si>
  <si>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</si>
  <si>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</si>
  <si>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</si>
  <si>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</si>
  <si>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</si>
  <si>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</si>
  <si>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</si>
  <si>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</si>
  <si>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</si>
  <si>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</si>
  <si>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</si>
  <si>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</si>
  <si>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</si>
  <si>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</si>
  <si>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</si>
  <si>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</si>
  <si>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</si>
  <si>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</si>
  <si>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</si>
  <si>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</si>
  <si>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</si>
  <si>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</si>
  <si>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</si>
  <si>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</si>
  <si>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</si>
  <si>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</si>
  <si>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</si>
  <si>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</si>
  <si>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</si>
  <si>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</si>
  <si>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</si>
  <si>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</si>
  <si>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</si>
  <si>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</si>
  <si>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</si>
  <si>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</si>
  <si>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</si>
  <si>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</si>
  <si>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</si>
  <si>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</si>
  <si>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</si>
  <si>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</si>
  <si>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</si>
  <si>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</si>
  <si>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</si>
  <si>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</si>
  <si>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</si>
  <si>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</si>
  <si>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</si>
  <si>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</si>
  <si>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</si>
  <si>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</si>
  <si>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</si>
  <si>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</si>
  <si>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</si>
  <si>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</si>
  <si>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</si>
  <si>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</si>
  <si>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</si>
  <si>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</si>
  <si>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</si>
  <si>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</si>
  <si>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</si>
  <si>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</si>
  <si>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</si>
  <si>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</si>
  <si>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</si>
  <si>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</si>
  <si>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</si>
  <si>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</si>
  <si>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</si>
  <si>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</si>
  <si>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</si>
  <si>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</si>
  <si>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</si>
  <si>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</si>
  <si>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</si>
  <si>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</si>
  <si>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</si>
  <si>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</si>
  <si>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</si>
  <si>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</si>
  <si>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</si>
  <si>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</si>
  <si>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</si>
  <si>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</si>
  <si>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</si>
  <si>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</si>
  <si>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</si>
  <si>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</si>
  <si>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</si>
  <si>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</si>
  <si>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</si>
  <si>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</si>
  <si>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</si>
  <si>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</si>
  <si>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</si>
  <si>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</si>
  <si>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</si>
  <si>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</si>
  <si>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</si>
  <si>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</si>
  <si>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</si>
  <si>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</si>
  <si>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</si>
  <si>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</si>
  <si>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</si>
  <si>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</si>
  <si>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</si>
  <si>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</si>
  <si>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</si>
  <si>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</si>
  <si>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</si>
  <si>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</si>
  <si>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</si>
  <si>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</si>
  <si>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</si>
  <si>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</si>
  <si>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</si>
  <si>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</si>
  <si>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</si>
  <si>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</si>
  <si>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</si>
  <si>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</si>
  <si>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</si>
  <si>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</si>
  <si>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</si>
  <si>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</si>
  <si>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</si>
  <si>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</si>
  <si>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</si>
  <si>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</si>
  <si>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</si>
  <si>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</si>
  <si>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</si>
  <si>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</si>
  <si>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</si>
  <si>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</si>
  <si>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</si>
  <si>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</si>
  <si>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</si>
  <si>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</si>
  <si>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</si>
  <si>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</si>
  <si>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</si>
  <si>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</si>
  <si>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</si>
  <si>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</si>
  <si>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</si>
  <si>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</si>
  <si>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</si>
  <si>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</si>
  <si>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</si>
  <si>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</si>
  <si>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</si>
  <si>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</si>
  <si>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</si>
  <si>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</si>
  <si>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</si>
  <si>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</si>
  <si>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</si>
  <si>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</si>
  <si>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</si>
  <si>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</si>
  <si>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</si>
  <si>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</si>
  <si>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</si>
  <si>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</si>
  <si>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</si>
  <si>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</si>
  <si>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</si>
  <si>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</si>
  <si>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</si>
  <si>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</si>
  <si>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</si>
  <si>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</si>
  <si>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</si>
  <si>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</si>
  <si>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</si>
  <si>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</si>
  <si>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</si>
  <si>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</si>
  <si>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</si>
  <si>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</si>
  <si>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</si>
  <si>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</si>
  <si>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</si>
  <si>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</si>
  <si>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</si>
  <si>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</si>
  <si>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</si>
  <si>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</si>
  <si>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</si>
  <si>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</si>
  <si>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</si>
  <si>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</si>
  <si>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</si>
  <si>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</si>
  <si>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</si>
  <si>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</si>
  <si>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</si>
  <si>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</si>
  <si>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</si>
  <si>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</si>
  <si>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</si>
  <si>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</si>
  <si>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</si>
  <si>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</si>
  <si>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</si>
  <si>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</si>
  <si>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</si>
  <si>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</si>
  <si>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</si>
  <si>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</si>
  <si>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</si>
  <si>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</si>
  <si>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</si>
  <si>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</si>
  <si>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</si>
  <si>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</si>
  <si>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</si>
  <si>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</si>
  <si>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</si>
  <si>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</si>
  <si>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</si>
  <si>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</si>
  <si>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</si>
  <si>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</si>
  <si>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</si>
  <si>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</si>
  <si>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</si>
  <si>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</si>
  <si>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</si>
  <si>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</si>
  <si>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</si>
  <si>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</si>
  <si>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</si>
  <si>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</si>
  <si>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</si>
  <si>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</si>
  <si>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</si>
  <si>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</si>
  <si>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</si>
  <si>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</si>
  <si>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</si>
  <si>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</si>
  <si>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</si>
  <si>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</si>
  <si>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</si>
  <si>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</si>
  <si>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</si>
  <si>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</si>
  <si>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</si>
  <si>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</si>
  <si>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</si>
  <si>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</si>
  <si>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</si>
  <si>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</si>
  <si>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</si>
  <si>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</si>
  <si>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</si>
  <si>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</si>
  <si>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</si>
  <si>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</si>
  <si>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</si>
  <si>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</si>
  <si>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</si>
  <si>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</si>
  <si>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</si>
  <si>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</si>
  <si>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</si>
  <si>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</si>
  <si>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</si>
  <si>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</si>
  <si>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</si>
  <si>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</si>
  <si>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</si>
  <si>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</si>
  <si>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</si>
  <si>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</si>
  <si>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</si>
  <si>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</si>
  <si>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</si>
  <si>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</si>
  <si>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</si>
  <si>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</si>
  <si>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</si>
  <si>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</si>
  <si>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</si>
  <si>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</si>
  <si>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</si>
  <si>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</si>
  <si>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</si>
  <si>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</si>
  <si>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</si>
  <si>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</si>
  <si>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</si>
  <si>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</si>
  <si>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</si>
  <si>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</si>
  <si>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</si>
  <si>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</si>
  <si>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</si>
  <si>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</si>
  <si>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</si>
  <si>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</si>
  <si>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</si>
  <si>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</si>
  <si>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</si>
  <si>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</si>
  <si>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</si>
  <si>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</si>
  <si>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</si>
  <si>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</si>
  <si>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</si>
  <si>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</si>
  <si>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</si>
  <si>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</si>
  <si>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</si>
  <si>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</si>
  <si>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</si>
  <si>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</si>
  <si>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</si>
  <si>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</si>
  <si>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</si>
  <si>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</si>
  <si>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</si>
  <si>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</si>
  <si>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</si>
  <si>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</si>
  <si>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</si>
  <si>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</si>
  <si>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</si>
  <si>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</si>
  <si>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</si>
  <si>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</si>
  <si>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</si>
  <si>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</si>
  <si>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</si>
  <si>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</si>
  <si>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</si>
  <si>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</si>
  <si>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</si>
  <si>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</si>
  <si>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</si>
  <si>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</si>
  <si>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</si>
  <si>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</si>
  <si>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</si>
  <si>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</si>
  <si>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</si>
  <si>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</si>
  <si>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</si>
  <si>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</si>
  <si>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</si>
  <si>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</si>
  <si>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</si>
  <si>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</si>
  <si>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</si>
  <si>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</si>
  <si>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</si>
  <si>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</si>
  <si>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</si>
  <si>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</si>
  <si>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</si>
  <si>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</si>
  <si>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</si>
  <si>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</si>
  <si>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</si>
  <si>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</si>
  <si>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</si>
  <si>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</si>
  <si>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</si>
  <si>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</si>
  <si>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</si>
  <si>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</si>
  <si>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</si>
  <si>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</si>
  <si>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</si>
  <si>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</si>
  <si>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</si>
  <si>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</si>
  <si>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</si>
  <si>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</si>
  <si>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</si>
  <si>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</si>
  <si>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</si>
  <si>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</si>
  <si>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</si>
  <si>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</si>
  <si>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</si>
  <si>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</si>
  <si>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</si>
  <si>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</si>
  <si>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</si>
  <si>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</si>
  <si>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</si>
  <si>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</si>
  <si>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</si>
  <si>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</si>
  <si>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</si>
  <si>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</si>
  <si>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</si>
  <si>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</si>
  <si>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</si>
  <si>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</si>
  <si>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</si>
  <si>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</si>
  <si>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</si>
  <si>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</si>
  <si>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</si>
  <si>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</si>
  <si>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</si>
  <si>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</si>
  <si>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</si>
  <si>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</si>
  <si>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</si>
  <si>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</si>
  <si>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</si>
  <si>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</si>
  <si>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</si>
  <si>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</si>
  <si>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</si>
  <si>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</si>
  <si>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</si>
  <si>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</si>
  <si>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</si>
  <si>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</si>
  <si>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</si>
  <si>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</si>
  <si>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</si>
  <si>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</si>
  <si>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</si>
  <si>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</si>
  <si>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</si>
  <si>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</si>
  <si>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</si>
  <si>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</si>
  <si>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</si>
  <si>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</si>
  <si>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</si>
  <si>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</si>
  <si>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</si>
  <si>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</si>
  <si>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</si>
  <si>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</si>
  <si>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</si>
  <si>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</si>
  <si>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</si>
  <si>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</si>
  <si>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</si>
  <si>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</si>
  <si>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</si>
  <si>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</si>
  <si>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</si>
  <si>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</si>
  <si>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</si>
  <si>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</si>
  <si>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</si>
  <si>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</si>
  <si>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</si>
  <si>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</si>
  <si>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</si>
  <si>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</si>
  <si>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</si>
  <si>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</si>
  <si>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</si>
  <si>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</si>
  <si>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</si>
  <si>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</si>
  <si>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</si>
  <si>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</si>
  <si>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</si>
  <si>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</si>
  <si>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</si>
  <si>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</si>
  <si>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</si>
  <si>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</si>
  <si>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</si>
  <si>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</si>
  <si>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</si>
  <si>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</si>
  <si>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</si>
  <si>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</si>
  <si>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</si>
  <si>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</si>
  <si>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</si>
  <si>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</si>
  <si>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</si>
  <si>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</si>
  <si>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</si>
  <si>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</si>
  <si>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</si>
  <si>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</si>
  <si>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</si>
  <si>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</si>
  <si>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</si>
  <si>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</si>
  <si>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</si>
  <si>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</si>
  <si>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</si>
  <si>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</si>
  <si>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</si>
  <si>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</si>
  <si>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</si>
  <si>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</si>
  <si>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</si>
  <si>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</si>
  <si>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</si>
  <si>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</si>
  <si>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</si>
  <si>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</si>
  <si>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</si>
  <si>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</si>
  <si>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</si>
  <si>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</si>
  <si>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</si>
  <si>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</si>
  <si>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</si>
  <si>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</si>
  <si>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</si>
  <si>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</si>
  <si>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</si>
  <si>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</si>
  <si>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</si>
  <si>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</si>
  <si>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</si>
  <si>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</si>
  <si>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</si>
  <si>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</si>
  <si>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</si>
  <si>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</si>
  <si>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</si>
  <si>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</si>
  <si>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</si>
  <si>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</si>
  <si>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</si>
  <si>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</si>
  <si>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</si>
  <si>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</si>
  <si>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</si>
  <si>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</si>
  <si>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</si>
  <si>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</si>
  <si>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</si>
  <si>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</si>
  <si>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</si>
  <si>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</si>
  <si>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</si>
  <si>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</si>
  <si>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</si>
  <si>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</si>
  <si>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</si>
  <si>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</si>
  <si>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</si>
  <si>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</si>
  <si>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</si>
  <si>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</si>
  <si>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</si>
  <si>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</si>
  <si>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</si>
  <si>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</si>
  <si>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</si>
  <si>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</si>
  <si>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</si>
  <si>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</si>
  <si>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</si>
  <si>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</si>
  <si>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</si>
  <si>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</si>
  <si>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</si>
  <si>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</si>
  <si>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</si>
  <si>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</si>
  <si>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</si>
  <si>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</si>
  <si>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</si>
  <si>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</si>
  <si>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</si>
  <si>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</si>
  <si>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</si>
  <si>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</si>
  <si>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</si>
  <si>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</si>
  <si>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</si>
  <si>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</si>
  <si>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</si>
  <si>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</si>
  <si>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</si>
  <si>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</si>
  <si>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</si>
  <si>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</si>
  <si>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</si>
  <si>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</si>
  <si>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</si>
  <si>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</si>
  <si>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</si>
  <si>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</si>
  <si>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</si>
  <si>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</si>
  <si>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</si>
  <si>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</si>
  <si>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</si>
  <si>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</si>
  <si>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</si>
  <si>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</si>
  <si>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</si>
  <si>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</si>
  <si>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</si>
  <si>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</si>
  <si>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</si>
  <si>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</si>
  <si>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</si>
  <si>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</si>
  <si>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</si>
  <si>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</si>
  <si>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</si>
  <si>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</si>
  <si>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</si>
  <si>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</si>
  <si>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</si>
  <si>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</si>
  <si>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</si>
  <si>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</si>
  <si>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</si>
  <si>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</si>
  <si>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</si>
  <si>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</si>
  <si>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</si>
  <si>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</si>
  <si>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</si>
  <si>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</si>
  <si>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</si>
  <si>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</si>
  <si>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</si>
  <si>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</si>
  <si>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</si>
  <si>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</si>
  <si>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</si>
  <si>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</si>
  <si>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</si>
  <si>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</si>
  <si>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</si>
  <si>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</si>
  <si>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</si>
  <si>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</si>
  <si>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</si>
  <si>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</si>
  <si>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</si>
  <si>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</si>
  <si>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</si>
  <si>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</si>
  <si>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</si>
  <si>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</si>
  <si>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</si>
  <si>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</si>
  <si>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</si>
  <si>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</si>
  <si>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</si>
  <si>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</si>
  <si>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</si>
  <si>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</si>
  <si>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</si>
  <si>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</si>
  <si>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</si>
  <si>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</si>
  <si>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</si>
  <si>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</si>
  <si>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</si>
  <si>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</si>
  <si>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</si>
  <si>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</si>
  <si>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</si>
  <si>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</si>
  <si>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</si>
  <si>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</si>
  <si>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</si>
  <si>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</si>
  <si>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</si>
  <si>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</si>
  <si>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</si>
  <si>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</si>
  <si>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</si>
  <si>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</si>
  <si>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</si>
  <si>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</si>
  <si>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</si>
  <si>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</si>
  <si>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</si>
  <si>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</si>
  <si>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</si>
  <si>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</si>
  <si>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</si>
  <si>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</si>
  <si>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</si>
  <si>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</si>
  <si>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</si>
  <si>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</si>
  <si>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</si>
  <si>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</si>
  <si>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</si>
  <si>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</si>
  <si>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</si>
  <si>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</si>
  <si>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</si>
  <si>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</si>
  <si>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</si>
  <si>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</si>
  <si>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</si>
  <si>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</si>
  <si>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</si>
  <si>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</si>
  <si>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</si>
  <si>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</si>
  <si>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</si>
  <si>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</si>
  <si>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</si>
  <si>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</si>
  <si>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</si>
  <si>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</si>
  <si>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</si>
  <si>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</si>
  <si>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</si>
  <si>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</si>
  <si>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</si>
  <si>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</si>
  <si>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</si>
  <si>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</si>
  <si>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</si>
  <si>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</si>
  <si>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</si>
  <si>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</si>
  <si>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</si>
  <si>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</si>
  <si>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</si>
  <si>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</si>
  <si>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</si>
  <si>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</si>
  <si>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</si>
  <si>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</si>
  <si>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</si>
  <si>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</si>
  <si>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</si>
  <si>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</si>
  <si>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</si>
  <si>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</si>
  <si>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</si>
  <si>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</si>
  <si>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</si>
  <si>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</si>
  <si>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</si>
  <si>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</si>
  <si>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</si>
  <si>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</si>
  <si>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</si>
  <si>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</si>
  <si>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</si>
  <si>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</si>
  <si>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</si>
  <si>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</si>
  <si>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</si>
  <si>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</si>
  <si>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</si>
  <si>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</si>
  <si>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</si>
  <si>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</si>
  <si>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</si>
  <si>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</si>
  <si>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</si>
  <si>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</si>
  <si>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</si>
  <si>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</si>
  <si>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</si>
  <si>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</si>
  <si>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</si>
  <si>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</si>
  <si>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</si>
  <si>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</si>
  <si>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</si>
  <si>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</si>
  <si>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</si>
  <si>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</si>
  <si>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</si>
  <si>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</si>
  <si>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</si>
  <si>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</si>
  <si>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</si>
  <si>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</si>
  <si>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</si>
  <si>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</si>
  <si>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</si>
  <si>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</si>
  <si>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</si>
  <si>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</si>
  <si>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</si>
  <si>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</si>
  <si>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</si>
  <si>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</si>
  <si>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</si>
  <si>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</si>
  <si>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</si>
  <si>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</si>
  <si>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</si>
  <si>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</si>
  <si>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</si>
  <si>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</si>
  <si>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</si>
  <si>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</si>
  <si>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</si>
  <si>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</si>
  <si>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</si>
  <si>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</si>
  <si>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</si>
  <si>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</si>
  <si>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</si>
  <si>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</si>
  <si>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</si>
  <si>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</si>
  <si>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</si>
  <si>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</si>
  <si>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</si>
  <si>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</si>
  <si>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</si>
  <si>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</si>
  <si>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</si>
  <si>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</si>
  <si>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</si>
  <si>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</si>
  <si>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</si>
  <si>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</si>
  <si>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</si>
  <si>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</si>
  <si>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</si>
  <si>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</si>
  <si>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</si>
  <si>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</si>
  <si>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</si>
  <si>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</si>
  <si>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</si>
  <si>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</si>
  <si>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</si>
  <si>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</si>
  <si>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</si>
  <si>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</si>
  <si>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</si>
  <si>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</si>
  <si>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</si>
  <si>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</si>
  <si>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</si>
  <si>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</si>
  <si>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</si>
  <si>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</si>
  <si>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</si>
  <si>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</si>
  <si>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</si>
  <si>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</si>
  <si>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</si>
  <si>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</si>
  <si>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</si>
  <si>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</si>
  <si>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</si>
  <si>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</si>
  <si>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</si>
  <si>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</si>
  <si>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</si>
  <si>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</si>
  <si>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</si>
  <si>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</si>
  <si>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</si>
  <si>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</si>
  <si>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</si>
  <si>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</si>
  <si>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</si>
  <si>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</si>
  <si>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</si>
  <si>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</si>
  <si>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</si>
  <si>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</si>
  <si>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</si>
  <si>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</si>
  <si>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</si>
  <si>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</si>
  <si>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</si>
  <si>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</si>
  <si>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</si>
  <si>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</si>
  <si>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</si>
  <si>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</si>
  <si>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</si>
  <si>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</si>
  <si>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</si>
  <si>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</si>
  <si>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</si>
  <si>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</si>
  <si>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</si>
  <si>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</si>
  <si>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</si>
  <si>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</si>
  <si>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</si>
  <si>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</si>
  <si>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</si>
  <si>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</si>
  <si>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</si>
  <si>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</si>
  <si>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</si>
  <si>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</si>
  <si>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</si>
  <si>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</si>
  <si>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</si>
  <si>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</si>
  <si>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</si>
  <si>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</si>
  <si>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</si>
  <si>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</si>
  <si>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</si>
  <si>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</si>
  <si>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</si>
  <si>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</si>
  <si>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</si>
  <si>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</si>
  <si>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</si>
  <si>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</si>
  <si>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</si>
  <si>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</si>
  <si>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</si>
  <si>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</si>
  <si>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</si>
  <si>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</si>
  <si>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</si>
  <si>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</si>
  <si>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</si>
  <si>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</si>
  <si>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</si>
  <si>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</si>
  <si>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</si>
  <si>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</si>
  <si>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</si>
  <si>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</si>
  <si>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</si>
  <si>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</si>
  <si>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</si>
  <si>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</si>
  <si>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</si>
  <si>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</si>
  <si>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</si>
  <si>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</si>
  <si>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</si>
  <si>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</si>
  <si>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</si>
  <si>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</si>
  <si>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</si>
  <si>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</si>
  <si>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</si>
  <si>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</si>
  <si>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</si>
  <si>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</si>
  <si>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</si>
  <si>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</si>
  <si>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</si>
  <si>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</si>
  <si>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</si>
  <si>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</si>
  <si>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</si>
  <si>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</si>
  <si>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</si>
  <si>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</si>
  <si>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</si>
  <si>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</si>
  <si>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</si>
  <si>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</si>
  <si>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</si>
  <si>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</si>
  <si>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</si>
  <si>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</si>
  <si>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</si>
  <si>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</si>
  <si>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</si>
  <si>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</si>
  <si>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</si>
  <si>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</si>
  <si>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</si>
  <si>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</si>
  <si>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</si>
  <si>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</si>
  <si>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</si>
  <si>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</si>
  <si>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</si>
  <si>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</si>
  <si>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</si>
  <si>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</si>
  <si>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</si>
  <si>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</si>
  <si>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</si>
  <si>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</si>
  <si>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</si>
  <si>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</si>
  <si>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</si>
  <si>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</si>
  <si>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</si>
  <si>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</si>
  <si>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</si>
  <si>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</si>
  <si>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</si>
  <si>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</si>
  <si>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</si>
  <si>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</si>
  <si>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</si>
  <si>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</si>
  <si>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</si>
  <si>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</si>
  <si>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</si>
  <si>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</si>
  <si>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</si>
  <si>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</si>
  <si>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</si>
  <si>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</si>
  <si>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</si>
  <si>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</si>
  <si>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</si>
  <si>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</si>
  <si>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</si>
  <si>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</si>
  <si>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</si>
  <si>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</si>
  <si>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</si>
  <si>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</si>
  <si>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</si>
  <si>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</si>
  <si>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</si>
  <si>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</si>
  <si>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</si>
  <si>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</si>
  <si>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</si>
  <si>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</si>
  <si>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</si>
  <si>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</si>
  <si>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</si>
  <si>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</si>
  <si>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</si>
  <si>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</si>
  <si>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</si>
  <si>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</si>
  <si>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</si>
  <si>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</si>
  <si>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</si>
  <si>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</si>
  <si>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</si>
  <si>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</si>
  <si>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</si>
  <si>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</si>
  <si>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</si>
  <si>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</si>
  <si>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</si>
  <si>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</si>
  <si>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</si>
  <si>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</si>
  <si>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</si>
  <si>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</si>
  <si>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</si>
  <si>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</si>
  <si>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</si>
  <si>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</si>
  <si>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</si>
  <si>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</si>
  <si>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</si>
  <si>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</si>
  <si>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</si>
  <si>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</si>
  <si>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</si>
  <si>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</si>
  <si>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</si>
  <si>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</si>
  <si>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</si>
  <si>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</si>
  <si>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</si>
  <si>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</si>
  <si>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</si>
  <si>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</si>
  <si>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</si>
  <si>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</si>
  <si>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</si>
  <si>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</si>
  <si>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</si>
  <si>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</si>
  <si>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</si>
  <si>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</si>
  <si>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</si>
  <si>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</si>
  <si>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</si>
  <si>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</si>
  <si>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</si>
  <si>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</si>
  <si>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</si>
  <si>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</si>
  <si>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</si>
  <si>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</si>
  <si>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</si>
  <si>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</si>
  <si>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</si>
  <si>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</si>
  <si>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</si>
  <si>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</si>
  <si>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</si>
  <si>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</si>
  <si>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</si>
  <si>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</si>
  <si>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</si>
  <si>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</si>
  <si>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</si>
  <si>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</si>
  <si>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</si>
  <si>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</si>
  <si>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</si>
  <si>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</si>
  <si>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</si>
  <si>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</si>
  <si>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</si>
  <si>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</si>
  <si>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</si>
  <si>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</si>
  <si>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</si>
  <si>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</si>
  <si>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</si>
  <si>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</si>
  <si>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</si>
  <si>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</si>
  <si>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</si>
  <si>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</si>
  <si>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</si>
  <si>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</si>
  <si>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</si>
  <si>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</si>
  <si>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</si>
  <si>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</si>
  <si>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</si>
  <si>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</si>
  <si>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</si>
  <si>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</si>
  <si>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</si>
  <si>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</si>
  <si>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</si>
  <si>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</si>
  <si>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</si>
  <si>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</si>
  <si>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</si>
  <si>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</si>
  <si>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</si>
  <si>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</si>
  <si>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</si>
  <si>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</si>
  <si>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</si>
  <si>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</si>
  <si>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</si>
  <si>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</si>
  <si>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</si>
  <si>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</si>
  <si>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</si>
  <si>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</si>
  <si>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</si>
  <si>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</si>
  <si>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</si>
  <si>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</si>
  <si>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</si>
  <si>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</si>
  <si>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</si>
  <si>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</si>
  <si>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</si>
  <si>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</si>
  <si>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</si>
  <si>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</si>
  <si>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</si>
  <si>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</si>
  <si>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</si>
  <si>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</si>
  <si>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</si>
  <si>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</si>
  <si>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</si>
  <si>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</si>
  <si>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</si>
  <si>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</si>
  <si>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</si>
  <si>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</si>
  <si>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</si>
  <si>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</si>
  <si>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</si>
  <si>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</si>
  <si>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</si>
  <si>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</si>
  <si>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</si>
  <si>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</si>
  <si>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</si>
  <si>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</si>
  <si>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</si>
  <si>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</si>
  <si>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</si>
  <si>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</si>
  <si>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</si>
  <si>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</si>
  <si>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</si>
  <si>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</si>
  <si>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</si>
  <si>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</si>
  <si>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</si>
  <si>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</si>
  <si>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</si>
  <si>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</si>
  <si>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</si>
  <si>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</si>
  <si>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</si>
  <si>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</si>
  <si>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</si>
  <si>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</si>
  <si>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</si>
  <si>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</si>
  <si>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</si>
  <si>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</si>
  <si>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</si>
  <si>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</si>
  <si>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</si>
  <si>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</si>
  <si>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</si>
  <si>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</si>
  <si>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</si>
  <si>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</si>
  <si>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</si>
  <si>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</si>
  <si>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</si>
  <si>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</si>
  <si>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</si>
  <si>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</si>
  <si>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</si>
  <si>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</si>
  <si>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</si>
  <si>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</si>
  <si>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</si>
  <si>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</si>
  <si>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</si>
  <si>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</si>
  <si>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</si>
  <si>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</si>
  <si>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</si>
  <si>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</si>
  <si>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</si>
  <si>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</si>
  <si>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</si>
  <si>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</si>
  <si>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</si>
  <si>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</si>
  <si>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</si>
  <si>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</si>
  <si>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</si>
  <si>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</si>
  <si>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</si>
  <si>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</si>
  <si>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</si>
  <si>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</si>
  <si>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</si>
  <si>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</si>
  <si>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</si>
  <si>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</si>
  <si>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</si>
  <si>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</si>
  <si>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</si>
  <si>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</si>
  <si>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</si>
  <si>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</si>
  <si>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</si>
  <si>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</si>
  <si>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</si>
  <si>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</si>
  <si>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</si>
  <si>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</si>
  <si>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</si>
  <si>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</si>
  <si>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</si>
  <si>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</si>
  <si>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</si>
  <si>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</si>
  <si>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</si>
  <si>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</si>
  <si>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</si>
  <si>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</si>
  <si>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</si>
  <si>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</si>
  <si>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</si>
  <si>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</si>
  <si>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</si>
  <si>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</si>
  <si>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</si>
  <si>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</si>
  <si>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</si>
  <si>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</si>
  <si>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</si>
  <si>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</si>
  <si>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</si>
  <si>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</si>
  <si>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</si>
  <si>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</si>
  <si>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</si>
  <si>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</si>
  <si>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</si>
  <si>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</si>
  <si>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</si>
  <si>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</si>
  <si>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</si>
  <si>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</si>
  <si>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</si>
  <si>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</si>
  <si>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</si>
  <si>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</si>
  <si>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</si>
  <si>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</si>
  <si>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</si>
  <si>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</si>
  <si>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</si>
  <si>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</si>
  <si>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</si>
  <si>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</si>
  <si>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</si>
  <si>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</si>
  <si>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</si>
  <si>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</si>
  <si>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</si>
  <si>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</si>
  <si>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</si>
  <si>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</si>
  <si>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</si>
  <si>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</si>
  <si>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</si>
  <si>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</si>
  <si>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</si>
  <si>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</si>
  <si>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</si>
  <si>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</si>
  <si>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</si>
  <si>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</si>
  <si>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</si>
  <si>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</si>
  <si>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</si>
  <si>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</si>
  <si>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</si>
  <si>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</si>
  <si>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</si>
  <si>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</si>
  <si>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</si>
  <si>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</si>
  <si>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</si>
  <si>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</si>
  <si>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</si>
  <si>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</si>
  <si>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</si>
  <si>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</si>
  <si>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</si>
  <si>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</si>
  <si>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</si>
  <si>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</si>
  <si>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</si>
  <si>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</si>
  <si>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</si>
  <si>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</si>
  <si>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</si>
  <si>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</si>
  <si>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</si>
  <si>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</si>
  <si>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</si>
  <si>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</si>
  <si>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</si>
  <si>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</si>
  <si>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</si>
  <si>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</si>
  <si>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</si>
  <si>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</si>
  <si>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</si>
  <si>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</si>
  <si>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</si>
  <si>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</si>
  <si>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</si>
  <si>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</si>
  <si>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</si>
  <si>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</si>
  <si>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</si>
  <si>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</si>
  <si>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</si>
  <si>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</si>
  <si>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</si>
  <si>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</si>
  <si>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</si>
  <si>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</si>
  <si>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</si>
  <si>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</si>
  <si>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</si>
  <si>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</si>
  <si>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</si>
  <si>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</si>
  <si>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</si>
  <si>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</si>
  <si>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</si>
  <si>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</si>
  <si>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</si>
  <si>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</si>
  <si>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</si>
  <si>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</si>
  <si>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</si>
  <si>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</si>
  <si>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</si>
  <si>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</si>
  <si>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</si>
  <si>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</si>
  <si>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</si>
  <si>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</si>
  <si>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</si>
  <si>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</si>
  <si>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</si>
  <si>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</si>
  <si>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</si>
  <si>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</si>
  <si>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</si>
  <si>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</si>
  <si>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</si>
  <si>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</si>
  <si>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</si>
  <si>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</si>
  <si>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</si>
  <si>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</si>
  <si>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</si>
  <si>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</si>
  <si>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</si>
  <si>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</si>
  <si>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</si>
  <si>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</si>
  <si>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</si>
  <si>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</si>
  <si>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</si>
  <si>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</si>
  <si>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</si>
  <si>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</si>
  <si>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</si>
  <si>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</si>
  <si>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</si>
  <si>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</si>
  <si>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</si>
  <si>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</si>
  <si>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</si>
  <si>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</si>
  <si>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</si>
  <si>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</si>
  <si>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</si>
  <si>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</si>
  <si>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</si>
  <si>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</si>
  <si>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</si>
  <si>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</si>
  <si>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</si>
  <si>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</si>
  <si>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</si>
  <si>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</si>
  <si>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</si>
  <si>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</si>
  <si>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</si>
  <si>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</si>
  <si>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</si>
  <si>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</si>
  <si>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</si>
  <si>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</si>
  <si>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</si>
  <si>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</si>
  <si>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</si>
  <si>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</si>
  <si>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</si>
  <si>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</si>
  <si>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</si>
  <si>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</si>
  <si>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</si>
  <si>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</si>
  <si>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</si>
  <si>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</si>
  <si>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</si>
  <si>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</si>
  <si>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</si>
  <si>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</si>
  <si>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</si>
  <si>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</si>
  <si>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</si>
  <si>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</si>
  <si>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</si>
  <si>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</si>
  <si>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</si>
  <si>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</si>
  <si>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</si>
  <si>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</si>
  <si>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</si>
  <si>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</si>
  <si>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</si>
  <si>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</si>
  <si>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</si>
  <si>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</si>
  <si>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</si>
  <si>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</si>
  <si>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</si>
  <si>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</si>
  <si>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</si>
  <si>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</si>
  <si>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</si>
  <si>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</si>
  <si>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</si>
  <si>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</si>
  <si>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</si>
  <si>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</si>
  <si>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</si>
  <si>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</si>
  <si>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</si>
  <si>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</si>
  <si>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</si>
  <si>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</si>
  <si>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</si>
  <si>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</si>
  <si>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</si>
  <si>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</si>
  <si>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</si>
  <si>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</si>
  <si>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</si>
  <si>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</si>
  <si>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</si>
  <si>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</si>
  <si>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</si>
  <si>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</si>
  <si>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</si>
  <si>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</si>
  <si>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</si>
  <si>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</si>
  <si>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</si>
  <si>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</si>
  <si>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</si>
  <si>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</si>
  <si>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</si>
  <si>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</si>
  <si>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</si>
  <si>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</si>
  <si>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</si>
  <si>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</si>
  <si>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</si>
  <si>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</si>
  <si>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</si>
  <si>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</si>
  <si>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</si>
  <si>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</si>
  <si>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</si>
  <si>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</si>
  <si>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</si>
  <si>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</si>
  <si>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</si>
  <si>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</si>
  <si>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</si>
  <si>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</si>
  <si>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</si>
  <si>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</si>
  <si>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</si>
  <si>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</si>
  <si>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</si>
  <si>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</si>
  <si>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</si>
  <si>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</si>
  <si>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</si>
  <si>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</si>
  <si>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</si>
  <si>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</si>
  <si>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</si>
  <si>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</si>
  <si>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</si>
  <si>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</si>
  <si>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</si>
  <si>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</si>
  <si>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</si>
  <si>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</si>
  <si>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</si>
  <si>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</si>
  <si>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</si>
  <si>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</si>
  <si>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</si>
  <si>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</si>
  <si>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</si>
  <si>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</si>
  <si>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</si>
  <si>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</si>
  <si>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</si>
  <si>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</si>
  <si>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</si>
  <si>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</si>
  <si>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</si>
  <si>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</si>
  <si>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</si>
  <si>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</si>
  <si>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</si>
  <si>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</si>
  <si>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</si>
  <si>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</si>
  <si>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</si>
  <si>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</si>
  <si>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</si>
  <si>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</si>
  <si>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</si>
  <si>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</si>
  <si>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</si>
  <si>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</si>
  <si>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</si>
  <si>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</si>
  <si>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</si>
  <si>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</si>
  <si>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</si>
  <si>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</si>
  <si>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</si>
  <si>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</si>
  <si>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</si>
  <si>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</si>
  <si>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</si>
  <si>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</si>
  <si>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</si>
  <si>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P000000866</t>
  </si>
  <si>
    <t>P000000868</t>
  </si>
  <si>
    <t>P000001275</t>
  </si>
  <si>
    <t>P000000708</t>
  </si>
  <si>
    <t>P000000992</t>
  </si>
  <si>
    <t>P000000731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</si>
  <si>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</si>
  <si>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</si>
  <si>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</si>
  <si>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</si>
  <si>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</si>
  <si>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</si>
  <si>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</si>
  <si>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</si>
  <si>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</si>
  <si>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</si>
  <si>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</si>
  <si>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</si>
  <si>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</si>
  <si>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</si>
  <si>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</si>
  <si>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</si>
  <si>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</si>
  <si>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</si>
  <si>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</si>
  <si>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</si>
  <si>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</si>
  <si>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</si>
  <si>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</si>
  <si>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</si>
  <si>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</si>
  <si>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</si>
  <si>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</si>
  <si>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</si>
  <si>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</si>
  <si>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</si>
  <si>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</si>
  <si>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</si>
  <si>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</si>
  <si>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</si>
  <si>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</si>
  <si>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</si>
  <si>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</si>
  <si>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</si>
  <si>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</si>
  <si>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</si>
  <si>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</si>
  <si>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</si>
  <si>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</si>
  <si>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</si>
  <si>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</si>
  <si>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</si>
  <si>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</si>
  <si>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</si>
  <si>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</si>
  <si>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</si>
  <si>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</si>
  <si>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</si>
  <si>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</si>
  <si>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</si>
  <si>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</si>
  <si>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</si>
  <si>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</si>
  <si>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</si>
  <si>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</si>
  <si>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</si>
  <si>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</si>
  <si>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</si>
  <si>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</si>
  <si>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</si>
  <si>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</si>
  <si>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</si>
  <si>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</si>
  <si>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</si>
  <si>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</si>
  <si>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</si>
  <si>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</si>
  <si>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</si>
  <si>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</si>
  <si>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</si>
  <si>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</si>
  <si>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</si>
  <si>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</si>
  <si>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</si>
  <si>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</si>
  <si>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</si>
  <si>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</si>
  <si>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</si>
  <si>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</si>
  <si>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</si>
  <si>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</si>
  <si>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</si>
  <si>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</si>
  <si>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</si>
  <si>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</si>
  <si>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</si>
  <si>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</si>
  <si>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</si>
  <si>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</si>
  <si>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</si>
  <si>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</si>
  <si>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</si>
  <si>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</si>
  <si>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</si>
  <si>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</si>
  <si>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</si>
  <si>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</si>
  <si>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</si>
  <si>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</si>
  <si>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</si>
  <si>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</si>
  <si>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</si>
  <si>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</si>
  <si>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</si>
  <si>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</si>
  <si>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</si>
  <si>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</si>
  <si>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</si>
  <si>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</si>
  <si>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</si>
  <si>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</si>
  <si>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</si>
  <si>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</si>
  <si>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</si>
  <si>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</si>
  <si>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</si>
  <si>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</si>
  <si>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</si>
  <si>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</si>
  <si>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</si>
  <si>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</si>
  <si>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</si>
  <si>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</si>
  <si>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</si>
  <si>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</si>
  <si>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</si>
  <si>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</si>
  <si>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</si>
  <si>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</si>
  <si>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</si>
  <si>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</si>
  <si>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</si>
  <si>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</si>
  <si>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</si>
  <si>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</si>
  <si>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</si>
  <si>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</si>
  <si>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</si>
  <si>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</si>
  <si>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</si>
  <si>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</si>
  <si>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</si>
  <si>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</si>
  <si>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</si>
  <si>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</si>
  <si>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</si>
  <si>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</si>
  <si>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</si>
  <si>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</si>
  <si>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</si>
  <si>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</si>
  <si>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</si>
  <si>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</si>
  <si>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</si>
  <si>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</si>
  <si>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</si>
  <si>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</si>
  <si>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</si>
  <si>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</si>
  <si>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</si>
  <si>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</si>
  <si>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</si>
  <si>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</si>
  <si>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</si>
  <si>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</si>
  <si>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</si>
  <si>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</si>
  <si>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</si>
  <si>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</si>
  <si>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</si>
  <si>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</si>
  <si>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</si>
  <si>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</si>
  <si>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</si>
  <si>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</si>
  <si>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</si>
  <si>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</si>
  <si>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</si>
  <si>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</si>
  <si>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</si>
  <si>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</si>
  <si>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</si>
  <si>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</si>
  <si>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</si>
  <si>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</si>
  <si>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</si>
  <si>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</si>
  <si>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</si>
  <si>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</si>
  <si>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</si>
  <si>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</si>
  <si>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</si>
  <si>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</si>
  <si>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</si>
  <si>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</si>
  <si>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</si>
  <si>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</si>
  <si>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</si>
  <si>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</si>
  <si>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</si>
  <si>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</si>
  <si>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</si>
  <si>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</si>
  <si>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</si>
  <si>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</si>
  <si>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</si>
  <si>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</si>
  <si>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</si>
  <si>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</si>
  <si>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</si>
  <si>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</si>
  <si>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</si>
  <si>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</si>
  <si>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</si>
  <si>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</si>
  <si>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</si>
  <si>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</si>
  <si>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Standard</t>
  </si>
  <si>
    <t>US01R00506</t>
  </si>
  <si>
    <t>KR02R00103</t>
  </si>
  <si>
    <t>CN09L80000</t>
  </si>
  <si>
    <t>CN10L80000</t>
  </si>
  <si>
    <t>CN43L80000</t>
  </si>
  <si>
    <t>SG09GIN004</t>
  </si>
  <si>
    <t>CN01GIN004</t>
  </si>
  <si>
    <t>CN02GIN005</t>
  </si>
  <si>
    <t>CN03OF0502</t>
  </si>
  <si>
    <t>HK01GIN005</t>
  </si>
  <si>
    <t>US01GIN101</t>
  </si>
  <si>
    <t>IN01Z02185</t>
  </si>
  <si>
    <t>JP01Z02182</t>
  </si>
  <si>
    <t>KR02Z02185</t>
  </si>
  <si>
    <t>KR03Z02185</t>
  </si>
  <si>
    <t>DE04L80000</t>
  </si>
  <si>
    <t>DE10L80000</t>
  </si>
  <si>
    <t>US01L80000</t>
  </si>
  <si>
    <t>DE10L80001</t>
  </si>
  <si>
    <t>DE10B06200</t>
  </si>
  <si>
    <t>DE10B06210</t>
  </si>
  <si>
    <t>KR00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</si>
  <si>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</si>
  <si>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</si>
  <si>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</si>
  <si>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</si>
  <si>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</si>
  <si>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</si>
  <si>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</si>
  <si>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</si>
  <si>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</si>
  <si>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</si>
  <si>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</si>
  <si>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</si>
  <si>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</si>
  <si>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DE10Q00120</t>
  </si>
  <si>
    <t>US01C04501</t>
  </si>
  <si>
    <t>US01OF0403</t>
  </si>
  <si>
    <t>US10C05005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</si>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</sst>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993502430552" createdVersion="7" refreshedVersion="7" minRefreshableVersion="3" recordCount="5476" xr:uid="{11839AE3-6158-4318-87AD-2C711D0BF451}">
  <cacheSource type="worksheet">
    <worksheetSource name="Proc"/>
  </cacheSource>
  <cacheFields count="19">
    <cacheField name="App" numFmtId="0">
      <sharedItems containsBlank="1" count="167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2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8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8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5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5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5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5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5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5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5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5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5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5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5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5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5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5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5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5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5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5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5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5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5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5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5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5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5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5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5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5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5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5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5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5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5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5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5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5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5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5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5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5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5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5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5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5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5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5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5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5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5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4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4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4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4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4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4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4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4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3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3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3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3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3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3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3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2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2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2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8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8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8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8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8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8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8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8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8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8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8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8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8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8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8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8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7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7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7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7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7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6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6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5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5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5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5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5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5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4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4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4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4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4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4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4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4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4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4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4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4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4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4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4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4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4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4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4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3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3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3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3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3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3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3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3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3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3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3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3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3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3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3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3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3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3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3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3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3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3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3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3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3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3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2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2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2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2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2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2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2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2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2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2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2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2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2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2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2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2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2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2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2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2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2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2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2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2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2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2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2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2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2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2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2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2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2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2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2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2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2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2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2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2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2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2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2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2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2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2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2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2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2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2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2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2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2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2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2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2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2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2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2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2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2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2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2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2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2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2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2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2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2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2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2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2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2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2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2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2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2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2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2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2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2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2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2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2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2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2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2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2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2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2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2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2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2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2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2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2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2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2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2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2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2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2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2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2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2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2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2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2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2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1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1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1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1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1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1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0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0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0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0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0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0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0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0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0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0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0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0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0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0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0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0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0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0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0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0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0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0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0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0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0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0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0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0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0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0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0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0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0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0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0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0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0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0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0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0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0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0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0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0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0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0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0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0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0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0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0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0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0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0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0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0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0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0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0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0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0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0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0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0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0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0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0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0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0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0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0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0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0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0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0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0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0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0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0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0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0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0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0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0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0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0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0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0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0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0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0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0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0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0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0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0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0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0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0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0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0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0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0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0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0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0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0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0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0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0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0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0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0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0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0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0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0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0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9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9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9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9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9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9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9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9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9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9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9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9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9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9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9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9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9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9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9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9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9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9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9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9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9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9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9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8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8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8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8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8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8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8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7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7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7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7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7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6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6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6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6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6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6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6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6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6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6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6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6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6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6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6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6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6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6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6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6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6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6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6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6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6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6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6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6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65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68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6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3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1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1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1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1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0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58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58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58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55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55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55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55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55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2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2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2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2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2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2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1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1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1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1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1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9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47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47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47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47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47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47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47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47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47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47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47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47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47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47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47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47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47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47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47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47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47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47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47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47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47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47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47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47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47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47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47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47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47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46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46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46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46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46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46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46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46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46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46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44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44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44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44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44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44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44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44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44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44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44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44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44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44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44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44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44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44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44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44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44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44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44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44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44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44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44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44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44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44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44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44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44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44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3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3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3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3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3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3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3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3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3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3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3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3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3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3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3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3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3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3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3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3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3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3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3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3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3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3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2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2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2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2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2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2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2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2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2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1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1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1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1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1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1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1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1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1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1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1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0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9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9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37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37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37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37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37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37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37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37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37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35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3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3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3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3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3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2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2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9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9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9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9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9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9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9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9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9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2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2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2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18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18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18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18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18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18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18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18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80"/>
    <x v="1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16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16"/>
    <s v="Jay-R Lizardo"/>
    <m/>
  </r>
  <r>
    <x v="480"/>
    <x v="1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16"/>
    <s v="Jay-R Lizardo"/>
    <m/>
  </r>
  <r>
    <x v="480"/>
    <x v="1"/>
    <x v="5"/>
    <s v="CLFF_1000$$$DE10YIT020"/>
    <s v="G000000273"/>
    <s v="G000001240"/>
    <s v="LFF (MDG-F)"/>
    <s v="DE10YIT020"/>
    <s v="DONE ON MDGF, NOT YET REPLICATED"/>
    <b v="0"/>
    <x v="0"/>
    <x v="0"/>
    <d v="2026-01-06T00:00:00"/>
    <m/>
    <m/>
    <x v="1"/>
    <n v="16"/>
    <s v="Jay-R Lizardo"/>
    <m/>
  </r>
  <r>
    <x v="480"/>
    <x v="1"/>
    <x v="5"/>
    <s v="CLFF_1000$$$DE10YIT021"/>
    <s v="G000000339"/>
    <s v="G000000786"/>
    <s v="LFF (MDG-F)"/>
    <s v="DE10YIT021"/>
    <s v="DONE ON MDGF, NOT YET REPLICATED"/>
    <b v="0"/>
    <x v="0"/>
    <x v="0"/>
    <d v="2026-01-06T00:00:00"/>
    <m/>
    <m/>
    <x v="1"/>
    <n v="16"/>
    <s v="Jay-R Lizardo"/>
    <m/>
  </r>
  <r>
    <x v="481"/>
    <x v="1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9"/>
    <s v="John Rowie Del Rosario"/>
    <m/>
  </r>
  <r>
    <x v="481"/>
    <x v="1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9"/>
    <s v="John Rowie Del Rosario"/>
    <m/>
  </r>
  <r>
    <x v="481"/>
    <x v="1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L_E1_JPAK ProcOrd_PM Atsugi_JPAK"/>
    <s v="P000000087"/>
    <s v="P000000777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9"/>
    <s v="John Rowie Del Rosario"/>
    <m/>
  </r>
  <r>
    <x v="481"/>
    <x v="1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9"/>
    <s v="John Rowie Del Rosario"/>
    <m/>
  </r>
  <r>
    <x v="481"/>
    <x v="1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9"/>
    <s v="John Rowie Del Rosario"/>
    <m/>
  </r>
  <r>
    <x v="481"/>
    <x v="1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100000 Ca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100000 Ca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700000 O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700000 O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9"/>
    <s v="John Rowie Del Rosario"/>
    <m/>
  </r>
  <r>
    <x v="481"/>
    <x v="1"/>
    <x v="4"/>
    <s v="FK100011950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9"/>
    <s v="John Rowie Del Rosario"/>
    <m/>
  </r>
  <r>
    <x v="481"/>
    <x v="1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5"/>
    <s v="CLFF_VMCA$$$US10C06080 Planarization ISC"/>
    <s v="P000000522"/>
    <s v="P000000866"/>
    <s v="LFF (MDG-F)"/>
    <s v="US10C0608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GB10C05000 PM-IOL-Y SC Planning"/>
    <s v="P000000522"/>
    <s v="P000000868"/>
    <s v="LFF (MDG-F)"/>
    <s v="GB10C0500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KR07PD2332 Material Planning/Operations PLA/PAT"/>
    <s v="P000000522"/>
    <s v="P000000868"/>
    <s v="LFF (MDG-F)"/>
    <s v="KR07PD2332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PD1808 Material Planning/Operations"/>
    <s v="P000000522"/>
    <s v="P000000868"/>
    <s v="LFF (MDG-F)"/>
    <s v="US10PD1808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9"/>
    <s v="John Rowie Del Rosario"/>
    <m/>
  </r>
  <r>
    <x v="481"/>
    <x v="1"/>
    <x v="5"/>
    <s v="CLFF_VMCA$$$US10TN2100 US ELDP Central CC"/>
    <s v="P000001272"/>
    <s v="P000000578"/>
    <s v="LFF (MDG-F)"/>
    <s v="US10TN2100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9"/>
    <s v="John Rowie Del Rosario"/>
    <m/>
  </r>
  <r>
    <x v="481"/>
    <x v="1"/>
    <x v="5"/>
    <s v="CLFF_VMCA$$$US10L81000 DSS Global Head of ISC"/>
    <s v="P000001411"/>
    <s v="P000001275"/>
    <s v="LFF (MDG-F)"/>
    <s v="US10L8100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C01710 DS Mech/Sys Eng"/>
    <s v="P000001300"/>
    <s v="P000000708"/>
    <s v="LFF (MDG-F)"/>
    <s v="US10C0171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C01711 DS Polyflow Engineering"/>
    <s v="P000001300"/>
    <s v="P000000708"/>
    <s v="LFF (MDG-F)"/>
    <s v="US10C01711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PD1014 Engineering Licenses"/>
    <s v="P000001300"/>
    <s v="P000000708"/>
    <s v="LFF (MDG-F)"/>
    <s v="US10PD1014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PD1807 DS Svcs Engineering Admin"/>
    <s v="P000001300"/>
    <s v="P000000708"/>
    <s v="LFF (MDG-F)"/>
    <s v="US10PD1807"/>
    <s v="TO BE DONE IN 2026"/>
    <b v="0"/>
    <x v="3"/>
    <x v="0"/>
    <d v="2026-01-15T00:00:00"/>
    <m/>
    <m/>
    <x v="1"/>
    <n v="9"/>
    <s v="John Rowie Del Rosario"/>
    <m/>
  </r>
  <r>
    <x v="481"/>
    <x v="1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TW10C06306 DSS Engineering TW10"/>
    <s v="P000001301"/>
    <s v="P000000992"/>
    <s v="LFF (MDG-F)"/>
    <s v="TW10C06306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TW91C06026 DSS Engineering TW91"/>
    <s v="P000001301"/>
    <s v="P000000992"/>
    <s v="LFF (MDG-F)"/>
    <s v="TW91C06026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KR08PD2806 KR08 DSS Project Engineering"/>
    <s v="P000001302"/>
    <s v="P000000731"/>
    <s v="LFF (MDG-F)"/>
    <s v="KR08PD2806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9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9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9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7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7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0"/>
    <n v="4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0"/>
    <n v="4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0"/>
    <n v="4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0"/>
    <n v="4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0"/>
    <n v="4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0"/>
    <n v="4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0"/>
    <n v="4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0"/>
    <n v="4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0"/>
    <n v="4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0"/>
    <n v="4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0"/>
    <n v="4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0"/>
    <n v="4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0"/>
    <n v="4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0"/>
    <n v="4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0"/>
    <n v="4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0"/>
    <n v="4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0"/>
    <n v="4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0"/>
    <n v="4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0"/>
    <n v="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0"/>
    <n v="4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0"/>
    <n v="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0"/>
    <n v="4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0"/>
    <n v="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0"/>
    <n v="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0"/>
    <n v="4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0"/>
    <n v="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0"/>
    <n v="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0"/>
    <n v="4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0"/>
    <n v="4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0"/>
    <n v="4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0"/>
    <n v="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0"/>
    <n v="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0"/>
    <n v="4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0"/>
    <n v="4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0"/>
    <n v="4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0"/>
    <n v="4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0"/>
    <n v="4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0"/>
    <n v="4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0"/>
    <n v="4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0"/>
    <n v="4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0"/>
    <n v="4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0"/>
    <n v="4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0"/>
    <n v="4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0"/>
    <n v="4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0"/>
    <n v="4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0"/>
    <n v="4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0"/>
    <n v="4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0"/>
    <n v="4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0"/>
    <n v="4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0"/>
    <n v="4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0"/>
    <n v="4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0"/>
    <n v="4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0"/>
    <n v="4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0"/>
    <n v="4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0"/>
    <n v="4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0"/>
    <n v="4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0"/>
    <n v="4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0"/>
    <n v="4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0"/>
    <n v="4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0"/>
    <n v="4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0"/>
    <n v="4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0"/>
    <n v="4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0"/>
    <n v="4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0"/>
    <n v="4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0"/>
    <n v="4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0"/>
    <n v="4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0"/>
    <n v="4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0"/>
    <n v="4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0"/>
    <n v="4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0"/>
    <n v="4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0"/>
    <n v="3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9"/>
    <x v="1"/>
    <x v="6"/>
    <s v="CLFF_1000$$$DE10B14454 LS-SC-EAAC SME Global Aut"/>
    <s v="L000013867"/>
    <m/>
    <s v="LFF (MDG-F)"/>
    <s v="DE10B14454"/>
    <m/>
    <b v="0"/>
    <x v="2"/>
    <x v="0"/>
    <d v="2026-01-28T00:00:00"/>
    <m/>
    <m/>
    <x v="0"/>
    <n v="0"/>
    <s v="Ruby Grace Garcia"/>
    <m/>
  </r>
  <r>
    <x v="489"/>
    <x v="1"/>
    <x v="6"/>
    <s v="CLFF_1000$$$DE10B64455 LS-SC-EC Proj&amp;Eng-US"/>
    <s v="L000013795"/>
    <m/>
    <s v="LFF (MDG-F)"/>
    <s v="DE10B64455"/>
    <m/>
    <b v="0"/>
    <x v="2"/>
    <x v="0"/>
    <d v="2026-01-28T00:00:00"/>
    <m/>
    <m/>
    <x v="0"/>
    <n v="0"/>
    <s v="Ruby Grace Garcia"/>
    <m/>
  </r>
  <r>
    <x v="490"/>
    <x v="1"/>
    <x v="5"/>
    <s v="CTEMPNA_1000US12000001 Transaction cost acquisition Springworks"/>
    <s v="H000000887"/>
    <m/>
    <s v="Non-LFF"/>
    <s v=""/>
    <m/>
    <b v="0"/>
    <x v="1"/>
    <x v="0"/>
    <d v="2026-01-28T00:00:00"/>
    <m/>
    <m/>
    <x v="0"/>
    <n v="0"/>
    <s v="Henry Ifurung Jr."/>
    <m/>
  </r>
  <r>
    <x v="491"/>
    <x v="1"/>
    <x v="5"/>
    <s v="ITEMPLA_001520001179 Diseño campaña"/>
    <s v="H000000385"/>
    <m/>
    <s v="Non-LFF"/>
    <s v=""/>
    <m/>
    <b v="0"/>
    <x v="1"/>
    <x v="0"/>
    <d v="2026-01-28T00:00:00"/>
    <m/>
    <m/>
    <x v="0"/>
    <n v="0"/>
    <s v="Natasha Hazel Aliado"/>
    <m/>
  </r>
  <r>
    <x v="491"/>
    <x v="1"/>
    <x v="5"/>
    <s v="ITEMPLA_001520000529 UY10 Litigation Expenses"/>
    <s v="H000000385"/>
    <m/>
    <s v="Non-LFF"/>
    <s v=""/>
    <m/>
    <b v="0"/>
    <x v="1"/>
    <x v="0"/>
    <d v="2026-01-28T00:00:00"/>
    <m/>
    <m/>
    <x v="0"/>
    <n v="0"/>
    <s v="Natasha Hazel Aliado"/>
    <m/>
  </r>
  <r>
    <x v="492"/>
    <x v="1"/>
    <x v="5"/>
    <s v="PFLTFLE_EMDPIBCT01 CTO group-Intercompany billing"/>
    <s v="P000000963"/>
    <m/>
    <s v="Non-LFF"/>
    <s v=""/>
    <m/>
    <b v="0"/>
    <x v="3"/>
    <x v="0"/>
    <d v="2026-01-28T00:00:00"/>
    <m/>
    <m/>
    <x v="0"/>
    <n v="0"/>
    <s v="Roselle Delos Angeles"/>
    <m/>
  </r>
  <r>
    <x v="492"/>
    <x v="1"/>
    <x v="5"/>
    <s v="PFLTFLE_EMDPIBCT02 CTO group-Intercompany billing-KGaA"/>
    <s v="P000000963"/>
    <m/>
    <s v="Non-LFF"/>
    <s v=""/>
    <m/>
    <b v="0"/>
    <x v="3"/>
    <x v="0"/>
    <d v="2026-01-28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3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0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19">
    <pivotField axis="axisRow" showAll="0" sortType="ascending">
      <items count="1675">
        <item m="1" x="1059"/>
        <item x="0"/>
        <item m="1" x="1129"/>
        <item m="1" x="1550"/>
        <item m="1" x="712"/>
        <item m="1" x="1567"/>
        <item m="1" x="1089"/>
        <item m="1" x="1179"/>
        <item m="1" x="1600"/>
        <item m="1" x="1394"/>
        <item m="1" x="1082"/>
        <item m="1" x="1666"/>
        <item m="1" x="1412"/>
        <item m="1" x="1656"/>
        <item m="1" x="1030"/>
        <item m="1" x="931"/>
        <item m="1" x="635"/>
        <item m="1" x="896"/>
        <item m="1" x="1620"/>
        <item m="1" x="688"/>
        <item m="1" x="996"/>
        <item m="1" x="1364"/>
        <item m="1" x="1079"/>
        <item m="1" x="1172"/>
        <item m="1" x="1468"/>
        <item m="1" x="1653"/>
        <item m="1" x="1114"/>
        <item m="1" x="1136"/>
        <item m="1" x="901"/>
        <item m="1" x="1302"/>
        <item m="1" x="1061"/>
        <item m="1" x="1607"/>
        <item m="1" x="1264"/>
        <item m="1" x="697"/>
        <item m="1" x="805"/>
        <item m="1" x="1592"/>
        <item m="1" x="1356"/>
        <item m="1" x="610"/>
        <item m="1" x="1442"/>
        <item m="1" x="1108"/>
        <item m="1" x="1403"/>
        <item m="1" x="989"/>
        <item m="1" x="1341"/>
        <item m="1" x="600"/>
        <item m="1" x="630"/>
        <item m="1" x="1669"/>
        <item m="1" x="1348"/>
        <item m="1" x="1416"/>
        <item m="1" x="1523"/>
        <item m="1" x="1292"/>
        <item m="1" x="1390"/>
        <item m="1" x="1229"/>
        <item m="1" x="684"/>
        <item m="1" x="875"/>
        <item m="1" x="1651"/>
        <item m="1" x="1219"/>
        <item m="1" x="1359"/>
        <item m="1" x="887"/>
        <item m="1" x="848"/>
        <item m="1" x="1140"/>
        <item m="1" x="1032"/>
        <item m="1" x="1065"/>
        <item m="1" x="624"/>
        <item m="1" x="763"/>
        <item m="1" x="1425"/>
        <item m="1" x="1642"/>
        <item m="1" x="828"/>
        <item m="1" x="1233"/>
        <item m="1" x="1243"/>
        <item m="1" x="1420"/>
        <item m="1" x="1530"/>
        <item m="1" x="1408"/>
        <item m="1" x="703"/>
        <item m="1" x="1551"/>
        <item m="1" x="1281"/>
        <item m="1" x="1268"/>
        <item m="1" x="803"/>
        <item m="1" x="1156"/>
        <item m="1" x="1503"/>
        <item m="1" x="621"/>
        <item m="1" x="1200"/>
        <item m="1" x="1553"/>
        <item m="1" x="1391"/>
        <item m="1" x="1126"/>
        <item m="1" x="1168"/>
        <item m="1" x="1049"/>
        <item m="1" x="1284"/>
        <item m="1" x="1096"/>
        <item m="1" x="1328"/>
        <item m="1" x="812"/>
        <item m="1" x="1641"/>
        <item m="1" x="1166"/>
        <item m="1" x="1452"/>
        <item m="1" x="529"/>
        <item m="1" x="1657"/>
        <item m="1" x="1193"/>
        <item m="1" x="1482"/>
        <item m="1" x="1395"/>
        <item m="1" x="1173"/>
        <item m="1" x="683"/>
        <item m="1" x="690"/>
        <item m="1" x="730"/>
        <item m="1" x="912"/>
        <item m="1" x="1336"/>
        <item m="1" x="1097"/>
        <item m="1" x="1213"/>
        <item m="1" x="1276"/>
        <item m="1" x="1423"/>
        <item m="1" x="1506"/>
        <item m="1" x="1068"/>
        <item m="1" x="789"/>
        <item m="1" x="632"/>
        <item m="1" x="775"/>
        <item m="1" x="1650"/>
        <item m="1" x="807"/>
        <item m="1" x="1488"/>
        <item m="1" x="1417"/>
        <item m="1" x="1035"/>
        <item m="1" x="1107"/>
        <item m="1" x="973"/>
        <item m="1" x="1230"/>
        <item m="1" x="1605"/>
        <item m="1" x="781"/>
        <item m="1" x="729"/>
        <item m="1" x="664"/>
        <item m="1" x="1330"/>
        <item m="1" x="1590"/>
        <item m="1" x="1518"/>
        <item m="1" x="1175"/>
        <item m="1" x="699"/>
        <item m="1" x="1424"/>
        <item m="1" x="876"/>
        <item m="1" x="1130"/>
        <item m="1" x="1305"/>
        <item m="1" x="1413"/>
        <item m="1" x="533"/>
        <item m="1" x="1362"/>
        <item m="1" x="1325"/>
        <item m="1" x="766"/>
        <item m="1" x="1214"/>
        <item m="1" x="1102"/>
        <item m="1" x="1055"/>
        <item m="1" x="788"/>
        <item m="1" x="724"/>
        <item m="1" x="964"/>
        <item m="1" x="1151"/>
        <item m="1" x="558"/>
        <item m="1" x="897"/>
        <item m="1" x="756"/>
        <item m="1" x="498"/>
        <item m="1" x="1008"/>
        <item m="1" x="1209"/>
        <item m="1" x="1091"/>
        <item m="1" x="1137"/>
        <item m="1" x="1456"/>
        <item m="1" x="1038"/>
        <item m="1" x="1564"/>
        <item m="1" x="1288"/>
        <item m="1" x="1227"/>
        <item m="1" x="741"/>
        <item m="1" x="1374"/>
        <item m="1" x="1652"/>
        <item m="1" x="1340"/>
        <item m="1" x="1324"/>
        <item m="1" x="611"/>
        <item m="1" x="659"/>
        <item m="1" x="1194"/>
        <item m="1" x="700"/>
        <item m="1" x="1637"/>
        <item m="1" x="1303"/>
        <item m="1" x="1228"/>
        <item m="1" x="1180"/>
        <item m="1" x="981"/>
        <item m="1" x="609"/>
        <item m="1" x="709"/>
        <item m="1" x="815"/>
        <item m="1" x="1548"/>
        <item m="1" x="1580"/>
        <item m="1" x="1279"/>
        <item m="1" x="1006"/>
        <item m="1" x="1094"/>
        <item m="1" x="604"/>
        <item m="1" x="644"/>
        <item m="1" x="983"/>
        <item m="1" x="1208"/>
        <item m="1" x="1121"/>
        <item m="1" x="779"/>
        <item m="1" x="1012"/>
        <item m="1" x="726"/>
        <item m="1" x="921"/>
        <item m="1" x="843"/>
        <item m="1" x="678"/>
        <item m="1" x="814"/>
        <item m="1" x="1184"/>
        <item m="1" x="594"/>
        <item m="1" x="833"/>
        <item m="1" x="625"/>
        <item m="1" x="1318"/>
        <item m="1" x="1507"/>
        <item m="1" x="1117"/>
        <item m="1" x="761"/>
        <item m="1" x="1411"/>
        <item m="1" x="1256"/>
        <item m="1" x="773"/>
        <item m="1" x="774"/>
        <item m="1" x="959"/>
        <item m="1" x="649"/>
        <item m="1" x="838"/>
        <item m="1" x="633"/>
        <item m="1" x="819"/>
        <item m="1" x="1387"/>
        <item m="1" x="898"/>
        <item m="1" x="1265"/>
        <item m="1" x="1315"/>
        <item m="1" x="1449"/>
        <item m="1" x="1453"/>
        <item m="1" x="1170"/>
        <item m="1" x="1011"/>
        <item m="1" x="1050"/>
        <item m="1" x="1617"/>
        <item m="1" x="910"/>
        <item m="1" x="722"/>
        <item m="1" x="1100"/>
        <item m="1" x="557"/>
        <item m="1" x="1621"/>
        <item m="1" x="1084"/>
        <item m="1" x="518"/>
        <item m="1" x="1539"/>
        <item m="1" x="1582"/>
        <item m="1" x="1419"/>
        <item m="1" x="796"/>
        <item m="1" x="535"/>
        <item m="1" x="1469"/>
        <item m="1" x="860"/>
        <item m="1" x="496"/>
        <item m="1" x="1640"/>
        <item m="1" x="884"/>
        <item m="1" x="1039"/>
        <item m="1" x="1484"/>
        <item m="1" x="571"/>
        <item m="1" x="1396"/>
        <item m="1" x="1204"/>
        <item m="1" x="1069"/>
        <item m="1" x="939"/>
        <item m="1" x="686"/>
        <item m="1" x="1187"/>
        <item m="1" x="889"/>
        <item m="1" x="1427"/>
        <item m="1" x="749"/>
        <item m="1" x="1497"/>
        <item m="1" x="1504"/>
        <item m="1" x="1188"/>
        <item m="1" x="1378"/>
        <item m="1" x="795"/>
        <item m="1" x="1092"/>
        <item m="1" x="1381"/>
        <item m="1" x="965"/>
        <item m="1" x="1255"/>
        <item m="1" x="894"/>
        <item m="1" x="679"/>
        <item m="1" x="883"/>
        <item m="1" x="1649"/>
        <item m="1" x="1591"/>
        <item m="1" x="736"/>
        <item m="1" x="1537"/>
        <item m="1" x="543"/>
        <item m="1" x="1559"/>
        <item m="1" x="578"/>
        <item m="1" x="880"/>
        <item m="1" x="978"/>
        <item m="1" x="925"/>
        <item m="1" x="1532"/>
        <item m="1" x="1435"/>
        <item m="1" x="676"/>
        <item m="1" x="1246"/>
        <item m="1" x="1454"/>
        <item m="1" x="1588"/>
        <item m="1" x="1495"/>
        <item m="1" x="581"/>
        <item m="1" x="1661"/>
        <item m="1" x="732"/>
        <item m="1" x="1013"/>
        <item m="1" x="1457"/>
        <item m="1" x="580"/>
        <item m="1" x="1516"/>
        <item m="1" x="745"/>
        <item m="1" x="1389"/>
        <item m="1" x="1253"/>
        <item m="1" x="1231"/>
        <item m="1" x="810"/>
        <item m="1" x="772"/>
        <item m="1" x="1584"/>
        <item m="1" x="525"/>
        <item m="1" x="707"/>
        <item m="1" x="1366"/>
        <item m="1" x="1477"/>
        <item m="1" x="1404"/>
        <item m="1" x="1608"/>
        <item m="1" x="1112"/>
        <item m="1" x="739"/>
        <item m="1" x="859"/>
        <item m="1" x="1178"/>
        <item m="1" x="920"/>
        <item m="1" x="1248"/>
        <item m="1" x="861"/>
        <item m="1" x="663"/>
        <item m="1" x="1316"/>
        <item m="1" x="718"/>
        <item m="1" x="598"/>
        <item m="1" x="1450"/>
        <item m="1" x="1597"/>
        <item m="1" x="1298"/>
        <item m="1" x="563"/>
        <item m="1" x="1489"/>
        <item m="1" x="1287"/>
        <item m="1" x="1397"/>
        <item m="1" x="1536"/>
        <item m="1" x="764"/>
        <item m="1" x="956"/>
        <item m="1" x="794"/>
        <item m="1" x="1062"/>
        <item m="1" x="986"/>
        <item m="1" x="1016"/>
        <item m="1" x="1552"/>
        <item m="1" x="998"/>
        <item m="1" x="1201"/>
        <item m="1" x="733"/>
        <item m="1" x="932"/>
        <item m="1" x="906"/>
        <item m="1" x="1249"/>
        <item m="1" x="1152"/>
        <item m="1" x="1380"/>
        <item m="1" x="902"/>
        <item m="1" x="1538"/>
        <item m="1" x="740"/>
        <item m="1" x="666"/>
        <item m="1" x="922"/>
        <item m="1" x="1463"/>
        <item m="1" x="573"/>
        <item m="1" x="574"/>
        <item m="1" x="870"/>
        <item m="1" x="1543"/>
        <item m="1" x="937"/>
        <item m="1" x="582"/>
        <item m="1" x="742"/>
        <item m="1" x="984"/>
        <item m="1" x="1295"/>
        <item m="1" x="1267"/>
        <item m="1" x="938"/>
        <item m="1" x="519"/>
        <item m="1" x="657"/>
        <item m="1" x="869"/>
        <item m="1" x="757"/>
        <item m="1" x="514"/>
        <item m="1" x="1467"/>
        <item m="1" x="1596"/>
        <item m="1" x="1066"/>
        <item m="1" x="1496"/>
        <item m="1" x="1556"/>
        <item m="1" x="579"/>
        <item m="1" x="1594"/>
        <item m="1" x="1332"/>
        <item m="1" x="755"/>
        <item m="1" x="941"/>
        <item m="1" x="845"/>
        <item m="1" x="1207"/>
        <item m="1" x="778"/>
        <item m="1" x="994"/>
        <item m="1" x="1289"/>
        <item m="1" x="1414"/>
        <item m="1" x="917"/>
        <item m="1" x="1045"/>
        <item m="1" x="857"/>
        <item m="1" x="783"/>
        <item m="1" x="1294"/>
        <item m="1" x="1409"/>
        <item m="1" x="1571"/>
        <item m="1" x="613"/>
        <item m="1" x="817"/>
        <item m="1" x="1257"/>
        <item m="1" x="658"/>
        <item m="1" x="945"/>
        <item m="1" x="1326"/>
        <item m="1" x="591"/>
        <item m="1" x="801"/>
        <item m="1" x="911"/>
        <item m="1" x="1517"/>
        <item m="1" x="750"/>
        <item m="1" x="1020"/>
        <item m="1" x="1573"/>
        <item m="1" x="701"/>
        <item m="1" x="890"/>
        <item m="1" x="1078"/>
        <item m="1" x="1415"/>
        <item m="1" x="713"/>
        <item m="1" x="969"/>
        <item m="1" x="811"/>
        <item m="1" x="1307"/>
        <item m="1" x="1493"/>
        <item m="1" x="619"/>
        <item m="1" x="839"/>
        <item m="1" x="1575"/>
        <item m="1" x="1540"/>
        <item m="1" x="640"/>
        <item m="1" x="957"/>
        <item m="1" x="1481"/>
        <item m="1" x="1612"/>
        <item m="1" x="1483"/>
        <item m="1" x="1458"/>
        <item m="1" x="589"/>
        <item m="1" x="765"/>
        <item m="1" x="847"/>
        <item m="1" x="836"/>
        <item m="1" x="1063"/>
        <item m="1" x="551"/>
        <item m="1" x="1250"/>
        <item m="1" x="1321"/>
        <item m="1" x="503"/>
        <item m="1" x="1581"/>
        <item m="1" x="1443"/>
        <item m="1" x="1572"/>
        <item m="1" x="1602"/>
        <item m="1" x="1638"/>
        <item m="1" x="1576"/>
        <item m="1" x="940"/>
        <item m="1" x="1300"/>
        <item m="1" x="907"/>
        <item m="1" x="1313"/>
        <item m="1" x="1278"/>
        <item m="1" x="716"/>
        <item m="1" x="754"/>
        <item m="1" x="892"/>
        <item m="1" x="1357"/>
        <item m="1" x="877"/>
        <item m="1" x="623"/>
        <item m="1" x="1622"/>
        <item m="1" x="1372"/>
        <item m="1" x="1205"/>
        <item m="1" x="1237"/>
        <item m="1" x="1286"/>
        <item m="1" x="711"/>
        <item m="1" x="1053"/>
        <item m="1" x="1398"/>
        <item m="1" x="549"/>
        <item m="1" x="792"/>
        <item m="1" x="692"/>
        <item m="1" x="689"/>
        <item m="1" x="693"/>
        <item m="1" x="494"/>
        <item m="1" x="715"/>
        <item m="1" x="1512"/>
        <item m="1" x="516"/>
        <item m="1" x="1162"/>
        <item m="1" x="1599"/>
        <item m="1" x="1410"/>
        <item m="1" x="670"/>
        <item m="1" x="1670"/>
        <item m="1" x="599"/>
        <item m="1" x="966"/>
        <item m="1" x="1189"/>
        <item m="1" x="645"/>
        <item m="1" x="1098"/>
        <item m="1" x="1258"/>
        <item m="1" x="1526"/>
        <item m="1" x="1428"/>
        <item m="1" x="507"/>
        <item m="1" x="1190"/>
        <item m="1" x="590"/>
        <item m="1" x="826"/>
        <item m="1" x="798"/>
        <item m="1" x="560"/>
        <item m="1" x="1153"/>
        <item m="1" x="1160"/>
        <item m="1" x="1260"/>
        <item m="1" x="1009"/>
        <item m="1" x="1509"/>
        <item m="1" x="918"/>
        <item m="1" x="1628"/>
        <item m="1" x="1263"/>
        <item m="1" x="1154"/>
        <item m="1" x="818"/>
        <item m="1" x="1226"/>
        <item m="1" x="1524"/>
        <item m="1" x="1589"/>
        <item m="1" x="1568"/>
        <item m="1" x="1498"/>
        <item m="1" x="1247"/>
        <item m="1" x="1360"/>
        <item m="1" x="873"/>
        <item m="1" x="1322"/>
        <item m="1" x="1147"/>
        <item m="1" x="1106"/>
        <item m="1" x="1104"/>
        <item m="1" x="1105"/>
        <item m="1" x="802"/>
        <item m="1" x="846"/>
        <item m="1" x="1459"/>
        <item m="1" x="1024"/>
        <item m="1" x="866"/>
        <item m="1" x="908"/>
        <item m="1" x="954"/>
        <item m="1" x="1206"/>
        <item m="1" x="1544"/>
        <item m="1" x="1633"/>
        <item m="1" x="751"/>
        <item m="1" x="702"/>
        <item m="1" x="539"/>
        <item m="1" x="561"/>
        <item m="1" x="858"/>
        <item m="1" x="646"/>
        <item m="1" x="974"/>
        <item m="1" x="1510"/>
        <item m="1" x="851"/>
        <item m="1" x="643"/>
        <item m="1" x="1402"/>
        <item m="1" x="520"/>
        <item m="1" x="1528"/>
        <item m="1" x="1603"/>
        <item m="1" x="1667"/>
        <item m="1" x="1542"/>
        <item m="1" x="785"/>
        <item m="1" x="562"/>
        <item m="1" x="1026"/>
        <item m="1" x="1110"/>
        <item m="1" x="1306"/>
        <item m="1" x="1274"/>
        <item m="1" x="1310"/>
        <item m="1" x="1087"/>
        <item m="1" x="1125"/>
        <item m="1" x="1566"/>
        <item m="1" x="1329"/>
        <item m="1" x="1299"/>
        <item m="1" x="1238"/>
        <item m="1" x="1311"/>
        <item m="1" x="512"/>
        <item m="1" x="517"/>
        <item m="1" x="1120"/>
        <item m="1" x="1505"/>
        <item m="1" x="1075"/>
        <item m="1" x="1645"/>
        <item m="1" x="1044"/>
        <item m="1" x="1220"/>
        <item m="1" x="1291"/>
        <item m="1" x="905"/>
        <item m="1" x="737"/>
        <item m="1" x="1113"/>
        <item m="1" x="799"/>
        <item m="1" x="1654"/>
        <item m="1" x="1569"/>
        <item m="1" x="1382"/>
        <item m="1" x="639"/>
        <item m="1" x="566"/>
        <item m="1" x="1139"/>
        <item m="1" x="1383"/>
        <item m="1" x="1672"/>
        <item m="1" x="1018"/>
        <item m="1" x="1619"/>
        <item m="1" x="553"/>
        <item m="1" x="667"/>
        <item m="1" x="979"/>
        <item m="1" x="1070"/>
        <item m="1" x="1499"/>
        <item m="1" x="823"/>
        <item m="1" x="1502"/>
        <item m="1" x="919"/>
        <item m="1" x="1491"/>
        <item m="1" x="1655"/>
        <item m="1" x="583"/>
        <item m="1" x="1639"/>
        <item m="1" x="530"/>
        <item m="1" x="1392"/>
        <item m="1" x="1010"/>
        <item m="1" x="841"/>
        <item m="1" x="804"/>
        <item m="1" x="948"/>
        <item m="1" x="547"/>
        <item m="1" x="1632"/>
        <item m="1" x="631"/>
        <item m="1" x="652"/>
        <item m="1" x="1525"/>
        <item m="1" x="1604"/>
        <item m="1" x="1118"/>
        <item m="1" x="1259"/>
        <item m="1" x="960"/>
        <item m="1" x="1073"/>
        <item m="1" x="1222"/>
        <item m="1" x="1339"/>
        <item m="1" x="926"/>
        <item m="1" x="1202"/>
        <item m="1" x="1021"/>
        <item m="1" x="1658"/>
        <item m="1" x="511"/>
        <item m="1" x="950"/>
        <item m="1" x="891"/>
        <item m="1" x="852"/>
        <item m="1" x="1646"/>
        <item m="1" x="1464"/>
        <item m="1" x="1595"/>
        <item m="1" x="608"/>
        <item m="1" x="1606"/>
        <item m="1" x="1593"/>
        <item m="1" x="1470"/>
        <item m="1" x="705"/>
        <item m="1" x="1074"/>
        <item m="1" x="1167"/>
        <item m="1" x="913"/>
        <item m="1" x="1511"/>
        <item m="1" x="1297"/>
        <item m="1" x="1317"/>
        <item m="1" x="1211"/>
        <item m="1" x="554"/>
        <item m="1" x="1384"/>
        <item m="1" x="1546"/>
        <item m="1" x="951"/>
        <item m="1" x="1665"/>
        <item m="1" x="1159"/>
        <item m="1" x="746"/>
        <item m="1" x="879"/>
        <item m="1" x="915"/>
        <item m="1" x="1574"/>
        <item m="1" x="1558"/>
        <item m="1" x="618"/>
        <item m="1" x="620"/>
        <item m="1" x="534"/>
        <item m="1" x="1494"/>
        <item m="1" x="536"/>
        <item m="1" x="953"/>
        <item m="1" x="853"/>
        <item m="1" x="1309"/>
        <item m="1" x="1252"/>
        <item m="1" x="1601"/>
        <item m="1" x="1533"/>
        <item m="1" x="1025"/>
        <item m="1" x="1239"/>
        <item m="1" x="1474"/>
        <item m="1" x="587"/>
        <item m="1" x="1019"/>
        <item m="1" x="949"/>
        <item m="1" x="1643"/>
        <item m="1" x="1610"/>
        <item m="1" x="1041"/>
        <item m="1" x="647"/>
        <item m="1" x="942"/>
        <item m="1" x="1115"/>
        <item m="1" x="569"/>
        <item m="1" x="1405"/>
        <item m="1" x="999"/>
        <item m="1" x="809"/>
        <item m="1" x="903"/>
        <item m="1" x="1349"/>
        <item m="1" x="1648"/>
        <item m="1" x="727"/>
        <item m="1" x="1500"/>
        <item m="1" x="721"/>
        <item m="1" x="1285"/>
        <item m="1" x="1057"/>
        <item m="1" x="988"/>
        <item m="1" x="710"/>
        <item m="1" x="777"/>
        <item m="1" x="565"/>
        <item m="1" x="1365"/>
        <item m="1" x="878"/>
        <item m="1" x="602"/>
        <item m="1" x="1216"/>
        <item m="1" x="1531"/>
        <item m="1" x="1071"/>
        <item m="1" x="1029"/>
        <item m="1" x="500"/>
        <item m="1" x="1636"/>
        <item m="1" x="886"/>
        <item m="1" x="946"/>
        <item m="1" x="1353"/>
        <item m="1" x="1630"/>
        <item m="1" x="1555"/>
        <item m="1" x="1406"/>
        <item m="1" x="1521"/>
        <item m="1" x="682"/>
        <item m="1" x="881"/>
        <item m="1" x="714"/>
        <item m="1" x="506"/>
        <item m="1" x="1119"/>
        <item m="1" x="568"/>
        <item m="1" x="790"/>
        <item m="1" x="734"/>
        <item m="1" x="680"/>
        <item m="1" x="1635"/>
        <item m="1" x="731"/>
        <item m="1" x="1333"/>
        <item m="1" x="1545"/>
        <item m="1" x="671"/>
        <item m="1" x="575"/>
        <item m="1" x="1368"/>
        <item m="1" x="1344"/>
        <item m="1" x="1385"/>
        <item m="1" x="1304"/>
        <item m="1" x="648"/>
        <item m="1" x="1004"/>
        <item m="1" x="1272"/>
        <item m="1" x="1522"/>
        <item m="1" x="1116"/>
        <item m="1" x="1234"/>
        <item m="1" x="1578"/>
        <item m="1" x="990"/>
        <item m="1" x="834"/>
        <item m="1" x="1067"/>
        <item m="1" x="1014"/>
        <item m="1" x="944"/>
        <item m="1" x="1461"/>
        <item m="1" x="1148"/>
        <item m="1" x="1244"/>
        <item m="1" x="495"/>
        <item m="1" x="1040"/>
        <item m="1" x="642"/>
        <item m="1" x="909"/>
        <item m="1" x="1047"/>
        <item m="1" x="577"/>
        <item m="1" x="694"/>
        <item m="1" x="1149"/>
        <item m="1" x="1346"/>
        <item m="1" x="1616"/>
        <item m="1" x="1659"/>
        <item m="1" x="1269"/>
        <item m="1" x="617"/>
        <item m="1" x="545"/>
        <item m="1" x="1131"/>
        <item m="1" x="753"/>
        <item m="1" x="1027"/>
        <item m="1" x="655"/>
        <item m="1" x="758"/>
        <item m="1" x="1185"/>
        <item m="1" x="1541"/>
        <item m="1" x="1472"/>
        <item m="1" x="888"/>
        <item m="1" x="923"/>
        <item m="1" x="1199"/>
        <item m="1" x="1629"/>
        <item m="1" x="1355"/>
        <item m="1" x="521"/>
        <item m="1" x="1583"/>
        <item m="1" x="629"/>
        <item m="1" x="1275"/>
        <item m="1" x="1320"/>
        <item m="1" x="1323"/>
        <item m="1" x="1663"/>
        <item m="1" x="556"/>
        <item m="1" x="1334"/>
        <item m="1" x="1431"/>
        <item m="1" x="1203"/>
        <item m="1" x="1373"/>
        <item m="1" x="615"/>
        <item m="1" x="1007"/>
        <item m="1" x="854"/>
        <item m="1" x="1466"/>
        <item m="1" x="1561"/>
        <item m="1" x="1090"/>
        <item m="1" x="1529"/>
        <item m="1" x="1577"/>
        <item m="1" x="930"/>
        <item m="1" x="1433"/>
        <item m="1" x="1296"/>
        <item m="1" x="1579"/>
        <item m="1" x="1623"/>
        <item m="1" x="1361"/>
        <item m="1" x="971"/>
        <item m="1" x="776"/>
        <item m="1" x="1611"/>
        <item m="1" x="1158"/>
        <item m="1" x="1132"/>
        <item m="1" x="1141"/>
        <item m="1" x="1662"/>
        <item m="1" x="1386"/>
        <item m="1" x="1081"/>
        <item m="1" x="1350"/>
        <item m="1" x="1327"/>
        <item m="1" x="943"/>
        <item m="1" x="844"/>
        <item m="1" x="1343"/>
        <item m="1" x="738"/>
        <item m="1" x="695"/>
        <item m="1" x="637"/>
        <item m="1" x="1624"/>
        <item m="1" x="1240"/>
        <item m="1" x="975"/>
        <item m="1" x="1056"/>
        <item m="1" x="537"/>
        <item m="1" x="1613"/>
        <item m="1" x="1164"/>
        <item m="1" x="1312"/>
        <item m="1" x="760"/>
        <item m="1" x="1444"/>
        <item m="1" x="947"/>
        <item m="1" x="840"/>
        <item m="1" x="1668"/>
        <item m="1" x="970"/>
        <item m="1" x="1609"/>
        <item m="1" x="1195"/>
        <item m="1" x="871"/>
        <item m="1" x="662"/>
        <item m="1" x="605"/>
        <item m="1" x="899"/>
        <item m="1" x="596"/>
        <item m="1" x="567"/>
        <item m="1" x="584"/>
        <item m="1" x="863"/>
        <item m="1" x="708"/>
        <item m="1" x="1015"/>
        <item m="1" x="1072"/>
        <item m="1" x="1171"/>
        <item m="1" x="1042"/>
        <item m="1" x="1375"/>
        <item m="1" x="1439"/>
        <item m="1" x="651"/>
        <item m="1" x="661"/>
        <item m="1" x="850"/>
        <item m="1" x="992"/>
        <item m="1" x="782"/>
        <item m="1" x="1335"/>
        <item m="1" x="1085"/>
        <item m="1" x="1002"/>
        <item m="1" x="1135"/>
        <item m="1" x="1441"/>
        <item m="1" x="1379"/>
        <item m="1" x="1465"/>
        <item m="1" x="1221"/>
        <item m="1" x="641"/>
        <item m="1" x="1647"/>
        <item m="1" x="1060"/>
        <item m="1" x="675"/>
        <item m="1" x="499"/>
        <item m="1" x="1644"/>
        <item m="1" x="1128"/>
        <item m="1" x="1095"/>
        <item m="1" x="867"/>
        <item m="1" x="747"/>
        <item m="1" x="831"/>
        <item m="1" x="985"/>
        <item m="1" x="1560"/>
        <item m="1" x="1479"/>
        <item m="1" x="855"/>
        <item m="1" x="928"/>
        <item m="1" x="935"/>
        <item m="1" x="1473"/>
        <item m="1" x="1076"/>
        <item m="1" x="548"/>
        <item m="1" x="1109"/>
        <item m="1" x="1388"/>
        <item m="1" x="1514"/>
        <item m="1" x="1407"/>
        <item m="1" x="1215"/>
        <item m="1" x="1513"/>
        <item m="1" x="527"/>
        <item m="1" x="1430"/>
        <item m="1" x="509"/>
        <item m="1" x="849"/>
        <item m="1" x="513"/>
        <item m="1" x="672"/>
        <item m="1" x="762"/>
        <item m="1" x="768"/>
        <item m="1" x="1186"/>
        <item m="1" x="1440"/>
        <item m="1" x="967"/>
        <item m="1" x="538"/>
        <item m="1" x="744"/>
        <item m="1" x="532"/>
        <item m="1" x="1527"/>
        <item m="1" x="752"/>
        <item m="1" x="1088"/>
        <item m="1" x="1547"/>
        <item m="1" x="874"/>
        <item m="1" x="816"/>
        <item m="1" x="1212"/>
        <item m="1" x="769"/>
        <item m="1" x="1077"/>
        <item m="1" x="1371"/>
        <item m="1" x="510"/>
        <item m="1" x="1023"/>
        <item m="1" x="1142"/>
        <item m="1" x="634"/>
        <item m="1" x="976"/>
        <item m="1" x="1111"/>
        <item m="1" x="862"/>
        <item m="1" x="900"/>
        <item m="1" x="627"/>
        <item m="1" x="1033"/>
        <item m="1" x="497"/>
        <item m="1" x="1169"/>
        <item m="1" x="1562"/>
        <item m="1" x="1283"/>
        <item m="1" x="1277"/>
        <item m="1" x="1176"/>
        <item m="1" x="502"/>
        <item m="1" x="1308"/>
        <item m="1" x="1351"/>
        <item m="1" x="1157"/>
        <item m="1" x="501"/>
        <item m="1" x="1508"/>
        <item m="1" x="1475"/>
        <item m="1" x="505"/>
        <item m="1" x="784"/>
        <item m="1" x="1174"/>
        <item m="1" x="1429"/>
        <item m="1" x="626"/>
        <item m="1" x="522"/>
        <item m="1" x="681"/>
        <item m="1" x="572"/>
        <item m="1" x="980"/>
        <item m="1" x="793"/>
        <item m="1" x="791"/>
        <item m="1" x="962"/>
        <item m="1" x="1064"/>
        <item m="1" x="968"/>
        <item m="1" x="1165"/>
        <item m="1" x="1017"/>
        <item m="1" x="882"/>
        <item m="1" x="997"/>
        <item m="1" x="1490"/>
        <item m="1" x="1585"/>
        <item m="1" x="842"/>
        <item m="1" x="1565"/>
        <item m="1" x="607"/>
        <item m="1" x="1554"/>
        <item m="1" x="1251"/>
        <item m="1" x="1422"/>
        <item m="1" x="1501"/>
        <item m="1" x="1181"/>
        <item m="1" x="1393"/>
        <item m="1" x="685"/>
        <item m="1" x="668"/>
        <item m="1" x="1290"/>
        <item m="1" x="1262"/>
        <item m="1" x="824"/>
        <item m="1" x="1660"/>
        <item m="1" x="1232"/>
        <item m="1" x="972"/>
        <item m="1" x="1046"/>
        <item m="1" x="1005"/>
        <item m="1" x="1515"/>
        <item m="1" x="1519"/>
        <item m="1" x="515"/>
        <item m="1" x="1399"/>
        <item m="1" x="1445"/>
        <item m="1" x="564"/>
        <item m="1" x="936"/>
        <item m="1" x="927"/>
        <item m="1" x="1434"/>
        <item m="1" x="1133"/>
        <item m="1" x="1337"/>
        <item m="1" x="1003"/>
        <item m="1" x="1354"/>
        <item m="1" x="542"/>
        <item m="1" x="665"/>
        <item m="1" x="1634"/>
        <item m="1" x="1254"/>
        <item m="1" x="1626"/>
        <item m="1" x="546"/>
        <item m="1" x="806"/>
        <item m="1" x="622"/>
        <item m="1" x="555"/>
        <item m="1" x="570"/>
        <item m="1" x="1122"/>
        <item m="1" x="1155"/>
        <item m="1" x="827"/>
        <item m="1" x="1245"/>
        <item m="1" x="1563"/>
        <item m="1" x="914"/>
        <item m="1" x="993"/>
        <item m="1" x="1143"/>
        <item m="1" x="1631"/>
        <item m="1" x="808"/>
        <item m="1" x="820"/>
        <item m="1" x="830"/>
        <item m="1" x="1451"/>
        <item m="1" x="1587"/>
        <item m="1" x="504"/>
        <item m="1" x="1331"/>
        <item m="1" x="1627"/>
        <item m="1" x="728"/>
        <item m="1" x="1043"/>
        <item m="1" x="1664"/>
        <item m="1" x="1570"/>
        <item m="1" x="717"/>
        <item m="1" x="829"/>
        <item m="1" x="916"/>
        <item m="1" x="1241"/>
        <item m="1" x="1438"/>
        <item m="1" x="673"/>
        <item m="1" x="1144"/>
        <item m="1" x="669"/>
        <item m="1" x="638"/>
        <item m="1" x="586"/>
        <item m="1" x="1557"/>
        <item m="1" x="1150"/>
        <item m="1" x="1598"/>
        <item m="1" x="991"/>
        <item m="1" x="1615"/>
        <item m="1" x="1367"/>
        <item m="1" x="656"/>
        <item m="1" x="1471"/>
        <item m="1" x="1485"/>
        <item m="1" x="1145"/>
        <item m="1" x="1520"/>
        <item m="1" x="1358"/>
        <item m="1" x="1223"/>
        <item m="1" x="540"/>
        <item m="1" x="1369"/>
        <item m="1" x="1101"/>
        <item m="1" x="1034"/>
        <item m="1" x="1377"/>
        <item m="1" x="961"/>
        <item m="1" x="595"/>
        <item m="1" x="767"/>
        <item m="1" x="544"/>
        <item m="1" x="893"/>
        <item m="1" x="1271"/>
        <item m="1" x="856"/>
        <item m="1" x="719"/>
        <item m="1" x="934"/>
        <item m="1" x="612"/>
        <item m="1" x="864"/>
        <item m="1" x="735"/>
        <item m="1" x="1086"/>
        <item m="1" x="1673"/>
        <item m="1" x="1127"/>
        <item m="1" x="723"/>
        <item m="1" x="1000"/>
        <item m="1" x="706"/>
        <item m="1" x="759"/>
        <item m="1" x="1051"/>
        <item m="1" x="1319"/>
        <item m="1" x="1036"/>
        <item m="1" x="1486"/>
        <item m="1" x="1048"/>
        <item m="1" x="1282"/>
        <item m="1" x="597"/>
        <item m="1" x="1080"/>
        <item m="1" x="720"/>
        <item m="1" x="650"/>
        <item m="1" x="1376"/>
        <item m="1" x="691"/>
        <item m="1" x="1400"/>
        <item m="1" x="592"/>
        <item m="1" x="1217"/>
        <item m="1" x="1224"/>
        <item m="1" x="628"/>
        <item m="1" x="1146"/>
        <item m="1" x="524"/>
        <item m="1" x="1347"/>
        <item m="1" x="1052"/>
        <item m="1" x="1273"/>
        <item m="1" x="1242"/>
        <item m="1" x="1462"/>
        <item m="1" x="1235"/>
        <item m="1" x="813"/>
        <item m="1" x="1314"/>
        <item m="1" x="1448"/>
        <item m="1" x="1138"/>
        <item m="1" x="1270"/>
        <item m="1" x="603"/>
        <item m="1" x="1436"/>
        <item m="1" x="1093"/>
        <item m="1" x="958"/>
        <item m="1" x="1342"/>
        <item m="1" x="868"/>
        <item m="1" x="1191"/>
        <item m="1" x="725"/>
        <item m="1" x="821"/>
        <item m="1" x="1218"/>
        <item m="1" x="987"/>
        <item m="1" x="531"/>
        <item m="1" x="865"/>
        <item m="1" x="1345"/>
        <item m="1" x="1447"/>
        <item m="1" x="550"/>
        <item m="1" x="835"/>
        <item m="1" x="770"/>
        <item m="1" x="1103"/>
        <item m="1" x="1196"/>
        <item m="1" x="636"/>
        <item m="1" x="1618"/>
        <item m="1" x="601"/>
        <item m="1" x="674"/>
        <item m="1" x="1455"/>
        <item m="1" x="963"/>
        <item m="1" x="977"/>
        <item m="1" x="1031"/>
        <item m="1" x="606"/>
        <item m="1" x="885"/>
        <item m="1" x="1280"/>
        <item m="1" x="1192"/>
        <item m="1" x="982"/>
        <item m="1" x="929"/>
        <item m="1" x="559"/>
        <item m="1" x="797"/>
        <item m="1" x="1261"/>
        <item m="1" x="895"/>
        <item m="1" x="1058"/>
        <item m="1" x="995"/>
        <item m="1" x="1177"/>
        <item m="1" x="541"/>
        <item m="1" x="1022"/>
        <item m="1" x="696"/>
        <item m="1" x="1099"/>
        <item m="1" x="1225"/>
        <item m="1" x="1301"/>
        <item m="1" x="1236"/>
        <item m="1" x="1197"/>
        <item m="1" x="1123"/>
        <item m="1" x="1534"/>
        <item m="1" x="1426"/>
        <item m="1" x="677"/>
        <item m="1" x="1418"/>
        <item m="1" x="872"/>
        <item m="1" x="1182"/>
        <item m="1" x="588"/>
        <item m="1" x="1161"/>
        <item m="1" x="1028"/>
        <item m="1" x="1460"/>
        <item m="1" x="614"/>
        <item m="1" x="1671"/>
        <item m="1" x="653"/>
        <item m="1" x="593"/>
        <item m="1" x="1163"/>
        <item m="1" x="1363"/>
        <item m="1" x="1266"/>
        <item m="1" x="552"/>
        <item m="1" x="704"/>
        <item m="1" x="1492"/>
        <item m="1" x="1432"/>
        <item m="1" x="687"/>
        <item m="1" x="660"/>
        <item m="1" x="955"/>
        <item m="1" x="576"/>
        <item m="1" x="1183"/>
        <item m="1" x="616"/>
        <item m="1" x="786"/>
        <item m="1" x="1083"/>
        <item m="1" x="1614"/>
        <item m="1" x="654"/>
        <item m="1" x="924"/>
        <item m="1" x="771"/>
        <item m="1" x="933"/>
        <item m="1" x="1487"/>
        <item m="1" x="1370"/>
        <item m="1" x="832"/>
        <item m="1" x="585"/>
        <item m="1" x="1535"/>
        <item m="1" x="698"/>
        <item m="1" x="1480"/>
        <item m="1" x="1037"/>
        <item m="1" x="1421"/>
        <item m="1" x="780"/>
        <item m="1" x="952"/>
        <item m="1" x="1437"/>
        <item m="1" x="1625"/>
        <item m="1" x="1401"/>
        <item m="1" x="800"/>
        <item m="1" x="743"/>
        <item m="1" x="1446"/>
        <item m="1" x="1210"/>
        <item m="1" x="1054"/>
        <item m="1" x="1478"/>
        <item m="1" x="526"/>
        <item m="1" x="523"/>
        <item m="1" x="1198"/>
        <item m="1" x="1338"/>
        <item m="1" x="1293"/>
        <item m="1" x="1476"/>
        <item m="1" x="1001"/>
        <item m="1" x="748"/>
        <item m="1" x="822"/>
        <item m="1" x="1352"/>
        <item m="1" x="904"/>
        <item m="1" x="1134"/>
        <item m="1" x="1549"/>
        <item m="1" x="787"/>
        <item m="1" x="1124"/>
        <item m="1" x="508"/>
        <item m="1" x="8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825"/>
        <item m="1" x="1586"/>
        <item m="1" x="528"/>
        <item m="1" x="49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9">
    <i>
      <x/>
    </i>
    <i r="1">
      <x v="1666"/>
    </i>
    <i r="2">
      <x v="11"/>
    </i>
    <i r="1">
      <x v="1667"/>
    </i>
    <i r="2">
      <x v="8"/>
    </i>
    <i r="1">
      <x v="1668"/>
    </i>
    <i r="2">
      <x v="8"/>
    </i>
    <i r="1">
      <x v="1669"/>
    </i>
    <i r="2">
      <x v="8"/>
    </i>
    <i>
      <x v="1"/>
    </i>
    <i r="1">
      <x v="1657"/>
    </i>
    <i r="2">
      <x v="3"/>
    </i>
    <i r="2">
      <x v="8"/>
    </i>
    <i r="2">
      <x v="10"/>
    </i>
    <i r="1">
      <x v="1658"/>
    </i>
    <i r="2">
      <x v="3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13" totalsRowShown="0" totalsRowDxfId="26">
  <autoFilter ref="A1:C1413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521" totalsRowShown="0"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3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7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288</v>
      </c>
    </row>
    <row r="5" spans="1:2">
      <c r="A5" s="111" t="s">
        <v>369</v>
      </c>
      <c r="B5" s="150">
        <v>282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7794</v>
      </c>
      <c r="B14" s="150">
        <v>136</v>
      </c>
    </row>
    <row r="15" spans="1:2">
      <c r="A15" s="111" t="s">
        <v>369</v>
      </c>
      <c r="B15" s="150">
        <v>136</v>
      </c>
    </row>
    <row r="16" spans="1:2">
      <c r="A16" s="17" t="s">
        <v>568</v>
      </c>
      <c r="B16" s="150">
        <v>310</v>
      </c>
    </row>
    <row r="17" spans="1:2">
      <c r="A17" s="111" t="s">
        <v>369</v>
      </c>
      <c r="B17" s="150">
        <v>308</v>
      </c>
    </row>
    <row r="18" spans="1:2">
      <c r="A18" s="111" t="s">
        <v>375</v>
      </c>
      <c r="B18" s="150">
        <v>2</v>
      </c>
    </row>
    <row r="19" spans="1:2">
      <c r="A19" s="17" t="s">
        <v>569</v>
      </c>
      <c r="B19" s="150">
        <v>224</v>
      </c>
    </row>
    <row r="20" spans="1:2">
      <c r="A20" s="111" t="s">
        <v>369</v>
      </c>
      <c r="B20" s="150">
        <v>218</v>
      </c>
    </row>
    <row r="21" spans="1:2">
      <c r="A21" s="111" t="s">
        <v>370</v>
      </c>
      <c r="B21" s="150">
        <v>3</v>
      </c>
    </row>
    <row r="22" spans="1:2">
      <c r="A22" s="111" t="s">
        <v>377</v>
      </c>
      <c r="B22" s="150">
        <v>2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395</v>
      </c>
    </row>
    <row r="25" spans="1:2">
      <c r="A25" s="111" t="s">
        <v>369</v>
      </c>
      <c r="B25" s="150">
        <v>337</v>
      </c>
    </row>
    <row r="26" spans="1:2">
      <c r="A26" s="111" t="s">
        <v>370</v>
      </c>
      <c r="B26" s="150">
        <v>15</v>
      </c>
    </row>
    <row r="27" spans="1:2">
      <c r="A27" s="111" t="s">
        <v>377</v>
      </c>
      <c r="B27" s="150">
        <v>43</v>
      </c>
    </row>
    <row r="28" spans="1:2">
      <c r="A28" s="17" t="s">
        <v>6998</v>
      </c>
      <c r="B28" s="150">
        <v>4</v>
      </c>
    </row>
    <row r="29" spans="1:2">
      <c r="A29" s="111" t="s">
        <v>369</v>
      </c>
      <c r="B29" s="150">
        <v>4</v>
      </c>
    </row>
    <row r="30" spans="1:2">
      <c r="A30" s="17" t="s">
        <v>7194</v>
      </c>
      <c r="B30" s="150">
        <v>16</v>
      </c>
    </row>
    <row r="31" spans="1:2">
      <c r="A31" s="111" t="s">
        <v>369</v>
      </c>
      <c r="B31" s="150">
        <v>11</v>
      </c>
    </row>
    <row r="32" spans="1:2">
      <c r="A32" s="111" t="s">
        <v>377</v>
      </c>
      <c r="B32" s="150">
        <v>5</v>
      </c>
    </row>
    <row r="33" spans="1:2">
      <c r="A33" s="17" t="s">
        <v>381</v>
      </c>
      <c r="B33" s="150">
        <v>1373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D19" sqref="D19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7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7</v>
      </c>
      <c r="C5"/>
      <c r="D5"/>
      <c r="E5"/>
    </row>
    <row r="6" spans="1:6">
      <c r="A6" s="111" t="s">
        <v>7799</v>
      </c>
      <c r="B6" s="150">
        <v>2</v>
      </c>
      <c r="C6" s="126"/>
      <c r="D6" s="124"/>
      <c r="E6" s="124"/>
    </row>
    <row r="7" spans="1:6">
      <c r="A7" s="112" t="s">
        <v>375</v>
      </c>
      <c r="B7" s="150">
        <v>2</v>
      </c>
      <c r="C7"/>
      <c r="D7"/>
      <c r="E7"/>
    </row>
    <row r="8" spans="1:6">
      <c r="A8" s="111" t="s">
        <v>7800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7802</v>
      </c>
      <c r="B10" s="150">
        <v>2</v>
      </c>
      <c r="C10" s="53"/>
      <c r="D10" s="124"/>
      <c r="E10" s="124"/>
    </row>
    <row r="11" spans="1:6">
      <c r="A11" s="112" t="s">
        <v>370</v>
      </c>
      <c r="B11" s="150">
        <v>2</v>
      </c>
      <c r="C11"/>
      <c r="D11"/>
    </row>
    <row r="12" spans="1:6">
      <c r="A12" s="111" t="s">
        <v>7806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7" t="s">
        <v>4326</v>
      </c>
      <c r="B14" s="150">
        <v>91</v>
      </c>
      <c r="C14" s="126"/>
      <c r="D14"/>
    </row>
    <row r="15" spans="1:6">
      <c r="A15" s="111" t="s">
        <v>7523</v>
      </c>
      <c r="B15" s="150">
        <v>5</v>
      </c>
      <c r="C15"/>
      <c r="D15" s="124"/>
      <c r="E15" s="124"/>
    </row>
    <row r="16" spans="1:6">
      <c r="A16" s="112" t="s">
        <v>369</v>
      </c>
      <c r="B16" s="150">
        <v>1</v>
      </c>
      <c r="C16"/>
      <c r="D16"/>
    </row>
    <row r="17" spans="1:5">
      <c r="A17" s="112" t="s">
        <v>370</v>
      </c>
      <c r="B17" s="150">
        <v>2</v>
      </c>
      <c r="C17"/>
      <c r="D17" s="124"/>
      <c r="E17" s="124"/>
    </row>
    <row r="18" spans="1:5">
      <c r="A18" s="112" t="s">
        <v>377</v>
      </c>
      <c r="B18" s="150">
        <v>2</v>
      </c>
      <c r="C18" s="126"/>
      <c r="D18"/>
    </row>
    <row r="19" spans="1:5">
      <c r="A19" s="111" t="s">
        <v>7533</v>
      </c>
      <c r="B19" s="150">
        <v>86</v>
      </c>
      <c r="C19" s="47"/>
      <c r="D19"/>
    </row>
    <row r="20" spans="1:5">
      <c r="A20" s="112" t="s">
        <v>369</v>
      </c>
      <c r="B20" s="150">
        <v>39</v>
      </c>
      <c r="C20" s="126"/>
    </row>
    <row r="21" spans="1:5" ht="17.25" customHeight="1">
      <c r="A21" s="112" t="s">
        <v>370</v>
      </c>
      <c r="B21" s="150">
        <v>13</v>
      </c>
    </row>
    <row r="22" spans="1:5">
      <c r="A22" s="112" t="s">
        <v>377</v>
      </c>
      <c r="B22" s="150">
        <v>34</v>
      </c>
    </row>
    <row r="23" spans="1:5">
      <c r="A23" s="17" t="s">
        <v>381</v>
      </c>
      <c r="B23" s="150">
        <v>98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13"/>
  <sheetViews>
    <sheetView topLeftCell="A1371" workbookViewId="0">
      <selection activeCell="C1412" sqref="C1412:C141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7397</v>
      </c>
      <c r="B1391">
        <v>4</v>
      </c>
      <c r="C1391" s="149" t="s">
        <v>4</v>
      </c>
    </row>
    <row r="1392" spans="1:3">
      <c r="A1392" t="s">
        <v>7383</v>
      </c>
      <c r="B1392">
        <v>7</v>
      </c>
      <c r="C1392" s="149" t="s">
        <v>4</v>
      </c>
    </row>
    <row r="1393" spans="1:3">
      <c r="A1393" t="s">
        <v>7380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7454</v>
      </c>
      <c r="B1395">
        <v>16</v>
      </c>
      <c r="C1395" s="149" t="s">
        <v>4</v>
      </c>
    </row>
    <row r="1396" spans="1:3">
      <c r="A1396" t="s">
        <v>7451</v>
      </c>
      <c r="B1396">
        <v>1</v>
      </c>
      <c r="C1396" s="149" t="s">
        <v>4</v>
      </c>
    </row>
    <row r="1397" spans="1:3">
      <c r="A1397" t="s">
        <v>7421</v>
      </c>
      <c r="B1397">
        <v>24</v>
      </c>
      <c r="C1397" s="149" t="s">
        <v>4</v>
      </c>
    </row>
    <row r="1398" spans="1:3">
      <c r="A1398" t="s">
        <v>7516</v>
      </c>
      <c r="B1398">
        <v>4</v>
      </c>
      <c r="C1398" s="149" t="s">
        <v>4</v>
      </c>
    </row>
    <row r="1399" spans="1:3">
      <c r="A1399" t="s">
        <v>7399</v>
      </c>
      <c r="B1399">
        <v>16</v>
      </c>
      <c r="C1399" s="149" t="s">
        <v>4</v>
      </c>
    </row>
    <row r="1400" spans="1:3">
      <c r="A1400" t="s">
        <v>7420</v>
      </c>
      <c r="B1400">
        <v>3</v>
      </c>
      <c r="C1400" s="149" t="s">
        <v>4</v>
      </c>
    </row>
    <row r="1401" spans="1:3">
      <c r="A1401" t="s">
        <v>7625</v>
      </c>
      <c r="B1401">
        <v>1</v>
      </c>
      <c r="C1401" s="179" t="s">
        <v>4</v>
      </c>
    </row>
    <row r="1402" spans="1:3">
      <c r="A1402" t="s">
        <v>7630</v>
      </c>
      <c r="B1402">
        <v>1</v>
      </c>
      <c r="C1402" s="179" t="s">
        <v>4</v>
      </c>
    </row>
    <row r="1403" spans="1:3">
      <c r="A1403" t="s">
        <v>6639</v>
      </c>
      <c r="B1403">
        <v>2</v>
      </c>
      <c r="C1403" s="179" t="s">
        <v>4</v>
      </c>
    </row>
    <row r="1404" spans="1:3">
      <c r="A1404" t="s">
        <v>7364</v>
      </c>
      <c r="B1404">
        <v>5</v>
      </c>
      <c r="C1404" s="179" t="s">
        <v>4</v>
      </c>
    </row>
    <row r="1405" spans="1:3">
      <c r="A1405" t="s">
        <v>7343</v>
      </c>
      <c r="B1405">
        <v>1</v>
      </c>
      <c r="C1405" s="179" t="s">
        <v>4</v>
      </c>
    </row>
    <row r="1406" spans="1:3">
      <c r="A1406" t="s">
        <v>7731</v>
      </c>
      <c r="B1406">
        <v>1</v>
      </c>
      <c r="C1406" s="179" t="s">
        <v>4</v>
      </c>
    </row>
    <row r="1407" spans="1:3">
      <c r="A1407" t="s">
        <v>7733</v>
      </c>
      <c r="B1407">
        <v>58</v>
      </c>
      <c r="C1407" s="179" t="s">
        <v>4</v>
      </c>
    </row>
    <row r="1408" spans="1:3">
      <c r="A1408" t="s">
        <v>7376</v>
      </c>
      <c r="B1408">
        <v>1</v>
      </c>
      <c r="C1408" s="179" t="s">
        <v>4</v>
      </c>
    </row>
    <row r="1409" spans="1:3">
      <c r="A1409" t="s">
        <v>7472</v>
      </c>
      <c r="B1409">
        <v>34</v>
      </c>
      <c r="C1409" s="179" t="s">
        <v>4</v>
      </c>
    </row>
    <row r="1410" spans="1:3">
      <c r="A1410" t="s">
        <v>7628</v>
      </c>
      <c r="B1410">
        <v>1</v>
      </c>
      <c r="C1410" s="179" t="s">
        <v>4</v>
      </c>
    </row>
    <row r="1411" spans="1:3">
      <c r="A1411" t="s">
        <v>7633</v>
      </c>
      <c r="B1411">
        <v>1</v>
      </c>
      <c r="C1411" s="179" t="s">
        <v>4</v>
      </c>
    </row>
    <row r="1412" spans="1:3">
      <c r="A1412" t="s">
        <v>7515</v>
      </c>
      <c r="B1412">
        <v>11</v>
      </c>
      <c r="C1412" s="179" t="s">
        <v>4</v>
      </c>
    </row>
    <row r="1413" spans="1:3">
      <c r="A1413" t="s">
        <v>7725</v>
      </c>
      <c r="B1413">
        <v>77</v>
      </c>
      <c r="C1413" s="17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521"/>
  <sheetViews>
    <sheetView tabSelected="1" zoomScale="105" zoomScaleNormal="105" workbookViewId="0">
      <selection activeCell="F6" sqref="F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289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264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264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264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264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264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264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264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264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264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264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264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260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257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257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257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257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257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257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257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257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257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257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257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257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257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257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257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257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257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257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257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257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257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257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257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257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257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257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257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257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257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257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257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257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257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257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257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257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257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257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257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257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257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256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256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256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256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256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256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256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256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256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256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256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256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256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256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256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256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256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256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256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256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256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256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256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256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256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256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256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256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256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256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256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256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256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256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256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256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256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256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256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256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256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256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256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256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256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256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256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256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256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256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256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256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256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256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256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256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256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256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256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255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255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255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255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255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254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254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252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252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251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248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248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248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248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248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248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248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248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248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248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248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248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248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248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248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248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248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248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248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248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248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247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247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247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247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247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242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242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242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237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237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237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237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237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237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237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237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237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237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237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237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237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237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237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237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237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237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233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233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233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228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227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227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227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227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227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227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227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227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227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227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227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227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213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213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212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212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212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202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187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187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187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187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187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187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187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187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187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187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187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187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187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187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187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187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187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187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187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187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184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184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184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184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183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183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183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183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183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183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183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183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183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183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183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183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183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183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183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183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183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183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183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183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183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183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183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183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183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183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183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183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183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183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182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182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182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182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182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182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182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182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182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182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182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182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182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182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182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182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182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182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178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178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178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178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178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178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178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178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178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178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178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178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178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178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178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178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178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178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178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178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178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178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178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178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178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178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178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178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178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178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178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178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178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178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178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178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178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178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178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178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178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178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178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178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178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178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178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178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178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178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178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178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178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178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178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178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178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178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178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178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178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178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178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178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178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178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178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178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178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178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178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178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178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178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178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178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178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178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178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178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178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178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178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178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178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178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178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178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178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178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178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178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172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172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167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167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162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162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162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162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162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162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162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162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162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162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162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162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162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162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162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162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162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162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162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162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162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162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162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162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162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162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162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162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162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162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162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162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162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162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162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162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162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162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162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162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162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162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162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162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162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162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162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162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162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162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162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162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162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162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162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162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162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162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162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162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162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162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162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162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162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162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162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162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162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162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162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162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162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162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162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162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162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162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162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162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162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162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162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162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162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162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162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162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162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162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162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162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162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162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162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162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162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162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162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162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162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162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162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162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162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159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159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159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159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160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157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157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152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152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152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152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152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152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152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152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152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152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152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150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150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150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150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150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150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150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150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150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150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150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150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150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150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150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150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150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150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150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150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150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150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150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150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150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150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150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150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150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150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150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150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150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150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150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150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150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150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150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150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150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150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150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150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150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150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150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150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150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150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150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150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150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150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150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150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150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150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150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150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150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150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150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150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150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150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150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150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150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150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150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150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150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150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150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150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150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150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150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150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150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150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150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150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150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150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150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150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150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150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150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150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150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150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150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150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150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150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150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150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150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150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150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150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150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150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150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150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150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150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150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150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150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150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150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150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150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150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150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150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150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150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150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150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150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150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150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150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150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150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150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150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150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150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150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150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150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150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150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150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150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150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150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150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150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150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150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150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150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150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150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150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150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150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150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150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150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150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150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150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150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150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150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150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150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150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150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150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150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150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150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150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150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150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150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150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150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150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150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150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150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150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150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150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150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150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150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150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150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150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150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150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150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150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150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150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150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150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150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150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150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150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150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150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150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150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150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150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150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150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150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150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150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150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150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150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150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150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150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150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150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150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150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150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150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150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150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150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150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150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150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150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150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150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150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150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150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150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150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150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150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150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150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150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150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150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150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150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150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150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150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150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150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150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150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150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150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150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150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150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150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150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150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150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150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150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150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150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150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150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150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150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150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150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150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150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150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150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150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150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150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150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150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150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150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150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150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150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150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150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150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150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150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150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150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150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150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150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150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150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150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150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150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150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150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150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150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150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150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150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150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150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150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150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150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150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150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150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150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150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150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150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150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150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150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150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150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150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150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150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150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150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150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150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150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148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148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148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148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148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148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148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148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148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148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147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147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147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146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146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146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146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146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146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145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145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143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142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142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142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141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141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141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139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139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139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139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139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139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139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136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136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136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136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136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136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136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136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136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136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136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136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136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136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136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136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136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136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136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136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136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136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136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136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136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136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136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136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136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135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135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133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133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133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133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133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133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133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133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133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133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131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131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131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131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131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131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131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131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130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130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130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130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130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130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130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130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130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130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130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130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130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130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130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130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130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128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128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128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128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128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128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128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128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128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128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128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128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128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128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128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128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128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128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128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128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128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128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128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128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128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128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128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128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128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128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128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128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128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128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128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128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128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128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128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128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128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128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128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128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128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128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128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128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128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128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128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128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128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128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128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128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128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128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128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128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128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128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128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128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128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128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128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128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128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128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128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128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128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128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128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128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128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128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128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128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128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128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128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128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128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128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128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128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128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128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128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128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128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128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128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128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128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128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128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128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128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128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128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128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128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128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128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128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128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128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128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128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128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128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128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128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128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128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128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128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128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128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128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128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128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128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128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128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128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128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128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128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128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128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128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128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128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128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128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128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128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128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128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128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128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128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128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128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128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128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128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128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128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128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128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128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128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128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128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128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128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128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128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128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128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128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128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128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128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128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128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128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128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128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128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128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128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128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128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128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128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128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128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128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128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128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128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128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128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128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128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128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128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128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128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128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128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128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128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128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128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128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128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128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128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128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128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128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128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128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128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128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128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128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128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128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128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128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128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128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128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128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128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128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128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128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128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128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128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128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128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128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128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128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128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128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128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128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128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128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128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128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128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128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128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128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128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128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128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128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128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128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128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128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128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128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128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128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128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128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128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128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128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128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128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128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128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128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128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128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128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128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128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128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128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128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128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128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128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128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128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128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128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128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128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128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128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128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128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128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128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128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128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128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128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127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127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127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127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127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127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127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127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127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127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127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127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127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127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127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127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127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127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127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127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127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127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127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127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127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127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127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127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127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127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127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127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127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127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127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127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127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127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127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127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127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127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127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127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127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127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127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127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127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127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127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127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127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127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127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127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127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127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127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127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127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127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127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127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127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127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127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127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127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127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127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127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127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127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127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127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127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127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127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127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127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127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127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127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127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127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127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127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127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127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127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127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127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127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127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127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127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127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127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127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127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127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127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127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127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127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127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127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127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127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127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127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127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127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127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127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127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127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127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127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127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127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127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127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127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127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127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127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127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127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127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127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127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127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127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127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127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127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127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127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127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127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127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127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127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127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127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127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127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127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127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127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127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127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127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127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127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127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127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127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127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127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127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127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127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127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127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127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127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127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127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127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127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127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127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127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127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127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127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127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127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127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127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127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127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127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127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127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127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127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127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127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127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127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127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127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127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127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127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127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127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127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124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124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124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124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124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124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124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124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124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124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124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124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124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124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124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124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124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124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124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124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124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124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124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124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124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124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124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124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124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124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124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124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124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124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124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124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124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124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124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124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124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124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124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123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123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122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122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122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122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122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122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122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121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121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121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120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120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120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120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120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120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120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120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120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120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120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120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120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120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120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120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120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120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120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120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120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120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120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120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120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120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120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120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120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120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120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120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120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120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120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120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120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120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120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120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120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120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120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120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120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120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120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120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120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120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120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120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120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120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120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120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120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120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120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120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120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120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120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120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120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120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120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120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120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120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120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120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120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120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120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120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120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120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120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120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120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120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120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120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120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120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120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120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120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120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120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120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120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120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119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119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119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119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119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119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119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119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119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119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119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119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119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119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119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119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119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119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119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118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118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118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118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118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118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118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118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118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118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118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118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118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118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118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118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118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118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117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117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117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117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117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117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117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117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117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117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117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117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114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114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114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114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114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114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114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114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114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114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114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114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114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114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114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114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114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114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114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114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114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114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114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114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114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114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114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114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114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113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113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113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113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113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113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113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113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113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113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113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113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113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113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113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113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113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113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113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113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113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113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113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113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113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113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113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113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113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113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113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113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113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113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113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112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112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112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112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112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112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112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112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112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112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112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112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112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112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112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112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112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112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112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112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112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112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112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112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112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112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112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112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112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112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112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112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112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112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112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112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112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112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112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112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112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112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112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112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112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112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112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112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112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112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112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112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112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112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112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112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112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112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112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112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112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112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112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112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112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112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112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112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112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112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112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112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112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112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112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112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112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112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112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112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112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112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112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112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112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112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112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112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112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112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112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112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112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112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112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112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112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112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112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112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112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112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112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112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112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112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112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112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112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112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112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112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112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112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112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112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112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112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112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112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112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112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112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112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112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112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112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112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112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112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112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112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112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112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112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112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112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112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112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112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112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112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112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112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112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112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112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112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112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112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112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112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112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112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112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112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112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112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112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112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112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112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112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112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112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112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112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112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112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112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112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112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112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112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112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112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112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112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112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112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112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112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112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112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112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112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112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112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112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112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112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112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112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112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112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112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112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112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112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112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112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112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112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112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112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112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112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112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112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112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112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112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112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112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112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112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112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112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112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112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112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112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112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112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112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112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112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112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112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112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112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112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112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112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112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112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110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110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110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110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110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110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110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110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110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110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110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110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110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110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110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110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109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109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109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109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109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109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109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109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109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109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109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109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109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109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109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109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109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109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109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109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109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109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109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109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109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109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109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109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109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109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109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109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109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109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109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109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109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109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109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108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108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108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108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108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108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108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108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108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108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108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108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108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108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108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108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108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108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107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107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107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107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107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107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107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107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107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107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107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107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107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107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107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107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107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107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107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107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107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107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107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107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107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107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107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107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107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107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107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107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107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107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107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107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107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107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107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107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107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107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107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107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107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107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107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107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107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107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107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107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107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107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107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107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107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107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107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107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107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107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107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107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107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107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107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107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107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107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107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107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107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107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107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107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107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107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107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107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107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107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107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107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107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107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107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107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107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107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107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107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107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107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107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107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107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107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107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107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107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107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107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107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107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107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107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107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107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107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107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107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107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107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107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103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103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103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103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103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103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103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103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103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103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103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103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102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102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102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102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102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102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102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102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102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102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102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102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102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102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102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102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102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102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102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102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102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102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102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102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102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102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102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102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102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102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102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99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99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99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99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99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99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99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99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99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98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97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97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97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97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97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97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96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96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96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96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96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96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96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96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96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96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96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96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96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96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96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96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96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96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96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96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95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95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95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95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95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95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95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95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95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95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95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95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94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94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94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94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94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94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94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94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94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94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94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94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91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91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91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91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91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91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91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91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91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91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91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91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91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91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91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91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91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91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91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91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91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91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91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91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91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91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91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91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91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91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91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91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91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91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91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91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91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91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91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91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91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91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91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91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91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91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91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91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91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91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90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90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90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90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90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90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90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90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90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90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90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90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90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90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90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90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87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86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86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86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86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86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86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84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84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84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84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84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84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84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84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84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84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84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84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84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84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84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84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84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84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84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84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84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84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84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84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84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84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84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84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84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84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84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84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84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84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84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84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84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84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84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84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84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84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84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84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84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84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84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82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82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82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82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82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82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82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82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82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82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82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82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82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82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82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82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82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82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82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82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82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82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82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82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82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82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82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82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80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80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80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80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75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75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75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75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75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74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74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74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74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74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74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74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74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74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74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74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74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71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71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71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71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71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71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71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71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71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71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71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71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71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71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71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71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71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71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71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71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71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71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71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71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71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71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71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71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71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70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69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68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68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68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68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68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68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68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68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68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68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68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68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68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68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68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68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68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68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68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68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68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68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68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68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68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68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68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67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67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67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67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67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67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67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67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67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67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67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67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67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67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67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67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67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67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67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67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67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67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67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67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67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67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67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67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67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67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67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67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67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67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67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67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67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67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67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66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ok</v>
      </c>
      <c r="C4490" s="149" t="s">
        <v>369</v>
      </c>
      <c r="D4490" t="s">
        <v>6742</v>
      </c>
      <c r="E4490" t="s">
        <v>6640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ok</v>
      </c>
      <c r="C4491" s="179" t="s">
        <v>369</v>
      </c>
      <c r="D4491" t="s">
        <v>6743</v>
      </c>
      <c r="E4491" t="s">
        <v>6641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69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64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64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64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64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64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64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64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64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64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64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64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64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64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64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64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64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64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64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64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64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64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64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64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64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64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64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64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64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64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64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64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64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64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64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64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64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64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64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64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64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64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64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64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64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64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64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64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64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64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64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64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64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64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64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64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64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64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64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64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64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64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64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64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64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64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64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64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64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64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64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64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64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64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64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64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64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64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64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64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64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64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64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64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64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64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64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64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64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64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64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64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64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64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62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62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62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62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62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62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62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62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62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62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62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62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62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62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62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62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62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62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62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62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62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62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62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62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62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62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62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62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62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61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59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59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59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56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56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56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56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56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56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56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56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56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56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56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56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56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56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56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56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56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56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56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56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56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56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56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56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56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56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56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56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56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56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56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56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56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56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56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56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56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56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56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56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56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56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56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56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56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56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56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56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56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56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56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56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56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56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56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56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56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56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56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53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53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53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53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53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53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53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53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53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53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53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53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53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53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53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53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53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53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53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53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53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53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53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53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52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52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52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52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52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52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52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52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52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52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52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52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52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52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50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50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50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50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50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50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50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48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48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48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48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48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48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48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48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48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48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48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48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48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48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48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48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48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48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48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48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48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48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48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48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48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48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48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48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48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48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48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48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48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48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48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48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48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48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48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48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48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48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48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48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48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48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48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48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48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48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48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48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48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48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48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48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48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48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48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48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48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48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48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48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47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47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47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47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47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47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47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47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47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47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45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45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45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45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45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45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45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45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45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45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45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45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45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45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45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45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45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45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45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45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45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45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45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45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45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45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45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45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45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45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45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45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45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45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44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44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44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44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44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44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44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44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44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44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44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44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44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44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44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44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44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44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44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44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44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44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44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44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44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44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44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44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44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44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44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44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44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44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44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44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44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44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44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44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44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44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44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44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44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44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44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44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44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44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44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44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44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44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44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44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44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44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44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44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44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44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44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44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44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44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44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44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44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44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44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44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44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44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44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44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44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44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44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44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44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44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44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44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44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44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44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44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44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44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44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44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44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44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44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44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44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44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44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44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44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44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44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44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44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44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44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44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44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44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44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44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44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44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44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44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44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44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44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44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44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44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44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44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44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44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44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44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44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44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44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44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44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44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44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44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44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44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44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44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44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44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44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44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44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43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43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43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43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43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43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43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43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43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43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43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43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43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43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43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43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43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43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43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43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43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43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43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43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43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43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43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43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42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42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42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42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42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42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42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42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42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42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42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41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41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41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41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41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41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41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41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41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41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41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41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41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41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41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41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41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41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41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41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41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41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41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41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41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41</v>
      </c>
      <c r="R5039" s="175" t="s">
        <v>415</v>
      </c>
      <c r="S5039" s="150"/>
    </row>
    <row r="5040" spans="1:19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40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40</v>
      </c>
      <c r="R5041" s="175" t="s">
        <v>1459</v>
      </c>
      <c r="S5041" s="150"/>
    </row>
    <row r="5042" spans="1:19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39</v>
      </c>
      <c r="R5042" s="175" t="s">
        <v>415</v>
      </c>
      <c r="S5042" s="150"/>
    </row>
    <row r="5043" spans="1:19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39</v>
      </c>
      <c r="R5043" s="175" t="s">
        <v>415</v>
      </c>
      <c r="S5043" s="150"/>
    </row>
    <row r="5044" spans="1:19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39</v>
      </c>
      <c r="R5044" s="175" t="s">
        <v>415</v>
      </c>
      <c r="S5044" s="150"/>
    </row>
    <row r="5045" spans="1:19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39</v>
      </c>
      <c r="R5045" s="175" t="s">
        <v>415</v>
      </c>
      <c r="S5045" s="150"/>
    </row>
    <row r="5046" spans="1:19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39</v>
      </c>
      <c r="R5046" s="175" t="s">
        <v>415</v>
      </c>
      <c r="S5046" s="150"/>
    </row>
    <row r="5047" spans="1:19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39</v>
      </c>
      <c r="R5047" s="175" t="s">
        <v>415</v>
      </c>
      <c r="S5047" s="150"/>
    </row>
    <row r="5048" spans="1:19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39</v>
      </c>
      <c r="R5048" s="175" t="s">
        <v>415</v>
      </c>
      <c r="S5048" s="150"/>
    </row>
    <row r="5049" spans="1:19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39</v>
      </c>
      <c r="R5049" s="175" t="s">
        <v>415</v>
      </c>
      <c r="S5049" s="150"/>
    </row>
    <row r="5050" spans="1:19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39</v>
      </c>
      <c r="R5050" s="175" t="s">
        <v>415</v>
      </c>
      <c r="S5050" s="150"/>
    </row>
    <row r="5051" spans="1:19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39</v>
      </c>
      <c r="R5051" s="175" t="s">
        <v>415</v>
      </c>
      <c r="S5051" s="150"/>
    </row>
    <row r="5052" spans="1:19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39</v>
      </c>
      <c r="R5052" s="175" t="s">
        <v>415</v>
      </c>
      <c r="S5052" s="150"/>
    </row>
    <row r="5053" spans="1:19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39</v>
      </c>
      <c r="R5053" s="175" t="s">
        <v>415</v>
      </c>
      <c r="S5053" s="150"/>
    </row>
    <row r="5054" spans="1:19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39</v>
      </c>
      <c r="R5054" s="175" t="s">
        <v>415</v>
      </c>
      <c r="S5054" s="150"/>
    </row>
    <row r="5055" spans="1:19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39</v>
      </c>
      <c r="R5055" s="175" t="s">
        <v>415</v>
      </c>
      <c r="S5055" s="150"/>
    </row>
    <row r="5056" spans="1:19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39</v>
      </c>
      <c r="R5056" s="175" t="s">
        <v>415</v>
      </c>
      <c r="S5056" s="150"/>
    </row>
    <row r="5057" spans="1:19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39</v>
      </c>
      <c r="R5057" s="175" t="s">
        <v>415</v>
      </c>
      <c r="S5057" s="150"/>
    </row>
    <row r="5058" spans="1:19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39</v>
      </c>
      <c r="R5058" s="175" t="s">
        <v>415</v>
      </c>
      <c r="S5058" s="150"/>
    </row>
    <row r="5059" spans="1:19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39</v>
      </c>
      <c r="R5059" s="175" t="s">
        <v>415</v>
      </c>
      <c r="S5059" s="150"/>
    </row>
    <row r="5060" spans="1:19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39</v>
      </c>
      <c r="R5060" s="175" t="s">
        <v>415</v>
      </c>
      <c r="S5060" s="150"/>
    </row>
    <row r="5061" spans="1:19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39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38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38</v>
      </c>
      <c r="R5063" s="175" t="s">
        <v>415</v>
      </c>
      <c r="S5063" s="150"/>
    </row>
    <row r="5064" spans="1:19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38</v>
      </c>
      <c r="R5064" s="175" t="s">
        <v>489</v>
      </c>
      <c r="S5064" s="150"/>
    </row>
    <row r="5065" spans="1:19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38</v>
      </c>
      <c r="R5065" s="175" t="s">
        <v>489</v>
      </c>
      <c r="S5065" s="150"/>
    </row>
    <row r="5066" spans="1:19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38</v>
      </c>
      <c r="R5066" s="175" t="s">
        <v>489</v>
      </c>
      <c r="S5066" s="150"/>
    </row>
    <row r="5067" spans="1:19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38</v>
      </c>
      <c r="R5067" s="175" t="s">
        <v>489</v>
      </c>
      <c r="S5067" s="150"/>
    </row>
    <row r="5068" spans="1:19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38</v>
      </c>
      <c r="R5068" s="175" t="s">
        <v>489</v>
      </c>
      <c r="S5068" s="150"/>
    </row>
    <row r="5069" spans="1:19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38</v>
      </c>
      <c r="R5069" s="175" t="s">
        <v>489</v>
      </c>
      <c r="S5069" s="150"/>
    </row>
    <row r="5070" spans="1:19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38</v>
      </c>
      <c r="R5070" s="175" t="s">
        <v>489</v>
      </c>
      <c r="S5070" s="150"/>
    </row>
    <row r="5071" spans="1:19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38</v>
      </c>
      <c r="R5071" s="175" t="s">
        <v>489</v>
      </c>
      <c r="S5071" s="150"/>
    </row>
    <row r="5072" spans="1:19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38</v>
      </c>
      <c r="R5072" s="175" t="s">
        <v>489</v>
      </c>
      <c r="S5072" s="150"/>
    </row>
    <row r="5073" spans="1:19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38</v>
      </c>
      <c r="R5073" s="175" t="s">
        <v>489</v>
      </c>
      <c r="S5073" s="150"/>
    </row>
    <row r="5074" spans="1:19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38</v>
      </c>
      <c r="R5074" s="175" t="s">
        <v>489</v>
      </c>
      <c r="S5074" s="150"/>
    </row>
    <row r="5075" spans="1:19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38</v>
      </c>
      <c r="R5075" s="175" t="s">
        <v>489</v>
      </c>
      <c r="S5075" s="150"/>
    </row>
    <row r="5076" spans="1:19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38</v>
      </c>
      <c r="R5076" s="175" t="s">
        <v>489</v>
      </c>
      <c r="S5076" s="150"/>
    </row>
    <row r="5077" spans="1:19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38</v>
      </c>
      <c r="R5077" s="175" t="s">
        <v>489</v>
      </c>
      <c r="S5077" s="150"/>
    </row>
    <row r="5078" spans="1:19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38</v>
      </c>
      <c r="R5078" s="175" t="s">
        <v>489</v>
      </c>
      <c r="S5078" s="150"/>
    </row>
    <row r="5079" spans="1:19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38</v>
      </c>
      <c r="R5079" s="175" t="s">
        <v>489</v>
      </c>
      <c r="S5079" s="150"/>
    </row>
    <row r="5080" spans="1:19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38</v>
      </c>
      <c r="R5080" s="175" t="s">
        <v>489</v>
      </c>
      <c r="S5080" s="150"/>
    </row>
    <row r="5081" spans="1:19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38</v>
      </c>
      <c r="R5081" s="175" t="s">
        <v>489</v>
      </c>
      <c r="S5081" s="150"/>
    </row>
    <row r="5082" spans="1:19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38</v>
      </c>
      <c r="R5082" s="175" t="s">
        <v>489</v>
      </c>
      <c r="S5082" s="150"/>
    </row>
    <row r="5083" spans="1:19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38</v>
      </c>
      <c r="R5083" s="175" t="s">
        <v>489</v>
      </c>
      <c r="S5083" s="150"/>
    </row>
    <row r="5084" spans="1:19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38</v>
      </c>
      <c r="R5084" s="175" t="s">
        <v>489</v>
      </c>
      <c r="S5084" s="150"/>
    </row>
    <row r="5085" spans="1:19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38</v>
      </c>
      <c r="R5085" s="175" t="s">
        <v>489</v>
      </c>
      <c r="S5085" s="150"/>
    </row>
    <row r="5086" spans="1:19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38</v>
      </c>
      <c r="R5086" s="175" t="s">
        <v>489</v>
      </c>
      <c r="S5086" s="150"/>
    </row>
    <row r="5087" spans="1:19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38</v>
      </c>
      <c r="R5087" s="175" t="s">
        <v>489</v>
      </c>
      <c r="S5087" s="150"/>
    </row>
    <row r="5088" spans="1:19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38</v>
      </c>
      <c r="R5088" s="175" t="s">
        <v>489</v>
      </c>
      <c r="S5088" s="150"/>
    </row>
    <row r="5089" spans="1:19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38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ok</v>
      </c>
      <c r="C5090" s="149" t="s">
        <v>692</v>
      </c>
      <c r="D5090" t="s">
        <v>7342</v>
      </c>
      <c r="E5090" t="s">
        <v>4829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38</v>
      </c>
      <c r="R5090" s="175" t="s">
        <v>415</v>
      </c>
      <c r="S5090" s="150"/>
    </row>
    <row r="5091" spans="1:19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38</v>
      </c>
      <c r="R5091" s="175" t="s">
        <v>489</v>
      </c>
      <c r="S5091" s="150"/>
    </row>
    <row r="5092" spans="1:19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38</v>
      </c>
      <c r="R5092" s="175" t="s">
        <v>489</v>
      </c>
      <c r="S5092" s="150"/>
    </row>
    <row r="5093" spans="1:19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38</v>
      </c>
      <c r="R5093" s="175" t="s">
        <v>489</v>
      </c>
      <c r="S5093" s="150"/>
    </row>
    <row r="5094" spans="1:19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38</v>
      </c>
      <c r="R5094" s="175" t="s">
        <v>489</v>
      </c>
      <c r="S5094" s="150"/>
    </row>
    <row r="5095" spans="1:19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38</v>
      </c>
      <c r="R5095" s="175" t="s">
        <v>489</v>
      </c>
      <c r="S5095" s="150"/>
    </row>
    <row r="5096" spans="1:19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36</v>
      </c>
      <c r="R5096" s="175" t="s">
        <v>5709</v>
      </c>
      <c r="S5096" s="150"/>
    </row>
    <row r="5097" spans="1:19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36</v>
      </c>
      <c r="R5097" s="175" t="s">
        <v>5709</v>
      </c>
      <c r="S5097" s="150"/>
    </row>
    <row r="5098" spans="1:19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36</v>
      </c>
      <c r="R5098" s="175" t="s">
        <v>5709</v>
      </c>
      <c r="S5098" s="150"/>
    </row>
    <row r="5099" spans="1:19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36</v>
      </c>
      <c r="R5099" s="175" t="s">
        <v>5709</v>
      </c>
      <c r="S5099" s="150"/>
    </row>
    <row r="5100" spans="1:19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36</v>
      </c>
      <c r="R5100" s="175" t="s">
        <v>5709</v>
      </c>
      <c r="S5100" s="150"/>
    </row>
    <row r="5101" spans="1:19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36</v>
      </c>
      <c r="R5101" s="175" t="s">
        <v>5709</v>
      </c>
      <c r="S5101" s="150"/>
    </row>
    <row r="5102" spans="1:19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36</v>
      </c>
      <c r="R5102" s="175" t="s">
        <v>5709</v>
      </c>
      <c r="S5102" s="150"/>
    </row>
    <row r="5103" spans="1:19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36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ok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34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ok</v>
      </c>
      <c r="C5105" s="179" t="s">
        <v>369</v>
      </c>
      <c r="D5105" t="s">
        <v>7367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34</v>
      </c>
      <c r="R5105" s="176" t="s">
        <v>780</v>
      </c>
      <c r="S5105" s="150"/>
    </row>
    <row r="5106" spans="1:19">
      <c r="A5106" s="149" t="s">
        <v>7364</v>
      </c>
      <c r="B5106" s="150" t="str">
        <f>IFERROR(VLOOKUP(Proc[[#This Row],[App]],Table2[],3,0),"open")</f>
        <v>ok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34</v>
      </c>
      <c r="R5106" s="176" t="s">
        <v>780</v>
      </c>
      <c r="S5106" s="150"/>
    </row>
    <row r="5107" spans="1:19">
      <c r="A5107" s="149" t="s">
        <v>7364</v>
      </c>
      <c r="B5107" s="150" t="str">
        <f>IFERROR(VLOOKUP(Proc[[#This Row],[App]],Table2[],3,0),"open")</f>
        <v>ok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34</v>
      </c>
      <c r="R5107" s="176" t="s">
        <v>780</v>
      </c>
      <c r="S5107" s="150"/>
    </row>
    <row r="5108" spans="1:19">
      <c r="A5108" s="149" t="s">
        <v>7364</v>
      </c>
      <c r="B5108" s="150" t="str">
        <f>IFERROR(VLOOKUP(Proc[[#This Row],[App]],Table2[],3,0),"open")</f>
        <v>ok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34</v>
      </c>
      <c r="R5108" s="176" t="s">
        <v>780</v>
      </c>
      <c r="S5108" s="150"/>
    </row>
    <row r="5109" spans="1:19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33</v>
      </c>
      <c r="R5109" s="177" t="s">
        <v>489</v>
      </c>
      <c r="S5109" s="150"/>
    </row>
    <row r="5110" spans="1:19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33</v>
      </c>
      <c r="R5110" s="177" t="s">
        <v>489</v>
      </c>
      <c r="S5110" s="150"/>
    </row>
    <row r="5111" spans="1:19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33</v>
      </c>
      <c r="R5111" s="177" t="s">
        <v>489</v>
      </c>
      <c r="S5111" s="150"/>
    </row>
    <row r="5112" spans="1:19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33</v>
      </c>
      <c r="R5112" s="177" t="s">
        <v>489</v>
      </c>
      <c r="S5112" s="150"/>
    </row>
    <row r="5113" spans="1:19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33</v>
      </c>
      <c r="R5113" s="177" t="s">
        <v>489</v>
      </c>
      <c r="S5113" s="150"/>
    </row>
    <row r="5114" spans="1:19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33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ok</v>
      </c>
      <c r="C5115" t="s">
        <v>369</v>
      </c>
      <c r="D5115" t="s">
        <v>7532</v>
      </c>
      <c r="E5115" t="s">
        <v>7377</v>
      </c>
      <c r="F5115" s="150" t="s">
        <v>7377</v>
      </c>
      <c r="G5115" t="s">
        <v>400</v>
      </c>
      <c r="H5115" s="150" t="str">
        <f>IF(Proc[[#This Row],[type]]="LFF (MDG-F)",MID(Proc[[#This Row],[Obj]],13,10),"")</f>
        <v/>
      </c>
      <c r="I5115" t="s">
        <v>7378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33</v>
      </c>
      <c r="R5115" s="177" t="s">
        <v>485</v>
      </c>
      <c r="S5115" s="150"/>
    </row>
    <row r="5116" spans="1:19">
      <c r="A5116" t="s">
        <v>7380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30</v>
      </c>
      <c r="R5116" s="177" t="s">
        <v>481</v>
      </c>
      <c r="S5116" s="150"/>
    </row>
    <row r="5117" spans="1:19">
      <c r="A5117" s="149" t="s">
        <v>7380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30</v>
      </c>
      <c r="R5117" s="177" t="s">
        <v>481</v>
      </c>
      <c r="S5117" s="150"/>
    </row>
    <row r="5118" spans="1:19">
      <c r="A5118" s="149" t="s">
        <v>7380</v>
      </c>
      <c r="B5118" s="150" t="str">
        <f>IFERROR(VLOOKUP(Proc[[#This Row],[App]],Table2[],3,0),"open")</f>
        <v>ok</v>
      </c>
      <c r="C5118" s="149" t="s">
        <v>369</v>
      </c>
      <c r="D5118" t="s">
        <v>7381</v>
      </c>
      <c r="E5118" t="s">
        <v>7379</v>
      </c>
      <c r="F5118" s="150" t="s">
        <v>7379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30</v>
      </c>
      <c r="R5118" s="177" t="s">
        <v>481</v>
      </c>
      <c r="S5118" s="150"/>
    </row>
    <row r="5119" spans="1:19">
      <c r="A5119" s="149" t="s">
        <v>7380</v>
      </c>
      <c r="B5119" s="150" t="str">
        <f>IFERROR(VLOOKUP(Proc[[#This Row],[App]],Table2[],3,0),"open")</f>
        <v>ok</v>
      </c>
      <c r="C5119" s="149" t="s">
        <v>369</v>
      </c>
      <c r="D5119" t="s">
        <v>7382</v>
      </c>
      <c r="E5119" t="s">
        <v>7379</v>
      </c>
      <c r="F5119" s="150" t="s">
        <v>7379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30</v>
      </c>
      <c r="R5119" s="177" t="s">
        <v>481</v>
      </c>
      <c r="S5119" s="150"/>
    </row>
    <row r="5120" spans="1:19">
      <c r="A5120" t="s">
        <v>7383</v>
      </c>
      <c r="B5120" s="150" t="str">
        <f>IFERROR(VLOOKUP(Proc[[#This Row],[App]],Table2[],3,0),"open")</f>
        <v>ok</v>
      </c>
      <c r="C5120" s="149" t="s">
        <v>369</v>
      </c>
      <c r="D5120" t="s">
        <v>7416</v>
      </c>
      <c r="E5120" t="s">
        <v>7390</v>
      </c>
      <c r="F5120" s="150" t="s">
        <v>7390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30</v>
      </c>
      <c r="R5120" s="177" t="s">
        <v>489</v>
      </c>
      <c r="S5120" s="150"/>
    </row>
    <row r="5121" spans="1:19">
      <c r="A5121" s="149" t="s">
        <v>7383</v>
      </c>
      <c r="B5121" s="150" t="str">
        <f>IFERROR(VLOOKUP(Proc[[#This Row],[App]],Table2[],3,0),"open")</f>
        <v>ok</v>
      </c>
      <c r="C5121" s="149" t="s">
        <v>369</v>
      </c>
      <c r="D5121" t="s">
        <v>7384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30</v>
      </c>
      <c r="R5121" s="177" t="s">
        <v>489</v>
      </c>
      <c r="S5121" s="150"/>
    </row>
    <row r="5122" spans="1:19">
      <c r="A5122" s="149" t="s">
        <v>7383</v>
      </c>
      <c r="B5122" s="150" t="str">
        <f>IFERROR(VLOOKUP(Proc[[#This Row],[App]],Table2[],3,0),"open")</f>
        <v>ok</v>
      </c>
      <c r="C5122" s="149" t="s">
        <v>369</v>
      </c>
      <c r="D5122" t="s">
        <v>7385</v>
      </c>
      <c r="E5122" t="s">
        <v>7391</v>
      </c>
      <c r="F5122" s="150" t="s">
        <v>7391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30</v>
      </c>
      <c r="R5122" s="177" t="s">
        <v>489</v>
      </c>
      <c r="S5122" s="150"/>
    </row>
    <row r="5123" spans="1:19">
      <c r="A5123" s="149" t="s">
        <v>7383</v>
      </c>
      <c r="B5123" s="150" t="str">
        <f>IFERROR(VLOOKUP(Proc[[#This Row],[App]],Table2[],3,0),"open")</f>
        <v>ok</v>
      </c>
      <c r="C5123" s="149" t="s">
        <v>369</v>
      </c>
      <c r="D5123" t="s">
        <v>7386</v>
      </c>
      <c r="E5123" t="s">
        <v>7392</v>
      </c>
      <c r="F5123" s="150" t="s">
        <v>7392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30</v>
      </c>
      <c r="R5123" s="177" t="s">
        <v>489</v>
      </c>
      <c r="S5123" s="150"/>
    </row>
    <row r="5124" spans="1:19">
      <c r="A5124" s="149" t="s">
        <v>7383</v>
      </c>
      <c r="B5124" s="150" t="str">
        <f>IFERROR(VLOOKUP(Proc[[#This Row],[App]],Table2[],3,0),"open")</f>
        <v>ok</v>
      </c>
      <c r="C5124" s="149" t="s">
        <v>369</v>
      </c>
      <c r="D5124" t="s">
        <v>7387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30</v>
      </c>
      <c r="R5124" s="177" t="s">
        <v>489</v>
      </c>
      <c r="S5124" s="150"/>
    </row>
    <row r="5125" spans="1:19">
      <c r="A5125" s="149" t="s">
        <v>7383</v>
      </c>
      <c r="B5125" s="150" t="str">
        <f>IFERROR(VLOOKUP(Proc[[#This Row],[App]],Table2[],3,0),"open")</f>
        <v>ok</v>
      </c>
      <c r="C5125" s="149" t="s">
        <v>369</v>
      </c>
      <c r="D5125" t="s">
        <v>7388</v>
      </c>
      <c r="E5125" t="s">
        <v>7393</v>
      </c>
      <c r="F5125" s="150" t="s">
        <v>7393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30</v>
      </c>
      <c r="R5125" s="177" t="s">
        <v>489</v>
      </c>
      <c r="S5125" s="150"/>
    </row>
    <row r="5126" spans="1:19">
      <c r="A5126" s="149" t="s">
        <v>7383</v>
      </c>
      <c r="B5126" s="150" t="str">
        <f>IFERROR(VLOOKUP(Proc[[#This Row],[App]],Table2[],3,0),"open")</f>
        <v>ok</v>
      </c>
      <c r="C5126" s="149" t="s">
        <v>369</v>
      </c>
      <c r="D5126" t="s">
        <v>7389</v>
      </c>
      <c r="E5126" t="s">
        <v>7394</v>
      </c>
      <c r="F5126" s="150" t="s">
        <v>7394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30</v>
      </c>
      <c r="R5126" s="177" t="s">
        <v>489</v>
      </c>
      <c r="S5126" s="150"/>
    </row>
    <row r="5127" spans="1:19">
      <c r="A5127" t="s">
        <v>7397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30</v>
      </c>
      <c r="R5127" s="177" t="s">
        <v>481</v>
      </c>
      <c r="S5127" s="150"/>
    </row>
    <row r="5128" spans="1:19">
      <c r="A5128" s="149" t="s">
        <v>7397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30</v>
      </c>
      <c r="R5128" s="177" t="s">
        <v>481</v>
      </c>
      <c r="S5128" s="150"/>
    </row>
    <row r="5129" spans="1:19">
      <c r="A5129" s="149" t="s">
        <v>7397</v>
      </c>
      <c r="B5129" s="150" t="str">
        <f>IFERROR(VLOOKUP(Proc[[#This Row],[App]],Table2[],3,0),"open")</f>
        <v>ok</v>
      </c>
      <c r="C5129" s="149" t="s">
        <v>369</v>
      </c>
      <c r="D5129" t="s">
        <v>7395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30</v>
      </c>
      <c r="R5129" s="177" t="s">
        <v>481</v>
      </c>
      <c r="S5129" s="150"/>
    </row>
    <row r="5130" spans="1:19">
      <c r="A5130" s="149" t="s">
        <v>7397</v>
      </c>
      <c r="B5130" s="150" t="str">
        <f>IFERROR(VLOOKUP(Proc[[#This Row],[App]],Table2[],3,0),"open")</f>
        <v>ok</v>
      </c>
      <c r="C5130" s="149" t="s">
        <v>369</v>
      </c>
      <c r="D5130" t="s">
        <v>7396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30</v>
      </c>
      <c r="R5130" s="177" t="s">
        <v>481</v>
      </c>
      <c r="S5130" s="150"/>
    </row>
    <row r="5131" spans="1:19">
      <c r="A5131" s="149" t="s">
        <v>7399</v>
      </c>
      <c r="B5131" s="150" t="str">
        <f>IFERROR(VLOOKUP(Proc[[#This Row],[App]],Table2[],3,0),"open")</f>
        <v>ok</v>
      </c>
      <c r="C5131" s="149" t="s">
        <v>369</v>
      </c>
      <c r="D5131" t="s">
        <v>7401</v>
      </c>
      <c r="E5131" t="s">
        <v>7398</v>
      </c>
      <c r="F5131" s="150" t="s">
        <v>7398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26</v>
      </c>
      <c r="R5131" s="177" t="s">
        <v>7400</v>
      </c>
      <c r="S5131" s="150"/>
    </row>
    <row r="5132" spans="1:19">
      <c r="A5132" s="149" t="s">
        <v>7399</v>
      </c>
      <c r="B5132" s="150" t="str">
        <f>IFERROR(VLOOKUP(Proc[[#This Row],[App]],Table2[],3,0),"open")</f>
        <v>ok</v>
      </c>
      <c r="C5132" s="149" t="s">
        <v>369</v>
      </c>
      <c r="D5132" t="s">
        <v>7402</v>
      </c>
      <c r="E5132" t="s">
        <v>7398</v>
      </c>
      <c r="F5132" s="150" t="s">
        <v>7398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26</v>
      </c>
      <c r="R5132" s="177" t="s">
        <v>7400</v>
      </c>
      <c r="S5132" s="150"/>
    </row>
    <row r="5133" spans="1:19">
      <c r="A5133" s="149" t="s">
        <v>7399</v>
      </c>
      <c r="B5133" s="150" t="str">
        <f>IFERROR(VLOOKUP(Proc[[#This Row],[App]],Table2[],3,0),"open")</f>
        <v>ok</v>
      </c>
      <c r="C5133" s="149" t="s">
        <v>369</v>
      </c>
      <c r="D5133" t="s">
        <v>7403</v>
      </c>
      <c r="E5133" t="s">
        <v>7398</v>
      </c>
      <c r="F5133" s="150" t="s">
        <v>7398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26</v>
      </c>
      <c r="R5133" s="177" t="s">
        <v>7400</v>
      </c>
      <c r="S5133" s="150"/>
    </row>
    <row r="5134" spans="1:19">
      <c r="A5134" s="149" t="s">
        <v>7399</v>
      </c>
      <c r="B5134" s="150" t="str">
        <f>IFERROR(VLOOKUP(Proc[[#This Row],[App]],Table2[],3,0),"open")</f>
        <v>ok</v>
      </c>
      <c r="C5134" s="149" t="s">
        <v>369</v>
      </c>
      <c r="D5134" t="s">
        <v>7404</v>
      </c>
      <c r="E5134" t="s">
        <v>7398</v>
      </c>
      <c r="F5134" s="150" t="s">
        <v>7398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26</v>
      </c>
      <c r="R5134" s="177" t="s">
        <v>7400</v>
      </c>
      <c r="S5134" s="150"/>
    </row>
    <row r="5135" spans="1:19">
      <c r="A5135" s="149" t="s">
        <v>7399</v>
      </c>
      <c r="B5135" s="150" t="str">
        <f>IFERROR(VLOOKUP(Proc[[#This Row],[App]],Table2[],3,0),"open")</f>
        <v>ok</v>
      </c>
      <c r="C5135" s="149" t="s">
        <v>369</v>
      </c>
      <c r="D5135" t="s">
        <v>7405</v>
      </c>
      <c r="E5135" t="s">
        <v>7398</v>
      </c>
      <c r="F5135" s="150" t="s">
        <v>7398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26</v>
      </c>
      <c r="R5135" s="177" t="s">
        <v>7400</v>
      </c>
      <c r="S5135" s="150"/>
    </row>
    <row r="5136" spans="1:19">
      <c r="A5136" s="149" t="s">
        <v>7399</v>
      </c>
      <c r="B5136" s="150" t="str">
        <f>IFERROR(VLOOKUP(Proc[[#This Row],[App]],Table2[],3,0),"open")</f>
        <v>ok</v>
      </c>
      <c r="C5136" s="149" t="s">
        <v>369</v>
      </c>
      <c r="D5136" t="s">
        <v>7403</v>
      </c>
      <c r="E5136" t="s">
        <v>7398</v>
      </c>
      <c r="F5136" s="150" t="s">
        <v>7398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26</v>
      </c>
      <c r="R5136" s="177" t="s">
        <v>7400</v>
      </c>
      <c r="S5136" s="150"/>
    </row>
    <row r="5137" spans="1:19">
      <c r="A5137" s="149" t="s">
        <v>7399</v>
      </c>
      <c r="B5137" s="150" t="str">
        <f>IFERROR(VLOOKUP(Proc[[#This Row],[App]],Table2[],3,0),"open")</f>
        <v>ok</v>
      </c>
      <c r="C5137" s="149" t="s">
        <v>369</v>
      </c>
      <c r="D5137" t="s">
        <v>7406</v>
      </c>
      <c r="E5137" t="s">
        <v>7398</v>
      </c>
      <c r="F5137" s="150" t="s">
        <v>7398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26</v>
      </c>
      <c r="R5137" s="177" t="s">
        <v>7400</v>
      </c>
      <c r="S5137" s="150"/>
    </row>
    <row r="5138" spans="1:19">
      <c r="A5138" s="149" t="s">
        <v>7399</v>
      </c>
      <c r="B5138" s="150" t="str">
        <f>IFERROR(VLOOKUP(Proc[[#This Row],[App]],Table2[],3,0),"open")</f>
        <v>ok</v>
      </c>
      <c r="C5138" s="149" t="s">
        <v>369</v>
      </c>
      <c r="D5138" t="s">
        <v>7407</v>
      </c>
      <c r="E5138" t="s">
        <v>7398</v>
      </c>
      <c r="F5138" s="150" t="s">
        <v>7398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26</v>
      </c>
      <c r="R5138" s="177" t="s">
        <v>7400</v>
      </c>
      <c r="S5138" s="150"/>
    </row>
    <row r="5139" spans="1:19">
      <c r="A5139" s="149" t="s">
        <v>7399</v>
      </c>
      <c r="B5139" s="150" t="str">
        <f>IFERROR(VLOOKUP(Proc[[#This Row],[App]],Table2[],3,0),"open")</f>
        <v>ok</v>
      </c>
      <c r="C5139" s="149" t="s">
        <v>369</v>
      </c>
      <c r="D5139" t="s">
        <v>7408</v>
      </c>
      <c r="E5139" t="s">
        <v>7398</v>
      </c>
      <c r="F5139" s="150" t="s">
        <v>7398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26</v>
      </c>
      <c r="R5139" s="177" t="s">
        <v>7400</v>
      </c>
      <c r="S5139" s="150"/>
    </row>
    <row r="5140" spans="1:19">
      <c r="A5140" s="149" t="s">
        <v>7399</v>
      </c>
      <c r="B5140" s="150" t="str">
        <f>IFERROR(VLOOKUP(Proc[[#This Row],[App]],Table2[],3,0),"open")</f>
        <v>ok</v>
      </c>
      <c r="C5140" s="149" t="s">
        <v>369</v>
      </c>
      <c r="D5140" t="s">
        <v>7409</v>
      </c>
      <c r="E5140" t="s">
        <v>7398</v>
      </c>
      <c r="F5140" s="150" t="s">
        <v>7398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26</v>
      </c>
      <c r="R5140" s="177" t="s">
        <v>7400</v>
      </c>
      <c r="S5140" s="150"/>
    </row>
    <row r="5141" spans="1:19">
      <c r="A5141" s="149" t="s">
        <v>7399</v>
      </c>
      <c r="B5141" s="150" t="str">
        <f>IFERROR(VLOOKUP(Proc[[#This Row],[App]],Table2[],3,0),"open")</f>
        <v>ok</v>
      </c>
      <c r="C5141" s="149" t="s">
        <v>369</v>
      </c>
      <c r="D5141" t="s">
        <v>7410</v>
      </c>
      <c r="E5141" t="s">
        <v>7398</v>
      </c>
      <c r="F5141" s="150" t="s">
        <v>7398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26</v>
      </c>
      <c r="R5141" s="177" t="s">
        <v>7400</v>
      </c>
      <c r="S5141" s="150"/>
    </row>
    <row r="5142" spans="1:19">
      <c r="A5142" s="149" t="s">
        <v>7399</v>
      </c>
      <c r="B5142" s="150" t="str">
        <f>IFERROR(VLOOKUP(Proc[[#This Row],[App]],Table2[],3,0),"open")</f>
        <v>ok</v>
      </c>
      <c r="C5142" s="149" t="s">
        <v>369</v>
      </c>
      <c r="D5142" t="s">
        <v>7411</v>
      </c>
      <c r="E5142" t="s">
        <v>7398</v>
      </c>
      <c r="F5142" s="150" t="s">
        <v>7398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26</v>
      </c>
      <c r="R5142" s="177" t="s">
        <v>7400</v>
      </c>
      <c r="S5142" s="150"/>
    </row>
    <row r="5143" spans="1:19">
      <c r="A5143" s="149" t="s">
        <v>7399</v>
      </c>
      <c r="B5143" s="150" t="str">
        <f>IFERROR(VLOOKUP(Proc[[#This Row],[App]],Table2[],3,0),"open")</f>
        <v>ok</v>
      </c>
      <c r="C5143" s="149" t="s">
        <v>369</v>
      </c>
      <c r="D5143" t="s">
        <v>7412</v>
      </c>
      <c r="E5143" t="s">
        <v>7398</v>
      </c>
      <c r="F5143" s="150" t="s">
        <v>7398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26</v>
      </c>
      <c r="R5143" s="177" t="s">
        <v>7400</v>
      </c>
      <c r="S5143" s="150"/>
    </row>
    <row r="5144" spans="1:19">
      <c r="A5144" s="149" t="s">
        <v>7399</v>
      </c>
      <c r="B5144" s="150" t="str">
        <f>IFERROR(VLOOKUP(Proc[[#This Row],[App]],Table2[],3,0),"open")</f>
        <v>ok</v>
      </c>
      <c r="C5144" s="149" t="s">
        <v>369</v>
      </c>
      <c r="D5144" t="s">
        <v>7413</v>
      </c>
      <c r="E5144" t="s">
        <v>7398</v>
      </c>
      <c r="F5144" s="150" t="s">
        <v>7398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26</v>
      </c>
      <c r="R5144" s="177" t="s">
        <v>7400</v>
      </c>
      <c r="S5144" s="150"/>
    </row>
    <row r="5145" spans="1:19">
      <c r="A5145" s="149" t="s">
        <v>7399</v>
      </c>
      <c r="B5145" s="150" t="str">
        <f>IFERROR(VLOOKUP(Proc[[#This Row],[App]],Table2[],3,0),"open")</f>
        <v>ok</v>
      </c>
      <c r="C5145" s="149" t="s">
        <v>369</v>
      </c>
      <c r="D5145" t="s">
        <v>7414</v>
      </c>
      <c r="E5145" t="s">
        <v>7398</v>
      </c>
      <c r="F5145" s="150" t="s">
        <v>7398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26</v>
      </c>
      <c r="R5145" s="177" t="s">
        <v>7400</v>
      </c>
      <c r="S5145" s="150"/>
    </row>
    <row r="5146" spans="1:19">
      <c r="A5146" s="149" t="s">
        <v>7399</v>
      </c>
      <c r="B5146" s="150" t="str">
        <f>IFERROR(VLOOKUP(Proc[[#This Row],[App]],Table2[],3,0),"open")</f>
        <v>ok</v>
      </c>
      <c r="C5146" s="149" t="s">
        <v>369</v>
      </c>
      <c r="D5146" t="s">
        <v>7415</v>
      </c>
      <c r="E5146" t="s">
        <v>7398</v>
      </c>
      <c r="F5146" s="150" t="s">
        <v>7398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26</v>
      </c>
      <c r="R5146" s="177" t="s">
        <v>7400</v>
      </c>
      <c r="S5146" s="150"/>
    </row>
    <row r="5147" spans="1:19">
      <c r="A5147" t="s">
        <v>7420</v>
      </c>
      <c r="B5147" s="150" t="str">
        <f>IFERROR(VLOOKUP(Proc[[#This Row],[App]],Table2[],3,0),"open")</f>
        <v>ok</v>
      </c>
      <c r="C5147" t="s">
        <v>369</v>
      </c>
      <c r="D5147" t="s">
        <v>7417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23</v>
      </c>
      <c r="R5147" s="178" t="s">
        <v>489</v>
      </c>
      <c r="S5147" s="150"/>
    </row>
    <row r="5148" spans="1:19">
      <c r="A5148" t="s">
        <v>7420</v>
      </c>
      <c r="B5148" s="150" t="str">
        <f>IFERROR(VLOOKUP(Proc[[#This Row],[App]],Table2[],3,0),"open")</f>
        <v>ok</v>
      </c>
      <c r="C5148" s="149" t="s">
        <v>369</v>
      </c>
      <c r="D5148" t="s">
        <v>7418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23</v>
      </c>
      <c r="R5148" s="178" t="s">
        <v>489</v>
      </c>
      <c r="S5148" s="150"/>
    </row>
    <row r="5149" spans="1:19">
      <c r="A5149" t="s">
        <v>7420</v>
      </c>
      <c r="B5149" s="150" t="str">
        <f>IFERROR(VLOOKUP(Proc[[#This Row],[App]],Table2[],3,0),"open")</f>
        <v>ok</v>
      </c>
      <c r="C5149" s="149" t="s">
        <v>369</v>
      </c>
      <c r="D5149" t="s">
        <v>7419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23</v>
      </c>
      <c r="R5149" s="178" t="s">
        <v>489</v>
      </c>
      <c r="S5149" s="150"/>
    </row>
    <row r="5150" spans="1:19">
      <c r="A5150" t="s">
        <v>7421</v>
      </c>
      <c r="B5150" s="150" t="str">
        <f>IFERROR(VLOOKUP(Proc[[#This Row],[App]],Table2[],3,0),"open")</f>
        <v>ok</v>
      </c>
      <c r="C5150" t="s">
        <v>369</v>
      </c>
      <c r="D5150" t="s">
        <v>7422</v>
      </c>
      <c r="E5150" t="s">
        <v>7446</v>
      </c>
      <c r="F5150" s="150" t="s">
        <v>7446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19</v>
      </c>
      <c r="R5150" s="178" t="s">
        <v>489</v>
      </c>
      <c r="S5150" s="150"/>
    </row>
    <row r="5151" spans="1:19">
      <c r="A5151" s="149" t="s">
        <v>7421</v>
      </c>
      <c r="B5151" s="150" t="str">
        <f>IFERROR(VLOOKUP(Proc[[#This Row],[App]],Table2[],3,0),"open")</f>
        <v>ok</v>
      </c>
      <c r="C5151" s="149" t="s">
        <v>369</v>
      </c>
      <c r="D5151" t="s">
        <v>7423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19</v>
      </c>
      <c r="R5151" s="178" t="s">
        <v>489</v>
      </c>
      <c r="S5151" s="150"/>
    </row>
    <row r="5152" spans="1:19">
      <c r="A5152" s="149" t="s">
        <v>7421</v>
      </c>
      <c r="B5152" s="150" t="str">
        <f>IFERROR(VLOOKUP(Proc[[#This Row],[App]],Table2[],3,0),"open")</f>
        <v>ok</v>
      </c>
      <c r="C5152" s="149" t="s">
        <v>369</v>
      </c>
      <c r="D5152" t="s">
        <v>7424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19</v>
      </c>
      <c r="R5152" s="178" t="s">
        <v>489</v>
      </c>
      <c r="S5152" s="150"/>
    </row>
    <row r="5153" spans="1:19">
      <c r="A5153" s="149" t="s">
        <v>7421</v>
      </c>
      <c r="B5153" s="150" t="str">
        <f>IFERROR(VLOOKUP(Proc[[#This Row],[App]],Table2[],3,0),"open")</f>
        <v>ok</v>
      </c>
      <c r="C5153" s="149" t="s">
        <v>369</v>
      </c>
      <c r="D5153" t="s">
        <v>7425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19</v>
      </c>
      <c r="R5153" s="178" t="s">
        <v>489</v>
      </c>
      <c r="S5153" s="150"/>
    </row>
    <row r="5154" spans="1:19">
      <c r="A5154" s="149" t="s">
        <v>7421</v>
      </c>
      <c r="B5154" s="150" t="str">
        <f>IFERROR(VLOOKUP(Proc[[#This Row],[App]],Table2[],3,0),"open")</f>
        <v>ok</v>
      </c>
      <c r="C5154" s="149" t="s">
        <v>369</v>
      </c>
      <c r="D5154" t="s">
        <v>7426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19</v>
      </c>
      <c r="R5154" s="178" t="s">
        <v>489</v>
      </c>
      <c r="S5154" s="150"/>
    </row>
    <row r="5155" spans="1:19">
      <c r="A5155" s="149" t="s">
        <v>7421</v>
      </c>
      <c r="B5155" s="150" t="str">
        <f>IFERROR(VLOOKUP(Proc[[#This Row],[App]],Table2[],3,0),"open")</f>
        <v>ok</v>
      </c>
      <c r="C5155" s="149" t="s">
        <v>369</v>
      </c>
      <c r="D5155" t="s">
        <v>7427</v>
      </c>
      <c r="E5155" t="s">
        <v>7447</v>
      </c>
      <c r="F5155" s="150" t="s">
        <v>7447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19</v>
      </c>
      <c r="R5155" s="178" t="s">
        <v>489</v>
      </c>
      <c r="S5155" s="150"/>
    </row>
    <row r="5156" spans="1:19">
      <c r="A5156" s="149" t="s">
        <v>7421</v>
      </c>
      <c r="B5156" s="150" t="str">
        <f>IFERROR(VLOOKUP(Proc[[#This Row],[App]],Table2[],3,0),"open")</f>
        <v>ok</v>
      </c>
      <c r="C5156" s="149" t="s">
        <v>369</v>
      </c>
      <c r="D5156" t="s">
        <v>7428</v>
      </c>
      <c r="E5156" t="s">
        <v>7448</v>
      </c>
      <c r="F5156" s="150" t="s">
        <v>7448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19</v>
      </c>
      <c r="R5156" s="178" t="s">
        <v>489</v>
      </c>
      <c r="S5156" s="150"/>
    </row>
    <row r="5157" spans="1:19">
      <c r="A5157" s="149" t="s">
        <v>7421</v>
      </c>
      <c r="B5157" s="150" t="str">
        <f>IFERROR(VLOOKUP(Proc[[#This Row],[App]],Table2[],3,0),"open")</f>
        <v>ok</v>
      </c>
      <c r="C5157" s="149" t="s">
        <v>369</v>
      </c>
      <c r="D5157" t="s">
        <v>7429</v>
      </c>
      <c r="E5157" t="s">
        <v>7448</v>
      </c>
      <c r="F5157" s="150" t="s">
        <v>7448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19</v>
      </c>
      <c r="R5157" s="178" t="s">
        <v>489</v>
      </c>
      <c r="S5157" s="150"/>
    </row>
    <row r="5158" spans="1:19">
      <c r="A5158" s="149" t="s">
        <v>7421</v>
      </c>
      <c r="B5158" s="150" t="str">
        <f>IFERROR(VLOOKUP(Proc[[#This Row],[App]],Table2[],3,0),"open")</f>
        <v>ok</v>
      </c>
      <c r="C5158" s="149" t="s">
        <v>369</v>
      </c>
      <c r="D5158" t="s">
        <v>7430</v>
      </c>
      <c r="E5158" t="s">
        <v>7448</v>
      </c>
      <c r="F5158" s="150" t="s">
        <v>7448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19</v>
      </c>
      <c r="R5158" s="178" t="s">
        <v>489</v>
      </c>
      <c r="S5158" s="150"/>
    </row>
    <row r="5159" spans="1:19">
      <c r="A5159" s="149" t="s">
        <v>7421</v>
      </c>
      <c r="B5159" s="150" t="str">
        <f>IFERROR(VLOOKUP(Proc[[#This Row],[App]],Table2[],3,0),"open")</f>
        <v>ok</v>
      </c>
      <c r="C5159" s="149" t="s">
        <v>369</v>
      </c>
      <c r="D5159" t="s">
        <v>7431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19</v>
      </c>
      <c r="R5159" s="178" t="s">
        <v>489</v>
      </c>
      <c r="S5159" s="150"/>
    </row>
    <row r="5160" spans="1:19">
      <c r="A5160" s="149" t="s">
        <v>7421</v>
      </c>
      <c r="B5160" s="150" t="str">
        <f>IFERROR(VLOOKUP(Proc[[#This Row],[App]],Table2[],3,0),"open")</f>
        <v>ok</v>
      </c>
      <c r="C5160" s="149" t="s">
        <v>369</v>
      </c>
      <c r="D5160" t="s">
        <v>7432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19</v>
      </c>
      <c r="R5160" s="178" t="s">
        <v>489</v>
      </c>
      <c r="S5160" s="150"/>
    </row>
    <row r="5161" spans="1:19">
      <c r="A5161" s="149" t="s">
        <v>7421</v>
      </c>
      <c r="B5161" s="150" t="str">
        <f>IFERROR(VLOOKUP(Proc[[#This Row],[App]],Table2[],3,0),"open")</f>
        <v>ok</v>
      </c>
      <c r="C5161" s="149" t="s">
        <v>369</v>
      </c>
      <c r="D5161" t="s">
        <v>7433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19</v>
      </c>
      <c r="R5161" s="178" t="s">
        <v>489</v>
      </c>
      <c r="S5161" s="150"/>
    </row>
    <row r="5162" spans="1:19">
      <c r="A5162" s="149" t="s">
        <v>7421</v>
      </c>
      <c r="B5162" s="150" t="str">
        <f>IFERROR(VLOOKUP(Proc[[#This Row],[App]],Table2[],3,0),"open")</f>
        <v>ok</v>
      </c>
      <c r="C5162" s="149" t="s">
        <v>369</v>
      </c>
      <c r="D5162" t="s">
        <v>7434</v>
      </c>
      <c r="E5162" t="s">
        <v>7449</v>
      </c>
      <c r="F5162" s="150" t="s">
        <v>7449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19</v>
      </c>
      <c r="R5162" s="178" t="s">
        <v>489</v>
      </c>
      <c r="S5162" s="150"/>
    </row>
    <row r="5163" spans="1:19">
      <c r="A5163" s="149" t="s">
        <v>7421</v>
      </c>
      <c r="B5163" s="150" t="str">
        <f>IFERROR(VLOOKUP(Proc[[#This Row],[App]],Table2[],3,0),"open")</f>
        <v>ok</v>
      </c>
      <c r="C5163" s="149" t="s">
        <v>369</v>
      </c>
      <c r="D5163" t="s">
        <v>7435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19</v>
      </c>
      <c r="R5163" s="178" t="s">
        <v>489</v>
      </c>
      <c r="S5163" s="150"/>
    </row>
    <row r="5164" spans="1:19">
      <c r="A5164" s="149" t="s">
        <v>7421</v>
      </c>
      <c r="B5164" s="150" t="str">
        <f>IFERROR(VLOOKUP(Proc[[#This Row],[App]],Table2[],3,0),"open")</f>
        <v>ok</v>
      </c>
      <c r="C5164" s="149" t="s">
        <v>369</v>
      </c>
      <c r="D5164" t="s">
        <v>7436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19</v>
      </c>
      <c r="R5164" s="178" t="s">
        <v>489</v>
      </c>
      <c r="S5164" s="150"/>
    </row>
    <row r="5165" spans="1:19">
      <c r="A5165" s="149" t="s">
        <v>7421</v>
      </c>
      <c r="B5165" s="150" t="str">
        <f>IFERROR(VLOOKUP(Proc[[#This Row],[App]],Table2[],3,0),"open")</f>
        <v>ok</v>
      </c>
      <c r="C5165" s="149" t="s">
        <v>369</v>
      </c>
      <c r="D5165" t="s">
        <v>7437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19</v>
      </c>
      <c r="R5165" s="178" t="s">
        <v>489</v>
      </c>
      <c r="S5165" s="150"/>
    </row>
    <row r="5166" spans="1:19">
      <c r="A5166" s="149" t="s">
        <v>7421</v>
      </c>
      <c r="B5166" s="150" t="str">
        <f>IFERROR(VLOOKUP(Proc[[#This Row],[App]],Table2[],3,0),"open")</f>
        <v>ok</v>
      </c>
      <c r="C5166" s="149" t="s">
        <v>369</v>
      </c>
      <c r="D5166" t="s">
        <v>7438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19</v>
      </c>
      <c r="R5166" s="178" t="s">
        <v>489</v>
      </c>
      <c r="S5166" s="150"/>
    </row>
    <row r="5167" spans="1:19">
      <c r="A5167" s="149" t="s">
        <v>7421</v>
      </c>
      <c r="B5167" s="150" t="str">
        <f>IFERROR(VLOOKUP(Proc[[#This Row],[App]],Table2[],3,0),"open")</f>
        <v>ok</v>
      </c>
      <c r="C5167" s="149" t="s">
        <v>369</v>
      </c>
      <c r="D5167" t="s">
        <v>7439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19</v>
      </c>
      <c r="R5167" s="178" t="s">
        <v>489</v>
      </c>
      <c r="S5167" s="150"/>
    </row>
    <row r="5168" spans="1:19">
      <c r="A5168" s="149" t="s">
        <v>7421</v>
      </c>
      <c r="B5168" s="150" t="str">
        <f>IFERROR(VLOOKUP(Proc[[#This Row],[App]],Table2[],3,0),"open")</f>
        <v>ok</v>
      </c>
      <c r="C5168" s="149" t="s">
        <v>369</v>
      </c>
      <c r="D5168" t="s">
        <v>7440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19</v>
      </c>
      <c r="R5168" s="178" t="s">
        <v>489</v>
      </c>
      <c r="S5168" s="150"/>
    </row>
    <row r="5169" spans="1:19">
      <c r="A5169" s="149" t="s">
        <v>7421</v>
      </c>
      <c r="B5169" s="150" t="str">
        <f>IFERROR(VLOOKUP(Proc[[#This Row],[App]],Table2[],3,0),"open")</f>
        <v>ok</v>
      </c>
      <c r="C5169" s="149" t="s">
        <v>369</v>
      </c>
      <c r="D5169" t="s">
        <v>7441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19</v>
      </c>
      <c r="R5169" s="178" t="s">
        <v>489</v>
      </c>
      <c r="S5169" s="150"/>
    </row>
    <row r="5170" spans="1:19">
      <c r="A5170" s="149" t="s">
        <v>7421</v>
      </c>
      <c r="B5170" s="150" t="str">
        <f>IFERROR(VLOOKUP(Proc[[#This Row],[App]],Table2[],3,0),"open")</f>
        <v>ok</v>
      </c>
      <c r="C5170" s="149" t="s">
        <v>369</v>
      </c>
      <c r="D5170" t="s">
        <v>7442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19</v>
      </c>
      <c r="R5170" s="178" t="s">
        <v>489</v>
      </c>
      <c r="S5170" s="150"/>
    </row>
    <row r="5171" spans="1:19">
      <c r="A5171" s="149" t="s">
        <v>7421</v>
      </c>
      <c r="B5171" s="150" t="str">
        <f>IFERROR(VLOOKUP(Proc[[#This Row],[App]],Table2[],3,0),"open")</f>
        <v>ok</v>
      </c>
      <c r="C5171" s="149" t="s">
        <v>369</v>
      </c>
      <c r="D5171" t="s">
        <v>7443</v>
      </c>
      <c r="E5171" t="s">
        <v>7450</v>
      </c>
      <c r="F5171" s="150" t="s">
        <v>7450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19</v>
      </c>
      <c r="R5171" s="178" t="s">
        <v>489</v>
      </c>
      <c r="S5171" s="150"/>
    </row>
    <row r="5172" spans="1:19">
      <c r="A5172" s="149" t="s">
        <v>7421</v>
      </c>
      <c r="B5172" s="150" t="str">
        <f>IFERROR(VLOOKUP(Proc[[#This Row],[App]],Table2[],3,0),"open")</f>
        <v>ok</v>
      </c>
      <c r="C5172" s="149" t="s">
        <v>369</v>
      </c>
      <c r="D5172" t="s">
        <v>7444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19</v>
      </c>
      <c r="R5172" s="178" t="s">
        <v>489</v>
      </c>
      <c r="S5172" s="150"/>
    </row>
    <row r="5173" spans="1:19">
      <c r="A5173" s="149" t="s">
        <v>7421</v>
      </c>
      <c r="B5173" s="150" t="str">
        <f>IFERROR(VLOOKUP(Proc[[#This Row],[App]],Table2[],3,0),"open")</f>
        <v>ok</v>
      </c>
      <c r="C5173" s="149" t="s">
        <v>369</v>
      </c>
      <c r="D5173" t="s">
        <v>7445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19</v>
      </c>
      <c r="R5173" s="178" t="s">
        <v>489</v>
      </c>
      <c r="S5173" s="150"/>
    </row>
    <row r="5174" spans="1:19">
      <c r="A5174" t="s">
        <v>7451</v>
      </c>
      <c r="B5174" s="150" t="str">
        <f>IFERROR(VLOOKUP(Proc[[#This Row],[App]],Table2[],3,0),"open")</f>
        <v>ok</v>
      </c>
      <c r="C5174" s="149" t="s">
        <v>369</v>
      </c>
      <c r="D5174" s="99" t="s">
        <v>7452</v>
      </c>
      <c r="E5174" t="s">
        <v>7453</v>
      </c>
      <c r="F5174" s="150" t="s">
        <v>7453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19</v>
      </c>
      <c r="R5174" s="178" t="s">
        <v>489</v>
      </c>
      <c r="S5174" s="150"/>
    </row>
    <row r="5175" spans="1:19">
      <c r="A5175" t="s">
        <v>7454</v>
      </c>
      <c r="B5175" s="150" t="str">
        <f>IFERROR(VLOOKUP(Proc[[#This Row],[App]],Table2[],3,0),"open")</f>
        <v>ok</v>
      </c>
      <c r="C5175" s="149" t="s">
        <v>369</v>
      </c>
      <c r="D5175" t="s">
        <v>7455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7522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19</v>
      </c>
      <c r="R5175" s="178" t="s">
        <v>489</v>
      </c>
      <c r="S5175" s="150"/>
    </row>
    <row r="5176" spans="1:19">
      <c r="A5176" s="149" t="s">
        <v>7454</v>
      </c>
      <c r="B5176" s="150" t="str">
        <f>IFERROR(VLOOKUP(Proc[[#This Row],[App]],Table2[],3,0),"open")</f>
        <v>ok</v>
      </c>
      <c r="C5176" s="149" t="s">
        <v>369</v>
      </c>
      <c r="D5176" t="s">
        <v>7456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19</v>
      </c>
      <c r="R5176" s="178" t="s">
        <v>489</v>
      </c>
      <c r="S5176" s="150"/>
    </row>
    <row r="5177" spans="1:19">
      <c r="A5177" s="149" t="s">
        <v>7454</v>
      </c>
      <c r="B5177" s="150" t="str">
        <f>IFERROR(VLOOKUP(Proc[[#This Row],[App]],Table2[],3,0),"open")</f>
        <v>ok</v>
      </c>
      <c r="C5177" s="149" t="s">
        <v>369</v>
      </c>
      <c r="D5177" t="s">
        <v>7457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19</v>
      </c>
      <c r="R5177" s="178" t="s">
        <v>489</v>
      </c>
      <c r="S5177" s="150"/>
    </row>
    <row r="5178" spans="1:19">
      <c r="A5178" s="149" t="s">
        <v>7454</v>
      </c>
      <c r="B5178" s="150" t="str">
        <f>IFERROR(VLOOKUP(Proc[[#This Row],[App]],Table2[],3,0),"open")</f>
        <v>ok</v>
      </c>
      <c r="C5178" s="149" t="s">
        <v>369</v>
      </c>
      <c r="D5178" t="s">
        <v>7458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19</v>
      </c>
      <c r="R5178" s="178" t="s">
        <v>489</v>
      </c>
      <c r="S5178" s="150"/>
    </row>
    <row r="5179" spans="1:19">
      <c r="A5179" s="149" t="s">
        <v>7454</v>
      </c>
      <c r="B5179" s="150" t="str">
        <f>IFERROR(VLOOKUP(Proc[[#This Row],[App]],Table2[],3,0),"open")</f>
        <v>ok</v>
      </c>
      <c r="C5179" s="149" t="s">
        <v>369</v>
      </c>
      <c r="D5179" t="s">
        <v>7459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19</v>
      </c>
      <c r="R5179" s="178" t="s">
        <v>489</v>
      </c>
      <c r="S5179" s="150"/>
    </row>
    <row r="5180" spans="1:19">
      <c r="A5180" s="149" t="s">
        <v>7454</v>
      </c>
      <c r="B5180" s="150" t="str">
        <f>IFERROR(VLOOKUP(Proc[[#This Row],[App]],Table2[],3,0),"open")</f>
        <v>ok</v>
      </c>
      <c r="C5180" s="149" t="s">
        <v>369</v>
      </c>
      <c r="D5180" t="s">
        <v>7460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19</v>
      </c>
      <c r="R5180" s="178" t="s">
        <v>489</v>
      </c>
      <c r="S5180" s="150"/>
    </row>
    <row r="5181" spans="1:19">
      <c r="A5181" s="149" t="s">
        <v>7454</v>
      </c>
      <c r="B5181" s="150" t="str">
        <f>IFERROR(VLOOKUP(Proc[[#This Row],[App]],Table2[],3,0),"open")</f>
        <v>ok</v>
      </c>
      <c r="C5181" s="149" t="s">
        <v>369</v>
      </c>
      <c r="D5181" t="s">
        <v>7461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19</v>
      </c>
      <c r="R5181" s="178" t="s">
        <v>489</v>
      </c>
      <c r="S5181" s="150"/>
    </row>
    <row r="5182" spans="1:19">
      <c r="A5182" s="149" t="s">
        <v>7454</v>
      </c>
      <c r="B5182" s="150" t="str">
        <f>IFERROR(VLOOKUP(Proc[[#This Row],[App]],Table2[],3,0),"open")</f>
        <v>ok</v>
      </c>
      <c r="C5182" s="149" t="s">
        <v>369</v>
      </c>
      <c r="D5182" t="s">
        <v>7462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19</v>
      </c>
      <c r="R5182" s="178" t="s">
        <v>489</v>
      </c>
      <c r="S5182" s="150"/>
    </row>
    <row r="5183" spans="1:19">
      <c r="A5183" s="149" t="s">
        <v>7454</v>
      </c>
      <c r="B5183" s="150" t="str">
        <f>IFERROR(VLOOKUP(Proc[[#This Row],[App]],Table2[],3,0),"open")</f>
        <v>ok</v>
      </c>
      <c r="C5183" s="149" t="s">
        <v>369</v>
      </c>
      <c r="D5183" t="s">
        <v>7463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19</v>
      </c>
      <c r="R5183" s="178" t="s">
        <v>489</v>
      </c>
      <c r="S5183" s="150"/>
    </row>
    <row r="5184" spans="1:19">
      <c r="A5184" s="149" t="s">
        <v>7454</v>
      </c>
      <c r="B5184" s="150" t="str">
        <f>IFERROR(VLOOKUP(Proc[[#This Row],[App]],Table2[],3,0),"open")</f>
        <v>ok</v>
      </c>
      <c r="C5184" s="149" t="s">
        <v>369</v>
      </c>
      <c r="D5184" t="s">
        <v>7464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19</v>
      </c>
      <c r="R5184" s="178" t="s">
        <v>489</v>
      </c>
      <c r="S5184" s="150"/>
    </row>
    <row r="5185" spans="1:19">
      <c r="A5185" s="149" t="s">
        <v>7454</v>
      </c>
      <c r="B5185" s="150" t="str">
        <f>IFERROR(VLOOKUP(Proc[[#This Row],[App]],Table2[],3,0),"open")</f>
        <v>ok</v>
      </c>
      <c r="C5185" s="149" t="s">
        <v>369</v>
      </c>
      <c r="D5185" t="s">
        <v>7465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19</v>
      </c>
      <c r="R5185" s="178" t="s">
        <v>489</v>
      </c>
      <c r="S5185" s="150"/>
    </row>
    <row r="5186" spans="1:19">
      <c r="A5186" s="149" t="s">
        <v>7454</v>
      </c>
      <c r="B5186" s="150" t="str">
        <f>IFERROR(VLOOKUP(Proc[[#This Row],[App]],Table2[],3,0),"open")</f>
        <v>ok</v>
      </c>
      <c r="C5186" s="149" t="s">
        <v>369</v>
      </c>
      <c r="D5186" t="s">
        <v>7466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19</v>
      </c>
      <c r="R5186" s="178" t="s">
        <v>489</v>
      </c>
      <c r="S5186" s="150"/>
    </row>
    <row r="5187" spans="1:19">
      <c r="A5187" s="149" t="s">
        <v>7454</v>
      </c>
      <c r="B5187" s="150" t="str">
        <f>IFERROR(VLOOKUP(Proc[[#This Row],[App]],Table2[],3,0),"open")</f>
        <v>ok</v>
      </c>
      <c r="C5187" s="149" t="s">
        <v>369</v>
      </c>
      <c r="D5187" t="s">
        <v>7467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19</v>
      </c>
      <c r="R5187" s="178" t="s">
        <v>489</v>
      </c>
      <c r="S5187" s="150"/>
    </row>
    <row r="5188" spans="1:19">
      <c r="A5188" s="149" t="s">
        <v>7454</v>
      </c>
      <c r="B5188" s="150" t="str">
        <f>IFERROR(VLOOKUP(Proc[[#This Row],[App]],Table2[],3,0),"open")</f>
        <v>ok</v>
      </c>
      <c r="C5188" s="149" t="s">
        <v>369</v>
      </c>
      <c r="D5188" t="s">
        <v>7468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19</v>
      </c>
      <c r="R5188" s="178" t="s">
        <v>489</v>
      </c>
      <c r="S5188" s="150"/>
    </row>
    <row r="5189" spans="1:19">
      <c r="A5189" s="149" t="s">
        <v>7454</v>
      </c>
      <c r="B5189" s="150" t="str">
        <f>IFERROR(VLOOKUP(Proc[[#This Row],[App]],Table2[],3,0),"open")</f>
        <v>ok</v>
      </c>
      <c r="C5189" s="149" t="s">
        <v>369</v>
      </c>
      <c r="D5189" t="s">
        <v>7469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19</v>
      </c>
      <c r="R5189" s="178" t="s">
        <v>489</v>
      </c>
      <c r="S5189" s="150"/>
    </row>
    <row r="5190" spans="1:19">
      <c r="A5190" s="149" t="s">
        <v>7454</v>
      </c>
      <c r="B5190" s="150" t="str">
        <f>IFERROR(VLOOKUP(Proc[[#This Row],[App]],Table2[],3,0),"open")</f>
        <v>ok</v>
      </c>
      <c r="C5190" s="149" t="s">
        <v>369</v>
      </c>
      <c r="D5190" t="s">
        <v>7470</v>
      </c>
      <c r="E5190" t="s">
        <v>7471</v>
      </c>
      <c r="F5190" s="150" t="s">
        <v>7471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19</v>
      </c>
      <c r="R5190" s="178" t="s">
        <v>489</v>
      </c>
      <c r="S5190" s="150"/>
    </row>
    <row r="5191" spans="1:19">
      <c r="A5191" t="s">
        <v>7472</v>
      </c>
      <c r="B5191" s="150" t="str">
        <f>IFERROR(VLOOKUP(Proc[[#This Row],[App]],Table2[],3,0),"open")</f>
        <v>ok</v>
      </c>
      <c r="C5191" s="149" t="s">
        <v>369</v>
      </c>
      <c r="D5191" t="s">
        <v>7473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19</v>
      </c>
      <c r="R5191" s="178" t="s">
        <v>489</v>
      </c>
      <c r="S5191" s="150"/>
    </row>
    <row r="5192" spans="1:19">
      <c r="A5192" s="149" t="s">
        <v>7472</v>
      </c>
      <c r="B5192" s="150" t="str">
        <f>IFERROR(VLOOKUP(Proc[[#This Row],[App]],Table2[],3,0),"open")</f>
        <v>ok</v>
      </c>
      <c r="C5192" s="149" t="s">
        <v>369</v>
      </c>
      <c r="D5192" t="s">
        <v>7474</v>
      </c>
      <c r="E5192" t="s">
        <v>7350</v>
      </c>
      <c r="F5192" s="150" t="s">
        <v>7350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7522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19</v>
      </c>
      <c r="R5192" s="178" t="s">
        <v>489</v>
      </c>
      <c r="S5192" s="150"/>
    </row>
    <row r="5193" spans="1:19">
      <c r="A5193" s="149" t="s">
        <v>7472</v>
      </c>
      <c r="B5193" s="150" t="str">
        <f>IFERROR(VLOOKUP(Proc[[#This Row],[App]],Table2[],3,0),"open")</f>
        <v>ok</v>
      </c>
      <c r="C5193" s="149" t="s">
        <v>369</v>
      </c>
      <c r="D5193" t="s">
        <v>7452</v>
      </c>
      <c r="E5193" t="s">
        <v>7453</v>
      </c>
      <c r="F5193" s="150" t="s">
        <v>7453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19</v>
      </c>
      <c r="R5193" s="178" t="s">
        <v>489</v>
      </c>
      <c r="S5193" s="150"/>
    </row>
    <row r="5194" spans="1:19">
      <c r="A5194" s="149" t="s">
        <v>7472</v>
      </c>
      <c r="B5194" s="150" t="str">
        <f>IFERROR(VLOOKUP(Proc[[#This Row],[App]],Table2[],3,0),"open")</f>
        <v>ok</v>
      </c>
      <c r="C5194" s="149" t="s">
        <v>369</v>
      </c>
      <c r="D5194" t="s">
        <v>7475</v>
      </c>
      <c r="E5194" t="s">
        <v>7503</v>
      </c>
      <c r="F5194" s="150" t="s">
        <v>7503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19</v>
      </c>
      <c r="R5194" s="178" t="s">
        <v>489</v>
      </c>
      <c r="S5194" s="150"/>
    </row>
    <row r="5195" spans="1:19">
      <c r="A5195" s="149" t="s">
        <v>7472</v>
      </c>
      <c r="B5195" s="150" t="str">
        <f>IFERROR(VLOOKUP(Proc[[#This Row],[App]],Table2[],3,0),"open")</f>
        <v>ok</v>
      </c>
      <c r="C5195" s="149" t="s">
        <v>369</v>
      </c>
      <c r="D5195" t="s">
        <v>7476</v>
      </c>
      <c r="E5195" t="s">
        <v>7390</v>
      </c>
      <c r="F5195" s="150" t="s">
        <v>7390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19</v>
      </c>
      <c r="R5195" s="178" t="s">
        <v>489</v>
      </c>
      <c r="S5195" s="150"/>
    </row>
    <row r="5196" spans="1:19">
      <c r="A5196" s="149" t="s">
        <v>7472</v>
      </c>
      <c r="B5196" s="150" t="str">
        <f>IFERROR(VLOOKUP(Proc[[#This Row],[App]],Table2[],3,0),"open")</f>
        <v>ok</v>
      </c>
      <c r="C5196" s="149" t="s">
        <v>369</v>
      </c>
      <c r="D5196" t="s">
        <v>7477</v>
      </c>
      <c r="E5196" t="s">
        <v>7390</v>
      </c>
      <c r="F5196" s="150" t="s">
        <v>7390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19</v>
      </c>
      <c r="R5196" s="178" t="s">
        <v>489</v>
      </c>
      <c r="S5196" s="150"/>
    </row>
    <row r="5197" spans="1:19">
      <c r="A5197" s="149" t="s">
        <v>7472</v>
      </c>
      <c r="B5197" s="150" t="str">
        <f>IFERROR(VLOOKUP(Proc[[#This Row],[App]],Table2[],3,0),"open")</f>
        <v>ok</v>
      </c>
      <c r="C5197" s="149" t="s">
        <v>369</v>
      </c>
      <c r="D5197" t="s">
        <v>7478</v>
      </c>
      <c r="E5197" t="s">
        <v>7390</v>
      </c>
      <c r="F5197" s="150" t="s">
        <v>7390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19</v>
      </c>
      <c r="R5197" s="178" t="s">
        <v>489</v>
      </c>
      <c r="S5197" s="150"/>
    </row>
    <row r="5198" spans="1:19">
      <c r="A5198" s="149" t="s">
        <v>7472</v>
      </c>
      <c r="B5198" s="150" t="str">
        <f>IFERROR(VLOOKUP(Proc[[#This Row],[App]],Table2[],3,0),"open")</f>
        <v>ok</v>
      </c>
      <c r="C5198" s="179" t="s">
        <v>369</v>
      </c>
      <c r="D5198" t="s">
        <v>7479</v>
      </c>
      <c r="E5198" t="s">
        <v>7390</v>
      </c>
      <c r="F5198" s="150" t="s">
        <v>7390</v>
      </c>
      <c r="G5198" s="149" t="s">
        <v>400</v>
      </c>
      <c r="H5198" s="150" t="str">
        <f>IF(Proc[[#This Row],[type]]="LFF (MDG-F)",MID(Proc[[#This Row],[Obj]],13,10),"")</f>
        <v/>
      </c>
      <c r="I5198" t="s">
        <v>7530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19</v>
      </c>
      <c r="R5198" s="178" t="s">
        <v>489</v>
      </c>
      <c r="S5198" s="150"/>
    </row>
    <row r="5199" spans="1:19">
      <c r="A5199" s="149" t="s">
        <v>7472</v>
      </c>
      <c r="B5199" s="150" t="str">
        <f>IFERROR(VLOOKUP(Proc[[#This Row],[App]],Table2[],3,0),"open")</f>
        <v>ok</v>
      </c>
      <c r="C5199" s="179" t="s">
        <v>369</v>
      </c>
      <c r="D5199" t="s">
        <v>7480</v>
      </c>
      <c r="E5199" t="s">
        <v>7390</v>
      </c>
      <c r="F5199" s="150" t="s">
        <v>7390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7530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19</v>
      </c>
      <c r="R5199" s="178" t="s">
        <v>489</v>
      </c>
      <c r="S5199" s="150"/>
    </row>
    <row r="5200" spans="1:19">
      <c r="A5200" s="149" t="s">
        <v>7472</v>
      </c>
      <c r="B5200" s="150" t="str">
        <f>IFERROR(VLOOKUP(Proc[[#This Row],[App]],Table2[],3,0),"open")</f>
        <v>ok</v>
      </c>
      <c r="C5200" s="149" t="s">
        <v>369</v>
      </c>
      <c r="D5200" t="s">
        <v>7481</v>
      </c>
      <c r="E5200" t="s">
        <v>7390</v>
      </c>
      <c r="F5200" s="150" t="s">
        <v>7390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19</v>
      </c>
      <c r="R5200" s="178" t="s">
        <v>489</v>
      </c>
      <c r="S5200" s="150"/>
    </row>
    <row r="5201" spans="1:19">
      <c r="A5201" s="149" t="s">
        <v>7472</v>
      </c>
      <c r="B5201" s="150" t="str">
        <f>IFERROR(VLOOKUP(Proc[[#This Row],[App]],Table2[],3,0),"open")</f>
        <v>ok</v>
      </c>
      <c r="C5201" s="149" t="s">
        <v>369</v>
      </c>
      <c r="D5201" t="s">
        <v>7482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19</v>
      </c>
      <c r="R5201" s="178" t="s">
        <v>489</v>
      </c>
      <c r="S5201" s="150"/>
    </row>
    <row r="5202" spans="1:19">
      <c r="A5202" s="149" t="s">
        <v>7472</v>
      </c>
      <c r="B5202" s="150" t="str">
        <f>IFERROR(VLOOKUP(Proc[[#This Row],[App]],Table2[],3,0),"open")</f>
        <v>ok</v>
      </c>
      <c r="C5202" s="149" t="s">
        <v>369</v>
      </c>
      <c r="D5202" t="s">
        <v>7483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19</v>
      </c>
      <c r="R5202" s="178" t="s">
        <v>489</v>
      </c>
      <c r="S5202" s="150"/>
    </row>
    <row r="5203" spans="1:19">
      <c r="A5203" s="149" t="s">
        <v>7472</v>
      </c>
      <c r="B5203" s="150" t="str">
        <f>IFERROR(VLOOKUP(Proc[[#This Row],[App]],Table2[],3,0),"open")</f>
        <v>ok</v>
      </c>
      <c r="C5203" s="149" t="s">
        <v>369</v>
      </c>
      <c r="D5203" t="s">
        <v>7484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19</v>
      </c>
      <c r="R5203" s="178" t="s">
        <v>489</v>
      </c>
      <c r="S5203" s="150"/>
    </row>
    <row r="5204" spans="1:19">
      <c r="A5204" s="149" t="s">
        <v>7472</v>
      </c>
      <c r="B5204" s="150" t="str">
        <f>IFERROR(VLOOKUP(Proc[[#This Row],[App]],Table2[],3,0),"open")</f>
        <v>ok</v>
      </c>
      <c r="C5204" s="149" t="s">
        <v>369</v>
      </c>
      <c r="D5204" t="s">
        <v>7485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19</v>
      </c>
      <c r="R5204" s="178" t="s">
        <v>489</v>
      </c>
      <c r="S5204" s="150"/>
    </row>
    <row r="5205" spans="1:19">
      <c r="A5205" s="149" t="s">
        <v>7472</v>
      </c>
      <c r="B5205" s="150" t="str">
        <f>IFERROR(VLOOKUP(Proc[[#This Row],[App]],Table2[],3,0),"open")</f>
        <v>ok</v>
      </c>
      <c r="C5205" s="149" t="s">
        <v>369</v>
      </c>
      <c r="D5205" t="s">
        <v>7486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19</v>
      </c>
      <c r="R5205" s="178" t="s">
        <v>489</v>
      </c>
      <c r="S5205" s="150"/>
    </row>
    <row r="5206" spans="1:19">
      <c r="A5206" s="149" t="s">
        <v>7472</v>
      </c>
      <c r="B5206" s="150" t="str">
        <f>IFERROR(VLOOKUP(Proc[[#This Row],[App]],Table2[],3,0),"open")</f>
        <v>ok</v>
      </c>
      <c r="C5206" s="149" t="s">
        <v>369</v>
      </c>
      <c r="D5206" t="s">
        <v>7487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19</v>
      </c>
      <c r="R5206" s="178" t="s">
        <v>489</v>
      </c>
      <c r="S5206" s="150"/>
    </row>
    <row r="5207" spans="1:19">
      <c r="A5207" s="149" t="s">
        <v>7472</v>
      </c>
      <c r="B5207" s="150" t="str">
        <f>IFERROR(VLOOKUP(Proc[[#This Row],[App]],Table2[],3,0),"open")</f>
        <v>ok</v>
      </c>
      <c r="C5207" s="149" t="s">
        <v>369</v>
      </c>
      <c r="D5207" t="s">
        <v>7488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19</v>
      </c>
      <c r="R5207" s="178" t="s">
        <v>489</v>
      </c>
      <c r="S5207" s="150"/>
    </row>
    <row r="5208" spans="1:19">
      <c r="A5208" s="149" t="s">
        <v>7472</v>
      </c>
      <c r="B5208" s="150" t="str">
        <f>IFERROR(VLOOKUP(Proc[[#This Row],[App]],Table2[],3,0),"open")</f>
        <v>ok</v>
      </c>
      <c r="C5208" s="149" t="s">
        <v>369</v>
      </c>
      <c r="D5208" t="s">
        <v>7489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19</v>
      </c>
      <c r="R5208" s="178" t="s">
        <v>489</v>
      </c>
      <c r="S5208" s="150"/>
    </row>
    <row r="5209" spans="1:19">
      <c r="A5209" s="149" t="s">
        <v>7472</v>
      </c>
      <c r="B5209" s="150" t="str">
        <f>IFERROR(VLOOKUP(Proc[[#This Row],[App]],Table2[],3,0),"open")</f>
        <v>ok</v>
      </c>
      <c r="C5209" s="149" t="s">
        <v>369</v>
      </c>
      <c r="D5209" t="s">
        <v>7490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19</v>
      </c>
      <c r="R5209" s="178" t="s">
        <v>489</v>
      </c>
      <c r="S5209" s="150"/>
    </row>
    <row r="5210" spans="1:19">
      <c r="A5210" s="149" t="s">
        <v>7472</v>
      </c>
      <c r="B5210" s="150" t="str">
        <f>IFERROR(VLOOKUP(Proc[[#This Row],[App]],Table2[],3,0),"open")</f>
        <v>ok</v>
      </c>
      <c r="C5210" s="149" t="s">
        <v>369</v>
      </c>
      <c r="D5210" t="s">
        <v>7491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19</v>
      </c>
      <c r="R5210" s="178" t="s">
        <v>489</v>
      </c>
      <c r="S5210" s="150"/>
    </row>
    <row r="5211" spans="1:19">
      <c r="A5211" s="149" t="s">
        <v>7472</v>
      </c>
      <c r="B5211" s="150" t="str">
        <f>IFERROR(VLOOKUP(Proc[[#This Row],[App]],Table2[],3,0),"open")</f>
        <v>ok</v>
      </c>
      <c r="C5211" s="149" t="s">
        <v>369</v>
      </c>
      <c r="D5211" t="s">
        <v>7492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19</v>
      </c>
      <c r="R5211" s="178" t="s">
        <v>489</v>
      </c>
      <c r="S5211" s="150"/>
    </row>
    <row r="5212" spans="1:19">
      <c r="A5212" s="149" t="s">
        <v>7472</v>
      </c>
      <c r="B5212" s="150" t="str">
        <f>IFERROR(VLOOKUP(Proc[[#This Row],[App]],Table2[],3,0),"open")</f>
        <v>ok</v>
      </c>
      <c r="C5212" s="149" t="s">
        <v>369</v>
      </c>
      <c r="D5212" t="s">
        <v>7493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19</v>
      </c>
      <c r="R5212" s="178" t="s">
        <v>489</v>
      </c>
      <c r="S5212" s="150"/>
    </row>
    <row r="5213" spans="1:19">
      <c r="A5213" s="149" t="s">
        <v>7472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19</v>
      </c>
      <c r="R5213" s="178" t="s">
        <v>489</v>
      </c>
      <c r="S5213" s="150"/>
    </row>
    <row r="5214" spans="1:19">
      <c r="A5214" s="149" t="s">
        <v>7472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19</v>
      </c>
      <c r="R5214" s="178" t="s">
        <v>489</v>
      </c>
      <c r="S5214" s="150"/>
    </row>
    <row r="5215" spans="1:19">
      <c r="A5215" s="149" t="s">
        <v>7472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19</v>
      </c>
      <c r="R5215" s="178" t="s">
        <v>489</v>
      </c>
      <c r="S5215" s="150"/>
    </row>
    <row r="5216" spans="1:19">
      <c r="A5216" s="149" t="s">
        <v>7472</v>
      </c>
      <c r="B5216" s="150" t="str">
        <f>IFERROR(VLOOKUP(Proc[[#This Row],[App]],Table2[],3,0),"open")</f>
        <v>ok</v>
      </c>
      <c r="C5216" s="149" t="s">
        <v>369</v>
      </c>
      <c r="D5216" t="s">
        <v>7494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19</v>
      </c>
      <c r="R5216" s="178" t="s">
        <v>489</v>
      </c>
      <c r="S5216" s="150"/>
    </row>
    <row r="5217" spans="1:19">
      <c r="A5217" s="149" t="s">
        <v>7472</v>
      </c>
      <c r="B5217" s="150" t="str">
        <f>IFERROR(VLOOKUP(Proc[[#This Row],[App]],Table2[],3,0),"open")</f>
        <v>ok</v>
      </c>
      <c r="C5217" s="149" t="s">
        <v>369</v>
      </c>
      <c r="D5217" t="s">
        <v>7495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19</v>
      </c>
      <c r="R5217" s="178" t="s">
        <v>489</v>
      </c>
      <c r="S5217" s="150"/>
    </row>
    <row r="5218" spans="1:19">
      <c r="A5218" s="149" t="s">
        <v>7472</v>
      </c>
      <c r="B5218" s="150" t="str">
        <f>IFERROR(VLOOKUP(Proc[[#This Row],[App]],Table2[],3,0),"open")</f>
        <v>ok</v>
      </c>
      <c r="C5218" s="149" t="s">
        <v>369</v>
      </c>
      <c r="D5218" t="s">
        <v>7496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19</v>
      </c>
      <c r="R5218" s="178" t="s">
        <v>489</v>
      </c>
      <c r="S5218" s="150"/>
    </row>
    <row r="5219" spans="1:19">
      <c r="A5219" s="149" t="s">
        <v>7472</v>
      </c>
      <c r="B5219" s="150" t="str">
        <f>IFERROR(VLOOKUP(Proc[[#This Row],[App]],Table2[],3,0),"open")</f>
        <v>ok</v>
      </c>
      <c r="C5219" s="149" t="s">
        <v>369</v>
      </c>
      <c r="D5219" t="s">
        <v>7497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19</v>
      </c>
      <c r="R5219" s="178" t="s">
        <v>489</v>
      </c>
      <c r="S5219" s="150"/>
    </row>
    <row r="5220" spans="1:19">
      <c r="A5220" s="149" t="s">
        <v>7472</v>
      </c>
      <c r="B5220" s="150" t="str">
        <f>IFERROR(VLOOKUP(Proc[[#This Row],[App]],Table2[],3,0),"open")</f>
        <v>ok</v>
      </c>
      <c r="C5220" s="149" t="s">
        <v>369</v>
      </c>
      <c r="D5220" t="s">
        <v>7498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19</v>
      </c>
      <c r="R5220" s="178" t="s">
        <v>489</v>
      </c>
      <c r="S5220" s="150"/>
    </row>
    <row r="5221" spans="1:19">
      <c r="A5221" s="149" t="s">
        <v>7472</v>
      </c>
      <c r="B5221" s="150" t="str">
        <f>IFERROR(VLOOKUP(Proc[[#This Row],[App]],Table2[],3,0),"open")</f>
        <v>ok</v>
      </c>
      <c r="C5221" s="149" t="s">
        <v>369</v>
      </c>
      <c r="D5221" t="s">
        <v>7499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19</v>
      </c>
      <c r="R5221" s="178" t="s">
        <v>489</v>
      </c>
      <c r="S5221" s="150"/>
    </row>
    <row r="5222" spans="1:19">
      <c r="A5222" s="149" t="s">
        <v>7472</v>
      </c>
      <c r="B5222" s="150" t="str">
        <f>IFERROR(VLOOKUP(Proc[[#This Row],[App]],Table2[],3,0),"open")</f>
        <v>ok</v>
      </c>
      <c r="C5222" s="149" t="s">
        <v>369</v>
      </c>
      <c r="D5222" t="s">
        <v>7500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19</v>
      </c>
      <c r="R5222" s="178" t="s">
        <v>489</v>
      </c>
      <c r="S5222" s="150"/>
    </row>
    <row r="5223" spans="1:19">
      <c r="A5223" s="149" t="s">
        <v>7472</v>
      </c>
      <c r="B5223" s="150" t="str">
        <f>IFERROR(VLOOKUP(Proc[[#This Row],[App]],Table2[],3,0),"open")</f>
        <v>ok</v>
      </c>
      <c r="C5223" s="149" t="s">
        <v>369</v>
      </c>
      <c r="D5223" t="s">
        <v>7501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19</v>
      </c>
      <c r="R5223" s="178" t="s">
        <v>489</v>
      </c>
      <c r="S5223" s="150"/>
    </row>
    <row r="5224" spans="1:19">
      <c r="A5224" s="149" t="s">
        <v>7472</v>
      </c>
      <c r="B5224" s="150" t="str">
        <f>IFERROR(VLOOKUP(Proc[[#This Row],[App]],Table2[],3,0),"open")</f>
        <v>ok</v>
      </c>
      <c r="C5224" s="179" t="s">
        <v>369</v>
      </c>
      <c r="D5224" t="s">
        <v>7502</v>
      </c>
      <c r="E5224" t="s">
        <v>7471</v>
      </c>
      <c r="F5224" s="150" t="s">
        <v>7471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7530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19</v>
      </c>
      <c r="R5224" s="178" t="s">
        <v>489</v>
      </c>
      <c r="S5224" s="150"/>
    </row>
    <row r="5225" spans="1:19">
      <c r="A5225" t="s">
        <v>7515</v>
      </c>
      <c r="B5225" s="150" t="str">
        <f>IFERROR(VLOOKUP(Proc[[#This Row],[App]],Table2[],3,0),"open")</f>
        <v>ok</v>
      </c>
      <c r="C5225" s="179" t="s">
        <v>369</v>
      </c>
      <c r="D5225" t="s">
        <v>7504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7522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19</v>
      </c>
      <c r="R5225" s="178" t="s">
        <v>7193</v>
      </c>
      <c r="S5225" s="150"/>
    </row>
    <row r="5226" spans="1:19">
      <c r="A5226" s="149" t="s">
        <v>7515</v>
      </c>
      <c r="B5226" s="150" t="str">
        <f>IFERROR(VLOOKUP(Proc[[#This Row],[App]],Table2[],3,0),"open")</f>
        <v>ok</v>
      </c>
      <c r="C5226" s="179" t="s">
        <v>369</v>
      </c>
      <c r="D5226" t="s">
        <v>7505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7522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19</v>
      </c>
      <c r="R5226" s="178" t="s">
        <v>7193</v>
      </c>
      <c r="S5226" s="150"/>
    </row>
    <row r="5227" spans="1:19">
      <c r="A5227" s="149" t="s">
        <v>7515</v>
      </c>
      <c r="B5227" s="150" t="str">
        <f>IFERROR(VLOOKUP(Proc[[#This Row],[App]],Table2[],3,0),"open")</f>
        <v>ok</v>
      </c>
      <c r="C5227" s="179" t="s">
        <v>377</v>
      </c>
      <c r="D5227" t="s">
        <v>7506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7522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19</v>
      </c>
      <c r="R5227" s="178" t="s">
        <v>7193</v>
      </c>
      <c r="S5227" s="150"/>
    </row>
    <row r="5228" spans="1:19">
      <c r="A5228" s="149" t="s">
        <v>7515</v>
      </c>
      <c r="B5228" s="150" t="str">
        <f>IFERROR(VLOOKUP(Proc[[#This Row],[App]],Table2[],3,0),"open")</f>
        <v>ok</v>
      </c>
      <c r="C5228" s="179" t="s">
        <v>377</v>
      </c>
      <c r="D5228" t="s">
        <v>7507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7522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19</v>
      </c>
      <c r="R5228" s="178" t="s">
        <v>7193</v>
      </c>
      <c r="S5228" s="150"/>
    </row>
    <row r="5229" spans="1:19">
      <c r="A5229" s="149" t="s">
        <v>7515</v>
      </c>
      <c r="B5229" s="150" t="str">
        <f>IFERROR(VLOOKUP(Proc[[#This Row],[App]],Table2[],3,0),"open")</f>
        <v>ok</v>
      </c>
      <c r="C5229" s="179" t="s">
        <v>377</v>
      </c>
      <c r="D5229" t="s">
        <v>7508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7522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19</v>
      </c>
      <c r="R5229" s="178" t="s">
        <v>7193</v>
      </c>
      <c r="S5229" s="150"/>
    </row>
    <row r="5230" spans="1:19">
      <c r="A5230" s="149" t="s">
        <v>7515</v>
      </c>
      <c r="B5230" s="150" t="str">
        <f>IFERROR(VLOOKUP(Proc[[#This Row],[App]],Table2[],3,0),"open")</f>
        <v>ok</v>
      </c>
      <c r="C5230" s="179" t="s">
        <v>377</v>
      </c>
      <c r="D5230" t="s">
        <v>7509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7522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19</v>
      </c>
      <c r="R5230" s="178" t="s">
        <v>7193</v>
      </c>
      <c r="S5230" s="150"/>
    </row>
    <row r="5231" spans="1:19">
      <c r="A5231" s="149" t="s">
        <v>7515</v>
      </c>
      <c r="B5231" s="150" t="str">
        <f>IFERROR(VLOOKUP(Proc[[#This Row],[App]],Table2[],3,0),"open")</f>
        <v>ok</v>
      </c>
      <c r="C5231" s="179" t="s">
        <v>377</v>
      </c>
      <c r="D5231" t="s">
        <v>7510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7522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19</v>
      </c>
      <c r="R5231" s="178" t="s">
        <v>7193</v>
      </c>
      <c r="S5231" s="150"/>
    </row>
    <row r="5232" spans="1:19">
      <c r="A5232" s="149" t="s">
        <v>7515</v>
      </c>
      <c r="B5232" s="150" t="str">
        <f>IFERROR(VLOOKUP(Proc[[#This Row],[App]],Table2[],3,0),"open")</f>
        <v>ok</v>
      </c>
      <c r="C5232" s="179" t="s">
        <v>369</v>
      </c>
      <c r="D5232" t="s">
        <v>7511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7522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19</v>
      </c>
      <c r="R5232" s="178" t="s">
        <v>7193</v>
      </c>
      <c r="S5232" s="150"/>
    </row>
    <row r="5233" spans="1:19">
      <c r="A5233" s="149" t="s">
        <v>7515</v>
      </c>
      <c r="B5233" s="150" t="str">
        <f>IFERROR(VLOOKUP(Proc[[#This Row],[App]],Table2[],3,0),"open")</f>
        <v>ok</v>
      </c>
      <c r="C5233" s="179" t="s">
        <v>369</v>
      </c>
      <c r="D5233" t="s">
        <v>7512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7522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19</v>
      </c>
      <c r="R5233" s="178" t="s">
        <v>7193</v>
      </c>
      <c r="S5233" s="150"/>
    </row>
    <row r="5234" spans="1:19">
      <c r="A5234" s="149" t="s">
        <v>7515</v>
      </c>
      <c r="B5234" s="150" t="str">
        <f>IFERROR(VLOOKUP(Proc[[#This Row],[App]],Table2[],3,0),"open")</f>
        <v>ok</v>
      </c>
      <c r="C5234" s="179" t="s">
        <v>369</v>
      </c>
      <c r="D5234" t="s">
        <v>7513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7522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19</v>
      </c>
      <c r="R5234" s="178" t="s">
        <v>7193</v>
      </c>
      <c r="S5234" s="150"/>
    </row>
    <row r="5235" spans="1:19">
      <c r="A5235" s="149" t="s">
        <v>7515</v>
      </c>
      <c r="B5235" s="150" t="str">
        <f>IFERROR(VLOOKUP(Proc[[#This Row],[App]],Table2[],3,0),"open")</f>
        <v>ok</v>
      </c>
      <c r="C5235" s="179" t="s">
        <v>369</v>
      </c>
      <c r="D5235" t="s">
        <v>7514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7522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19</v>
      </c>
      <c r="R5235" s="178" t="s">
        <v>7193</v>
      </c>
      <c r="S5235" s="150"/>
    </row>
    <row r="5236" spans="1:19">
      <c r="A5236" t="s">
        <v>7516</v>
      </c>
      <c r="B5236" s="150" t="str">
        <f>IFERROR(VLOOKUP(Proc[[#This Row],[App]],Table2[],3,0),"open")</f>
        <v>ok</v>
      </c>
      <c r="C5236" s="149" t="s">
        <v>369</v>
      </c>
      <c r="D5236" s="149" t="s">
        <v>7518</v>
      </c>
      <c r="E5236" t="s">
        <v>7517</v>
      </c>
      <c r="F5236" s="149" t="s">
        <v>7517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17</v>
      </c>
      <c r="R5236" s="178" t="s">
        <v>7400</v>
      </c>
      <c r="S5236" s="150"/>
    </row>
    <row r="5237" spans="1:19">
      <c r="A5237" s="149" t="s">
        <v>7516</v>
      </c>
      <c r="B5237" s="150" t="str">
        <f>IFERROR(VLOOKUP(Proc[[#This Row],[App]],Table2[],3,0),"open")</f>
        <v>ok</v>
      </c>
      <c r="C5237" s="149" t="s">
        <v>369</v>
      </c>
      <c r="D5237" s="149" t="s">
        <v>7519</v>
      </c>
      <c r="E5237" s="149" t="s">
        <v>7517</v>
      </c>
      <c r="F5237" s="149" t="s">
        <v>7517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17</v>
      </c>
      <c r="R5237" s="178" t="s">
        <v>7400</v>
      </c>
      <c r="S5237" s="150"/>
    </row>
    <row r="5238" spans="1:19">
      <c r="A5238" s="149" t="s">
        <v>7516</v>
      </c>
      <c r="B5238" s="150" t="str">
        <f>IFERROR(VLOOKUP(Proc[[#This Row],[App]],Table2[],3,0),"open")</f>
        <v>ok</v>
      </c>
      <c r="C5238" s="149" t="s">
        <v>369</v>
      </c>
      <c r="D5238" s="149" t="s">
        <v>7520</v>
      </c>
      <c r="E5238" s="149" t="s">
        <v>7517</v>
      </c>
      <c r="F5238" s="149" t="s">
        <v>7517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17</v>
      </c>
      <c r="R5238" s="178" t="s">
        <v>7400</v>
      </c>
      <c r="S5238" s="150"/>
    </row>
    <row r="5239" spans="1:19">
      <c r="A5239" s="149" t="s">
        <v>7516</v>
      </c>
      <c r="B5239" s="150" t="str">
        <f>IFERROR(VLOOKUP(Proc[[#This Row],[App]],Table2[],3,0),"open")</f>
        <v>ok</v>
      </c>
      <c r="C5239" s="149" t="s">
        <v>369</v>
      </c>
      <c r="D5239" s="149" t="s">
        <v>7521</v>
      </c>
      <c r="E5239" s="149" t="s">
        <v>7517</v>
      </c>
      <c r="F5239" s="149" t="s">
        <v>7517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17</v>
      </c>
      <c r="R5239" s="178" t="s">
        <v>7400</v>
      </c>
      <c r="S5239" s="150"/>
    </row>
    <row r="5240" spans="1:19">
      <c r="A5240" t="s">
        <v>7523</v>
      </c>
      <c r="B5240" s="150" t="str">
        <f>IFERROR(VLOOKUP(Proc[[#This Row],[App]],Table2[],3,0),"open")</f>
        <v>open</v>
      </c>
      <c r="C5240" t="s">
        <v>377</v>
      </c>
      <c r="D5240" t="s">
        <v>6783</v>
      </c>
      <c r="E5240" t="s">
        <v>759</v>
      </c>
      <c r="F5240" s="150" t="s">
        <v>7531</v>
      </c>
      <c r="G5240" s="149" t="s">
        <v>400</v>
      </c>
      <c r="H5240" s="150" t="str">
        <f>IF(Proc[[#This Row],[type]]="LFF (MDG-F)",MID(Proc[[#This Row],[Obj]],13,10),"")</f>
        <v/>
      </c>
      <c r="I5240" t="s">
        <v>7528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17</v>
      </c>
      <c r="R5240" s="178" t="s">
        <v>1459</v>
      </c>
      <c r="S5240" s="150"/>
    </row>
    <row r="5241" spans="1:19">
      <c r="A5241" s="149" t="s">
        <v>7523</v>
      </c>
      <c r="B5241" s="150" t="str">
        <f>IFERROR(VLOOKUP(Proc[[#This Row],[App]],Table2[],3,0),"open")</f>
        <v>open</v>
      </c>
      <c r="C5241" s="149" t="s">
        <v>369</v>
      </c>
      <c r="D5241" t="s">
        <v>7524</v>
      </c>
      <c r="E5241" t="s">
        <v>7527</v>
      </c>
      <c r="F5241" s="149" t="s">
        <v>7527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7528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17</v>
      </c>
      <c r="R5241" s="178" t="s">
        <v>1459</v>
      </c>
      <c r="S5241" s="150"/>
    </row>
    <row r="5242" spans="1:19">
      <c r="A5242" s="149" t="s">
        <v>7523</v>
      </c>
      <c r="B5242" s="150" t="str">
        <f>IFERROR(VLOOKUP(Proc[[#This Row],[App]],Table2[],3,0),"open")</f>
        <v>open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7529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17</v>
      </c>
      <c r="R5242" s="178" t="s">
        <v>1459</v>
      </c>
      <c r="S5242" s="150"/>
    </row>
    <row r="5243" spans="1:19">
      <c r="A5243" s="149" t="s">
        <v>7523</v>
      </c>
      <c r="B5243" s="150" t="str">
        <f>IFERROR(VLOOKUP(Proc[[#This Row],[App]],Table2[],3,0),"open")</f>
        <v>open</v>
      </c>
      <c r="C5243" s="149" t="s">
        <v>370</v>
      </c>
      <c r="D5243" t="s">
        <v>7525</v>
      </c>
      <c r="E5243" t="s">
        <v>5466</v>
      </c>
      <c r="F5243" s="150" t="str">
        <f>VLOOKUP(Proc[[#This Row],[Obj]],Sheet1!A:B,2,0)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7816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17</v>
      </c>
      <c r="R5243" s="178" t="s">
        <v>1459</v>
      </c>
      <c r="S5243" s="150"/>
    </row>
    <row r="5244" spans="1:19">
      <c r="A5244" s="149" t="s">
        <v>7523</v>
      </c>
      <c r="B5244" s="150" t="str">
        <f>IFERROR(VLOOKUP(Proc[[#This Row],[App]],Table2[],3,0),"open")</f>
        <v>open</v>
      </c>
      <c r="C5244" s="149" t="s">
        <v>370</v>
      </c>
      <c r="D5244" t="s">
        <v>7526</v>
      </c>
      <c r="E5244" t="s">
        <v>2616</v>
      </c>
      <c r="F5244" s="150" t="str">
        <f>VLOOKUP(Proc[[#This Row],[Obj]],Sheet1!A:B,2,0)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7816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17</v>
      </c>
      <c r="R5244" s="178" t="s">
        <v>1459</v>
      </c>
      <c r="S5244" s="150"/>
    </row>
    <row r="5245" spans="1:19">
      <c r="A5245" t="s">
        <v>7533</v>
      </c>
      <c r="B5245" s="150" t="str">
        <f>IFERROR(VLOOKUP(Proc[[#This Row],[App]],Table2[],3,0),"open")</f>
        <v>open</v>
      </c>
      <c r="C5245" s="149" t="s">
        <v>377</v>
      </c>
      <c r="D5245" t="s">
        <v>7534</v>
      </c>
      <c r="E5245" t="s">
        <v>7615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10</v>
      </c>
      <c r="R5245" s="178" t="s">
        <v>5709</v>
      </c>
      <c r="S5245" s="150"/>
    </row>
    <row r="5246" spans="1:19">
      <c r="A5246" s="149" t="s">
        <v>7533</v>
      </c>
      <c r="B5246" s="150" t="str">
        <f>IFERROR(VLOOKUP(Proc[[#This Row],[App]],Table2[],3,0),"open")</f>
        <v>open</v>
      </c>
      <c r="C5246" s="149" t="s">
        <v>377</v>
      </c>
      <c r="D5246" t="s">
        <v>7535</v>
      </c>
      <c r="E5246" t="s">
        <v>7615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10</v>
      </c>
      <c r="R5246" s="178" t="s">
        <v>5709</v>
      </c>
      <c r="S5246" s="150"/>
    </row>
    <row r="5247" spans="1:19">
      <c r="A5247" s="149" t="s">
        <v>7533</v>
      </c>
      <c r="B5247" s="150" t="str">
        <f>IFERROR(VLOOKUP(Proc[[#This Row],[App]],Table2[],3,0),"open")</f>
        <v>open</v>
      </c>
      <c r="C5247" s="149" t="s">
        <v>377</v>
      </c>
      <c r="D5247" t="s">
        <v>7536</v>
      </c>
      <c r="E5247" t="s">
        <v>7615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7378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10</v>
      </c>
      <c r="R5247" s="178" t="s">
        <v>5709</v>
      </c>
      <c r="S5247" s="150"/>
    </row>
    <row r="5248" spans="1:19">
      <c r="A5248" s="149" t="s">
        <v>7533</v>
      </c>
      <c r="B5248" s="150" t="str">
        <f>IFERROR(VLOOKUP(Proc[[#This Row],[App]],Table2[],3,0),"open")</f>
        <v>open</v>
      </c>
      <c r="C5248" s="149" t="s">
        <v>377</v>
      </c>
      <c r="D5248" t="s">
        <v>7537</v>
      </c>
      <c r="E5248" t="s">
        <v>7615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7378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10</v>
      </c>
      <c r="R5248" s="178" t="s">
        <v>5709</v>
      </c>
      <c r="S5248" s="150"/>
    </row>
    <row r="5249" spans="1:19">
      <c r="A5249" s="149" t="s">
        <v>7533</v>
      </c>
      <c r="B5249" s="150" t="str">
        <f>IFERROR(VLOOKUP(Proc[[#This Row],[App]],Table2[],3,0),"open")</f>
        <v>open</v>
      </c>
      <c r="C5249" s="179" t="s">
        <v>369</v>
      </c>
      <c r="D5249" t="s">
        <v>7538</v>
      </c>
      <c r="E5249" t="s">
        <v>7615</v>
      </c>
      <c r="F5249" s="150" t="s">
        <v>7615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7378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10</v>
      </c>
      <c r="R5249" s="178" t="s">
        <v>5709</v>
      </c>
      <c r="S5249" s="150"/>
    </row>
    <row r="5250" spans="1:19">
      <c r="A5250" s="149" t="s">
        <v>7533</v>
      </c>
      <c r="B5250" s="150" t="str">
        <f>IFERROR(VLOOKUP(Proc[[#This Row],[App]],Table2[],3,0),"open")</f>
        <v>open</v>
      </c>
      <c r="C5250" s="179" t="s">
        <v>377</v>
      </c>
      <c r="D5250" t="s">
        <v>7539</v>
      </c>
      <c r="E5250" t="s">
        <v>7616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7378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10</v>
      </c>
      <c r="R5250" s="178" t="s">
        <v>5709</v>
      </c>
      <c r="S5250" s="150"/>
    </row>
    <row r="5251" spans="1:19">
      <c r="A5251" s="149" t="s">
        <v>7533</v>
      </c>
      <c r="B5251" s="150" t="str">
        <f>IFERROR(VLOOKUP(Proc[[#This Row],[App]],Table2[],3,0),"open")</f>
        <v>open</v>
      </c>
      <c r="C5251" s="179" t="s">
        <v>369</v>
      </c>
      <c r="D5251" t="s">
        <v>7540</v>
      </c>
      <c r="E5251" t="s">
        <v>7616</v>
      </c>
      <c r="F5251" s="150" t="s">
        <v>7616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7378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10</v>
      </c>
      <c r="R5251" s="178" t="s">
        <v>5709</v>
      </c>
      <c r="S5251" s="150"/>
    </row>
    <row r="5252" spans="1:19">
      <c r="A5252" s="149" t="s">
        <v>7533</v>
      </c>
      <c r="B5252" s="150" t="str">
        <f>IFERROR(VLOOKUP(Proc[[#This Row],[App]],Table2[],3,0),"open")</f>
        <v>open</v>
      </c>
      <c r="C5252" s="179" t="s">
        <v>369</v>
      </c>
      <c r="D5252" t="s">
        <v>7541</v>
      </c>
      <c r="E5252" t="s">
        <v>7616</v>
      </c>
      <c r="F5252" s="150" t="s">
        <v>7616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7378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10</v>
      </c>
      <c r="R5252" s="178" t="s">
        <v>5709</v>
      </c>
      <c r="S5252" s="150"/>
    </row>
    <row r="5253" spans="1:19">
      <c r="A5253" s="149" t="s">
        <v>7533</v>
      </c>
      <c r="B5253" s="150" t="str">
        <f>IFERROR(VLOOKUP(Proc[[#This Row],[App]],Table2[],3,0),"open")</f>
        <v>open</v>
      </c>
      <c r="C5253" s="149" t="s">
        <v>377</v>
      </c>
      <c r="D5253" t="s">
        <v>7542</v>
      </c>
      <c r="E5253" t="s">
        <v>7616</v>
      </c>
      <c r="F5253" s="150" t="s">
        <v>7727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10</v>
      </c>
      <c r="R5253" s="178" t="s">
        <v>5709</v>
      </c>
      <c r="S5253" s="150"/>
    </row>
    <row r="5254" spans="1:19">
      <c r="A5254" s="149" t="s">
        <v>7533</v>
      </c>
      <c r="B5254" s="150" t="str">
        <f>IFERROR(VLOOKUP(Proc[[#This Row],[App]],Table2[],3,0),"open")</f>
        <v>open</v>
      </c>
      <c r="C5254" s="149" t="s">
        <v>377</v>
      </c>
      <c r="D5254" t="s">
        <v>7543</v>
      </c>
      <c r="E5254" t="s">
        <v>7616</v>
      </c>
      <c r="F5254" s="150" t="s">
        <v>7727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10</v>
      </c>
      <c r="R5254" s="178" t="s">
        <v>5709</v>
      </c>
      <c r="S5254" s="150"/>
    </row>
    <row r="5255" spans="1:19">
      <c r="A5255" s="149" t="s">
        <v>7533</v>
      </c>
      <c r="B5255" s="150" t="str">
        <f>IFERROR(VLOOKUP(Proc[[#This Row],[App]],Table2[],3,0),"open")</f>
        <v>open</v>
      </c>
      <c r="C5255" s="149" t="s">
        <v>377</v>
      </c>
      <c r="D5255" t="s">
        <v>7544</v>
      </c>
      <c r="E5255" t="s">
        <v>7616</v>
      </c>
      <c r="F5255" s="150" t="s">
        <v>7793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10</v>
      </c>
      <c r="R5255" s="178" t="s">
        <v>5709</v>
      </c>
      <c r="S5255" s="150"/>
    </row>
    <row r="5256" spans="1:19">
      <c r="A5256" s="149" t="s">
        <v>7533</v>
      </c>
      <c r="B5256" s="150" t="str">
        <f>IFERROR(VLOOKUP(Proc[[#This Row],[App]],Table2[],3,0),"open")</f>
        <v>open</v>
      </c>
      <c r="C5256" s="179" t="s">
        <v>369</v>
      </c>
      <c r="D5256" t="s">
        <v>7545</v>
      </c>
      <c r="E5256" t="s">
        <v>7615</v>
      </c>
      <c r="F5256" s="150" t="s">
        <v>7615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7378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10</v>
      </c>
      <c r="R5256" s="178" t="s">
        <v>5709</v>
      </c>
      <c r="S5256" s="150"/>
    </row>
    <row r="5257" spans="1:19">
      <c r="A5257" s="149" t="s">
        <v>7533</v>
      </c>
      <c r="B5257" s="150" t="str">
        <f>IFERROR(VLOOKUP(Proc[[#This Row],[App]],Table2[],3,0),"open")</f>
        <v>open</v>
      </c>
      <c r="C5257" s="179" t="s">
        <v>369</v>
      </c>
      <c r="D5257" t="s">
        <v>7546</v>
      </c>
      <c r="E5257" t="s">
        <v>7615</v>
      </c>
      <c r="F5257" s="150" t="s">
        <v>7615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7378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10</v>
      </c>
      <c r="R5257" s="178" t="s">
        <v>5709</v>
      </c>
      <c r="S5257" s="150"/>
    </row>
    <row r="5258" spans="1:19">
      <c r="A5258" s="149" t="s">
        <v>7533</v>
      </c>
      <c r="B5258" s="150" t="str">
        <f>IFERROR(VLOOKUP(Proc[[#This Row],[App]],Table2[],3,0),"open")</f>
        <v>open</v>
      </c>
      <c r="C5258" s="179" t="s">
        <v>369</v>
      </c>
      <c r="D5258" t="s">
        <v>7547</v>
      </c>
      <c r="E5258" t="s">
        <v>7617</v>
      </c>
      <c r="F5258" s="150" t="s">
        <v>7617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7378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10</v>
      </c>
      <c r="R5258" s="178" t="s">
        <v>5709</v>
      </c>
      <c r="S5258" s="150"/>
    </row>
    <row r="5259" spans="1:19">
      <c r="A5259" s="149" t="s">
        <v>7533</v>
      </c>
      <c r="B5259" s="150" t="str">
        <f>IFERROR(VLOOKUP(Proc[[#This Row],[App]],Table2[],3,0),"open")</f>
        <v>open</v>
      </c>
      <c r="C5259" s="149" t="s">
        <v>369</v>
      </c>
      <c r="D5259" t="s">
        <v>7810</v>
      </c>
      <c r="E5259" t="s">
        <v>7617</v>
      </c>
      <c r="F5259" s="150" t="str">
        <f>VLOOKUP(Proc[[#This Row],[Obj]],Sheet1!A:B,2,0)</f>
        <v>P000000219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7378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10</v>
      </c>
      <c r="R5259" s="178" t="s">
        <v>5709</v>
      </c>
      <c r="S5259" s="150"/>
    </row>
    <row r="5260" spans="1:19">
      <c r="A5260" s="149" t="s">
        <v>7533</v>
      </c>
      <c r="B5260" s="150" t="str">
        <f>IFERROR(VLOOKUP(Proc[[#This Row],[App]],Table2[],3,0),"open")</f>
        <v>open</v>
      </c>
      <c r="C5260" s="179" t="s">
        <v>369</v>
      </c>
      <c r="D5260" t="s">
        <v>7548</v>
      </c>
      <c r="E5260" t="s">
        <v>7617</v>
      </c>
      <c r="F5260" s="150" t="s">
        <v>7617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7378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10</v>
      </c>
      <c r="R5260" s="178" t="s">
        <v>5709</v>
      </c>
      <c r="S5260" s="150"/>
    </row>
    <row r="5261" spans="1:19">
      <c r="A5261" s="149" t="s">
        <v>7533</v>
      </c>
      <c r="B5261" s="150" t="str">
        <f>IFERROR(VLOOKUP(Proc[[#This Row],[App]],Table2[],3,0),"open")</f>
        <v>open</v>
      </c>
      <c r="C5261" s="179" t="s">
        <v>369</v>
      </c>
      <c r="D5261" t="s">
        <v>7549</v>
      </c>
      <c r="E5261" t="s">
        <v>7617</v>
      </c>
      <c r="F5261" s="150" t="s">
        <v>7617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7378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10</v>
      </c>
      <c r="R5261" s="178" t="s">
        <v>5709</v>
      </c>
      <c r="S5261" s="150"/>
    </row>
    <row r="5262" spans="1:19">
      <c r="A5262" s="149" t="s">
        <v>7533</v>
      </c>
      <c r="B5262" s="150" t="str">
        <f>IFERROR(VLOOKUP(Proc[[#This Row],[App]],Table2[],3,0),"open")</f>
        <v>open</v>
      </c>
      <c r="C5262" s="179" t="s">
        <v>369</v>
      </c>
      <c r="D5262" t="s">
        <v>7811</v>
      </c>
      <c r="E5262" t="s">
        <v>7617</v>
      </c>
      <c r="F5262" s="150" t="str">
        <f>VLOOKUP(Proc[[#This Row],[Obj]],Sheet1!A:B,2,0)</f>
        <v>P000000219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7378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10</v>
      </c>
      <c r="R5262" s="178" t="s">
        <v>5709</v>
      </c>
      <c r="S5262" s="150"/>
    </row>
    <row r="5263" spans="1:19">
      <c r="A5263" s="149" t="s">
        <v>7533</v>
      </c>
      <c r="B5263" s="150" t="str">
        <f>IFERROR(VLOOKUP(Proc[[#This Row],[App]],Table2[],3,0),"open")</f>
        <v>open</v>
      </c>
      <c r="C5263" s="179" t="s">
        <v>369</v>
      </c>
      <c r="D5263" t="s">
        <v>7550</v>
      </c>
      <c r="E5263" t="s">
        <v>7617</v>
      </c>
      <c r="F5263" s="150" t="s">
        <v>7617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7378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10</v>
      </c>
      <c r="R5263" s="178" t="s">
        <v>5709</v>
      </c>
      <c r="S5263" s="150"/>
    </row>
    <row r="5264" spans="1:19">
      <c r="A5264" s="149" t="s">
        <v>7533</v>
      </c>
      <c r="B5264" s="150" t="str">
        <f>IFERROR(VLOOKUP(Proc[[#This Row],[App]],Table2[],3,0),"open")</f>
        <v>open</v>
      </c>
      <c r="C5264" s="179" t="s">
        <v>369</v>
      </c>
      <c r="D5264" t="s">
        <v>7551</v>
      </c>
      <c r="E5264" t="s">
        <v>7617</v>
      </c>
      <c r="F5264" s="150" t="s">
        <v>7617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7378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10</v>
      </c>
      <c r="R5264" s="178" t="s">
        <v>5709</v>
      </c>
      <c r="S5264" s="150"/>
    </row>
    <row r="5265" spans="1:19">
      <c r="A5265" s="149" t="s">
        <v>7533</v>
      </c>
      <c r="B5265" s="150" t="str">
        <f>IFERROR(VLOOKUP(Proc[[#This Row],[App]],Table2[],3,0),"open")</f>
        <v>open</v>
      </c>
      <c r="C5265" s="179" t="s">
        <v>369</v>
      </c>
      <c r="D5265" t="s">
        <v>7552</v>
      </c>
      <c r="E5265" t="s">
        <v>7617</v>
      </c>
      <c r="F5265" s="150" t="s">
        <v>7617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7378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10</v>
      </c>
      <c r="R5265" s="178" t="s">
        <v>5709</v>
      </c>
      <c r="S5265" s="150"/>
    </row>
    <row r="5266" spans="1:19">
      <c r="A5266" s="149" t="s">
        <v>7533</v>
      </c>
      <c r="B5266" s="150" t="str">
        <f>IFERROR(VLOOKUP(Proc[[#This Row],[App]],Table2[],3,0),"open")</f>
        <v>open</v>
      </c>
      <c r="C5266" s="179" t="s">
        <v>369</v>
      </c>
      <c r="D5266" t="s">
        <v>7553</v>
      </c>
      <c r="E5266" t="s">
        <v>7617</v>
      </c>
      <c r="F5266" s="150" t="s">
        <v>7617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7378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10</v>
      </c>
      <c r="R5266" s="178" t="s">
        <v>5709</v>
      </c>
      <c r="S5266" s="150"/>
    </row>
    <row r="5267" spans="1:19">
      <c r="A5267" s="149" t="s">
        <v>7533</v>
      </c>
      <c r="B5267" s="150" t="str">
        <f>IFERROR(VLOOKUP(Proc[[#This Row],[App]],Table2[],3,0),"open")</f>
        <v>open</v>
      </c>
      <c r="C5267" s="179" t="s">
        <v>369</v>
      </c>
      <c r="D5267" t="s">
        <v>7812</v>
      </c>
      <c r="E5267" t="s">
        <v>7617</v>
      </c>
      <c r="F5267" s="150" t="str">
        <f>VLOOKUP(Proc[[#This Row],[Obj]],Sheet1!A:B,2,0)</f>
        <v>P000000219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7378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10</v>
      </c>
      <c r="R5267" s="178" t="s">
        <v>5709</v>
      </c>
      <c r="S5267" s="150"/>
    </row>
    <row r="5268" spans="1:19">
      <c r="A5268" s="149" t="s">
        <v>7533</v>
      </c>
      <c r="B5268" s="150" t="str">
        <f>IFERROR(VLOOKUP(Proc[[#This Row],[App]],Table2[],3,0),"open")</f>
        <v>open</v>
      </c>
      <c r="C5268" s="179" t="s">
        <v>369</v>
      </c>
      <c r="D5268" t="s">
        <v>7554</v>
      </c>
      <c r="E5268" t="s">
        <v>7617</v>
      </c>
      <c r="F5268" s="150" t="s">
        <v>7617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7378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10</v>
      </c>
      <c r="R5268" s="178" t="s">
        <v>5709</v>
      </c>
      <c r="S5268" s="150"/>
    </row>
    <row r="5269" spans="1:19">
      <c r="A5269" s="149" t="s">
        <v>7533</v>
      </c>
      <c r="B5269" s="150" t="str">
        <f>IFERROR(VLOOKUP(Proc[[#This Row],[App]],Table2[],3,0),"open")</f>
        <v>open</v>
      </c>
      <c r="C5269" s="179" t="s">
        <v>369</v>
      </c>
      <c r="D5269" t="s">
        <v>7555</v>
      </c>
      <c r="E5269" t="s">
        <v>7617</v>
      </c>
      <c r="F5269" s="150" t="s">
        <v>7617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7378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10</v>
      </c>
      <c r="R5269" s="178" t="s">
        <v>5709</v>
      </c>
      <c r="S5269" s="150"/>
    </row>
    <row r="5270" spans="1:19">
      <c r="A5270" s="149" t="s">
        <v>7533</v>
      </c>
      <c r="B5270" s="150" t="str">
        <f>IFERROR(VLOOKUP(Proc[[#This Row],[App]],Table2[],3,0),"open")</f>
        <v>open</v>
      </c>
      <c r="C5270" s="179" t="s">
        <v>369</v>
      </c>
      <c r="D5270" t="s">
        <v>7556</v>
      </c>
      <c r="E5270" t="s">
        <v>7617</v>
      </c>
      <c r="F5270" s="150" t="s">
        <v>7617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7378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10</v>
      </c>
      <c r="R5270" s="178" t="s">
        <v>5709</v>
      </c>
      <c r="S5270" s="150"/>
    </row>
    <row r="5271" spans="1:19">
      <c r="A5271" s="149" t="s">
        <v>7533</v>
      </c>
      <c r="B5271" s="150" t="str">
        <f>IFERROR(VLOOKUP(Proc[[#This Row],[App]],Table2[],3,0),"open")</f>
        <v>open</v>
      </c>
      <c r="C5271" s="179" t="s">
        <v>369</v>
      </c>
      <c r="D5271" t="s">
        <v>7557</v>
      </c>
      <c r="E5271" t="s">
        <v>7617</v>
      </c>
      <c r="F5271" s="150" t="s">
        <v>7617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7378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10</v>
      </c>
      <c r="R5271" s="178" t="s">
        <v>5709</v>
      </c>
      <c r="S5271" s="150"/>
    </row>
    <row r="5272" spans="1:19">
      <c r="A5272" s="149" t="s">
        <v>7533</v>
      </c>
      <c r="B5272" s="150" t="str">
        <f>IFERROR(VLOOKUP(Proc[[#This Row],[App]],Table2[],3,0),"open")</f>
        <v>open</v>
      </c>
      <c r="C5272" s="179" t="s">
        <v>377</v>
      </c>
      <c r="D5272" t="s">
        <v>7558</v>
      </c>
      <c r="E5272" t="s">
        <v>7617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10</v>
      </c>
      <c r="R5272" s="178" t="s">
        <v>5709</v>
      </c>
      <c r="S5272" s="150"/>
    </row>
    <row r="5273" spans="1:19">
      <c r="A5273" s="149" t="s">
        <v>7533</v>
      </c>
      <c r="B5273" s="150" t="str">
        <f>IFERROR(VLOOKUP(Proc[[#This Row],[App]],Table2[],3,0),"open")</f>
        <v>open</v>
      </c>
      <c r="C5273" s="179" t="s">
        <v>377</v>
      </c>
      <c r="D5273" t="s">
        <v>7559</v>
      </c>
      <c r="E5273" t="s">
        <v>7617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10</v>
      </c>
      <c r="R5273" s="178" t="s">
        <v>5709</v>
      </c>
      <c r="S5273" s="150"/>
    </row>
    <row r="5274" spans="1:19">
      <c r="A5274" s="149" t="s">
        <v>7533</v>
      </c>
      <c r="B5274" s="150" t="str">
        <f>IFERROR(VLOOKUP(Proc[[#This Row],[App]],Table2[],3,0),"open")</f>
        <v>open</v>
      </c>
      <c r="C5274" s="179" t="s">
        <v>377</v>
      </c>
      <c r="D5274" t="s">
        <v>7560</v>
      </c>
      <c r="E5274" t="s">
        <v>7617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7378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10</v>
      </c>
      <c r="R5274" s="178" t="s">
        <v>5709</v>
      </c>
      <c r="S5274" s="150"/>
    </row>
    <row r="5275" spans="1:19">
      <c r="A5275" s="149" t="s">
        <v>7533</v>
      </c>
      <c r="B5275" s="150" t="str">
        <f>IFERROR(VLOOKUP(Proc[[#This Row],[App]],Table2[],3,0),"open")</f>
        <v>open</v>
      </c>
      <c r="C5275" s="179" t="s">
        <v>377</v>
      </c>
      <c r="D5275" t="s">
        <v>7561</v>
      </c>
      <c r="E5275" t="s">
        <v>7617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7378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10</v>
      </c>
      <c r="R5275" s="178" t="s">
        <v>5709</v>
      </c>
      <c r="S5275" s="150"/>
    </row>
    <row r="5276" spans="1:19">
      <c r="A5276" s="149" t="s">
        <v>7533</v>
      </c>
      <c r="B5276" s="150" t="str">
        <f>IFERROR(VLOOKUP(Proc[[#This Row],[App]],Table2[],3,0),"open")</f>
        <v>open</v>
      </c>
      <c r="C5276" s="179" t="s">
        <v>369</v>
      </c>
      <c r="D5276" t="s">
        <v>7562</v>
      </c>
      <c r="E5276" t="s">
        <v>7617</v>
      </c>
      <c r="F5276" s="150" t="s">
        <v>7617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7378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10</v>
      </c>
      <c r="R5276" s="178" t="s">
        <v>5709</v>
      </c>
      <c r="S5276" s="150"/>
    </row>
    <row r="5277" spans="1:19">
      <c r="A5277" s="149" t="s">
        <v>7533</v>
      </c>
      <c r="B5277" s="150" t="str">
        <f>IFERROR(VLOOKUP(Proc[[#This Row],[App]],Table2[],3,0),"open")</f>
        <v>open</v>
      </c>
      <c r="C5277" s="179" t="s">
        <v>377</v>
      </c>
      <c r="D5277" t="s">
        <v>7563</v>
      </c>
      <c r="E5277" t="s">
        <v>7617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10</v>
      </c>
      <c r="R5277" s="178" t="s">
        <v>5709</v>
      </c>
      <c r="S5277" s="150"/>
    </row>
    <row r="5278" spans="1:19">
      <c r="A5278" s="149" t="s">
        <v>7533</v>
      </c>
      <c r="B5278" s="150" t="str">
        <f>IFERROR(VLOOKUP(Proc[[#This Row],[App]],Table2[],3,0),"open")</f>
        <v>open</v>
      </c>
      <c r="C5278" s="179" t="s">
        <v>377</v>
      </c>
      <c r="D5278" t="s">
        <v>7564</v>
      </c>
      <c r="E5278" t="s">
        <v>7617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7378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10</v>
      </c>
      <c r="R5278" s="178" t="s">
        <v>5709</v>
      </c>
      <c r="S5278" s="150"/>
    </row>
    <row r="5279" spans="1:19">
      <c r="A5279" s="149" t="s">
        <v>7533</v>
      </c>
      <c r="B5279" s="150" t="str">
        <f>IFERROR(VLOOKUP(Proc[[#This Row],[App]],Table2[],3,0),"open")</f>
        <v>open</v>
      </c>
      <c r="C5279" s="179" t="s">
        <v>377</v>
      </c>
      <c r="D5279" t="s">
        <v>7565</v>
      </c>
      <c r="E5279" t="s">
        <v>7617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10</v>
      </c>
      <c r="R5279" s="178" t="s">
        <v>5709</v>
      </c>
      <c r="S5279" s="150"/>
    </row>
    <row r="5280" spans="1:19">
      <c r="A5280" s="149" t="s">
        <v>7533</v>
      </c>
      <c r="B5280" s="150" t="str">
        <f>IFERROR(VLOOKUP(Proc[[#This Row],[App]],Table2[],3,0),"open")</f>
        <v>open</v>
      </c>
      <c r="C5280" s="179" t="s">
        <v>377</v>
      </c>
      <c r="D5280" t="s">
        <v>7566</v>
      </c>
      <c r="E5280" t="s">
        <v>7617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10</v>
      </c>
      <c r="R5280" s="178" t="s">
        <v>5709</v>
      </c>
      <c r="S5280" s="150"/>
    </row>
    <row r="5281" spans="1:19">
      <c r="A5281" s="149" t="s">
        <v>7533</v>
      </c>
      <c r="B5281" s="150" t="str">
        <f>IFERROR(VLOOKUP(Proc[[#This Row],[App]],Table2[],3,0),"open")</f>
        <v>open</v>
      </c>
      <c r="C5281" s="179" t="s">
        <v>377</v>
      </c>
      <c r="D5281" t="s">
        <v>7567</v>
      </c>
      <c r="E5281" t="s">
        <v>7617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10</v>
      </c>
      <c r="R5281" s="178" t="s">
        <v>5709</v>
      </c>
      <c r="S5281" s="150"/>
    </row>
    <row r="5282" spans="1:19">
      <c r="A5282" s="149" t="s">
        <v>7533</v>
      </c>
      <c r="B5282" s="150" t="str">
        <f>IFERROR(VLOOKUP(Proc[[#This Row],[App]],Table2[],3,0),"open")</f>
        <v>open</v>
      </c>
      <c r="C5282" s="179" t="s">
        <v>377</v>
      </c>
      <c r="D5282" t="s">
        <v>7568</v>
      </c>
      <c r="E5282" t="s">
        <v>7617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10</v>
      </c>
      <c r="R5282" s="178" t="s">
        <v>5709</v>
      </c>
      <c r="S5282" s="150"/>
    </row>
    <row r="5283" spans="1:19">
      <c r="A5283" s="149" t="s">
        <v>7533</v>
      </c>
      <c r="B5283" s="150" t="str">
        <f>IFERROR(VLOOKUP(Proc[[#This Row],[App]],Table2[],3,0),"open")</f>
        <v>open</v>
      </c>
      <c r="C5283" s="179" t="s">
        <v>377</v>
      </c>
      <c r="D5283" t="s">
        <v>7569</v>
      </c>
      <c r="E5283" t="s">
        <v>7617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10</v>
      </c>
      <c r="R5283" s="178" t="s">
        <v>5709</v>
      </c>
      <c r="S5283" s="150"/>
    </row>
    <row r="5284" spans="1:19">
      <c r="A5284" s="149" t="s">
        <v>7533</v>
      </c>
      <c r="B5284" s="150" t="str">
        <f>IFERROR(VLOOKUP(Proc[[#This Row],[App]],Table2[],3,0),"open")</f>
        <v>open</v>
      </c>
      <c r="C5284" s="179" t="s">
        <v>377</v>
      </c>
      <c r="D5284" t="s">
        <v>7570</v>
      </c>
      <c r="E5284" t="s">
        <v>7617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10</v>
      </c>
      <c r="R5284" s="178" t="s">
        <v>5709</v>
      </c>
      <c r="S5284" s="150"/>
    </row>
    <row r="5285" spans="1:19">
      <c r="A5285" s="149" t="s">
        <v>7533</v>
      </c>
      <c r="B5285" s="150" t="str">
        <f>IFERROR(VLOOKUP(Proc[[#This Row],[App]],Table2[],3,0),"open")</f>
        <v>open</v>
      </c>
      <c r="C5285" s="179" t="s">
        <v>377</v>
      </c>
      <c r="D5285" t="s">
        <v>7571</v>
      </c>
      <c r="E5285" t="s">
        <v>7617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10</v>
      </c>
      <c r="R5285" s="178" t="s">
        <v>5709</v>
      </c>
      <c r="S5285" s="150"/>
    </row>
    <row r="5286" spans="1:19">
      <c r="A5286" s="149" t="s">
        <v>7533</v>
      </c>
      <c r="B5286" s="150" t="str">
        <f>IFERROR(VLOOKUP(Proc[[#This Row],[App]],Table2[],3,0),"open")</f>
        <v>open</v>
      </c>
      <c r="C5286" s="179" t="s">
        <v>377</v>
      </c>
      <c r="D5286" t="s">
        <v>7572</v>
      </c>
      <c r="E5286" t="s">
        <v>7617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10</v>
      </c>
      <c r="R5286" s="178" t="s">
        <v>5709</v>
      </c>
      <c r="S5286" s="150"/>
    </row>
    <row r="5287" spans="1:19">
      <c r="A5287" s="149" t="s">
        <v>7533</v>
      </c>
      <c r="B5287" s="150" t="str">
        <f>IFERROR(VLOOKUP(Proc[[#This Row],[App]],Table2[],3,0),"open")</f>
        <v>open</v>
      </c>
      <c r="C5287" s="179" t="s">
        <v>377</v>
      </c>
      <c r="D5287" t="s">
        <v>7573</v>
      </c>
      <c r="E5287" t="s">
        <v>7617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10</v>
      </c>
      <c r="R5287" s="178" t="s">
        <v>5709</v>
      </c>
      <c r="S5287" s="150"/>
    </row>
    <row r="5288" spans="1:19">
      <c r="A5288" s="149" t="s">
        <v>7533</v>
      </c>
      <c r="B5288" s="150" t="str">
        <f>IFERROR(VLOOKUP(Proc[[#This Row],[App]],Table2[],3,0),"open")</f>
        <v>open</v>
      </c>
      <c r="C5288" s="179" t="s">
        <v>377</v>
      </c>
      <c r="D5288" t="s">
        <v>7574</v>
      </c>
      <c r="E5288" t="s">
        <v>7617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10</v>
      </c>
      <c r="R5288" s="178" t="s">
        <v>5709</v>
      </c>
      <c r="S5288" s="150"/>
    </row>
    <row r="5289" spans="1:19">
      <c r="A5289" s="149" t="s">
        <v>7533</v>
      </c>
      <c r="B5289" s="150" t="str">
        <f>IFERROR(VLOOKUP(Proc[[#This Row],[App]],Table2[],3,0),"open")</f>
        <v>open</v>
      </c>
      <c r="C5289" s="179" t="s">
        <v>377</v>
      </c>
      <c r="D5289" t="s">
        <v>7575</v>
      </c>
      <c r="E5289" t="s">
        <v>7617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10</v>
      </c>
      <c r="R5289" s="178" t="s">
        <v>5709</v>
      </c>
      <c r="S5289" s="150"/>
    </row>
    <row r="5290" spans="1:19">
      <c r="A5290" s="149" t="s">
        <v>7533</v>
      </c>
      <c r="B5290" s="150" t="str">
        <f>IFERROR(VLOOKUP(Proc[[#This Row],[App]],Table2[],3,0),"open")</f>
        <v>open</v>
      </c>
      <c r="C5290" s="179" t="s">
        <v>377</v>
      </c>
      <c r="D5290" t="s">
        <v>7576</v>
      </c>
      <c r="E5290" t="s">
        <v>7617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10</v>
      </c>
      <c r="R5290" s="178" t="s">
        <v>5709</v>
      </c>
      <c r="S5290" s="150"/>
    </row>
    <row r="5291" spans="1:19">
      <c r="A5291" s="149" t="s">
        <v>7533</v>
      </c>
      <c r="B5291" s="150" t="str">
        <f>IFERROR(VLOOKUP(Proc[[#This Row],[App]],Table2[],3,0),"open")</f>
        <v>open</v>
      </c>
      <c r="C5291" s="179" t="s">
        <v>369</v>
      </c>
      <c r="D5291" t="s">
        <v>7577</v>
      </c>
      <c r="E5291" t="s">
        <v>7617</v>
      </c>
      <c r="F5291" s="150" t="s">
        <v>7617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7378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10</v>
      </c>
      <c r="R5291" s="178" t="s">
        <v>5709</v>
      </c>
      <c r="S5291" s="150"/>
    </row>
    <row r="5292" spans="1:19">
      <c r="A5292" s="149" t="s">
        <v>7533</v>
      </c>
      <c r="B5292" s="150" t="str">
        <f>IFERROR(VLOOKUP(Proc[[#This Row],[App]],Table2[],3,0),"open")</f>
        <v>open</v>
      </c>
      <c r="C5292" s="179" t="s">
        <v>369</v>
      </c>
      <c r="D5292" t="s">
        <v>7578</v>
      </c>
      <c r="E5292" t="s">
        <v>7617</v>
      </c>
      <c r="F5292" s="150" t="s">
        <v>7617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7378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10</v>
      </c>
      <c r="R5292" s="178" t="s">
        <v>5709</v>
      </c>
      <c r="S5292" s="150"/>
    </row>
    <row r="5293" spans="1:19">
      <c r="A5293" s="149" t="s">
        <v>7533</v>
      </c>
      <c r="B5293" s="150" t="str">
        <f>IFERROR(VLOOKUP(Proc[[#This Row],[App]],Table2[],3,0),"open")</f>
        <v>open</v>
      </c>
      <c r="C5293" s="179" t="s">
        <v>369</v>
      </c>
      <c r="D5293" t="s">
        <v>7579</v>
      </c>
      <c r="E5293" t="s">
        <v>7617</v>
      </c>
      <c r="F5293" s="150" t="s">
        <v>7617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7378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10</v>
      </c>
      <c r="R5293" s="178" t="s">
        <v>5709</v>
      </c>
      <c r="S5293" s="150"/>
    </row>
    <row r="5294" spans="1:19">
      <c r="A5294" s="149" t="s">
        <v>7533</v>
      </c>
      <c r="B5294" s="150" t="str">
        <f>IFERROR(VLOOKUP(Proc[[#This Row],[App]],Table2[],3,0),"open")</f>
        <v>open</v>
      </c>
      <c r="C5294" s="179" t="s">
        <v>369</v>
      </c>
      <c r="D5294" t="s">
        <v>7813</v>
      </c>
      <c r="E5294" t="s">
        <v>7617</v>
      </c>
      <c r="F5294" s="150" t="str">
        <f>VLOOKUP(Proc[[#This Row],[Obj]],Sheet1!A:B,2,0)</f>
        <v>P000000219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7378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10</v>
      </c>
      <c r="R5294" s="178" t="s">
        <v>5709</v>
      </c>
      <c r="S5294" s="150"/>
    </row>
    <row r="5295" spans="1:19">
      <c r="A5295" s="149" t="s">
        <v>7533</v>
      </c>
      <c r="B5295" s="150" t="str">
        <f>IFERROR(VLOOKUP(Proc[[#This Row],[App]],Table2[],3,0),"open")</f>
        <v>open</v>
      </c>
      <c r="C5295" s="179" t="s">
        <v>369</v>
      </c>
      <c r="D5295" t="s">
        <v>7580</v>
      </c>
      <c r="E5295" t="s">
        <v>7617</v>
      </c>
      <c r="F5295" s="150" t="s">
        <v>7617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7378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10</v>
      </c>
      <c r="R5295" s="178" t="s">
        <v>5709</v>
      </c>
      <c r="S5295" s="150"/>
    </row>
    <row r="5296" spans="1:19">
      <c r="A5296" s="149" t="s">
        <v>7533</v>
      </c>
      <c r="B5296" s="150" t="str">
        <f>IFERROR(VLOOKUP(Proc[[#This Row],[App]],Table2[],3,0),"open")</f>
        <v>open</v>
      </c>
      <c r="C5296" s="179" t="s">
        <v>369</v>
      </c>
      <c r="D5296" t="s">
        <v>7814</v>
      </c>
      <c r="E5296" t="s">
        <v>7617</v>
      </c>
      <c r="F5296" s="150" t="str">
        <f>VLOOKUP(Proc[[#This Row],[Obj]],Sheet1!A:B,2,0)</f>
        <v>P000000219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7378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10</v>
      </c>
      <c r="R5296" s="178" t="s">
        <v>5709</v>
      </c>
      <c r="S5296" s="150"/>
    </row>
    <row r="5297" spans="1:19">
      <c r="A5297" s="149" t="s">
        <v>7533</v>
      </c>
      <c r="B5297" s="150" t="str">
        <f>IFERROR(VLOOKUP(Proc[[#This Row],[App]],Table2[],3,0),"open")</f>
        <v>open</v>
      </c>
      <c r="C5297" s="179" t="s">
        <v>377</v>
      </c>
      <c r="D5297" t="s">
        <v>7581</v>
      </c>
      <c r="E5297" t="s">
        <v>7617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10</v>
      </c>
      <c r="R5297" s="178" t="s">
        <v>5709</v>
      </c>
      <c r="S5297" s="150"/>
    </row>
    <row r="5298" spans="1:19">
      <c r="A5298" s="149" t="s">
        <v>7533</v>
      </c>
      <c r="B5298" s="150" t="str">
        <f>IFERROR(VLOOKUP(Proc[[#This Row],[App]],Table2[],3,0),"open")</f>
        <v>open</v>
      </c>
      <c r="C5298" s="179" t="s">
        <v>377</v>
      </c>
      <c r="D5298" t="s">
        <v>7582</v>
      </c>
      <c r="E5298" t="s">
        <v>7617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7378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10</v>
      </c>
      <c r="R5298" s="178" t="s">
        <v>5709</v>
      </c>
      <c r="S5298" s="150"/>
    </row>
    <row r="5299" spans="1:19">
      <c r="A5299" s="149" t="s">
        <v>7533</v>
      </c>
      <c r="B5299" s="150" t="str">
        <f>IFERROR(VLOOKUP(Proc[[#This Row],[App]],Table2[],3,0),"open")</f>
        <v>open</v>
      </c>
      <c r="C5299" s="179" t="s">
        <v>377</v>
      </c>
      <c r="D5299" t="s">
        <v>7583</v>
      </c>
      <c r="E5299" t="s">
        <v>7617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10</v>
      </c>
      <c r="R5299" s="178" t="s">
        <v>5709</v>
      </c>
      <c r="S5299" s="150"/>
    </row>
    <row r="5300" spans="1:19">
      <c r="A5300" s="149" t="s">
        <v>7533</v>
      </c>
      <c r="B5300" s="150" t="str">
        <f>IFERROR(VLOOKUP(Proc[[#This Row],[App]],Table2[],3,0),"open")</f>
        <v>open</v>
      </c>
      <c r="C5300" s="179" t="s">
        <v>377</v>
      </c>
      <c r="D5300" t="s">
        <v>7584</v>
      </c>
      <c r="E5300" t="s">
        <v>7617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10</v>
      </c>
      <c r="R5300" s="178" t="s">
        <v>5709</v>
      </c>
      <c r="S5300" s="150"/>
    </row>
    <row r="5301" spans="1:19">
      <c r="A5301" s="149" t="s">
        <v>7533</v>
      </c>
      <c r="B5301" s="150" t="str">
        <f>IFERROR(VLOOKUP(Proc[[#This Row],[App]],Table2[],3,0),"open")</f>
        <v>open</v>
      </c>
      <c r="C5301" s="179" t="s">
        <v>377</v>
      </c>
      <c r="D5301" t="s">
        <v>7585</v>
      </c>
      <c r="E5301" t="s">
        <v>7617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10</v>
      </c>
      <c r="R5301" s="178" t="s">
        <v>5709</v>
      </c>
      <c r="S5301" s="150"/>
    </row>
    <row r="5302" spans="1:19">
      <c r="A5302" s="149" t="s">
        <v>7533</v>
      </c>
      <c r="B5302" s="150" t="str">
        <f>IFERROR(VLOOKUP(Proc[[#This Row],[App]],Table2[],3,0),"open")</f>
        <v>open</v>
      </c>
      <c r="C5302" s="179" t="s">
        <v>369</v>
      </c>
      <c r="D5302" t="s">
        <v>7586</v>
      </c>
      <c r="E5302" t="s">
        <v>7617</v>
      </c>
      <c r="F5302" s="150" t="s">
        <v>7617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7378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10</v>
      </c>
      <c r="R5302" s="178" t="s">
        <v>5709</v>
      </c>
      <c r="S5302" s="150"/>
    </row>
    <row r="5303" spans="1:19">
      <c r="A5303" s="149" t="s">
        <v>7533</v>
      </c>
      <c r="B5303" s="150" t="str">
        <f>IFERROR(VLOOKUP(Proc[[#This Row],[App]],Table2[],3,0),"open")</f>
        <v>open</v>
      </c>
      <c r="C5303" s="179" t="s">
        <v>369</v>
      </c>
      <c r="D5303" t="s">
        <v>7587</v>
      </c>
      <c r="E5303" t="s">
        <v>7617</v>
      </c>
      <c r="F5303" s="150" t="s">
        <v>7617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7378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10</v>
      </c>
      <c r="R5303" s="178" t="s">
        <v>5709</v>
      </c>
      <c r="S5303" s="150"/>
    </row>
    <row r="5304" spans="1:19">
      <c r="A5304" s="149" t="s">
        <v>7533</v>
      </c>
      <c r="B5304" s="150" t="str">
        <f>IFERROR(VLOOKUP(Proc[[#This Row],[App]],Table2[],3,0),"open")</f>
        <v>open</v>
      </c>
      <c r="C5304" s="179" t="s">
        <v>369</v>
      </c>
      <c r="D5304" t="s">
        <v>7588</v>
      </c>
      <c r="E5304" t="s">
        <v>7617</v>
      </c>
      <c r="F5304" s="150" t="s">
        <v>7617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7378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10</v>
      </c>
      <c r="R5304" s="178" t="s">
        <v>5709</v>
      </c>
      <c r="S5304" s="150"/>
    </row>
    <row r="5305" spans="1:19">
      <c r="A5305" s="149" t="s">
        <v>7533</v>
      </c>
      <c r="B5305" s="150" t="str">
        <f>IFERROR(VLOOKUP(Proc[[#This Row],[App]],Table2[],3,0),"open")</f>
        <v>open</v>
      </c>
      <c r="C5305" s="179" t="s">
        <v>369</v>
      </c>
      <c r="D5305" t="s">
        <v>7589</v>
      </c>
      <c r="E5305" t="s">
        <v>7617</v>
      </c>
      <c r="F5305" s="150" t="s">
        <v>7617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7378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10</v>
      </c>
      <c r="R5305" s="178" t="s">
        <v>5709</v>
      </c>
      <c r="S5305" s="150"/>
    </row>
    <row r="5306" spans="1:19">
      <c r="A5306" s="149" t="s">
        <v>7533</v>
      </c>
      <c r="B5306" s="150" t="str">
        <f>IFERROR(VLOOKUP(Proc[[#This Row],[App]],Table2[],3,0),"open")</f>
        <v>open</v>
      </c>
      <c r="C5306" s="179" t="s">
        <v>369</v>
      </c>
      <c r="D5306" t="s">
        <v>7815</v>
      </c>
      <c r="E5306" t="s">
        <v>7617</v>
      </c>
      <c r="F5306" s="150" t="str">
        <f>VLOOKUP(Proc[[#This Row],[Obj]],Sheet1!A:B,2,0)</f>
        <v>P000000219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7378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10</v>
      </c>
      <c r="R5306" s="178" t="s">
        <v>5709</v>
      </c>
      <c r="S5306" s="150"/>
    </row>
    <row r="5307" spans="1:19">
      <c r="A5307" s="149" t="s">
        <v>7533</v>
      </c>
      <c r="B5307" s="150" t="str">
        <f>IFERROR(VLOOKUP(Proc[[#This Row],[App]],Table2[],3,0),"open")</f>
        <v>open</v>
      </c>
      <c r="C5307" s="149" t="s">
        <v>377</v>
      </c>
      <c r="D5307" t="s">
        <v>7590</v>
      </c>
      <c r="E5307" t="s">
        <v>7617</v>
      </c>
      <c r="F5307" s="150" t="s">
        <v>7728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10</v>
      </c>
      <c r="R5307" s="178" t="s">
        <v>5709</v>
      </c>
      <c r="S5307" s="150"/>
    </row>
    <row r="5308" spans="1:19">
      <c r="A5308" s="149" t="s">
        <v>7533</v>
      </c>
      <c r="B5308" s="150" t="str">
        <f>IFERROR(VLOOKUP(Proc[[#This Row],[App]],Table2[],3,0),"open")</f>
        <v>open</v>
      </c>
      <c r="C5308" s="179" t="s">
        <v>377</v>
      </c>
      <c r="D5308" t="s">
        <v>7591</v>
      </c>
      <c r="E5308" t="s">
        <v>7617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10</v>
      </c>
      <c r="R5308" s="178" t="s">
        <v>5709</v>
      </c>
      <c r="S5308" s="150"/>
    </row>
    <row r="5309" spans="1:19">
      <c r="A5309" s="149" t="s">
        <v>7533</v>
      </c>
      <c r="B5309" s="150" t="str">
        <f>IFERROR(VLOOKUP(Proc[[#This Row],[App]],Table2[],3,0),"open")</f>
        <v>open</v>
      </c>
      <c r="C5309" s="149" t="s">
        <v>370</v>
      </c>
      <c r="D5309" t="s">
        <v>7592</v>
      </c>
      <c r="E5309" t="s">
        <v>7618</v>
      </c>
      <c r="F5309" s="150" t="str">
        <f>VLOOKUP(Proc[[#This Row],[Obj]],Sheet1!A:B,2,0)</f>
        <v>P000000866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7378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10</v>
      </c>
      <c r="R5309" s="178" t="s">
        <v>5709</v>
      </c>
      <c r="S5309" s="150"/>
    </row>
    <row r="5310" spans="1:19">
      <c r="A5310" s="149" t="s">
        <v>7533</v>
      </c>
      <c r="B5310" s="150" t="str">
        <f>IFERROR(VLOOKUP(Proc[[#This Row],[App]],Table2[],3,0),"open")</f>
        <v>open</v>
      </c>
      <c r="C5310" s="149" t="s">
        <v>370</v>
      </c>
      <c r="D5310" t="s">
        <v>7593</v>
      </c>
      <c r="E5310" t="s">
        <v>7618</v>
      </c>
      <c r="F5310" s="150" t="str">
        <f>VLOOKUP(Proc[[#This Row],[Obj]],Sheet1!A:B,2,0)</f>
        <v>P000000868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7378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10</v>
      </c>
      <c r="R5310" s="178" t="s">
        <v>5709</v>
      </c>
      <c r="S5310" s="150"/>
    </row>
    <row r="5311" spans="1:19">
      <c r="A5311" s="149" t="s">
        <v>7533</v>
      </c>
      <c r="B5311" s="150" t="str">
        <f>IFERROR(VLOOKUP(Proc[[#This Row],[App]],Table2[],3,0),"open")</f>
        <v>open</v>
      </c>
      <c r="C5311" s="149" t="s">
        <v>370</v>
      </c>
      <c r="D5311" t="s">
        <v>7594</v>
      </c>
      <c r="E5311" t="s">
        <v>7618</v>
      </c>
      <c r="F5311" s="150" t="str">
        <f>VLOOKUP(Proc[[#This Row],[Obj]],Sheet1!A:B,2,0)</f>
        <v>P000000868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7378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10</v>
      </c>
      <c r="R5311" s="178" t="s">
        <v>5709</v>
      </c>
      <c r="S5311" s="150"/>
    </row>
    <row r="5312" spans="1:19">
      <c r="A5312" s="149" t="s">
        <v>7533</v>
      </c>
      <c r="B5312" s="150" t="str">
        <f>IFERROR(VLOOKUP(Proc[[#This Row],[App]],Table2[],3,0),"open")</f>
        <v>open</v>
      </c>
      <c r="C5312" s="149" t="s">
        <v>370</v>
      </c>
      <c r="D5312" t="s">
        <v>7595</v>
      </c>
      <c r="E5312" t="s">
        <v>7618</v>
      </c>
      <c r="F5312" s="150" t="str">
        <f>VLOOKUP(Proc[[#This Row],[Obj]],Sheet1!A:B,2,0)</f>
        <v>P000000868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7378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10</v>
      </c>
      <c r="R5312" s="178" t="s">
        <v>5709</v>
      </c>
      <c r="S5312" s="150"/>
    </row>
    <row r="5313" spans="1:19">
      <c r="A5313" s="149" t="s">
        <v>7533</v>
      </c>
      <c r="B5313" s="150" t="str">
        <f>IFERROR(VLOOKUP(Proc[[#This Row],[App]],Table2[],3,0),"open")</f>
        <v>open</v>
      </c>
      <c r="C5313" s="179" t="s">
        <v>369</v>
      </c>
      <c r="D5313" t="s">
        <v>1994</v>
      </c>
      <c r="E5313" t="s">
        <v>7619</v>
      </c>
      <c r="F5313" s="150" t="s">
        <v>7619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7378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10</v>
      </c>
      <c r="R5313" s="178" t="s">
        <v>5709</v>
      </c>
      <c r="S5313" s="150"/>
    </row>
    <row r="5314" spans="1:19">
      <c r="A5314" s="149" t="s">
        <v>7533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7619</v>
      </c>
      <c r="F5314" s="150" t="str">
        <f>VLOOKUP(Proc[[#This Row],[Obj]],Sheet1!A:B,2,0)</f>
        <v>P000000578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7378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10</v>
      </c>
      <c r="R5314" s="178" t="s">
        <v>5709</v>
      </c>
      <c r="S5314" s="150"/>
    </row>
    <row r="5315" spans="1:19">
      <c r="A5315" s="149" t="s">
        <v>7533</v>
      </c>
      <c r="B5315" s="150" t="str">
        <f>IFERROR(VLOOKUP(Proc[[#This Row],[App]],Table2[],3,0),"open")</f>
        <v>open</v>
      </c>
      <c r="C5315" s="179" t="s">
        <v>369</v>
      </c>
      <c r="D5315" t="s">
        <v>7596</v>
      </c>
      <c r="E5315" t="s">
        <v>7612</v>
      </c>
      <c r="F5315" s="150" t="s">
        <v>7612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7378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10</v>
      </c>
      <c r="R5315" s="178" t="s">
        <v>5709</v>
      </c>
      <c r="S5315" s="150"/>
    </row>
    <row r="5316" spans="1:19">
      <c r="A5316" s="149" t="s">
        <v>7533</v>
      </c>
      <c r="B5316" s="150" t="str">
        <f>IFERROR(VLOOKUP(Proc[[#This Row],[App]],Table2[],3,0),"open")</f>
        <v>open</v>
      </c>
      <c r="C5316" s="179" t="s">
        <v>369</v>
      </c>
      <c r="D5316" t="s">
        <v>7597</v>
      </c>
      <c r="E5316" t="s">
        <v>7620</v>
      </c>
      <c r="F5316" s="150" t="s">
        <v>7620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7378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10</v>
      </c>
      <c r="R5316" s="178" t="s">
        <v>5709</v>
      </c>
      <c r="S5316" s="150"/>
    </row>
    <row r="5317" spans="1:19">
      <c r="A5317" s="149" t="s">
        <v>7533</v>
      </c>
      <c r="B5317" s="150" t="str">
        <f>IFERROR(VLOOKUP(Proc[[#This Row],[App]],Table2[],3,0),"open")</f>
        <v>open</v>
      </c>
      <c r="C5317" s="179" t="s">
        <v>369</v>
      </c>
      <c r="D5317" t="s">
        <v>7598</v>
      </c>
      <c r="E5317" t="s">
        <v>7620</v>
      </c>
      <c r="F5317" s="150" t="s">
        <v>7620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7378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10</v>
      </c>
      <c r="R5317" s="178" t="s">
        <v>5709</v>
      </c>
      <c r="S5317" s="150"/>
    </row>
    <row r="5318" spans="1:19">
      <c r="A5318" s="149" t="s">
        <v>7533</v>
      </c>
      <c r="B5318" s="150" t="str">
        <f>IFERROR(VLOOKUP(Proc[[#This Row],[App]],Table2[],3,0),"open")</f>
        <v>open</v>
      </c>
      <c r="C5318" s="149" t="s">
        <v>370</v>
      </c>
      <c r="D5318" t="s">
        <v>7599</v>
      </c>
      <c r="E5318" t="s">
        <v>7613</v>
      </c>
      <c r="F5318" s="150" t="str">
        <f>VLOOKUP(Proc[[#This Row],[Obj]],Sheet1!A:B,2,0)</f>
        <v>P000001275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7378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10</v>
      </c>
      <c r="R5318" s="178" t="s">
        <v>5709</v>
      </c>
      <c r="S5318" s="150"/>
    </row>
    <row r="5319" spans="1:19">
      <c r="A5319" s="149" t="s">
        <v>7533</v>
      </c>
      <c r="B5319" s="150" t="str">
        <f>IFERROR(VLOOKUP(Proc[[#This Row],[App]],Table2[],3,0),"open")</f>
        <v>open</v>
      </c>
      <c r="C5319" s="149" t="s">
        <v>370</v>
      </c>
      <c r="D5319" t="s">
        <v>7600</v>
      </c>
      <c r="E5319" t="s">
        <v>7621</v>
      </c>
      <c r="F5319" s="150" t="str">
        <f>VLOOKUP(Proc[[#This Row],[Obj]],Sheet1!A:B,2,0)</f>
        <v>P000000708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7378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10</v>
      </c>
      <c r="R5319" s="178" t="s">
        <v>5709</v>
      </c>
      <c r="S5319" s="150"/>
    </row>
    <row r="5320" spans="1:19">
      <c r="A5320" s="149" t="s">
        <v>7533</v>
      </c>
      <c r="B5320" s="150" t="str">
        <f>IFERROR(VLOOKUP(Proc[[#This Row],[App]],Table2[],3,0),"open")</f>
        <v>open</v>
      </c>
      <c r="C5320" s="149" t="s">
        <v>370</v>
      </c>
      <c r="D5320" t="s">
        <v>7601</v>
      </c>
      <c r="E5320" t="s">
        <v>7621</v>
      </c>
      <c r="F5320" s="150" t="str">
        <f>VLOOKUP(Proc[[#This Row],[Obj]],Sheet1!A:B,2,0)</f>
        <v>P000000708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7378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10</v>
      </c>
      <c r="R5320" s="178" t="s">
        <v>5709</v>
      </c>
      <c r="S5320" s="150"/>
    </row>
    <row r="5321" spans="1:19">
      <c r="A5321" s="149" t="s">
        <v>7533</v>
      </c>
      <c r="B5321" s="150" t="str">
        <f>IFERROR(VLOOKUP(Proc[[#This Row],[App]],Table2[],3,0),"open")</f>
        <v>open</v>
      </c>
      <c r="C5321" s="149" t="s">
        <v>370</v>
      </c>
      <c r="D5321" t="s">
        <v>7602</v>
      </c>
      <c r="E5321" t="s">
        <v>7621</v>
      </c>
      <c r="F5321" s="150" t="str">
        <f>VLOOKUP(Proc[[#This Row],[Obj]],Sheet1!A:B,2,0)</f>
        <v>P000000708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7378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10</v>
      </c>
      <c r="R5321" s="178" t="s">
        <v>5709</v>
      </c>
      <c r="S5321" s="150"/>
    </row>
    <row r="5322" spans="1:19">
      <c r="A5322" s="149" t="s">
        <v>7533</v>
      </c>
      <c r="B5322" s="150" t="str">
        <f>IFERROR(VLOOKUP(Proc[[#This Row],[App]],Table2[],3,0),"open")</f>
        <v>open</v>
      </c>
      <c r="C5322" s="149" t="s">
        <v>370</v>
      </c>
      <c r="D5322" t="s">
        <v>7603</v>
      </c>
      <c r="E5322" t="s">
        <v>7621</v>
      </c>
      <c r="F5322" s="150" t="str">
        <f>VLOOKUP(Proc[[#This Row],[Obj]],Sheet1!A:B,2,0)</f>
        <v>P000000708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7378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10</v>
      </c>
      <c r="R5322" s="178" t="s">
        <v>5709</v>
      </c>
      <c r="S5322" s="150"/>
    </row>
    <row r="5323" spans="1:19">
      <c r="A5323" s="149" t="s">
        <v>7533</v>
      </c>
      <c r="B5323" s="150" t="str">
        <f>IFERROR(VLOOKUP(Proc[[#This Row],[App]],Table2[],3,0),"open")</f>
        <v>open</v>
      </c>
      <c r="C5323" s="179" t="s">
        <v>377</v>
      </c>
      <c r="D5323" t="s">
        <v>7604</v>
      </c>
      <c r="E5323" t="s">
        <v>7621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7378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10</v>
      </c>
      <c r="R5323" s="178" t="s">
        <v>5709</v>
      </c>
      <c r="S5323" s="150"/>
    </row>
    <row r="5324" spans="1:19">
      <c r="A5324" s="149" t="s">
        <v>7533</v>
      </c>
      <c r="B5324" s="150" t="str">
        <f>IFERROR(VLOOKUP(Proc[[#This Row],[App]],Table2[],3,0),"open")</f>
        <v>open</v>
      </c>
      <c r="C5324" s="149" t="s">
        <v>370</v>
      </c>
      <c r="D5324" t="s">
        <v>7605</v>
      </c>
      <c r="E5324" t="s">
        <v>7622</v>
      </c>
      <c r="F5324" s="150" t="str">
        <f>VLOOKUP(Proc[[#This Row],[Obj]],Sheet1!A:B,2,0)</f>
        <v>P000000992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7378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10</v>
      </c>
      <c r="R5324" s="178" t="s">
        <v>5709</v>
      </c>
      <c r="S5324" s="150"/>
    </row>
    <row r="5325" spans="1:19">
      <c r="A5325" s="149" t="s">
        <v>7533</v>
      </c>
      <c r="B5325" s="150" t="str">
        <f>IFERROR(VLOOKUP(Proc[[#This Row],[App]],Table2[],3,0),"open")</f>
        <v>open</v>
      </c>
      <c r="C5325" s="149" t="s">
        <v>370</v>
      </c>
      <c r="D5325" t="s">
        <v>7606</v>
      </c>
      <c r="E5325" t="s">
        <v>7622</v>
      </c>
      <c r="F5325" s="150" t="str">
        <f>VLOOKUP(Proc[[#This Row],[Obj]],Sheet1!A:B,2,0)</f>
        <v>P000000992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7378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10</v>
      </c>
      <c r="R5325" s="178" t="s">
        <v>5709</v>
      </c>
      <c r="S5325" s="150"/>
    </row>
    <row r="5326" spans="1:19">
      <c r="A5326" s="149" t="s">
        <v>7533</v>
      </c>
      <c r="B5326" s="150" t="str">
        <f>IFERROR(VLOOKUP(Proc[[#This Row],[App]],Table2[],3,0),"open")</f>
        <v>open</v>
      </c>
      <c r="C5326" s="149" t="s">
        <v>370</v>
      </c>
      <c r="D5326" t="s">
        <v>7607</v>
      </c>
      <c r="E5326" t="s">
        <v>7623</v>
      </c>
      <c r="F5326" s="150" t="str">
        <f>VLOOKUP(Proc[[#This Row],[Obj]],Sheet1!A:B,2,0)</f>
        <v>P000000731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7378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10</v>
      </c>
      <c r="R5326" s="178" t="s">
        <v>5709</v>
      </c>
      <c r="S5326" s="150"/>
    </row>
    <row r="5327" spans="1:19">
      <c r="A5327" s="149" t="s">
        <v>7533</v>
      </c>
      <c r="B5327" s="150" t="str">
        <f>IFERROR(VLOOKUP(Proc[[#This Row],[App]],Table2[],3,0),"open")</f>
        <v>open</v>
      </c>
      <c r="C5327" s="179" t="s">
        <v>369</v>
      </c>
      <c r="D5327" t="s">
        <v>7608</v>
      </c>
      <c r="E5327" t="s">
        <v>7624</v>
      </c>
      <c r="F5327" s="150" t="s">
        <v>7624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7378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10</v>
      </c>
      <c r="R5327" s="178" t="s">
        <v>5709</v>
      </c>
      <c r="S5327" s="150"/>
    </row>
    <row r="5328" spans="1:19">
      <c r="A5328" s="149" t="s">
        <v>7533</v>
      </c>
      <c r="B5328" s="150" t="str">
        <f>IFERROR(VLOOKUP(Proc[[#This Row],[App]],Table2[],3,0),"open")</f>
        <v>open</v>
      </c>
      <c r="C5328" s="179" t="s">
        <v>369</v>
      </c>
      <c r="D5328" t="s">
        <v>7609</v>
      </c>
      <c r="E5328" t="s">
        <v>7624</v>
      </c>
      <c r="F5328" s="150" t="s">
        <v>7624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7378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10</v>
      </c>
      <c r="R5328" s="178" t="s">
        <v>5709</v>
      </c>
      <c r="S5328" s="150"/>
    </row>
    <row r="5329" spans="1:19">
      <c r="A5329" s="149" t="s">
        <v>7533</v>
      </c>
      <c r="B5329" s="150" t="str">
        <f>IFERROR(VLOOKUP(Proc[[#This Row],[App]],Table2[],3,0),"open")</f>
        <v>open</v>
      </c>
      <c r="C5329" s="179" t="s">
        <v>369</v>
      </c>
      <c r="D5329" t="s">
        <v>7610</v>
      </c>
      <c r="E5329" t="s">
        <v>7624</v>
      </c>
      <c r="F5329" s="150" t="s">
        <v>7624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7378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10</v>
      </c>
      <c r="R5329" s="178" t="s">
        <v>5709</v>
      </c>
      <c r="S5329" s="150"/>
    </row>
    <row r="5330" spans="1:19">
      <c r="A5330" s="149" t="s">
        <v>7533</v>
      </c>
      <c r="B5330" s="150" t="str">
        <f>IFERROR(VLOOKUP(Proc[[#This Row],[App]],Table2[],3,0),"open")</f>
        <v>open</v>
      </c>
      <c r="C5330" s="179" t="s">
        <v>369</v>
      </c>
      <c r="D5330" t="s">
        <v>7611</v>
      </c>
      <c r="E5330" t="s">
        <v>7614</v>
      </c>
      <c r="F5330" s="150" t="s">
        <v>7614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7378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10</v>
      </c>
      <c r="R5330" s="178" t="s">
        <v>5709</v>
      </c>
      <c r="S5330" s="150"/>
    </row>
    <row r="5331" spans="1:19">
      <c r="A5331" t="s">
        <v>7625</v>
      </c>
      <c r="B5331" s="150" t="str">
        <f>IFERROR(VLOOKUP(Proc[[#This Row],[App]],Table2[],3,0),"open")</f>
        <v>ok</v>
      </c>
      <c r="C5331" s="179" t="s">
        <v>369</v>
      </c>
      <c r="D5331" t="s">
        <v>7626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7627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10</v>
      </c>
      <c r="R5331" s="178" t="s">
        <v>489</v>
      </c>
      <c r="S5331" s="150"/>
    </row>
    <row r="5332" spans="1:19">
      <c r="A5332" t="s">
        <v>7628</v>
      </c>
      <c r="B5332" s="150" t="str">
        <f>IFERROR(VLOOKUP(Proc[[#This Row],[App]],Table2[],3,0),"open")</f>
        <v>ok</v>
      </c>
      <c r="C5332" s="149" t="s">
        <v>369</v>
      </c>
      <c r="D5332" t="s">
        <v>7629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7627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10</v>
      </c>
      <c r="R5332" s="178" t="s">
        <v>1459</v>
      </c>
      <c r="S5332" s="150"/>
    </row>
    <row r="5333" spans="1:19">
      <c r="A5333" t="s">
        <v>7630</v>
      </c>
      <c r="B5333" s="150" t="str">
        <f>IFERROR(VLOOKUP(Proc[[#This Row],[App]],Table2[],3,0),"open")</f>
        <v>ok</v>
      </c>
      <c r="C5333" s="179" t="s">
        <v>369</v>
      </c>
      <c r="D5333" t="s">
        <v>7631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6435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8</v>
      </c>
      <c r="R5333" s="178" t="s">
        <v>489</v>
      </c>
      <c r="S5333" s="150"/>
    </row>
    <row r="5334" spans="1:19">
      <c r="A5334" t="s">
        <v>7633</v>
      </c>
      <c r="B5334" s="150" t="str">
        <f>IFERROR(VLOOKUP(Proc[[#This Row],[App]],Table2[],3,0),"open")</f>
        <v>ok</v>
      </c>
      <c r="C5334" s="179" t="s">
        <v>369</v>
      </c>
      <c r="D5334" t="s">
        <v>7632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7640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6435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8</v>
      </c>
      <c r="R5334" s="178" t="s">
        <v>489</v>
      </c>
      <c r="S5334" s="150"/>
    </row>
    <row r="5335" spans="1:19">
      <c r="A5335" t="s">
        <v>7725</v>
      </c>
      <c r="B5335" s="150" t="str">
        <f>IFERROR(VLOOKUP(Proc[[#This Row],[App]],Table2[],3,0),"open")</f>
        <v>ok</v>
      </c>
      <c r="C5335" t="s">
        <v>369</v>
      </c>
      <c r="D5335" s="179" t="s">
        <v>7641</v>
      </c>
      <c r="E5335" t="s">
        <v>7708</v>
      </c>
      <c r="F5335" s="179" t="s">
        <v>7708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6435</v>
      </c>
      <c r="M5335" s="178">
        <v>46044</v>
      </c>
      <c r="N5335" s="178"/>
      <c r="O5335" s="178"/>
      <c r="P5335" s="178" t="str">
        <f ca="1">IF(Proc[[#This Row],[DaysAgeing]]&gt;5,"yep","on track")</f>
        <v>on track</v>
      </c>
      <c r="Q5335" s="3">
        <f ca="1">IF(Proc[[#This Row],[DateClosed]]="",ABS(NETWORKDAYS(Proc[[#This Row],[DateOpened]],TODAY()))-1,ABS(NETWORKDAYS(Proc[[#This Row],[DateOpened]],Proc[[#This Row],[DateClosed]]))-1)</f>
        <v>5</v>
      </c>
      <c r="R5335" s="178" t="s">
        <v>7726</v>
      </c>
      <c r="S5335" s="150"/>
    </row>
    <row r="5336" spans="1:19">
      <c r="A5336" s="179" t="s">
        <v>7725</v>
      </c>
      <c r="B5336" s="150" t="str">
        <f>IFERROR(VLOOKUP(Proc[[#This Row],[App]],Table2[],3,0),"open")</f>
        <v>ok</v>
      </c>
      <c r="C5336" s="179" t="s">
        <v>369</v>
      </c>
      <c r="D5336" s="179" t="s">
        <v>7642</v>
      </c>
      <c r="E5336" t="s">
        <v>7709</v>
      </c>
      <c r="F5336" s="150" t="s">
        <v>7709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6435</v>
      </c>
      <c r="M5336" s="178">
        <v>46044</v>
      </c>
      <c r="N5336" s="178"/>
      <c r="O5336" s="178"/>
      <c r="P5336" s="178" t="str">
        <f ca="1">IF(Proc[[#This Row],[DaysAgeing]]&gt;5,"yep","on track")</f>
        <v>on track</v>
      </c>
      <c r="Q5336" s="3">
        <f ca="1">IF(Proc[[#This Row],[DateClosed]]="",ABS(NETWORKDAYS(Proc[[#This Row],[DateOpened]],TODAY()))-1,ABS(NETWORKDAYS(Proc[[#This Row],[DateOpened]],Proc[[#This Row],[DateClosed]]))-1)</f>
        <v>5</v>
      </c>
      <c r="R5336" s="178" t="s">
        <v>7726</v>
      </c>
      <c r="S5336" s="150"/>
    </row>
    <row r="5337" spans="1:19">
      <c r="A5337" s="179" t="s">
        <v>7725</v>
      </c>
      <c r="B5337" s="150" t="str">
        <f>IFERROR(VLOOKUP(Proc[[#This Row],[App]],Table2[],3,0),"open")</f>
        <v>ok</v>
      </c>
      <c r="C5337" s="179" t="s">
        <v>369</v>
      </c>
      <c r="D5337" s="179" t="s">
        <v>7643</v>
      </c>
      <c r="E5337" t="s">
        <v>7709</v>
      </c>
      <c r="F5337" s="150" t="s">
        <v>7709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6435</v>
      </c>
      <c r="M5337" s="178">
        <v>46044</v>
      </c>
      <c r="N5337" s="178"/>
      <c r="O5337" s="178"/>
      <c r="P5337" s="178" t="str">
        <f ca="1">IF(Proc[[#This Row],[DaysAgeing]]&gt;5,"yep","on track")</f>
        <v>on track</v>
      </c>
      <c r="Q5337" s="3">
        <f ca="1">IF(Proc[[#This Row],[DateClosed]]="",ABS(NETWORKDAYS(Proc[[#This Row],[DateOpened]],TODAY()))-1,ABS(NETWORKDAYS(Proc[[#This Row],[DateOpened]],Proc[[#This Row],[DateClosed]]))-1)</f>
        <v>5</v>
      </c>
      <c r="R5337" s="178" t="s">
        <v>7726</v>
      </c>
      <c r="S5337" s="150"/>
    </row>
    <row r="5338" spans="1:19">
      <c r="A5338" s="179" t="s">
        <v>7725</v>
      </c>
      <c r="B5338" s="150" t="str">
        <f>IFERROR(VLOOKUP(Proc[[#This Row],[App]],Table2[],3,0),"open")</f>
        <v>ok</v>
      </c>
      <c r="C5338" s="179" t="s">
        <v>369</v>
      </c>
      <c r="D5338" s="179" t="s">
        <v>7644</v>
      </c>
      <c r="E5338" t="s">
        <v>7709</v>
      </c>
      <c r="F5338" s="150" t="s">
        <v>7709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6435</v>
      </c>
      <c r="M5338" s="178">
        <v>46044</v>
      </c>
      <c r="N5338" s="178"/>
      <c r="O5338" s="178"/>
      <c r="P5338" s="178" t="str">
        <f ca="1">IF(Proc[[#This Row],[DaysAgeing]]&gt;5,"yep","on track")</f>
        <v>on track</v>
      </c>
      <c r="Q5338" s="3">
        <f ca="1">IF(Proc[[#This Row],[DateClosed]]="",ABS(NETWORKDAYS(Proc[[#This Row],[DateOpened]],TODAY()))-1,ABS(NETWORKDAYS(Proc[[#This Row],[DateOpened]],Proc[[#This Row],[DateClosed]]))-1)</f>
        <v>5</v>
      </c>
      <c r="R5338" s="178" t="s">
        <v>7726</v>
      </c>
      <c r="S5338" s="150"/>
    </row>
    <row r="5339" spans="1:19">
      <c r="A5339" s="179" t="s">
        <v>7725</v>
      </c>
      <c r="B5339" s="150" t="str">
        <f>IFERROR(VLOOKUP(Proc[[#This Row],[App]],Table2[],3,0),"open")</f>
        <v>ok</v>
      </c>
      <c r="C5339" s="179" t="s">
        <v>369</v>
      </c>
      <c r="D5339" s="179" t="s">
        <v>7645</v>
      </c>
      <c r="E5339" t="s">
        <v>7709</v>
      </c>
      <c r="F5339" s="150" t="s">
        <v>7709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6435</v>
      </c>
      <c r="M5339" s="178">
        <v>46044</v>
      </c>
      <c r="N5339" s="178"/>
      <c r="O5339" s="178"/>
      <c r="P5339" s="178" t="str">
        <f ca="1">IF(Proc[[#This Row],[DaysAgeing]]&gt;5,"yep","on track")</f>
        <v>on track</v>
      </c>
      <c r="Q5339" s="3">
        <f ca="1">IF(Proc[[#This Row],[DateClosed]]="",ABS(NETWORKDAYS(Proc[[#This Row],[DateOpened]],TODAY()))-1,ABS(NETWORKDAYS(Proc[[#This Row],[DateOpened]],Proc[[#This Row],[DateClosed]]))-1)</f>
        <v>5</v>
      </c>
      <c r="R5339" s="178" t="s">
        <v>7726</v>
      </c>
      <c r="S5339" s="150"/>
    </row>
    <row r="5340" spans="1:19">
      <c r="A5340" s="179" t="s">
        <v>7725</v>
      </c>
      <c r="B5340" s="150" t="str">
        <f>IFERROR(VLOOKUP(Proc[[#This Row],[App]],Table2[],3,0),"open")</f>
        <v>ok</v>
      </c>
      <c r="C5340" s="179" t="s">
        <v>369</v>
      </c>
      <c r="D5340" s="179" t="s">
        <v>7646</v>
      </c>
      <c r="E5340" t="s">
        <v>7709</v>
      </c>
      <c r="F5340" s="150" t="s">
        <v>7709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6435</v>
      </c>
      <c r="M5340" s="178">
        <v>46044</v>
      </c>
      <c r="N5340" s="178"/>
      <c r="O5340" s="178"/>
      <c r="P5340" s="178" t="str">
        <f ca="1">IF(Proc[[#This Row],[DaysAgeing]]&gt;5,"yep","on track")</f>
        <v>on track</v>
      </c>
      <c r="Q5340" s="3">
        <f ca="1">IF(Proc[[#This Row],[DateClosed]]="",ABS(NETWORKDAYS(Proc[[#This Row],[DateOpened]],TODAY()))-1,ABS(NETWORKDAYS(Proc[[#This Row],[DateOpened]],Proc[[#This Row],[DateClosed]]))-1)</f>
        <v>5</v>
      </c>
      <c r="R5340" s="178" t="s">
        <v>7726</v>
      </c>
      <c r="S5340" s="150"/>
    </row>
    <row r="5341" spans="1:19">
      <c r="A5341" s="179" t="s">
        <v>7725</v>
      </c>
      <c r="B5341" s="150" t="str">
        <f>IFERROR(VLOOKUP(Proc[[#This Row],[App]],Table2[],3,0),"open")</f>
        <v>ok</v>
      </c>
      <c r="C5341" s="179" t="s">
        <v>369</v>
      </c>
      <c r="D5341" s="179" t="s">
        <v>7647</v>
      </c>
      <c r="E5341" t="s">
        <v>7709</v>
      </c>
      <c r="F5341" s="150" t="s">
        <v>7709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6435</v>
      </c>
      <c r="M5341" s="178">
        <v>46044</v>
      </c>
      <c r="N5341" s="178"/>
      <c r="O5341" s="178"/>
      <c r="P5341" s="178" t="str">
        <f ca="1">IF(Proc[[#This Row],[DaysAgeing]]&gt;5,"yep","on track")</f>
        <v>on track</v>
      </c>
      <c r="Q5341" s="3">
        <f ca="1">IF(Proc[[#This Row],[DateClosed]]="",ABS(NETWORKDAYS(Proc[[#This Row],[DateOpened]],TODAY()))-1,ABS(NETWORKDAYS(Proc[[#This Row],[DateOpened]],Proc[[#This Row],[DateClosed]]))-1)</f>
        <v>5</v>
      </c>
      <c r="R5341" s="178" t="s">
        <v>7726</v>
      </c>
      <c r="S5341" s="150"/>
    </row>
    <row r="5342" spans="1:19">
      <c r="A5342" s="179" t="s">
        <v>7725</v>
      </c>
      <c r="B5342" s="150" t="str">
        <f>IFERROR(VLOOKUP(Proc[[#This Row],[App]],Table2[],3,0),"open")</f>
        <v>ok</v>
      </c>
      <c r="C5342" s="179" t="s">
        <v>369</v>
      </c>
      <c r="D5342" s="179" t="s">
        <v>7648</v>
      </c>
      <c r="E5342" t="s">
        <v>7709</v>
      </c>
      <c r="F5342" s="150" t="s">
        <v>7709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6435</v>
      </c>
      <c r="M5342" s="178">
        <v>46044</v>
      </c>
      <c r="N5342" s="178"/>
      <c r="O5342" s="178"/>
      <c r="P5342" s="178" t="str">
        <f ca="1">IF(Proc[[#This Row],[DaysAgeing]]&gt;5,"yep","on track")</f>
        <v>on track</v>
      </c>
      <c r="Q5342" s="3">
        <f ca="1">IF(Proc[[#This Row],[DateClosed]]="",ABS(NETWORKDAYS(Proc[[#This Row],[DateOpened]],TODAY()))-1,ABS(NETWORKDAYS(Proc[[#This Row],[DateOpened]],Proc[[#This Row],[DateClosed]]))-1)</f>
        <v>5</v>
      </c>
      <c r="R5342" s="178" t="s">
        <v>7726</v>
      </c>
      <c r="S5342" s="150"/>
    </row>
    <row r="5343" spans="1:19">
      <c r="A5343" s="179" t="s">
        <v>7725</v>
      </c>
      <c r="B5343" s="150" t="str">
        <f>IFERROR(VLOOKUP(Proc[[#This Row],[App]],Table2[],3,0),"open")</f>
        <v>ok</v>
      </c>
      <c r="C5343" s="179" t="s">
        <v>369</v>
      </c>
      <c r="D5343" s="179" t="s">
        <v>7649</v>
      </c>
      <c r="E5343" t="s">
        <v>7709</v>
      </c>
      <c r="F5343" s="150" t="s">
        <v>7709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6435</v>
      </c>
      <c r="M5343" s="178">
        <v>46044</v>
      </c>
      <c r="N5343" s="178"/>
      <c r="O5343" s="178"/>
      <c r="P5343" s="178" t="str">
        <f ca="1">IF(Proc[[#This Row],[DaysAgeing]]&gt;5,"yep","on track")</f>
        <v>on track</v>
      </c>
      <c r="Q5343" s="3">
        <f ca="1">IF(Proc[[#This Row],[DateClosed]]="",ABS(NETWORKDAYS(Proc[[#This Row],[DateOpened]],TODAY()))-1,ABS(NETWORKDAYS(Proc[[#This Row],[DateOpened]],Proc[[#This Row],[DateClosed]]))-1)</f>
        <v>5</v>
      </c>
      <c r="R5343" s="178" t="s">
        <v>7726</v>
      </c>
      <c r="S5343" s="150"/>
    </row>
    <row r="5344" spans="1:19">
      <c r="A5344" s="179" t="s">
        <v>7725</v>
      </c>
      <c r="B5344" s="150" t="str">
        <f>IFERROR(VLOOKUP(Proc[[#This Row],[App]],Table2[],3,0),"open")</f>
        <v>ok</v>
      </c>
      <c r="C5344" s="179" t="s">
        <v>369</v>
      </c>
      <c r="D5344" s="179" t="s">
        <v>7650</v>
      </c>
      <c r="E5344" t="s">
        <v>7710</v>
      </c>
      <c r="F5344" s="150" t="s">
        <v>7710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6435</v>
      </c>
      <c r="M5344" s="178">
        <v>46044</v>
      </c>
      <c r="N5344" s="178"/>
      <c r="O5344" s="178"/>
      <c r="P5344" s="178" t="str">
        <f ca="1">IF(Proc[[#This Row],[DaysAgeing]]&gt;5,"yep","on track")</f>
        <v>on track</v>
      </c>
      <c r="Q5344" s="3">
        <f ca="1">IF(Proc[[#This Row],[DateClosed]]="",ABS(NETWORKDAYS(Proc[[#This Row],[DateOpened]],TODAY()))-1,ABS(NETWORKDAYS(Proc[[#This Row],[DateOpened]],Proc[[#This Row],[DateClosed]]))-1)</f>
        <v>5</v>
      </c>
      <c r="R5344" s="178" t="s">
        <v>7726</v>
      </c>
      <c r="S5344" s="150"/>
    </row>
    <row r="5345" spans="1:19">
      <c r="A5345" s="179" t="s">
        <v>7725</v>
      </c>
      <c r="B5345" s="150" t="str">
        <f>IFERROR(VLOOKUP(Proc[[#This Row],[App]],Table2[],3,0),"open")</f>
        <v>ok</v>
      </c>
      <c r="C5345" s="179" t="s">
        <v>369</v>
      </c>
      <c r="D5345" s="179" t="s">
        <v>7651</v>
      </c>
      <c r="E5345" t="s">
        <v>7710</v>
      </c>
      <c r="F5345" s="150" t="s">
        <v>7710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6435</v>
      </c>
      <c r="M5345" s="178">
        <v>46044</v>
      </c>
      <c r="N5345" s="178"/>
      <c r="O5345" s="178"/>
      <c r="P5345" s="178" t="str">
        <f ca="1">IF(Proc[[#This Row],[DaysAgeing]]&gt;5,"yep","on track")</f>
        <v>on track</v>
      </c>
      <c r="Q5345" s="3">
        <f ca="1">IF(Proc[[#This Row],[DateClosed]]="",ABS(NETWORKDAYS(Proc[[#This Row],[DateOpened]],TODAY()))-1,ABS(NETWORKDAYS(Proc[[#This Row],[DateOpened]],Proc[[#This Row],[DateClosed]]))-1)</f>
        <v>5</v>
      </c>
      <c r="R5345" s="178" t="s">
        <v>7726</v>
      </c>
      <c r="S5345" s="150"/>
    </row>
    <row r="5346" spans="1:19">
      <c r="A5346" s="179" t="s">
        <v>7725</v>
      </c>
      <c r="B5346" s="150" t="str">
        <f>IFERROR(VLOOKUP(Proc[[#This Row],[App]],Table2[],3,0),"open")</f>
        <v>ok</v>
      </c>
      <c r="C5346" s="179" t="s">
        <v>369</v>
      </c>
      <c r="D5346" s="179" t="s">
        <v>7652</v>
      </c>
      <c r="E5346" t="s">
        <v>7711</v>
      </c>
      <c r="F5346" s="150" t="s">
        <v>7711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6435</v>
      </c>
      <c r="M5346" s="178">
        <v>46044</v>
      </c>
      <c r="N5346" s="178"/>
      <c r="O5346" s="178"/>
      <c r="P5346" s="178" t="str">
        <f ca="1">IF(Proc[[#This Row],[DaysAgeing]]&gt;5,"yep","on track")</f>
        <v>on track</v>
      </c>
      <c r="Q5346" s="3">
        <f ca="1">IF(Proc[[#This Row],[DateClosed]]="",ABS(NETWORKDAYS(Proc[[#This Row],[DateOpened]],TODAY()))-1,ABS(NETWORKDAYS(Proc[[#This Row],[DateOpened]],Proc[[#This Row],[DateClosed]]))-1)</f>
        <v>5</v>
      </c>
      <c r="R5346" s="178" t="s">
        <v>7726</v>
      </c>
      <c r="S5346" s="150"/>
    </row>
    <row r="5347" spans="1:19">
      <c r="A5347" s="179" t="s">
        <v>7725</v>
      </c>
      <c r="B5347" s="150" t="str">
        <f>IFERROR(VLOOKUP(Proc[[#This Row],[App]],Table2[],3,0),"open")</f>
        <v>ok</v>
      </c>
      <c r="C5347" s="179" t="s">
        <v>369</v>
      </c>
      <c r="D5347" s="179" t="s">
        <v>7653</v>
      </c>
      <c r="E5347" t="s">
        <v>7712</v>
      </c>
      <c r="F5347" s="179" t="s">
        <v>7712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6435</v>
      </c>
      <c r="M5347" s="178">
        <v>46044</v>
      </c>
      <c r="N5347" s="178"/>
      <c r="O5347" s="178"/>
      <c r="P5347" s="178" t="str">
        <f ca="1">IF(Proc[[#This Row],[DaysAgeing]]&gt;5,"yep","on track")</f>
        <v>on track</v>
      </c>
      <c r="Q5347" s="3">
        <f ca="1">IF(Proc[[#This Row],[DateClosed]]="",ABS(NETWORKDAYS(Proc[[#This Row],[DateOpened]],TODAY()))-1,ABS(NETWORKDAYS(Proc[[#This Row],[DateOpened]],Proc[[#This Row],[DateClosed]]))-1)</f>
        <v>5</v>
      </c>
      <c r="R5347" s="178" t="s">
        <v>7726</v>
      </c>
      <c r="S5347" s="150"/>
    </row>
    <row r="5348" spans="1:19">
      <c r="A5348" s="179" t="s">
        <v>7725</v>
      </c>
      <c r="B5348" s="150" t="str">
        <f>IFERROR(VLOOKUP(Proc[[#This Row],[App]],Table2[],3,0),"open")</f>
        <v>ok</v>
      </c>
      <c r="C5348" s="179" t="s">
        <v>369</v>
      </c>
      <c r="D5348" s="179" t="s">
        <v>7654</v>
      </c>
      <c r="E5348" t="s">
        <v>7713</v>
      </c>
      <c r="F5348" s="150" t="s">
        <v>7713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6435</v>
      </c>
      <c r="M5348" s="178">
        <v>46044</v>
      </c>
      <c r="N5348" s="178"/>
      <c r="O5348" s="178"/>
      <c r="P5348" s="178" t="str">
        <f ca="1">IF(Proc[[#This Row],[DaysAgeing]]&gt;5,"yep","on track")</f>
        <v>on track</v>
      </c>
      <c r="Q5348" s="3">
        <f ca="1">IF(Proc[[#This Row],[DateClosed]]="",ABS(NETWORKDAYS(Proc[[#This Row],[DateOpened]],TODAY()))-1,ABS(NETWORKDAYS(Proc[[#This Row],[DateOpened]],Proc[[#This Row],[DateClosed]]))-1)</f>
        <v>5</v>
      </c>
      <c r="R5348" s="178" t="s">
        <v>7726</v>
      </c>
      <c r="S5348" s="150"/>
    </row>
    <row r="5349" spans="1:19">
      <c r="A5349" s="179" t="s">
        <v>7725</v>
      </c>
      <c r="B5349" s="150" t="str">
        <f>IFERROR(VLOOKUP(Proc[[#This Row],[App]],Table2[],3,0),"open")</f>
        <v>ok</v>
      </c>
      <c r="C5349" s="179" t="s">
        <v>369</v>
      </c>
      <c r="D5349" s="179" t="s">
        <v>7655</v>
      </c>
      <c r="E5349" t="s">
        <v>7713</v>
      </c>
      <c r="F5349" s="150" t="s">
        <v>7713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6435</v>
      </c>
      <c r="M5349" s="178">
        <v>46044</v>
      </c>
      <c r="N5349" s="178"/>
      <c r="O5349" s="178"/>
      <c r="P5349" s="178" t="str">
        <f ca="1">IF(Proc[[#This Row],[DaysAgeing]]&gt;5,"yep","on track")</f>
        <v>on track</v>
      </c>
      <c r="Q5349" s="3">
        <f ca="1">IF(Proc[[#This Row],[DateClosed]]="",ABS(NETWORKDAYS(Proc[[#This Row],[DateOpened]],TODAY()))-1,ABS(NETWORKDAYS(Proc[[#This Row],[DateOpened]],Proc[[#This Row],[DateClosed]]))-1)</f>
        <v>5</v>
      </c>
      <c r="R5349" s="178" t="s">
        <v>7726</v>
      </c>
      <c r="S5349" s="150"/>
    </row>
    <row r="5350" spans="1:19">
      <c r="A5350" s="179" t="s">
        <v>7725</v>
      </c>
      <c r="B5350" s="150" t="str">
        <f>IFERROR(VLOOKUP(Proc[[#This Row],[App]],Table2[],3,0),"open")</f>
        <v>ok</v>
      </c>
      <c r="C5350" s="179" t="s">
        <v>369</v>
      </c>
      <c r="D5350" s="179" t="s">
        <v>7656</v>
      </c>
      <c r="E5350" t="s">
        <v>7713</v>
      </c>
      <c r="F5350" s="150" t="s">
        <v>7713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6435</v>
      </c>
      <c r="M5350" s="178">
        <v>46044</v>
      </c>
      <c r="N5350" s="178"/>
      <c r="O5350" s="178"/>
      <c r="P5350" s="178" t="str">
        <f ca="1">IF(Proc[[#This Row],[DaysAgeing]]&gt;5,"yep","on track")</f>
        <v>on track</v>
      </c>
      <c r="Q5350" s="3">
        <f ca="1">IF(Proc[[#This Row],[DateClosed]]="",ABS(NETWORKDAYS(Proc[[#This Row],[DateOpened]],TODAY()))-1,ABS(NETWORKDAYS(Proc[[#This Row],[DateOpened]],Proc[[#This Row],[DateClosed]]))-1)</f>
        <v>5</v>
      </c>
      <c r="R5350" s="178" t="s">
        <v>7726</v>
      </c>
      <c r="S5350" s="150"/>
    </row>
    <row r="5351" spans="1:19">
      <c r="A5351" s="179" t="s">
        <v>7725</v>
      </c>
      <c r="B5351" s="150" t="str">
        <f>IFERROR(VLOOKUP(Proc[[#This Row],[App]],Table2[],3,0),"open")</f>
        <v>ok</v>
      </c>
      <c r="C5351" s="179" t="s">
        <v>369</v>
      </c>
      <c r="D5351" s="179" t="s">
        <v>7657</v>
      </c>
      <c r="E5351" t="s">
        <v>7714</v>
      </c>
      <c r="F5351" s="150" t="s">
        <v>7714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6435</v>
      </c>
      <c r="M5351" s="178">
        <v>46044</v>
      </c>
      <c r="N5351" s="178"/>
      <c r="O5351" s="178"/>
      <c r="P5351" s="178" t="str">
        <f ca="1">IF(Proc[[#This Row],[DaysAgeing]]&gt;5,"yep","on track")</f>
        <v>on track</v>
      </c>
      <c r="Q5351" s="3">
        <f ca="1">IF(Proc[[#This Row],[DateClosed]]="",ABS(NETWORKDAYS(Proc[[#This Row],[DateOpened]],TODAY()))-1,ABS(NETWORKDAYS(Proc[[#This Row],[DateOpened]],Proc[[#This Row],[DateClosed]]))-1)</f>
        <v>5</v>
      </c>
      <c r="R5351" s="178" t="s">
        <v>7726</v>
      </c>
      <c r="S5351" s="150"/>
    </row>
    <row r="5352" spans="1:19">
      <c r="A5352" s="179" t="s">
        <v>7725</v>
      </c>
      <c r="B5352" s="150" t="str">
        <f>IFERROR(VLOOKUP(Proc[[#This Row],[App]],Table2[],3,0),"open")</f>
        <v>ok</v>
      </c>
      <c r="C5352" s="179" t="s">
        <v>369</v>
      </c>
      <c r="D5352" s="179" t="s">
        <v>7658</v>
      </c>
      <c r="E5352" t="s">
        <v>7714</v>
      </c>
      <c r="F5352" s="150" t="s">
        <v>7714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6435</v>
      </c>
      <c r="M5352" s="178">
        <v>46044</v>
      </c>
      <c r="N5352" s="178"/>
      <c r="O5352" s="178"/>
      <c r="P5352" s="178" t="str">
        <f ca="1">IF(Proc[[#This Row],[DaysAgeing]]&gt;5,"yep","on track")</f>
        <v>on track</v>
      </c>
      <c r="Q5352" s="3">
        <f ca="1">IF(Proc[[#This Row],[DateClosed]]="",ABS(NETWORKDAYS(Proc[[#This Row],[DateOpened]],TODAY()))-1,ABS(NETWORKDAYS(Proc[[#This Row],[DateOpened]],Proc[[#This Row],[DateClosed]]))-1)</f>
        <v>5</v>
      </c>
      <c r="R5352" s="178" t="s">
        <v>7726</v>
      </c>
      <c r="S5352" s="150"/>
    </row>
    <row r="5353" spans="1:19">
      <c r="A5353" s="179" t="s">
        <v>7725</v>
      </c>
      <c r="B5353" s="150" t="str">
        <f>IFERROR(VLOOKUP(Proc[[#This Row],[App]],Table2[],3,0),"open")</f>
        <v>ok</v>
      </c>
      <c r="C5353" s="179" t="s">
        <v>369</v>
      </c>
      <c r="D5353" s="179" t="s">
        <v>7659</v>
      </c>
      <c r="E5353" t="s">
        <v>7715</v>
      </c>
      <c r="F5353" s="150" t="s">
        <v>7715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6435</v>
      </c>
      <c r="M5353" s="178">
        <v>46044</v>
      </c>
      <c r="N5353" s="178"/>
      <c r="O5353" s="178"/>
      <c r="P5353" s="178" t="str">
        <f ca="1">IF(Proc[[#This Row],[DaysAgeing]]&gt;5,"yep","on track")</f>
        <v>on track</v>
      </c>
      <c r="Q5353" s="3">
        <f ca="1">IF(Proc[[#This Row],[DateClosed]]="",ABS(NETWORKDAYS(Proc[[#This Row],[DateOpened]],TODAY()))-1,ABS(NETWORKDAYS(Proc[[#This Row],[DateOpened]],Proc[[#This Row],[DateClosed]]))-1)</f>
        <v>5</v>
      </c>
      <c r="R5353" s="178" t="s">
        <v>7726</v>
      </c>
      <c r="S5353" s="150"/>
    </row>
    <row r="5354" spans="1:19">
      <c r="A5354" s="179" t="s">
        <v>7725</v>
      </c>
      <c r="B5354" s="150" t="str">
        <f>IFERROR(VLOOKUP(Proc[[#This Row],[App]],Table2[],3,0),"open")</f>
        <v>ok</v>
      </c>
      <c r="C5354" s="179" t="s">
        <v>369</v>
      </c>
      <c r="D5354" s="179" t="s">
        <v>7660</v>
      </c>
      <c r="E5354" t="s">
        <v>7716</v>
      </c>
      <c r="F5354" s="150" t="s">
        <v>7716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6435</v>
      </c>
      <c r="M5354" s="178">
        <v>46044</v>
      </c>
      <c r="N5354" s="178"/>
      <c r="O5354" s="178"/>
      <c r="P5354" s="178" t="str">
        <f ca="1">IF(Proc[[#This Row],[DaysAgeing]]&gt;5,"yep","on track")</f>
        <v>on track</v>
      </c>
      <c r="Q5354" s="3">
        <f ca="1">IF(Proc[[#This Row],[DateClosed]]="",ABS(NETWORKDAYS(Proc[[#This Row],[DateOpened]],TODAY()))-1,ABS(NETWORKDAYS(Proc[[#This Row],[DateOpened]],Proc[[#This Row],[DateClosed]]))-1)</f>
        <v>5</v>
      </c>
      <c r="R5354" s="178" t="s">
        <v>7726</v>
      </c>
      <c r="S5354" s="150"/>
    </row>
    <row r="5355" spans="1:19">
      <c r="A5355" s="179" t="s">
        <v>7725</v>
      </c>
      <c r="B5355" s="150" t="str">
        <f>IFERROR(VLOOKUP(Proc[[#This Row],[App]],Table2[],3,0),"open")</f>
        <v>ok</v>
      </c>
      <c r="C5355" s="179" t="s">
        <v>369</v>
      </c>
      <c r="D5355" s="179" t="s">
        <v>7661</v>
      </c>
      <c r="E5355" t="s">
        <v>7717</v>
      </c>
      <c r="F5355" s="150" t="s">
        <v>7717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6435</v>
      </c>
      <c r="M5355" s="178">
        <v>46044</v>
      </c>
      <c r="N5355" s="178"/>
      <c r="O5355" s="178"/>
      <c r="P5355" s="178" t="str">
        <f ca="1">IF(Proc[[#This Row],[DaysAgeing]]&gt;5,"yep","on track")</f>
        <v>on track</v>
      </c>
      <c r="Q5355" s="3">
        <f ca="1">IF(Proc[[#This Row],[DateClosed]]="",ABS(NETWORKDAYS(Proc[[#This Row],[DateOpened]],TODAY()))-1,ABS(NETWORKDAYS(Proc[[#This Row],[DateOpened]],Proc[[#This Row],[DateClosed]]))-1)</f>
        <v>5</v>
      </c>
      <c r="R5355" s="178" t="s">
        <v>7726</v>
      </c>
      <c r="S5355" s="150"/>
    </row>
    <row r="5356" spans="1:19">
      <c r="A5356" s="179" t="s">
        <v>7725</v>
      </c>
      <c r="B5356" s="150" t="str">
        <f>IFERROR(VLOOKUP(Proc[[#This Row],[App]],Table2[],3,0),"open")</f>
        <v>ok</v>
      </c>
      <c r="C5356" s="179" t="s">
        <v>369</v>
      </c>
      <c r="D5356" s="179" t="s">
        <v>7662</v>
      </c>
      <c r="E5356" t="s">
        <v>7717</v>
      </c>
      <c r="F5356" s="150" t="s">
        <v>7717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6435</v>
      </c>
      <c r="M5356" s="178">
        <v>46044</v>
      </c>
      <c r="N5356" s="178"/>
      <c r="O5356" s="178"/>
      <c r="P5356" s="178" t="str">
        <f ca="1">IF(Proc[[#This Row],[DaysAgeing]]&gt;5,"yep","on track")</f>
        <v>on track</v>
      </c>
      <c r="Q5356" s="3">
        <f ca="1">IF(Proc[[#This Row],[DateClosed]]="",ABS(NETWORKDAYS(Proc[[#This Row],[DateOpened]],TODAY()))-1,ABS(NETWORKDAYS(Proc[[#This Row],[DateOpened]],Proc[[#This Row],[DateClosed]]))-1)</f>
        <v>5</v>
      </c>
      <c r="R5356" s="178" t="s">
        <v>7726</v>
      </c>
      <c r="S5356" s="150"/>
    </row>
    <row r="5357" spans="1:19">
      <c r="A5357" s="179" t="s">
        <v>7725</v>
      </c>
      <c r="B5357" s="150" t="str">
        <f>IFERROR(VLOOKUP(Proc[[#This Row],[App]],Table2[],3,0),"open")</f>
        <v>ok</v>
      </c>
      <c r="C5357" s="179" t="s">
        <v>369</v>
      </c>
      <c r="D5357" s="179" t="s">
        <v>7662</v>
      </c>
      <c r="E5357" t="s">
        <v>7717</v>
      </c>
      <c r="F5357" s="150" t="s">
        <v>7717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6435</v>
      </c>
      <c r="M5357" s="178">
        <v>46044</v>
      </c>
      <c r="N5357" s="178"/>
      <c r="O5357" s="178"/>
      <c r="P5357" s="178" t="str">
        <f ca="1">IF(Proc[[#This Row],[DaysAgeing]]&gt;5,"yep","on track")</f>
        <v>on track</v>
      </c>
      <c r="Q5357" s="3">
        <f ca="1">IF(Proc[[#This Row],[DateClosed]]="",ABS(NETWORKDAYS(Proc[[#This Row],[DateOpened]],TODAY()))-1,ABS(NETWORKDAYS(Proc[[#This Row],[DateOpened]],Proc[[#This Row],[DateClosed]]))-1)</f>
        <v>5</v>
      </c>
      <c r="R5357" s="178" t="s">
        <v>7726</v>
      </c>
      <c r="S5357" s="150"/>
    </row>
    <row r="5358" spans="1:19">
      <c r="A5358" s="179" t="s">
        <v>7725</v>
      </c>
      <c r="B5358" s="150" t="str">
        <f>IFERROR(VLOOKUP(Proc[[#This Row],[App]],Table2[],3,0),"open")</f>
        <v>ok</v>
      </c>
      <c r="C5358" s="179" t="s">
        <v>369</v>
      </c>
      <c r="D5358" s="179" t="s">
        <v>7662</v>
      </c>
      <c r="E5358" t="s">
        <v>7717</v>
      </c>
      <c r="F5358" s="150" t="s">
        <v>7717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6435</v>
      </c>
      <c r="M5358" s="178">
        <v>46044</v>
      </c>
      <c r="N5358" s="178"/>
      <c r="O5358" s="178"/>
      <c r="P5358" s="178" t="str">
        <f ca="1">IF(Proc[[#This Row],[DaysAgeing]]&gt;5,"yep","on track")</f>
        <v>on track</v>
      </c>
      <c r="Q5358" s="3">
        <f ca="1">IF(Proc[[#This Row],[DateClosed]]="",ABS(NETWORKDAYS(Proc[[#This Row],[DateOpened]],TODAY()))-1,ABS(NETWORKDAYS(Proc[[#This Row],[DateOpened]],Proc[[#This Row],[DateClosed]]))-1)</f>
        <v>5</v>
      </c>
      <c r="R5358" s="178" t="s">
        <v>7726</v>
      </c>
      <c r="S5358" s="150"/>
    </row>
    <row r="5359" spans="1:19">
      <c r="A5359" s="179" t="s">
        <v>7725</v>
      </c>
      <c r="B5359" s="150" t="str">
        <f>IFERROR(VLOOKUP(Proc[[#This Row],[App]],Table2[],3,0),"open")</f>
        <v>ok</v>
      </c>
      <c r="C5359" s="179" t="s">
        <v>369</v>
      </c>
      <c r="D5359" s="179" t="s">
        <v>7662</v>
      </c>
      <c r="E5359" t="s">
        <v>7717</v>
      </c>
      <c r="F5359" s="150" t="s">
        <v>7717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6435</v>
      </c>
      <c r="M5359" s="178">
        <v>46044</v>
      </c>
      <c r="N5359" s="178"/>
      <c r="O5359" s="178"/>
      <c r="P5359" s="178" t="str">
        <f ca="1">IF(Proc[[#This Row],[DaysAgeing]]&gt;5,"yep","on track")</f>
        <v>on track</v>
      </c>
      <c r="Q5359" s="3">
        <f ca="1">IF(Proc[[#This Row],[DateClosed]]="",ABS(NETWORKDAYS(Proc[[#This Row],[DateOpened]],TODAY()))-1,ABS(NETWORKDAYS(Proc[[#This Row],[DateOpened]],Proc[[#This Row],[DateClosed]]))-1)</f>
        <v>5</v>
      </c>
      <c r="R5359" s="178" t="s">
        <v>7726</v>
      </c>
      <c r="S5359" s="150"/>
    </row>
    <row r="5360" spans="1:19">
      <c r="A5360" s="179" t="s">
        <v>7725</v>
      </c>
      <c r="B5360" s="150" t="str">
        <f>IFERROR(VLOOKUP(Proc[[#This Row],[App]],Table2[],3,0),"open")</f>
        <v>ok</v>
      </c>
      <c r="C5360" s="179" t="s">
        <v>369</v>
      </c>
      <c r="D5360" s="179" t="s">
        <v>7663</v>
      </c>
      <c r="E5360" t="s">
        <v>7717</v>
      </c>
      <c r="F5360" s="150" t="s">
        <v>7717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6435</v>
      </c>
      <c r="M5360" s="178">
        <v>46044</v>
      </c>
      <c r="N5360" s="178"/>
      <c r="O5360" s="178"/>
      <c r="P5360" s="178" t="str">
        <f ca="1">IF(Proc[[#This Row],[DaysAgeing]]&gt;5,"yep","on track")</f>
        <v>on track</v>
      </c>
      <c r="Q5360" s="3">
        <f ca="1">IF(Proc[[#This Row],[DateClosed]]="",ABS(NETWORKDAYS(Proc[[#This Row],[DateOpened]],TODAY()))-1,ABS(NETWORKDAYS(Proc[[#This Row],[DateOpened]],Proc[[#This Row],[DateClosed]]))-1)</f>
        <v>5</v>
      </c>
      <c r="R5360" s="178" t="s">
        <v>7726</v>
      </c>
      <c r="S5360" s="150"/>
    </row>
    <row r="5361" spans="1:19">
      <c r="A5361" s="179" t="s">
        <v>7725</v>
      </c>
      <c r="B5361" s="150" t="str">
        <f>IFERROR(VLOOKUP(Proc[[#This Row],[App]],Table2[],3,0),"open")</f>
        <v>ok</v>
      </c>
      <c r="C5361" s="179" t="s">
        <v>369</v>
      </c>
      <c r="D5361" s="179" t="s">
        <v>7662</v>
      </c>
      <c r="E5361" t="s">
        <v>7717</v>
      </c>
      <c r="F5361" s="150" t="s">
        <v>7717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6435</v>
      </c>
      <c r="M5361" s="178">
        <v>46044</v>
      </c>
      <c r="N5361" s="178"/>
      <c r="O5361" s="178"/>
      <c r="P5361" s="178" t="str">
        <f ca="1">IF(Proc[[#This Row],[DaysAgeing]]&gt;5,"yep","on track")</f>
        <v>on track</v>
      </c>
      <c r="Q5361" s="3">
        <f ca="1">IF(Proc[[#This Row],[DateClosed]]="",ABS(NETWORKDAYS(Proc[[#This Row],[DateOpened]],TODAY()))-1,ABS(NETWORKDAYS(Proc[[#This Row],[DateOpened]],Proc[[#This Row],[DateClosed]]))-1)</f>
        <v>5</v>
      </c>
      <c r="R5361" s="178" t="s">
        <v>7726</v>
      </c>
      <c r="S5361" s="150"/>
    </row>
    <row r="5362" spans="1:19">
      <c r="A5362" s="179" t="s">
        <v>7725</v>
      </c>
      <c r="B5362" s="150" t="str">
        <f>IFERROR(VLOOKUP(Proc[[#This Row],[App]],Table2[],3,0),"open")</f>
        <v>ok</v>
      </c>
      <c r="C5362" s="179" t="s">
        <v>369</v>
      </c>
      <c r="D5362" s="179" t="s">
        <v>7664</v>
      </c>
      <c r="E5362" t="s">
        <v>7718</v>
      </c>
      <c r="F5362" s="150" t="s">
        <v>7718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6435</v>
      </c>
      <c r="M5362" s="178">
        <v>46044</v>
      </c>
      <c r="N5362" s="178"/>
      <c r="O5362" s="178"/>
      <c r="P5362" s="178" t="str">
        <f ca="1">IF(Proc[[#This Row],[DaysAgeing]]&gt;5,"yep","on track")</f>
        <v>on track</v>
      </c>
      <c r="Q5362" s="3">
        <f ca="1">IF(Proc[[#This Row],[DateClosed]]="",ABS(NETWORKDAYS(Proc[[#This Row],[DateOpened]],TODAY()))-1,ABS(NETWORKDAYS(Proc[[#This Row],[DateOpened]],Proc[[#This Row],[DateClosed]]))-1)</f>
        <v>5</v>
      </c>
      <c r="R5362" s="178" t="s">
        <v>7726</v>
      </c>
      <c r="S5362" s="150"/>
    </row>
    <row r="5363" spans="1:19">
      <c r="A5363" s="179" t="s">
        <v>7725</v>
      </c>
      <c r="B5363" s="150" t="str">
        <f>IFERROR(VLOOKUP(Proc[[#This Row],[App]],Table2[],3,0),"open")</f>
        <v>ok</v>
      </c>
      <c r="C5363" s="179" t="s">
        <v>369</v>
      </c>
      <c r="D5363" s="179" t="s">
        <v>7664</v>
      </c>
      <c r="E5363" t="s">
        <v>7718</v>
      </c>
      <c r="F5363" s="150" t="s">
        <v>7718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6435</v>
      </c>
      <c r="M5363" s="178">
        <v>46044</v>
      </c>
      <c r="N5363" s="178"/>
      <c r="O5363" s="178"/>
      <c r="P5363" s="178" t="str">
        <f ca="1">IF(Proc[[#This Row],[DaysAgeing]]&gt;5,"yep","on track")</f>
        <v>on track</v>
      </c>
      <c r="Q5363" s="3">
        <f ca="1">IF(Proc[[#This Row],[DateClosed]]="",ABS(NETWORKDAYS(Proc[[#This Row],[DateOpened]],TODAY()))-1,ABS(NETWORKDAYS(Proc[[#This Row],[DateOpened]],Proc[[#This Row],[DateClosed]]))-1)</f>
        <v>5</v>
      </c>
      <c r="R5363" s="178" t="s">
        <v>7726</v>
      </c>
      <c r="S5363" s="150"/>
    </row>
    <row r="5364" spans="1:19">
      <c r="A5364" s="179" t="s">
        <v>7725</v>
      </c>
      <c r="B5364" s="150" t="str">
        <f>IFERROR(VLOOKUP(Proc[[#This Row],[App]],Table2[],3,0),"open")</f>
        <v>ok</v>
      </c>
      <c r="C5364" s="179" t="s">
        <v>369</v>
      </c>
      <c r="D5364" s="179" t="s">
        <v>7665</v>
      </c>
      <c r="E5364" t="s">
        <v>7716</v>
      </c>
      <c r="F5364" s="150" t="s">
        <v>7716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6435</v>
      </c>
      <c r="M5364" s="178">
        <v>46044</v>
      </c>
      <c r="N5364" s="178"/>
      <c r="O5364" s="178"/>
      <c r="P5364" s="178" t="str">
        <f ca="1">IF(Proc[[#This Row],[DaysAgeing]]&gt;5,"yep","on track")</f>
        <v>on track</v>
      </c>
      <c r="Q5364" s="3">
        <f ca="1">IF(Proc[[#This Row],[DateClosed]]="",ABS(NETWORKDAYS(Proc[[#This Row],[DateOpened]],TODAY()))-1,ABS(NETWORKDAYS(Proc[[#This Row],[DateOpened]],Proc[[#This Row],[DateClosed]]))-1)</f>
        <v>5</v>
      </c>
      <c r="R5364" s="178" t="s">
        <v>7726</v>
      </c>
      <c r="S5364" s="150"/>
    </row>
    <row r="5365" spans="1:19">
      <c r="A5365" s="179" t="s">
        <v>7725</v>
      </c>
      <c r="B5365" s="150" t="str">
        <f>IFERROR(VLOOKUP(Proc[[#This Row],[App]],Table2[],3,0),"open")</f>
        <v>ok</v>
      </c>
      <c r="C5365" s="179" t="s">
        <v>369</v>
      </c>
      <c r="D5365" s="179" t="s">
        <v>7660</v>
      </c>
      <c r="E5365" t="s">
        <v>7716</v>
      </c>
      <c r="F5365" s="150" t="s">
        <v>7716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6435</v>
      </c>
      <c r="M5365" s="178">
        <v>46044</v>
      </c>
      <c r="N5365" s="178"/>
      <c r="O5365" s="178"/>
      <c r="P5365" s="178" t="str">
        <f ca="1">IF(Proc[[#This Row],[DaysAgeing]]&gt;5,"yep","on track")</f>
        <v>on track</v>
      </c>
      <c r="Q5365" s="3">
        <f ca="1">IF(Proc[[#This Row],[DateClosed]]="",ABS(NETWORKDAYS(Proc[[#This Row],[DateOpened]],TODAY()))-1,ABS(NETWORKDAYS(Proc[[#This Row],[DateOpened]],Proc[[#This Row],[DateClosed]]))-1)</f>
        <v>5</v>
      </c>
      <c r="R5365" s="178" t="s">
        <v>7726</v>
      </c>
      <c r="S5365" s="150"/>
    </row>
    <row r="5366" spans="1:19">
      <c r="A5366" s="179" t="s">
        <v>7725</v>
      </c>
      <c r="B5366" s="150" t="str">
        <f>IFERROR(VLOOKUP(Proc[[#This Row],[App]],Table2[],3,0),"open")</f>
        <v>ok</v>
      </c>
      <c r="C5366" s="179" t="s">
        <v>369</v>
      </c>
      <c r="D5366" s="179" t="s">
        <v>7660</v>
      </c>
      <c r="E5366" t="s">
        <v>7716</v>
      </c>
      <c r="F5366" s="150" t="s">
        <v>7716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6435</v>
      </c>
      <c r="M5366" s="178">
        <v>46044</v>
      </c>
      <c r="N5366" s="178"/>
      <c r="O5366" s="178"/>
      <c r="P5366" s="178" t="str">
        <f ca="1">IF(Proc[[#This Row],[DaysAgeing]]&gt;5,"yep","on track")</f>
        <v>on track</v>
      </c>
      <c r="Q5366" s="3">
        <f ca="1">IF(Proc[[#This Row],[DateClosed]]="",ABS(NETWORKDAYS(Proc[[#This Row],[DateOpened]],TODAY()))-1,ABS(NETWORKDAYS(Proc[[#This Row],[DateOpened]],Proc[[#This Row],[DateClosed]]))-1)</f>
        <v>5</v>
      </c>
      <c r="R5366" s="178" t="s">
        <v>7726</v>
      </c>
      <c r="S5366" s="150"/>
    </row>
    <row r="5367" spans="1:19">
      <c r="A5367" s="179" t="s">
        <v>7725</v>
      </c>
      <c r="B5367" s="150" t="str">
        <f>IFERROR(VLOOKUP(Proc[[#This Row],[App]],Table2[],3,0),"open")</f>
        <v>ok</v>
      </c>
      <c r="C5367" s="179" t="s">
        <v>369</v>
      </c>
      <c r="D5367" s="179" t="s">
        <v>7666</v>
      </c>
      <c r="E5367" t="s">
        <v>7718</v>
      </c>
      <c r="F5367" s="150" t="s">
        <v>7718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6435</v>
      </c>
      <c r="M5367" s="178">
        <v>46044</v>
      </c>
      <c r="N5367" s="178"/>
      <c r="O5367" s="178"/>
      <c r="P5367" s="178" t="str">
        <f ca="1">IF(Proc[[#This Row],[DaysAgeing]]&gt;5,"yep","on track")</f>
        <v>on track</v>
      </c>
      <c r="Q5367" s="3">
        <f ca="1">IF(Proc[[#This Row],[DateClosed]]="",ABS(NETWORKDAYS(Proc[[#This Row],[DateOpened]],TODAY()))-1,ABS(NETWORKDAYS(Proc[[#This Row],[DateOpened]],Proc[[#This Row],[DateClosed]]))-1)</f>
        <v>5</v>
      </c>
      <c r="R5367" s="178" t="s">
        <v>7726</v>
      </c>
      <c r="S5367" s="150"/>
    </row>
    <row r="5368" spans="1:19">
      <c r="A5368" s="179" t="s">
        <v>7725</v>
      </c>
      <c r="B5368" s="150" t="str">
        <f>IFERROR(VLOOKUP(Proc[[#This Row],[App]],Table2[],3,0),"open")</f>
        <v>ok</v>
      </c>
      <c r="C5368" s="179" t="s">
        <v>369</v>
      </c>
      <c r="D5368" s="179" t="s">
        <v>7667</v>
      </c>
      <c r="E5368" t="s">
        <v>7719</v>
      </c>
      <c r="F5368" s="150" t="s">
        <v>7719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6435</v>
      </c>
      <c r="M5368" s="178">
        <v>46044</v>
      </c>
      <c r="N5368" s="178"/>
      <c r="O5368" s="178"/>
      <c r="P5368" s="178" t="str">
        <f ca="1">IF(Proc[[#This Row],[DaysAgeing]]&gt;5,"yep","on track")</f>
        <v>on track</v>
      </c>
      <c r="Q5368" s="3">
        <f ca="1">IF(Proc[[#This Row],[DateClosed]]="",ABS(NETWORKDAYS(Proc[[#This Row],[DateOpened]],TODAY()))-1,ABS(NETWORKDAYS(Proc[[#This Row],[DateOpened]],Proc[[#This Row],[DateClosed]]))-1)</f>
        <v>5</v>
      </c>
      <c r="R5368" s="178" t="s">
        <v>7726</v>
      </c>
      <c r="S5368" s="150"/>
    </row>
    <row r="5369" spans="1:19">
      <c r="A5369" s="179" t="s">
        <v>7725</v>
      </c>
      <c r="B5369" s="150" t="str">
        <f>IFERROR(VLOOKUP(Proc[[#This Row],[App]],Table2[],3,0),"open")</f>
        <v>ok</v>
      </c>
      <c r="C5369" s="179" t="s">
        <v>369</v>
      </c>
      <c r="D5369" s="179" t="s">
        <v>7667</v>
      </c>
      <c r="E5369" t="s">
        <v>7719</v>
      </c>
      <c r="F5369" s="150" t="s">
        <v>7719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6435</v>
      </c>
      <c r="M5369" s="178">
        <v>46044</v>
      </c>
      <c r="N5369" s="178"/>
      <c r="O5369" s="178"/>
      <c r="P5369" s="178" t="str">
        <f ca="1">IF(Proc[[#This Row],[DaysAgeing]]&gt;5,"yep","on track")</f>
        <v>on track</v>
      </c>
      <c r="Q5369" s="3">
        <f ca="1">IF(Proc[[#This Row],[DateClosed]]="",ABS(NETWORKDAYS(Proc[[#This Row],[DateOpened]],TODAY()))-1,ABS(NETWORKDAYS(Proc[[#This Row],[DateOpened]],Proc[[#This Row],[DateClosed]]))-1)</f>
        <v>5</v>
      </c>
      <c r="R5369" s="178" t="s">
        <v>7726</v>
      </c>
      <c r="S5369" s="150"/>
    </row>
    <row r="5370" spans="1:19">
      <c r="A5370" s="179" t="s">
        <v>7725</v>
      </c>
      <c r="B5370" s="150" t="str">
        <f>IFERROR(VLOOKUP(Proc[[#This Row],[App]],Table2[],3,0),"open")</f>
        <v>ok</v>
      </c>
      <c r="C5370" s="179" t="s">
        <v>369</v>
      </c>
      <c r="D5370" s="179" t="s">
        <v>7668</v>
      </c>
      <c r="E5370" t="s">
        <v>7719</v>
      </c>
      <c r="F5370" s="150" t="s">
        <v>7719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6435</v>
      </c>
      <c r="M5370" s="178">
        <v>46044</v>
      </c>
      <c r="N5370" s="178"/>
      <c r="O5370" s="178"/>
      <c r="P5370" s="178" t="str">
        <f ca="1">IF(Proc[[#This Row],[DaysAgeing]]&gt;5,"yep","on track")</f>
        <v>on track</v>
      </c>
      <c r="Q5370" s="3">
        <f ca="1">IF(Proc[[#This Row],[DateClosed]]="",ABS(NETWORKDAYS(Proc[[#This Row],[DateOpened]],TODAY()))-1,ABS(NETWORKDAYS(Proc[[#This Row],[DateOpened]],Proc[[#This Row],[DateClosed]]))-1)</f>
        <v>5</v>
      </c>
      <c r="R5370" s="178" t="s">
        <v>7726</v>
      </c>
      <c r="S5370" s="150"/>
    </row>
    <row r="5371" spans="1:19">
      <c r="A5371" s="179" t="s">
        <v>7725</v>
      </c>
      <c r="B5371" s="150" t="str">
        <f>IFERROR(VLOOKUP(Proc[[#This Row],[App]],Table2[],3,0),"open")</f>
        <v>ok</v>
      </c>
      <c r="C5371" s="179" t="s">
        <v>369</v>
      </c>
      <c r="D5371" s="179" t="s">
        <v>7669</v>
      </c>
      <c r="E5371" t="s">
        <v>7719</v>
      </c>
      <c r="F5371" s="150" t="s">
        <v>7719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6435</v>
      </c>
      <c r="M5371" s="178">
        <v>46044</v>
      </c>
      <c r="N5371" s="178"/>
      <c r="O5371" s="178"/>
      <c r="P5371" s="178" t="str">
        <f ca="1">IF(Proc[[#This Row],[DaysAgeing]]&gt;5,"yep","on track")</f>
        <v>on track</v>
      </c>
      <c r="Q5371" s="3">
        <f ca="1">IF(Proc[[#This Row],[DateClosed]]="",ABS(NETWORKDAYS(Proc[[#This Row],[DateOpened]],TODAY()))-1,ABS(NETWORKDAYS(Proc[[#This Row],[DateOpened]],Proc[[#This Row],[DateClosed]]))-1)</f>
        <v>5</v>
      </c>
      <c r="R5371" s="178" t="s">
        <v>7726</v>
      </c>
      <c r="S5371" s="150"/>
    </row>
    <row r="5372" spans="1:19">
      <c r="A5372" s="179" t="s">
        <v>7725</v>
      </c>
      <c r="B5372" s="150" t="str">
        <f>IFERROR(VLOOKUP(Proc[[#This Row],[App]],Table2[],3,0),"open")</f>
        <v>ok</v>
      </c>
      <c r="C5372" s="179" t="s">
        <v>369</v>
      </c>
      <c r="D5372" s="179" t="s">
        <v>7670</v>
      </c>
      <c r="E5372" t="s">
        <v>7719</v>
      </c>
      <c r="F5372" s="150" t="s">
        <v>7719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6435</v>
      </c>
      <c r="M5372" s="178">
        <v>46044</v>
      </c>
      <c r="N5372" s="178"/>
      <c r="O5372" s="178"/>
      <c r="P5372" s="178" t="str">
        <f ca="1">IF(Proc[[#This Row],[DaysAgeing]]&gt;5,"yep","on track")</f>
        <v>on track</v>
      </c>
      <c r="Q5372" s="3">
        <f ca="1">IF(Proc[[#This Row],[DateClosed]]="",ABS(NETWORKDAYS(Proc[[#This Row],[DateOpened]],TODAY()))-1,ABS(NETWORKDAYS(Proc[[#This Row],[DateOpened]],Proc[[#This Row],[DateClosed]]))-1)</f>
        <v>5</v>
      </c>
      <c r="R5372" s="178" t="s">
        <v>7726</v>
      </c>
      <c r="S5372" s="150"/>
    </row>
    <row r="5373" spans="1:19">
      <c r="A5373" s="179" t="s">
        <v>7725</v>
      </c>
      <c r="B5373" s="150" t="str">
        <f>IFERROR(VLOOKUP(Proc[[#This Row],[App]],Table2[],3,0),"open")</f>
        <v>ok</v>
      </c>
      <c r="C5373" s="179" t="s">
        <v>369</v>
      </c>
      <c r="D5373" s="179" t="s">
        <v>7671</v>
      </c>
      <c r="E5373" t="s">
        <v>7718</v>
      </c>
      <c r="F5373" s="150" t="s">
        <v>7718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6435</v>
      </c>
      <c r="M5373" s="178">
        <v>46044</v>
      </c>
      <c r="N5373" s="178"/>
      <c r="O5373" s="178"/>
      <c r="P5373" s="178" t="str">
        <f ca="1">IF(Proc[[#This Row],[DaysAgeing]]&gt;5,"yep","on track")</f>
        <v>on track</v>
      </c>
      <c r="Q5373" s="3">
        <f ca="1">IF(Proc[[#This Row],[DateClosed]]="",ABS(NETWORKDAYS(Proc[[#This Row],[DateOpened]],TODAY()))-1,ABS(NETWORKDAYS(Proc[[#This Row],[DateOpened]],Proc[[#This Row],[DateClosed]]))-1)</f>
        <v>5</v>
      </c>
      <c r="R5373" s="178" t="s">
        <v>7726</v>
      </c>
      <c r="S5373" s="150"/>
    </row>
    <row r="5374" spans="1:19">
      <c r="A5374" s="179" t="s">
        <v>7725</v>
      </c>
      <c r="B5374" s="150" t="str">
        <f>IFERROR(VLOOKUP(Proc[[#This Row],[App]],Table2[],3,0),"open")</f>
        <v>ok</v>
      </c>
      <c r="C5374" s="179" t="s">
        <v>369</v>
      </c>
      <c r="D5374" s="179" t="s">
        <v>7671</v>
      </c>
      <c r="E5374" t="s">
        <v>7718</v>
      </c>
      <c r="F5374" s="150" t="s">
        <v>7718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6435</v>
      </c>
      <c r="M5374" s="178">
        <v>46044</v>
      </c>
      <c r="N5374" s="178"/>
      <c r="O5374" s="178"/>
      <c r="P5374" s="178" t="str">
        <f ca="1">IF(Proc[[#This Row],[DaysAgeing]]&gt;5,"yep","on track")</f>
        <v>on track</v>
      </c>
      <c r="Q5374" s="3">
        <f ca="1">IF(Proc[[#This Row],[DateClosed]]="",ABS(NETWORKDAYS(Proc[[#This Row],[DateOpened]],TODAY()))-1,ABS(NETWORKDAYS(Proc[[#This Row],[DateOpened]],Proc[[#This Row],[DateClosed]]))-1)</f>
        <v>5</v>
      </c>
      <c r="R5374" s="178" t="s">
        <v>7726</v>
      </c>
      <c r="S5374" s="150"/>
    </row>
    <row r="5375" spans="1:19">
      <c r="A5375" s="179" t="s">
        <v>7725</v>
      </c>
      <c r="B5375" s="150" t="str">
        <f>IFERROR(VLOOKUP(Proc[[#This Row],[App]],Table2[],3,0),"open")</f>
        <v>ok</v>
      </c>
      <c r="C5375" s="179" t="s">
        <v>369</v>
      </c>
      <c r="D5375" s="179" t="s">
        <v>7672</v>
      </c>
      <c r="E5375" t="s">
        <v>7716</v>
      </c>
      <c r="F5375" s="150" t="s">
        <v>7716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6435</v>
      </c>
      <c r="M5375" s="178">
        <v>46044</v>
      </c>
      <c r="N5375" s="178"/>
      <c r="O5375" s="178"/>
      <c r="P5375" s="178" t="str">
        <f ca="1">IF(Proc[[#This Row],[DaysAgeing]]&gt;5,"yep","on track")</f>
        <v>on track</v>
      </c>
      <c r="Q5375" s="3">
        <f ca="1">IF(Proc[[#This Row],[DateClosed]]="",ABS(NETWORKDAYS(Proc[[#This Row],[DateOpened]],TODAY()))-1,ABS(NETWORKDAYS(Proc[[#This Row],[DateOpened]],Proc[[#This Row],[DateClosed]]))-1)</f>
        <v>5</v>
      </c>
      <c r="R5375" s="178" t="s">
        <v>7726</v>
      </c>
      <c r="S5375" s="150"/>
    </row>
    <row r="5376" spans="1:19">
      <c r="A5376" s="179" t="s">
        <v>7725</v>
      </c>
      <c r="B5376" s="150" t="str">
        <f>IFERROR(VLOOKUP(Proc[[#This Row],[App]],Table2[],3,0),"open")</f>
        <v>ok</v>
      </c>
      <c r="C5376" s="179" t="s">
        <v>369</v>
      </c>
      <c r="D5376" s="179" t="s">
        <v>7673</v>
      </c>
      <c r="E5376" t="s">
        <v>7720</v>
      </c>
      <c r="F5376" s="150" t="s">
        <v>7720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6435</v>
      </c>
      <c r="M5376" s="178">
        <v>46044</v>
      </c>
      <c r="N5376" s="178"/>
      <c r="O5376" s="178"/>
      <c r="P5376" s="178" t="str">
        <f ca="1">IF(Proc[[#This Row],[DaysAgeing]]&gt;5,"yep","on track")</f>
        <v>on track</v>
      </c>
      <c r="Q5376" s="3">
        <f ca="1">IF(Proc[[#This Row],[DateClosed]]="",ABS(NETWORKDAYS(Proc[[#This Row],[DateOpened]],TODAY()))-1,ABS(NETWORKDAYS(Proc[[#This Row],[DateOpened]],Proc[[#This Row],[DateClosed]]))-1)</f>
        <v>5</v>
      </c>
      <c r="R5376" s="178" t="s">
        <v>7726</v>
      </c>
      <c r="S5376" s="150"/>
    </row>
    <row r="5377" spans="1:19">
      <c r="A5377" s="179" t="s">
        <v>7725</v>
      </c>
      <c r="B5377" s="150" t="str">
        <f>IFERROR(VLOOKUP(Proc[[#This Row],[App]],Table2[],3,0),"open")</f>
        <v>ok</v>
      </c>
      <c r="C5377" s="179" t="s">
        <v>369</v>
      </c>
      <c r="D5377" s="179" t="s">
        <v>7674</v>
      </c>
      <c r="E5377" t="s">
        <v>7721</v>
      </c>
      <c r="F5377" s="150" t="s">
        <v>7721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6435</v>
      </c>
      <c r="M5377" s="178">
        <v>46044</v>
      </c>
      <c r="N5377" s="178"/>
      <c r="O5377" s="178"/>
      <c r="P5377" s="178" t="str">
        <f ca="1">IF(Proc[[#This Row],[DaysAgeing]]&gt;5,"yep","on track")</f>
        <v>on track</v>
      </c>
      <c r="Q5377" s="3">
        <f ca="1">IF(Proc[[#This Row],[DateClosed]]="",ABS(NETWORKDAYS(Proc[[#This Row],[DateOpened]],TODAY()))-1,ABS(NETWORKDAYS(Proc[[#This Row],[DateOpened]],Proc[[#This Row],[DateClosed]]))-1)</f>
        <v>5</v>
      </c>
      <c r="R5377" s="178" t="s">
        <v>7726</v>
      </c>
      <c r="S5377" s="150"/>
    </row>
    <row r="5378" spans="1:19">
      <c r="A5378" s="179" t="s">
        <v>7725</v>
      </c>
      <c r="B5378" s="150" t="str">
        <f>IFERROR(VLOOKUP(Proc[[#This Row],[App]],Table2[],3,0),"open")</f>
        <v>ok</v>
      </c>
      <c r="C5378" s="179" t="s">
        <v>369</v>
      </c>
      <c r="D5378" s="179" t="s">
        <v>7675</v>
      </c>
      <c r="E5378" t="s">
        <v>7722</v>
      </c>
      <c r="F5378" s="150" t="s">
        <v>7722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6435</v>
      </c>
      <c r="M5378" s="178">
        <v>46044</v>
      </c>
      <c r="N5378" s="178"/>
      <c r="O5378" s="178"/>
      <c r="P5378" s="178" t="str">
        <f ca="1">IF(Proc[[#This Row],[DaysAgeing]]&gt;5,"yep","on track")</f>
        <v>on track</v>
      </c>
      <c r="Q5378" s="3">
        <f ca="1">IF(Proc[[#This Row],[DateClosed]]="",ABS(NETWORKDAYS(Proc[[#This Row],[DateOpened]],TODAY()))-1,ABS(NETWORKDAYS(Proc[[#This Row],[DateOpened]],Proc[[#This Row],[DateClosed]]))-1)</f>
        <v>5</v>
      </c>
      <c r="R5378" s="178" t="s">
        <v>7726</v>
      </c>
      <c r="S5378" s="150"/>
    </row>
    <row r="5379" spans="1:19">
      <c r="A5379" s="179" t="s">
        <v>7725</v>
      </c>
      <c r="B5379" s="150" t="str">
        <f>IFERROR(VLOOKUP(Proc[[#This Row],[App]],Table2[],3,0),"open")</f>
        <v>ok</v>
      </c>
      <c r="C5379" s="179" t="s">
        <v>369</v>
      </c>
      <c r="D5379" s="179" t="s">
        <v>7676</v>
      </c>
      <c r="E5379" t="s">
        <v>7723</v>
      </c>
      <c r="F5379" s="150" t="s">
        <v>7723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6435</v>
      </c>
      <c r="M5379" s="178">
        <v>46044</v>
      </c>
      <c r="N5379" s="178"/>
      <c r="O5379" s="178"/>
      <c r="P5379" s="178" t="str">
        <f ca="1">IF(Proc[[#This Row],[DaysAgeing]]&gt;5,"yep","on track")</f>
        <v>on track</v>
      </c>
      <c r="Q5379" s="3">
        <f ca="1">IF(Proc[[#This Row],[DateClosed]]="",ABS(NETWORKDAYS(Proc[[#This Row],[DateOpened]],TODAY()))-1,ABS(NETWORKDAYS(Proc[[#This Row],[DateOpened]],Proc[[#This Row],[DateClosed]]))-1)</f>
        <v>5</v>
      </c>
      <c r="R5379" s="178" t="s">
        <v>7726</v>
      </c>
      <c r="S5379" s="150"/>
    </row>
    <row r="5380" spans="1:19">
      <c r="A5380" s="179" t="s">
        <v>7725</v>
      </c>
      <c r="B5380" s="150" t="str">
        <f>IFERROR(VLOOKUP(Proc[[#This Row],[App]],Table2[],3,0),"open")</f>
        <v>ok</v>
      </c>
      <c r="C5380" s="179" t="s">
        <v>369</v>
      </c>
      <c r="D5380" s="179" t="s">
        <v>7677</v>
      </c>
      <c r="E5380" t="s">
        <v>7723</v>
      </c>
      <c r="F5380" s="150" t="s">
        <v>7723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6435</v>
      </c>
      <c r="M5380" s="178">
        <v>46044</v>
      </c>
      <c r="N5380" s="178"/>
      <c r="O5380" s="178"/>
      <c r="P5380" s="178" t="str">
        <f ca="1">IF(Proc[[#This Row],[DaysAgeing]]&gt;5,"yep","on track")</f>
        <v>on track</v>
      </c>
      <c r="Q5380" s="3">
        <f ca="1">IF(Proc[[#This Row],[DateClosed]]="",ABS(NETWORKDAYS(Proc[[#This Row],[DateOpened]],TODAY()))-1,ABS(NETWORKDAYS(Proc[[#This Row],[DateOpened]],Proc[[#This Row],[DateClosed]]))-1)</f>
        <v>5</v>
      </c>
      <c r="R5380" s="178" t="s">
        <v>7726</v>
      </c>
      <c r="S5380" s="150"/>
    </row>
    <row r="5381" spans="1:19">
      <c r="A5381" s="179" t="s">
        <v>7725</v>
      </c>
      <c r="B5381" s="150" t="str">
        <f>IFERROR(VLOOKUP(Proc[[#This Row],[App]],Table2[],3,0),"open")</f>
        <v>ok</v>
      </c>
      <c r="C5381" s="179" t="s">
        <v>369</v>
      </c>
      <c r="D5381" s="179" t="s">
        <v>7678</v>
      </c>
      <c r="E5381" t="s">
        <v>7723</v>
      </c>
      <c r="F5381" s="150" t="s">
        <v>7723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6435</v>
      </c>
      <c r="M5381" s="178">
        <v>46044</v>
      </c>
      <c r="N5381" s="178"/>
      <c r="O5381" s="178"/>
      <c r="P5381" s="178" t="str">
        <f ca="1">IF(Proc[[#This Row],[DaysAgeing]]&gt;5,"yep","on track")</f>
        <v>on track</v>
      </c>
      <c r="Q5381" s="3">
        <f ca="1">IF(Proc[[#This Row],[DateClosed]]="",ABS(NETWORKDAYS(Proc[[#This Row],[DateOpened]],TODAY()))-1,ABS(NETWORKDAYS(Proc[[#This Row],[DateOpened]],Proc[[#This Row],[DateClosed]]))-1)</f>
        <v>5</v>
      </c>
      <c r="R5381" s="178" t="s">
        <v>7726</v>
      </c>
      <c r="S5381" s="150"/>
    </row>
    <row r="5382" spans="1:19">
      <c r="A5382" s="179" t="s">
        <v>7725</v>
      </c>
      <c r="B5382" s="150" t="str">
        <f>IFERROR(VLOOKUP(Proc[[#This Row],[App]],Table2[],3,0),"open")</f>
        <v>ok</v>
      </c>
      <c r="C5382" s="179" t="s">
        <v>369</v>
      </c>
      <c r="D5382" s="179" t="s">
        <v>7679</v>
      </c>
      <c r="E5382" t="s">
        <v>7723</v>
      </c>
      <c r="F5382" s="150" t="s">
        <v>7723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6435</v>
      </c>
      <c r="M5382" s="178">
        <v>46044</v>
      </c>
      <c r="N5382" s="178"/>
      <c r="O5382" s="178"/>
      <c r="P5382" s="178" t="str">
        <f ca="1">IF(Proc[[#This Row],[DaysAgeing]]&gt;5,"yep","on track")</f>
        <v>on track</v>
      </c>
      <c r="Q5382" s="3">
        <f ca="1">IF(Proc[[#This Row],[DateClosed]]="",ABS(NETWORKDAYS(Proc[[#This Row],[DateOpened]],TODAY()))-1,ABS(NETWORKDAYS(Proc[[#This Row],[DateOpened]],Proc[[#This Row],[DateClosed]]))-1)</f>
        <v>5</v>
      </c>
      <c r="R5382" s="178" t="s">
        <v>7726</v>
      </c>
      <c r="S5382" s="150"/>
    </row>
    <row r="5383" spans="1:19">
      <c r="A5383" s="179" t="s">
        <v>7725</v>
      </c>
      <c r="B5383" s="150" t="str">
        <f>IFERROR(VLOOKUP(Proc[[#This Row],[App]],Table2[],3,0),"open")</f>
        <v>ok</v>
      </c>
      <c r="C5383" s="179" t="s">
        <v>369</v>
      </c>
      <c r="D5383" s="179" t="s">
        <v>7680</v>
      </c>
      <c r="E5383" t="s">
        <v>7723</v>
      </c>
      <c r="F5383" s="150" t="s">
        <v>7723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6435</v>
      </c>
      <c r="M5383" s="178">
        <v>46044</v>
      </c>
      <c r="N5383" s="178"/>
      <c r="O5383" s="178"/>
      <c r="P5383" s="178" t="str">
        <f ca="1">IF(Proc[[#This Row],[DaysAgeing]]&gt;5,"yep","on track")</f>
        <v>on track</v>
      </c>
      <c r="Q5383" s="3">
        <f ca="1">IF(Proc[[#This Row],[DateClosed]]="",ABS(NETWORKDAYS(Proc[[#This Row],[DateOpened]],TODAY()))-1,ABS(NETWORKDAYS(Proc[[#This Row],[DateOpened]],Proc[[#This Row],[DateClosed]]))-1)</f>
        <v>5</v>
      </c>
      <c r="R5383" s="178" t="s">
        <v>7726</v>
      </c>
      <c r="S5383" s="150"/>
    </row>
    <row r="5384" spans="1:19">
      <c r="A5384" s="179" t="s">
        <v>7725</v>
      </c>
      <c r="B5384" s="150" t="str">
        <f>IFERROR(VLOOKUP(Proc[[#This Row],[App]],Table2[],3,0),"open")</f>
        <v>ok</v>
      </c>
      <c r="C5384" s="179" t="s">
        <v>369</v>
      </c>
      <c r="D5384" s="179" t="s">
        <v>7681</v>
      </c>
      <c r="E5384" t="s">
        <v>7721</v>
      </c>
      <c r="F5384" s="150" t="s">
        <v>7721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6435</v>
      </c>
      <c r="M5384" s="178">
        <v>46044</v>
      </c>
      <c r="N5384" s="178"/>
      <c r="O5384" s="178"/>
      <c r="P5384" s="178" t="str">
        <f ca="1">IF(Proc[[#This Row],[DaysAgeing]]&gt;5,"yep","on track")</f>
        <v>on track</v>
      </c>
      <c r="Q5384" s="3">
        <f ca="1">IF(Proc[[#This Row],[DateClosed]]="",ABS(NETWORKDAYS(Proc[[#This Row],[DateOpened]],TODAY()))-1,ABS(NETWORKDAYS(Proc[[#This Row],[DateOpened]],Proc[[#This Row],[DateClosed]]))-1)</f>
        <v>5</v>
      </c>
      <c r="R5384" s="178" t="s">
        <v>7726</v>
      </c>
      <c r="S5384" s="150"/>
    </row>
    <row r="5385" spans="1:19">
      <c r="A5385" s="179" t="s">
        <v>7725</v>
      </c>
      <c r="B5385" s="150" t="str">
        <f>IFERROR(VLOOKUP(Proc[[#This Row],[App]],Table2[],3,0),"open")</f>
        <v>ok</v>
      </c>
      <c r="C5385" s="179" t="s">
        <v>369</v>
      </c>
      <c r="D5385" s="179" t="s">
        <v>7682</v>
      </c>
      <c r="E5385" t="s">
        <v>7723</v>
      </c>
      <c r="F5385" s="150" t="s">
        <v>7723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6435</v>
      </c>
      <c r="M5385" s="178">
        <v>46044</v>
      </c>
      <c r="N5385" s="178"/>
      <c r="O5385" s="178"/>
      <c r="P5385" s="178" t="str">
        <f ca="1">IF(Proc[[#This Row],[DaysAgeing]]&gt;5,"yep","on track")</f>
        <v>on track</v>
      </c>
      <c r="Q5385" s="3">
        <f ca="1">IF(Proc[[#This Row],[DateClosed]]="",ABS(NETWORKDAYS(Proc[[#This Row],[DateOpened]],TODAY()))-1,ABS(NETWORKDAYS(Proc[[#This Row],[DateOpened]],Proc[[#This Row],[DateClosed]]))-1)</f>
        <v>5</v>
      </c>
      <c r="R5385" s="178" t="s">
        <v>7726</v>
      </c>
      <c r="S5385" s="150"/>
    </row>
    <row r="5386" spans="1:19">
      <c r="A5386" s="179" t="s">
        <v>7725</v>
      </c>
      <c r="B5386" s="150" t="str">
        <f>IFERROR(VLOOKUP(Proc[[#This Row],[App]],Table2[],3,0),"open")</f>
        <v>ok</v>
      </c>
      <c r="C5386" s="179" t="s">
        <v>369</v>
      </c>
      <c r="D5386" s="179" t="s">
        <v>7683</v>
      </c>
      <c r="E5386" t="s">
        <v>7723</v>
      </c>
      <c r="F5386" s="150" t="s">
        <v>7723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6435</v>
      </c>
      <c r="M5386" s="178">
        <v>46044</v>
      </c>
      <c r="N5386" s="178"/>
      <c r="O5386" s="178"/>
      <c r="P5386" s="178" t="str">
        <f ca="1">IF(Proc[[#This Row],[DaysAgeing]]&gt;5,"yep","on track")</f>
        <v>on track</v>
      </c>
      <c r="Q5386" s="3">
        <f ca="1">IF(Proc[[#This Row],[DateClosed]]="",ABS(NETWORKDAYS(Proc[[#This Row],[DateOpened]],TODAY()))-1,ABS(NETWORKDAYS(Proc[[#This Row],[DateOpened]],Proc[[#This Row],[DateClosed]]))-1)</f>
        <v>5</v>
      </c>
      <c r="R5386" s="178" t="s">
        <v>7726</v>
      </c>
      <c r="S5386" s="150"/>
    </row>
    <row r="5387" spans="1:19">
      <c r="A5387" s="179" t="s">
        <v>7725</v>
      </c>
      <c r="B5387" s="150" t="str">
        <f>IFERROR(VLOOKUP(Proc[[#This Row],[App]],Table2[],3,0),"open")</f>
        <v>ok</v>
      </c>
      <c r="C5387" s="179" t="s">
        <v>369</v>
      </c>
      <c r="D5387" s="179" t="s">
        <v>7684</v>
      </c>
      <c r="E5387" t="s">
        <v>7723</v>
      </c>
      <c r="F5387" s="150" t="s">
        <v>7723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6435</v>
      </c>
      <c r="M5387" s="178">
        <v>46044</v>
      </c>
      <c r="N5387" s="178"/>
      <c r="O5387" s="178"/>
      <c r="P5387" s="178" t="str">
        <f ca="1">IF(Proc[[#This Row],[DaysAgeing]]&gt;5,"yep","on track")</f>
        <v>on track</v>
      </c>
      <c r="Q5387" s="3">
        <f ca="1">IF(Proc[[#This Row],[DateClosed]]="",ABS(NETWORKDAYS(Proc[[#This Row],[DateOpened]],TODAY()))-1,ABS(NETWORKDAYS(Proc[[#This Row],[DateOpened]],Proc[[#This Row],[DateClosed]]))-1)</f>
        <v>5</v>
      </c>
      <c r="R5387" s="178" t="s">
        <v>7726</v>
      </c>
      <c r="S5387" s="150"/>
    </row>
    <row r="5388" spans="1:19">
      <c r="A5388" s="179" t="s">
        <v>7725</v>
      </c>
      <c r="B5388" s="150" t="str">
        <f>IFERROR(VLOOKUP(Proc[[#This Row],[App]],Table2[],3,0),"open")</f>
        <v>ok</v>
      </c>
      <c r="C5388" s="179" t="s">
        <v>369</v>
      </c>
      <c r="D5388" s="179" t="s">
        <v>7685</v>
      </c>
      <c r="E5388" t="s">
        <v>7723</v>
      </c>
      <c r="F5388" s="150" t="s">
        <v>7723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6435</v>
      </c>
      <c r="M5388" s="178">
        <v>46044</v>
      </c>
      <c r="N5388" s="178"/>
      <c r="O5388" s="178"/>
      <c r="P5388" s="178" t="str">
        <f ca="1">IF(Proc[[#This Row],[DaysAgeing]]&gt;5,"yep","on track")</f>
        <v>on track</v>
      </c>
      <c r="Q5388" s="3">
        <f ca="1">IF(Proc[[#This Row],[DateClosed]]="",ABS(NETWORKDAYS(Proc[[#This Row],[DateOpened]],TODAY()))-1,ABS(NETWORKDAYS(Proc[[#This Row],[DateOpened]],Proc[[#This Row],[DateClosed]]))-1)</f>
        <v>5</v>
      </c>
      <c r="R5388" s="178" t="s">
        <v>7726</v>
      </c>
      <c r="S5388" s="150"/>
    </row>
    <row r="5389" spans="1:19">
      <c r="A5389" s="179" t="s">
        <v>7725</v>
      </c>
      <c r="B5389" s="150" t="str">
        <f>IFERROR(VLOOKUP(Proc[[#This Row],[App]],Table2[],3,0),"open")</f>
        <v>ok</v>
      </c>
      <c r="C5389" s="179" t="s">
        <v>369</v>
      </c>
      <c r="D5389" s="179" t="s">
        <v>7686</v>
      </c>
      <c r="E5389" t="s">
        <v>7723</v>
      </c>
      <c r="F5389" s="150" t="s">
        <v>7723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6435</v>
      </c>
      <c r="M5389" s="178">
        <v>46044</v>
      </c>
      <c r="N5389" s="178"/>
      <c r="O5389" s="178"/>
      <c r="P5389" s="178" t="str">
        <f ca="1">IF(Proc[[#This Row],[DaysAgeing]]&gt;5,"yep","on track")</f>
        <v>on track</v>
      </c>
      <c r="Q5389" s="3">
        <f ca="1">IF(Proc[[#This Row],[DateClosed]]="",ABS(NETWORKDAYS(Proc[[#This Row],[DateOpened]],TODAY()))-1,ABS(NETWORKDAYS(Proc[[#This Row],[DateOpened]],Proc[[#This Row],[DateClosed]]))-1)</f>
        <v>5</v>
      </c>
      <c r="R5389" s="178" t="s">
        <v>7726</v>
      </c>
      <c r="S5389" s="150"/>
    </row>
    <row r="5390" spans="1:19">
      <c r="A5390" s="179" t="s">
        <v>7725</v>
      </c>
      <c r="B5390" s="150" t="str">
        <f>IFERROR(VLOOKUP(Proc[[#This Row],[App]],Table2[],3,0),"open")</f>
        <v>ok</v>
      </c>
      <c r="C5390" s="179" t="s">
        <v>369</v>
      </c>
      <c r="D5390" s="179" t="s">
        <v>7687</v>
      </c>
      <c r="E5390" t="s">
        <v>7723</v>
      </c>
      <c r="F5390" s="150" t="s">
        <v>7723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6435</v>
      </c>
      <c r="M5390" s="178">
        <v>46044</v>
      </c>
      <c r="N5390" s="178"/>
      <c r="O5390" s="178"/>
      <c r="P5390" s="178" t="str">
        <f ca="1">IF(Proc[[#This Row],[DaysAgeing]]&gt;5,"yep","on track")</f>
        <v>on track</v>
      </c>
      <c r="Q5390" s="3">
        <f ca="1">IF(Proc[[#This Row],[DateClosed]]="",ABS(NETWORKDAYS(Proc[[#This Row],[DateOpened]],TODAY()))-1,ABS(NETWORKDAYS(Proc[[#This Row],[DateOpened]],Proc[[#This Row],[DateClosed]]))-1)</f>
        <v>5</v>
      </c>
      <c r="R5390" s="178" t="s">
        <v>7726</v>
      </c>
      <c r="S5390" s="150"/>
    </row>
    <row r="5391" spans="1:19">
      <c r="A5391" s="179" t="s">
        <v>7725</v>
      </c>
      <c r="B5391" s="150" t="str">
        <f>IFERROR(VLOOKUP(Proc[[#This Row],[App]],Table2[],3,0),"open")</f>
        <v>ok</v>
      </c>
      <c r="C5391" s="179" t="s">
        <v>369</v>
      </c>
      <c r="D5391" s="179" t="s">
        <v>7688</v>
      </c>
      <c r="E5391" t="s">
        <v>7724</v>
      </c>
      <c r="F5391" s="150" t="s">
        <v>7724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6435</v>
      </c>
      <c r="M5391" s="178">
        <v>46044</v>
      </c>
      <c r="N5391" s="178"/>
      <c r="O5391" s="178"/>
      <c r="P5391" s="178" t="str">
        <f ca="1">IF(Proc[[#This Row],[DaysAgeing]]&gt;5,"yep","on track")</f>
        <v>on track</v>
      </c>
      <c r="Q5391" s="3">
        <f ca="1">IF(Proc[[#This Row],[DateClosed]]="",ABS(NETWORKDAYS(Proc[[#This Row],[DateOpened]],TODAY()))-1,ABS(NETWORKDAYS(Proc[[#This Row],[DateOpened]],Proc[[#This Row],[DateClosed]]))-1)</f>
        <v>5</v>
      </c>
      <c r="R5391" s="178" t="s">
        <v>7726</v>
      </c>
      <c r="S5391" s="150"/>
    </row>
    <row r="5392" spans="1:19">
      <c r="A5392" s="179" t="s">
        <v>7725</v>
      </c>
      <c r="B5392" s="150" t="str">
        <f>IFERROR(VLOOKUP(Proc[[#This Row],[App]],Table2[],3,0),"open")</f>
        <v>ok</v>
      </c>
      <c r="C5392" s="179" t="s">
        <v>369</v>
      </c>
      <c r="D5392" s="179" t="s">
        <v>7689</v>
      </c>
      <c r="E5392" t="s">
        <v>7724</v>
      </c>
      <c r="F5392" s="150" t="s">
        <v>7724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6435</v>
      </c>
      <c r="M5392" s="178">
        <v>46044</v>
      </c>
      <c r="N5392" s="178"/>
      <c r="O5392" s="178"/>
      <c r="P5392" s="178" t="str">
        <f ca="1">IF(Proc[[#This Row],[DaysAgeing]]&gt;5,"yep","on track")</f>
        <v>on track</v>
      </c>
      <c r="Q5392" s="3">
        <f ca="1">IF(Proc[[#This Row],[DateClosed]]="",ABS(NETWORKDAYS(Proc[[#This Row],[DateOpened]],TODAY()))-1,ABS(NETWORKDAYS(Proc[[#This Row],[DateOpened]],Proc[[#This Row],[DateClosed]]))-1)</f>
        <v>5</v>
      </c>
      <c r="R5392" s="178" t="s">
        <v>7726</v>
      </c>
      <c r="S5392" s="150"/>
    </row>
    <row r="5393" spans="1:19">
      <c r="A5393" s="179" t="s">
        <v>7725</v>
      </c>
      <c r="B5393" s="150" t="str">
        <f>IFERROR(VLOOKUP(Proc[[#This Row],[App]],Table2[],3,0),"open")</f>
        <v>ok</v>
      </c>
      <c r="C5393" s="179" t="s">
        <v>369</v>
      </c>
      <c r="D5393" s="179" t="s">
        <v>7690</v>
      </c>
      <c r="E5393" t="s">
        <v>7724</v>
      </c>
      <c r="F5393" s="150" t="s">
        <v>7724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6435</v>
      </c>
      <c r="M5393" s="178">
        <v>46044</v>
      </c>
      <c r="N5393" s="178"/>
      <c r="O5393" s="178"/>
      <c r="P5393" s="178" t="str">
        <f ca="1">IF(Proc[[#This Row],[DaysAgeing]]&gt;5,"yep","on track")</f>
        <v>on track</v>
      </c>
      <c r="Q5393" s="3">
        <f ca="1">IF(Proc[[#This Row],[DateClosed]]="",ABS(NETWORKDAYS(Proc[[#This Row],[DateOpened]],TODAY()))-1,ABS(NETWORKDAYS(Proc[[#This Row],[DateOpened]],Proc[[#This Row],[DateClosed]]))-1)</f>
        <v>5</v>
      </c>
      <c r="R5393" s="178" t="s">
        <v>7726</v>
      </c>
      <c r="S5393" s="150"/>
    </row>
    <row r="5394" spans="1:19">
      <c r="A5394" s="179" t="s">
        <v>7725</v>
      </c>
      <c r="B5394" s="150" t="str">
        <f>IFERROR(VLOOKUP(Proc[[#This Row],[App]],Table2[],3,0),"open")</f>
        <v>ok</v>
      </c>
      <c r="C5394" s="179" t="s">
        <v>369</v>
      </c>
      <c r="D5394" s="179" t="s">
        <v>7691</v>
      </c>
      <c r="E5394" t="s">
        <v>7724</v>
      </c>
      <c r="F5394" s="150" t="s">
        <v>7724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6435</v>
      </c>
      <c r="M5394" s="178">
        <v>46044</v>
      </c>
      <c r="N5394" s="178"/>
      <c r="O5394" s="178"/>
      <c r="P5394" s="178" t="str">
        <f ca="1">IF(Proc[[#This Row],[DaysAgeing]]&gt;5,"yep","on track")</f>
        <v>on track</v>
      </c>
      <c r="Q5394" s="3">
        <f ca="1">IF(Proc[[#This Row],[DateClosed]]="",ABS(NETWORKDAYS(Proc[[#This Row],[DateOpened]],TODAY()))-1,ABS(NETWORKDAYS(Proc[[#This Row],[DateOpened]],Proc[[#This Row],[DateClosed]]))-1)</f>
        <v>5</v>
      </c>
      <c r="R5394" s="178" t="s">
        <v>7726</v>
      </c>
      <c r="S5394" s="150"/>
    </row>
    <row r="5395" spans="1:19">
      <c r="A5395" s="179" t="s">
        <v>7725</v>
      </c>
      <c r="B5395" s="150" t="str">
        <f>IFERROR(VLOOKUP(Proc[[#This Row],[App]],Table2[],3,0),"open")</f>
        <v>ok</v>
      </c>
      <c r="C5395" s="179" t="s">
        <v>369</v>
      </c>
      <c r="D5395" s="179" t="s">
        <v>7692</v>
      </c>
      <c r="E5395" t="s">
        <v>7724</v>
      </c>
      <c r="F5395" s="150" t="s">
        <v>7724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6435</v>
      </c>
      <c r="M5395" s="178">
        <v>46044</v>
      </c>
      <c r="N5395" s="178"/>
      <c r="O5395" s="178"/>
      <c r="P5395" s="178" t="str">
        <f ca="1">IF(Proc[[#This Row],[DaysAgeing]]&gt;5,"yep","on track")</f>
        <v>on track</v>
      </c>
      <c r="Q5395" s="3">
        <f ca="1">IF(Proc[[#This Row],[DateClosed]]="",ABS(NETWORKDAYS(Proc[[#This Row],[DateOpened]],TODAY()))-1,ABS(NETWORKDAYS(Proc[[#This Row],[DateOpened]],Proc[[#This Row],[DateClosed]]))-1)</f>
        <v>5</v>
      </c>
      <c r="R5395" s="178" t="s">
        <v>7726</v>
      </c>
      <c r="S5395" s="150"/>
    </row>
    <row r="5396" spans="1:19">
      <c r="A5396" s="179" t="s">
        <v>7725</v>
      </c>
      <c r="B5396" s="150" t="str">
        <f>IFERROR(VLOOKUP(Proc[[#This Row],[App]],Table2[],3,0),"open")</f>
        <v>ok</v>
      </c>
      <c r="C5396" s="179" t="s">
        <v>369</v>
      </c>
      <c r="D5396" s="179" t="s">
        <v>7693</v>
      </c>
      <c r="E5396" t="s">
        <v>7724</v>
      </c>
      <c r="F5396" s="179" t="s">
        <v>7724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6435</v>
      </c>
      <c r="M5396" s="178">
        <v>46044</v>
      </c>
      <c r="N5396" s="178"/>
      <c r="O5396" s="178"/>
      <c r="P5396" s="178" t="str">
        <f ca="1">IF(Proc[[#This Row],[DaysAgeing]]&gt;5,"yep","on track")</f>
        <v>on track</v>
      </c>
      <c r="Q5396" s="3">
        <f ca="1">IF(Proc[[#This Row],[DateClosed]]="",ABS(NETWORKDAYS(Proc[[#This Row],[DateOpened]],TODAY()))-1,ABS(NETWORKDAYS(Proc[[#This Row],[DateOpened]],Proc[[#This Row],[DateClosed]]))-1)</f>
        <v>5</v>
      </c>
      <c r="R5396" s="178" t="s">
        <v>7726</v>
      </c>
      <c r="S5396" s="150"/>
    </row>
    <row r="5397" spans="1:19">
      <c r="A5397" s="179" t="s">
        <v>7725</v>
      </c>
      <c r="B5397" s="150" t="str">
        <f>IFERROR(VLOOKUP(Proc[[#This Row],[App]],Table2[],3,0),"open")</f>
        <v>ok</v>
      </c>
      <c r="C5397" s="179" t="s">
        <v>369</v>
      </c>
      <c r="D5397" s="179" t="s">
        <v>7694</v>
      </c>
      <c r="E5397" t="s">
        <v>7724</v>
      </c>
      <c r="F5397" s="150" t="s">
        <v>7724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6435</v>
      </c>
      <c r="M5397" s="178">
        <v>46044</v>
      </c>
      <c r="N5397" s="178"/>
      <c r="O5397" s="178"/>
      <c r="P5397" s="178" t="str">
        <f ca="1">IF(Proc[[#This Row],[DaysAgeing]]&gt;5,"yep","on track")</f>
        <v>on track</v>
      </c>
      <c r="Q5397" s="3">
        <f ca="1">IF(Proc[[#This Row],[DateClosed]]="",ABS(NETWORKDAYS(Proc[[#This Row],[DateOpened]],TODAY()))-1,ABS(NETWORKDAYS(Proc[[#This Row],[DateOpened]],Proc[[#This Row],[DateClosed]]))-1)</f>
        <v>5</v>
      </c>
      <c r="R5397" s="178" t="s">
        <v>7726</v>
      </c>
      <c r="S5397" s="150"/>
    </row>
    <row r="5398" spans="1:19">
      <c r="A5398" s="179" t="s">
        <v>7725</v>
      </c>
      <c r="B5398" s="150" t="str">
        <f>IFERROR(VLOOKUP(Proc[[#This Row],[App]],Table2[],3,0),"open")</f>
        <v>ok</v>
      </c>
      <c r="C5398" s="179" t="s">
        <v>369</v>
      </c>
      <c r="D5398" s="179" t="s">
        <v>7695</v>
      </c>
      <c r="E5398" t="s">
        <v>7724</v>
      </c>
      <c r="F5398" s="179" t="s">
        <v>7724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6435</v>
      </c>
      <c r="M5398" s="178">
        <v>46044</v>
      </c>
      <c r="N5398" s="178"/>
      <c r="O5398" s="178"/>
      <c r="P5398" s="178" t="str">
        <f ca="1">IF(Proc[[#This Row],[DaysAgeing]]&gt;5,"yep","on track")</f>
        <v>on track</v>
      </c>
      <c r="Q5398" s="3">
        <f ca="1">IF(Proc[[#This Row],[DateClosed]]="",ABS(NETWORKDAYS(Proc[[#This Row],[DateOpened]],TODAY()))-1,ABS(NETWORKDAYS(Proc[[#This Row],[DateOpened]],Proc[[#This Row],[DateClosed]]))-1)</f>
        <v>5</v>
      </c>
      <c r="R5398" s="178" t="s">
        <v>7726</v>
      </c>
      <c r="S5398" s="150"/>
    </row>
    <row r="5399" spans="1:19">
      <c r="A5399" s="179" t="s">
        <v>7725</v>
      </c>
      <c r="B5399" s="150" t="str">
        <f>IFERROR(VLOOKUP(Proc[[#This Row],[App]],Table2[],3,0),"open")</f>
        <v>ok</v>
      </c>
      <c r="C5399" s="179" t="s">
        <v>369</v>
      </c>
      <c r="D5399" s="179" t="s">
        <v>7696</v>
      </c>
      <c r="E5399" t="s">
        <v>7724</v>
      </c>
      <c r="F5399" s="150" t="s">
        <v>7724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6435</v>
      </c>
      <c r="M5399" s="178">
        <v>46044</v>
      </c>
      <c r="N5399" s="178"/>
      <c r="O5399" s="178"/>
      <c r="P5399" s="178" t="str">
        <f ca="1">IF(Proc[[#This Row],[DaysAgeing]]&gt;5,"yep","on track")</f>
        <v>on track</v>
      </c>
      <c r="Q5399" s="3">
        <f ca="1">IF(Proc[[#This Row],[DateClosed]]="",ABS(NETWORKDAYS(Proc[[#This Row],[DateOpened]],TODAY()))-1,ABS(NETWORKDAYS(Proc[[#This Row],[DateOpened]],Proc[[#This Row],[DateClosed]]))-1)</f>
        <v>5</v>
      </c>
      <c r="R5399" s="178" t="s">
        <v>7726</v>
      </c>
      <c r="S5399" s="150"/>
    </row>
    <row r="5400" spans="1:19">
      <c r="A5400" s="179" t="s">
        <v>7725</v>
      </c>
      <c r="B5400" s="150" t="str">
        <f>IFERROR(VLOOKUP(Proc[[#This Row],[App]],Table2[],3,0),"open")</f>
        <v>ok</v>
      </c>
      <c r="C5400" s="179" t="s">
        <v>369</v>
      </c>
      <c r="D5400" s="179" t="s">
        <v>7795</v>
      </c>
      <c r="E5400" t="s">
        <v>7724</v>
      </c>
      <c r="F5400" s="179" t="s">
        <v>7724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6435</v>
      </c>
      <c r="M5400" s="178">
        <v>46044</v>
      </c>
      <c r="N5400" s="178"/>
      <c r="O5400" s="178"/>
      <c r="P5400" s="178" t="str">
        <f ca="1">IF(Proc[[#This Row],[DaysAgeing]]&gt;5,"yep","on track")</f>
        <v>on track</v>
      </c>
      <c r="Q5400" s="3">
        <f ca="1">IF(Proc[[#This Row],[DateClosed]]="",ABS(NETWORKDAYS(Proc[[#This Row],[DateOpened]],TODAY()))-1,ABS(NETWORKDAYS(Proc[[#This Row],[DateOpened]],Proc[[#This Row],[DateClosed]]))-1)</f>
        <v>5</v>
      </c>
      <c r="R5400" s="178" t="s">
        <v>7726</v>
      </c>
      <c r="S5400" s="150"/>
    </row>
    <row r="5401" spans="1:19">
      <c r="A5401" s="179" t="s">
        <v>7725</v>
      </c>
      <c r="B5401" s="150" t="str">
        <f>IFERROR(VLOOKUP(Proc[[#This Row],[App]],Table2[],3,0),"open")</f>
        <v>ok</v>
      </c>
      <c r="C5401" s="179" t="s">
        <v>369</v>
      </c>
      <c r="D5401" s="179" t="s">
        <v>7697</v>
      </c>
      <c r="E5401" t="s">
        <v>7724</v>
      </c>
      <c r="F5401" s="150" t="s">
        <v>7724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6435</v>
      </c>
      <c r="M5401" s="178">
        <v>46044</v>
      </c>
      <c r="N5401" s="178"/>
      <c r="O5401" s="178"/>
      <c r="P5401" s="178" t="str">
        <f ca="1">IF(Proc[[#This Row],[DaysAgeing]]&gt;5,"yep","on track")</f>
        <v>on track</v>
      </c>
      <c r="Q5401" s="3">
        <f ca="1">IF(Proc[[#This Row],[DateClosed]]="",ABS(NETWORKDAYS(Proc[[#This Row],[DateOpened]],TODAY()))-1,ABS(NETWORKDAYS(Proc[[#This Row],[DateOpened]],Proc[[#This Row],[DateClosed]]))-1)</f>
        <v>5</v>
      </c>
      <c r="R5401" s="178" t="s">
        <v>7726</v>
      </c>
      <c r="S5401" s="150"/>
    </row>
    <row r="5402" spans="1:19">
      <c r="A5402" s="179" t="s">
        <v>7725</v>
      </c>
      <c r="B5402" s="150" t="str">
        <f>IFERROR(VLOOKUP(Proc[[#This Row],[App]],Table2[],3,0),"open")</f>
        <v>ok</v>
      </c>
      <c r="C5402" s="179" t="s">
        <v>369</v>
      </c>
      <c r="D5402" s="179" t="s">
        <v>7698</v>
      </c>
      <c r="E5402" t="s">
        <v>7724</v>
      </c>
      <c r="F5402" s="150" t="s">
        <v>7724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6435</v>
      </c>
      <c r="M5402" s="178">
        <v>46044</v>
      </c>
      <c r="N5402" s="178"/>
      <c r="O5402" s="178"/>
      <c r="P5402" s="178" t="str">
        <f ca="1">IF(Proc[[#This Row],[DaysAgeing]]&gt;5,"yep","on track")</f>
        <v>on track</v>
      </c>
      <c r="Q5402" s="3">
        <f ca="1">IF(Proc[[#This Row],[DateClosed]]="",ABS(NETWORKDAYS(Proc[[#This Row],[DateOpened]],TODAY()))-1,ABS(NETWORKDAYS(Proc[[#This Row],[DateOpened]],Proc[[#This Row],[DateClosed]]))-1)</f>
        <v>5</v>
      </c>
      <c r="R5402" s="178" t="s">
        <v>7726</v>
      </c>
      <c r="S5402" s="150"/>
    </row>
    <row r="5403" spans="1:19">
      <c r="A5403" s="179" t="s">
        <v>7725</v>
      </c>
      <c r="B5403" s="150" t="str">
        <f>IFERROR(VLOOKUP(Proc[[#This Row],[App]],Table2[],3,0),"open")</f>
        <v>ok</v>
      </c>
      <c r="C5403" s="179" t="s">
        <v>369</v>
      </c>
      <c r="D5403" s="179" t="s">
        <v>7699</v>
      </c>
      <c r="E5403" t="s">
        <v>7724</v>
      </c>
      <c r="F5403" s="150" t="s">
        <v>7724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6435</v>
      </c>
      <c r="M5403" s="178">
        <v>46044</v>
      </c>
      <c r="N5403" s="178"/>
      <c r="O5403" s="178"/>
      <c r="P5403" s="178" t="str">
        <f ca="1">IF(Proc[[#This Row],[DaysAgeing]]&gt;5,"yep","on track")</f>
        <v>on track</v>
      </c>
      <c r="Q5403" s="3">
        <f ca="1">IF(Proc[[#This Row],[DateClosed]]="",ABS(NETWORKDAYS(Proc[[#This Row],[DateOpened]],TODAY()))-1,ABS(NETWORKDAYS(Proc[[#This Row],[DateOpened]],Proc[[#This Row],[DateClosed]]))-1)</f>
        <v>5</v>
      </c>
      <c r="R5403" s="178" t="s">
        <v>7726</v>
      </c>
      <c r="S5403" s="150"/>
    </row>
    <row r="5404" spans="1:19">
      <c r="A5404" s="179" t="s">
        <v>7725</v>
      </c>
      <c r="B5404" s="150" t="str">
        <f>IFERROR(VLOOKUP(Proc[[#This Row],[App]],Table2[],3,0),"open")</f>
        <v>ok</v>
      </c>
      <c r="C5404" s="179" t="s">
        <v>369</v>
      </c>
      <c r="D5404" s="179" t="s">
        <v>7700</v>
      </c>
      <c r="E5404" t="s">
        <v>7724</v>
      </c>
      <c r="F5404" s="150" t="s">
        <v>7724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6435</v>
      </c>
      <c r="M5404" s="178">
        <v>46044</v>
      </c>
      <c r="N5404" s="178"/>
      <c r="O5404" s="178"/>
      <c r="P5404" s="178" t="str">
        <f ca="1">IF(Proc[[#This Row],[DaysAgeing]]&gt;5,"yep","on track")</f>
        <v>on track</v>
      </c>
      <c r="Q5404" s="3">
        <f ca="1">IF(Proc[[#This Row],[DateClosed]]="",ABS(NETWORKDAYS(Proc[[#This Row],[DateOpened]],TODAY()))-1,ABS(NETWORKDAYS(Proc[[#This Row],[DateOpened]],Proc[[#This Row],[DateClosed]]))-1)</f>
        <v>5</v>
      </c>
      <c r="R5404" s="178" t="s">
        <v>7726</v>
      </c>
      <c r="S5404" s="150"/>
    </row>
    <row r="5405" spans="1:19">
      <c r="A5405" s="179" t="s">
        <v>7725</v>
      </c>
      <c r="B5405" s="150" t="str">
        <f>IFERROR(VLOOKUP(Proc[[#This Row],[App]],Table2[],3,0),"open")</f>
        <v>ok</v>
      </c>
      <c r="C5405" s="179" t="s">
        <v>369</v>
      </c>
      <c r="D5405" s="179" t="s">
        <v>7701</v>
      </c>
      <c r="E5405" t="s">
        <v>7724</v>
      </c>
      <c r="F5405" s="150" t="s">
        <v>7724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6435</v>
      </c>
      <c r="M5405" s="178">
        <v>46044</v>
      </c>
      <c r="N5405" s="178"/>
      <c r="O5405" s="178"/>
      <c r="P5405" s="178" t="str">
        <f ca="1">IF(Proc[[#This Row],[DaysAgeing]]&gt;5,"yep","on track")</f>
        <v>on track</v>
      </c>
      <c r="Q5405" s="3">
        <f ca="1">IF(Proc[[#This Row],[DateClosed]]="",ABS(NETWORKDAYS(Proc[[#This Row],[DateOpened]],TODAY()))-1,ABS(NETWORKDAYS(Proc[[#This Row],[DateOpened]],Proc[[#This Row],[DateClosed]]))-1)</f>
        <v>5</v>
      </c>
      <c r="R5405" s="178" t="s">
        <v>7726</v>
      </c>
      <c r="S5405" s="150"/>
    </row>
    <row r="5406" spans="1:19">
      <c r="A5406" s="179" t="s">
        <v>7725</v>
      </c>
      <c r="B5406" s="150" t="str">
        <f>IFERROR(VLOOKUP(Proc[[#This Row],[App]],Table2[],3,0),"open")</f>
        <v>ok</v>
      </c>
      <c r="C5406" s="179" t="s">
        <v>369</v>
      </c>
      <c r="D5406" s="179" t="s">
        <v>7702</v>
      </c>
      <c r="E5406" t="s">
        <v>7724</v>
      </c>
      <c r="F5406" s="150" t="s">
        <v>7724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6435</v>
      </c>
      <c r="M5406" s="178">
        <v>46044</v>
      </c>
      <c r="N5406" s="178"/>
      <c r="O5406" s="178"/>
      <c r="P5406" s="178" t="str">
        <f ca="1">IF(Proc[[#This Row],[DaysAgeing]]&gt;5,"yep","on track")</f>
        <v>on track</v>
      </c>
      <c r="Q5406" s="3">
        <f ca="1">IF(Proc[[#This Row],[DateClosed]]="",ABS(NETWORKDAYS(Proc[[#This Row],[DateOpened]],TODAY()))-1,ABS(NETWORKDAYS(Proc[[#This Row],[DateOpened]],Proc[[#This Row],[DateClosed]]))-1)</f>
        <v>5</v>
      </c>
      <c r="R5406" s="178" t="s">
        <v>7726</v>
      </c>
      <c r="S5406" s="150"/>
    </row>
    <row r="5407" spans="1:19">
      <c r="A5407" s="179" t="s">
        <v>7725</v>
      </c>
      <c r="B5407" s="150" t="str">
        <f>IFERROR(VLOOKUP(Proc[[#This Row],[App]],Table2[],3,0),"open")</f>
        <v>ok</v>
      </c>
      <c r="C5407" s="179" t="s">
        <v>369</v>
      </c>
      <c r="D5407" s="179" t="s">
        <v>7703</v>
      </c>
      <c r="E5407" t="s">
        <v>7724</v>
      </c>
      <c r="F5407" s="150" t="s">
        <v>7724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6435</v>
      </c>
      <c r="M5407" s="178">
        <v>46044</v>
      </c>
      <c r="N5407" s="178"/>
      <c r="O5407" s="178"/>
      <c r="P5407" s="178" t="str">
        <f ca="1">IF(Proc[[#This Row],[DaysAgeing]]&gt;5,"yep","on track")</f>
        <v>on track</v>
      </c>
      <c r="Q5407" s="3">
        <f ca="1">IF(Proc[[#This Row],[DateClosed]]="",ABS(NETWORKDAYS(Proc[[#This Row],[DateOpened]],TODAY()))-1,ABS(NETWORKDAYS(Proc[[#This Row],[DateOpened]],Proc[[#This Row],[DateClosed]]))-1)</f>
        <v>5</v>
      </c>
      <c r="R5407" s="178" t="s">
        <v>7726</v>
      </c>
      <c r="S5407" s="150"/>
    </row>
    <row r="5408" spans="1:19">
      <c r="A5408" s="179" t="s">
        <v>7725</v>
      </c>
      <c r="B5408" s="150" t="str">
        <f>IFERROR(VLOOKUP(Proc[[#This Row],[App]],Table2[],3,0),"open")</f>
        <v>ok</v>
      </c>
      <c r="C5408" s="179" t="s">
        <v>369</v>
      </c>
      <c r="D5408" s="179" t="s">
        <v>7704</v>
      </c>
      <c r="E5408" t="s">
        <v>7724</v>
      </c>
      <c r="F5408" s="150" t="s">
        <v>7724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6435</v>
      </c>
      <c r="M5408" s="178">
        <v>46044</v>
      </c>
      <c r="N5408" s="178"/>
      <c r="O5408" s="178"/>
      <c r="P5408" s="178" t="str">
        <f ca="1">IF(Proc[[#This Row],[DaysAgeing]]&gt;5,"yep","on track")</f>
        <v>on track</v>
      </c>
      <c r="Q5408" s="3">
        <f ca="1">IF(Proc[[#This Row],[DateClosed]]="",ABS(NETWORKDAYS(Proc[[#This Row],[DateOpened]],TODAY()))-1,ABS(NETWORKDAYS(Proc[[#This Row],[DateOpened]],Proc[[#This Row],[DateClosed]]))-1)</f>
        <v>5</v>
      </c>
      <c r="R5408" s="178" t="s">
        <v>7726</v>
      </c>
      <c r="S5408" s="150"/>
    </row>
    <row r="5409" spans="1:19">
      <c r="A5409" s="179" t="s">
        <v>7725</v>
      </c>
      <c r="B5409" s="150" t="str">
        <f>IFERROR(VLOOKUP(Proc[[#This Row],[App]],Table2[],3,0),"open")</f>
        <v>ok</v>
      </c>
      <c r="C5409" s="179" t="s">
        <v>369</v>
      </c>
      <c r="D5409" s="179" t="s">
        <v>7705</v>
      </c>
      <c r="E5409" t="s">
        <v>7724</v>
      </c>
      <c r="F5409" s="150" t="s">
        <v>7724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6435</v>
      </c>
      <c r="M5409" s="178">
        <v>46044</v>
      </c>
      <c r="N5409" s="178"/>
      <c r="O5409" s="178"/>
      <c r="P5409" s="178" t="str">
        <f ca="1">IF(Proc[[#This Row],[DaysAgeing]]&gt;5,"yep","on track")</f>
        <v>on track</v>
      </c>
      <c r="Q5409" s="3">
        <f ca="1">IF(Proc[[#This Row],[DateClosed]]="",ABS(NETWORKDAYS(Proc[[#This Row],[DateOpened]],TODAY()))-1,ABS(NETWORKDAYS(Proc[[#This Row],[DateOpened]],Proc[[#This Row],[DateClosed]]))-1)</f>
        <v>5</v>
      </c>
      <c r="R5409" s="178" t="s">
        <v>7726</v>
      </c>
      <c r="S5409" s="150"/>
    </row>
    <row r="5410" spans="1:19">
      <c r="A5410" s="179" t="s">
        <v>7725</v>
      </c>
      <c r="B5410" s="150" t="str">
        <f>IFERROR(VLOOKUP(Proc[[#This Row],[App]],Table2[],3,0),"open")</f>
        <v>ok</v>
      </c>
      <c r="C5410" s="179" t="s">
        <v>369</v>
      </c>
      <c r="D5410" s="179" t="s">
        <v>7706</v>
      </c>
      <c r="E5410" t="s">
        <v>7724</v>
      </c>
      <c r="F5410" s="150" t="s">
        <v>7724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6435</v>
      </c>
      <c r="M5410" s="178">
        <v>46044</v>
      </c>
      <c r="N5410" s="178"/>
      <c r="O5410" s="178"/>
      <c r="P5410" s="178" t="str">
        <f ca="1">IF(Proc[[#This Row],[DaysAgeing]]&gt;5,"yep","on track")</f>
        <v>on track</v>
      </c>
      <c r="Q5410" s="3">
        <f ca="1">IF(Proc[[#This Row],[DateClosed]]="",ABS(NETWORKDAYS(Proc[[#This Row],[DateOpened]],TODAY()))-1,ABS(NETWORKDAYS(Proc[[#This Row],[DateOpened]],Proc[[#This Row],[DateClosed]]))-1)</f>
        <v>5</v>
      </c>
      <c r="R5410" s="178" t="s">
        <v>7726</v>
      </c>
      <c r="S5410" s="150"/>
    </row>
    <row r="5411" spans="1:19">
      <c r="A5411" s="179" t="s">
        <v>7725</v>
      </c>
      <c r="B5411" s="150" t="str">
        <f>IFERROR(VLOOKUP(Proc[[#This Row],[App]],Table2[],3,0),"open")</f>
        <v>ok</v>
      </c>
      <c r="C5411" s="179" t="s">
        <v>369</v>
      </c>
      <c r="D5411" s="179" t="s">
        <v>7707</v>
      </c>
      <c r="E5411" t="s">
        <v>7724</v>
      </c>
      <c r="F5411" s="150" t="s">
        <v>7724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6435</v>
      </c>
      <c r="M5411" s="178">
        <v>46044</v>
      </c>
      <c r="N5411" s="178"/>
      <c r="O5411" s="178"/>
      <c r="P5411" s="178" t="str">
        <f ca="1">IF(Proc[[#This Row],[DaysAgeing]]&gt;5,"yep","on track")</f>
        <v>on track</v>
      </c>
      <c r="Q5411" s="3">
        <f ca="1">IF(Proc[[#This Row],[DateClosed]]="",ABS(NETWORKDAYS(Proc[[#This Row],[DateOpened]],TODAY()))-1,ABS(NETWORKDAYS(Proc[[#This Row],[DateOpened]],Proc[[#This Row],[DateClosed]]))-1)</f>
        <v>5</v>
      </c>
      <c r="R5411" s="178" t="s">
        <v>7726</v>
      </c>
      <c r="S5411" s="150"/>
    </row>
    <row r="5412" spans="1:19">
      <c r="A5412" t="s">
        <v>7731</v>
      </c>
      <c r="B5412" s="150" t="str">
        <f>IFERROR(VLOOKUP(Proc[[#This Row],[App]],Table2[],3,0),"open")</f>
        <v>ok</v>
      </c>
      <c r="C5412" s="179" t="s">
        <v>369</v>
      </c>
      <c r="D5412" t="s">
        <v>7729</v>
      </c>
      <c r="E5412" t="s">
        <v>7730</v>
      </c>
      <c r="F5412" s="150" t="s">
        <v>7730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6435</v>
      </c>
      <c r="M5412" s="178">
        <v>46045</v>
      </c>
      <c r="N5412" s="178"/>
      <c r="O5412" s="178"/>
      <c r="P5412" s="178" t="str">
        <f ca="1">IF(Proc[[#This Row],[DaysAgeing]]&gt;5,"yep","on track")</f>
        <v>on track</v>
      </c>
      <c r="Q5412" s="3">
        <f ca="1">IF(Proc[[#This Row],[DateClosed]]="",ABS(NETWORKDAYS(Proc[[#This Row],[DateOpened]],TODAY()))-1,ABS(NETWORKDAYS(Proc[[#This Row],[DateOpened]],Proc[[#This Row],[DateClosed]]))-1)</f>
        <v>4</v>
      </c>
      <c r="R5412" s="178" t="s">
        <v>7732</v>
      </c>
      <c r="S5412" s="150"/>
    </row>
    <row r="5413" spans="1:19">
      <c r="A5413" t="s">
        <v>7733</v>
      </c>
      <c r="B5413" s="150" t="str">
        <f>IFERROR(VLOOKUP(Proc[[#This Row],[App]],Table2[],3,0),"open")</f>
        <v>ok</v>
      </c>
      <c r="C5413" s="179" t="s">
        <v>369</v>
      </c>
      <c r="D5413" t="s">
        <v>7734</v>
      </c>
      <c r="E5413" t="s">
        <v>4829</v>
      </c>
      <c r="F5413" s="150" t="s">
        <v>4829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6435</v>
      </c>
      <c r="M5413" s="178">
        <v>46045</v>
      </c>
      <c r="N5413" s="178"/>
      <c r="O5413" s="178"/>
      <c r="P5413" s="178" t="str">
        <f ca="1">IF(Proc[[#This Row],[DaysAgeing]]&gt;5,"yep","on track")</f>
        <v>on track</v>
      </c>
      <c r="Q5413" s="3">
        <f ca="1">IF(Proc[[#This Row],[DateClosed]]="",ABS(NETWORKDAYS(Proc[[#This Row],[DateOpened]],TODAY()))-1,ABS(NETWORKDAYS(Proc[[#This Row],[DateOpened]],Proc[[#This Row],[DateClosed]]))-1)</f>
        <v>4</v>
      </c>
      <c r="R5413" s="178" t="s">
        <v>7792</v>
      </c>
      <c r="S5413" s="150"/>
    </row>
    <row r="5414" spans="1:19">
      <c r="A5414" s="179" t="s">
        <v>7733</v>
      </c>
      <c r="B5414" s="150" t="str">
        <f>IFERROR(VLOOKUP(Proc[[#This Row],[App]],Table2[],3,0),"open")</f>
        <v>ok</v>
      </c>
      <c r="C5414" s="179" t="s">
        <v>369</v>
      </c>
      <c r="D5414" t="s">
        <v>7735</v>
      </c>
      <c r="E5414" t="s">
        <v>4829</v>
      </c>
      <c r="F5414" s="150" t="s">
        <v>4829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6435</v>
      </c>
      <c r="M5414" s="178">
        <v>46045</v>
      </c>
      <c r="N5414" s="178"/>
      <c r="O5414" s="178"/>
      <c r="P5414" s="178" t="str">
        <f ca="1">IF(Proc[[#This Row],[DaysAgeing]]&gt;5,"yep","on track")</f>
        <v>on track</v>
      </c>
      <c r="Q5414" s="3">
        <f ca="1">IF(Proc[[#This Row],[DateClosed]]="",ABS(NETWORKDAYS(Proc[[#This Row],[DateOpened]],TODAY()))-1,ABS(NETWORKDAYS(Proc[[#This Row],[DateOpened]],Proc[[#This Row],[DateClosed]]))-1)</f>
        <v>4</v>
      </c>
      <c r="R5414" s="178" t="s">
        <v>7792</v>
      </c>
      <c r="S5414" s="150"/>
    </row>
    <row r="5415" spans="1:19">
      <c r="A5415" s="179" t="s">
        <v>7733</v>
      </c>
      <c r="B5415" s="150" t="str">
        <f>IFERROR(VLOOKUP(Proc[[#This Row],[App]],Table2[],3,0),"open")</f>
        <v>ok</v>
      </c>
      <c r="C5415" s="179" t="s">
        <v>369</v>
      </c>
      <c r="D5415" t="s">
        <v>7736</v>
      </c>
      <c r="E5415" t="s">
        <v>4829</v>
      </c>
      <c r="F5415" s="150" t="s">
        <v>4829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6435</v>
      </c>
      <c r="M5415" s="178">
        <v>46045</v>
      </c>
      <c r="N5415" s="178"/>
      <c r="O5415" s="178"/>
      <c r="P5415" s="178" t="str">
        <f ca="1">IF(Proc[[#This Row],[DaysAgeing]]&gt;5,"yep","on track")</f>
        <v>on track</v>
      </c>
      <c r="Q5415" s="3">
        <f ca="1">IF(Proc[[#This Row],[DateClosed]]="",ABS(NETWORKDAYS(Proc[[#This Row],[DateOpened]],TODAY()))-1,ABS(NETWORKDAYS(Proc[[#This Row],[DateOpened]],Proc[[#This Row],[DateClosed]]))-1)</f>
        <v>4</v>
      </c>
      <c r="R5415" s="178" t="s">
        <v>7792</v>
      </c>
      <c r="S5415" s="150"/>
    </row>
    <row r="5416" spans="1:19">
      <c r="A5416" s="179" t="s">
        <v>7733</v>
      </c>
      <c r="B5416" s="150" t="str">
        <f>IFERROR(VLOOKUP(Proc[[#This Row],[App]],Table2[],3,0),"open")</f>
        <v>ok</v>
      </c>
      <c r="C5416" s="179" t="s">
        <v>369</v>
      </c>
      <c r="D5416" t="s">
        <v>7737</v>
      </c>
      <c r="E5416" t="s">
        <v>4829</v>
      </c>
      <c r="F5416" s="150" t="s">
        <v>4829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6435</v>
      </c>
      <c r="M5416" s="178">
        <v>46045</v>
      </c>
      <c r="N5416" s="178"/>
      <c r="O5416" s="178"/>
      <c r="P5416" s="178" t="str">
        <f ca="1">IF(Proc[[#This Row],[DaysAgeing]]&gt;5,"yep","on track")</f>
        <v>on track</v>
      </c>
      <c r="Q5416" s="3">
        <f ca="1">IF(Proc[[#This Row],[DateClosed]]="",ABS(NETWORKDAYS(Proc[[#This Row],[DateOpened]],TODAY()))-1,ABS(NETWORKDAYS(Proc[[#This Row],[DateOpened]],Proc[[#This Row],[DateClosed]]))-1)</f>
        <v>4</v>
      </c>
      <c r="R5416" s="178" t="s">
        <v>7792</v>
      </c>
      <c r="S5416" s="150"/>
    </row>
    <row r="5417" spans="1:19">
      <c r="A5417" s="179" t="s">
        <v>7733</v>
      </c>
      <c r="B5417" s="150" t="str">
        <f>IFERROR(VLOOKUP(Proc[[#This Row],[App]],Table2[],3,0),"open")</f>
        <v>ok</v>
      </c>
      <c r="C5417" s="179" t="s">
        <v>369</v>
      </c>
      <c r="D5417" t="s">
        <v>7738</v>
      </c>
      <c r="E5417" t="s">
        <v>4829</v>
      </c>
      <c r="F5417" s="150" t="s">
        <v>4829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6435</v>
      </c>
      <c r="M5417" s="178">
        <v>46045</v>
      </c>
      <c r="N5417" s="178"/>
      <c r="O5417" s="178"/>
      <c r="P5417" s="178" t="str">
        <f ca="1">IF(Proc[[#This Row],[DaysAgeing]]&gt;5,"yep","on track")</f>
        <v>on track</v>
      </c>
      <c r="Q5417" s="3">
        <f ca="1">IF(Proc[[#This Row],[DateClosed]]="",ABS(NETWORKDAYS(Proc[[#This Row],[DateOpened]],TODAY()))-1,ABS(NETWORKDAYS(Proc[[#This Row],[DateOpened]],Proc[[#This Row],[DateClosed]]))-1)</f>
        <v>4</v>
      </c>
      <c r="R5417" s="178" t="s">
        <v>7792</v>
      </c>
      <c r="S5417" s="150"/>
    </row>
    <row r="5418" spans="1:19">
      <c r="A5418" s="179" t="s">
        <v>7733</v>
      </c>
      <c r="B5418" s="150" t="str">
        <f>IFERROR(VLOOKUP(Proc[[#This Row],[App]],Table2[],3,0),"open")</f>
        <v>ok</v>
      </c>
      <c r="C5418" s="179" t="s">
        <v>369</v>
      </c>
      <c r="D5418" t="s">
        <v>7739</v>
      </c>
      <c r="E5418" t="s">
        <v>4829</v>
      </c>
      <c r="F5418" s="150" t="s">
        <v>4829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6435</v>
      </c>
      <c r="M5418" s="178">
        <v>46045</v>
      </c>
      <c r="N5418" s="178"/>
      <c r="O5418" s="178"/>
      <c r="P5418" s="178" t="str">
        <f ca="1">IF(Proc[[#This Row],[DaysAgeing]]&gt;5,"yep","on track")</f>
        <v>on track</v>
      </c>
      <c r="Q5418" s="3">
        <f ca="1">IF(Proc[[#This Row],[DateClosed]]="",ABS(NETWORKDAYS(Proc[[#This Row],[DateOpened]],TODAY()))-1,ABS(NETWORKDAYS(Proc[[#This Row],[DateOpened]],Proc[[#This Row],[DateClosed]]))-1)</f>
        <v>4</v>
      </c>
      <c r="R5418" s="178" t="s">
        <v>7792</v>
      </c>
      <c r="S5418" s="150"/>
    </row>
    <row r="5419" spans="1:19">
      <c r="A5419" s="179" t="s">
        <v>7733</v>
      </c>
      <c r="B5419" s="150" t="str">
        <f>IFERROR(VLOOKUP(Proc[[#This Row],[App]],Table2[],3,0),"open")</f>
        <v>ok</v>
      </c>
      <c r="C5419" s="179" t="s">
        <v>369</v>
      </c>
      <c r="D5419" t="s">
        <v>7740</v>
      </c>
      <c r="E5419" t="s">
        <v>4829</v>
      </c>
      <c r="F5419" s="150" t="s">
        <v>4829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6435</v>
      </c>
      <c r="M5419" s="178">
        <v>46045</v>
      </c>
      <c r="N5419" s="178"/>
      <c r="O5419" s="178"/>
      <c r="P5419" s="178" t="str">
        <f ca="1">IF(Proc[[#This Row],[DaysAgeing]]&gt;5,"yep","on track")</f>
        <v>on track</v>
      </c>
      <c r="Q5419" s="3">
        <f ca="1">IF(Proc[[#This Row],[DateClosed]]="",ABS(NETWORKDAYS(Proc[[#This Row],[DateOpened]],TODAY()))-1,ABS(NETWORKDAYS(Proc[[#This Row],[DateOpened]],Proc[[#This Row],[DateClosed]]))-1)</f>
        <v>4</v>
      </c>
      <c r="R5419" s="178" t="s">
        <v>7792</v>
      </c>
      <c r="S5419" s="150"/>
    </row>
    <row r="5420" spans="1:19">
      <c r="A5420" s="179" t="s">
        <v>7733</v>
      </c>
      <c r="B5420" s="150" t="str">
        <f>IFERROR(VLOOKUP(Proc[[#This Row],[App]],Table2[],3,0),"open")</f>
        <v>ok</v>
      </c>
      <c r="C5420" s="179" t="s">
        <v>369</v>
      </c>
      <c r="D5420" t="s">
        <v>7741</v>
      </c>
      <c r="E5420" t="s">
        <v>4829</v>
      </c>
      <c r="F5420" s="150" t="s">
        <v>4829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6435</v>
      </c>
      <c r="M5420" s="178">
        <v>46045</v>
      </c>
      <c r="N5420" s="178"/>
      <c r="O5420" s="178"/>
      <c r="P5420" s="178" t="str">
        <f ca="1">IF(Proc[[#This Row],[DaysAgeing]]&gt;5,"yep","on track")</f>
        <v>on track</v>
      </c>
      <c r="Q5420" s="3">
        <f ca="1">IF(Proc[[#This Row],[DateClosed]]="",ABS(NETWORKDAYS(Proc[[#This Row],[DateOpened]],TODAY()))-1,ABS(NETWORKDAYS(Proc[[#This Row],[DateOpened]],Proc[[#This Row],[DateClosed]]))-1)</f>
        <v>4</v>
      </c>
      <c r="R5420" s="178" t="s">
        <v>7792</v>
      </c>
      <c r="S5420" s="150"/>
    </row>
    <row r="5421" spans="1:19">
      <c r="A5421" s="179" t="s">
        <v>7733</v>
      </c>
      <c r="B5421" s="150" t="str">
        <f>IFERROR(VLOOKUP(Proc[[#This Row],[App]],Table2[],3,0),"open")</f>
        <v>ok</v>
      </c>
      <c r="C5421" s="179" t="s">
        <v>369</v>
      </c>
      <c r="D5421" t="s">
        <v>7742</v>
      </c>
      <c r="E5421" t="s">
        <v>4829</v>
      </c>
      <c r="F5421" s="150" t="s">
        <v>4829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6435</v>
      </c>
      <c r="M5421" s="178">
        <v>46045</v>
      </c>
      <c r="N5421" s="178"/>
      <c r="O5421" s="178"/>
      <c r="P5421" s="178" t="str">
        <f ca="1">IF(Proc[[#This Row],[DaysAgeing]]&gt;5,"yep","on track")</f>
        <v>on track</v>
      </c>
      <c r="Q5421" s="3">
        <f ca="1">IF(Proc[[#This Row],[DateClosed]]="",ABS(NETWORKDAYS(Proc[[#This Row],[DateOpened]],TODAY()))-1,ABS(NETWORKDAYS(Proc[[#This Row],[DateOpened]],Proc[[#This Row],[DateClosed]]))-1)</f>
        <v>4</v>
      </c>
      <c r="R5421" s="178" t="s">
        <v>7792</v>
      </c>
      <c r="S5421" s="150"/>
    </row>
    <row r="5422" spans="1:19">
      <c r="A5422" s="179" t="s">
        <v>7733</v>
      </c>
      <c r="B5422" s="150" t="str">
        <f>IFERROR(VLOOKUP(Proc[[#This Row],[App]],Table2[],3,0),"open")</f>
        <v>ok</v>
      </c>
      <c r="C5422" s="179" t="s">
        <v>369</v>
      </c>
      <c r="D5422" t="s">
        <v>7743</v>
      </c>
      <c r="E5422" t="s">
        <v>4829</v>
      </c>
      <c r="F5422" s="150" t="s">
        <v>4829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6435</v>
      </c>
      <c r="M5422" s="178">
        <v>46045</v>
      </c>
      <c r="N5422" s="178"/>
      <c r="O5422" s="178"/>
      <c r="P5422" s="178" t="str">
        <f ca="1">IF(Proc[[#This Row],[DaysAgeing]]&gt;5,"yep","on track")</f>
        <v>on track</v>
      </c>
      <c r="Q5422" s="3">
        <f ca="1">IF(Proc[[#This Row],[DateClosed]]="",ABS(NETWORKDAYS(Proc[[#This Row],[DateOpened]],TODAY()))-1,ABS(NETWORKDAYS(Proc[[#This Row],[DateOpened]],Proc[[#This Row],[DateClosed]]))-1)</f>
        <v>4</v>
      </c>
      <c r="R5422" s="178" t="s">
        <v>7792</v>
      </c>
      <c r="S5422" s="150"/>
    </row>
    <row r="5423" spans="1:19">
      <c r="A5423" s="179" t="s">
        <v>7733</v>
      </c>
      <c r="B5423" s="150" t="str">
        <f>IFERROR(VLOOKUP(Proc[[#This Row],[App]],Table2[],3,0),"open")</f>
        <v>ok</v>
      </c>
      <c r="C5423" s="179" t="s">
        <v>369</v>
      </c>
      <c r="D5423" t="s">
        <v>7744</v>
      </c>
      <c r="E5423" t="s">
        <v>4829</v>
      </c>
      <c r="F5423" s="150" t="s">
        <v>4829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6435</v>
      </c>
      <c r="M5423" s="178">
        <v>46045</v>
      </c>
      <c r="N5423" s="178"/>
      <c r="O5423" s="178"/>
      <c r="P5423" s="178" t="str">
        <f ca="1">IF(Proc[[#This Row],[DaysAgeing]]&gt;5,"yep","on track")</f>
        <v>on track</v>
      </c>
      <c r="Q5423" s="3">
        <f ca="1">IF(Proc[[#This Row],[DateClosed]]="",ABS(NETWORKDAYS(Proc[[#This Row],[DateOpened]],TODAY()))-1,ABS(NETWORKDAYS(Proc[[#This Row],[DateOpened]],Proc[[#This Row],[DateClosed]]))-1)</f>
        <v>4</v>
      </c>
      <c r="R5423" s="178" t="s">
        <v>7792</v>
      </c>
      <c r="S5423" s="150"/>
    </row>
    <row r="5424" spans="1:19">
      <c r="A5424" s="179" t="s">
        <v>7733</v>
      </c>
      <c r="B5424" s="150" t="str">
        <f>IFERROR(VLOOKUP(Proc[[#This Row],[App]],Table2[],3,0),"open")</f>
        <v>ok</v>
      </c>
      <c r="C5424" s="179" t="s">
        <v>369</v>
      </c>
      <c r="D5424" t="s">
        <v>7745</v>
      </c>
      <c r="E5424" t="s">
        <v>4829</v>
      </c>
      <c r="F5424" s="150" t="s">
        <v>4829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6435</v>
      </c>
      <c r="M5424" s="178">
        <v>46045</v>
      </c>
      <c r="N5424" s="178"/>
      <c r="O5424" s="178"/>
      <c r="P5424" s="178" t="str">
        <f ca="1">IF(Proc[[#This Row],[DaysAgeing]]&gt;5,"yep","on track")</f>
        <v>on track</v>
      </c>
      <c r="Q5424" s="3">
        <f ca="1">IF(Proc[[#This Row],[DateClosed]]="",ABS(NETWORKDAYS(Proc[[#This Row],[DateOpened]],TODAY()))-1,ABS(NETWORKDAYS(Proc[[#This Row],[DateOpened]],Proc[[#This Row],[DateClosed]]))-1)</f>
        <v>4</v>
      </c>
      <c r="R5424" s="178" t="s">
        <v>7792</v>
      </c>
      <c r="S5424" s="150"/>
    </row>
    <row r="5425" spans="1:19">
      <c r="A5425" s="179" t="s">
        <v>7733</v>
      </c>
      <c r="B5425" s="150" t="str">
        <f>IFERROR(VLOOKUP(Proc[[#This Row],[App]],Table2[],3,0),"open")</f>
        <v>ok</v>
      </c>
      <c r="C5425" s="179" t="s">
        <v>369</v>
      </c>
      <c r="D5425" t="s">
        <v>7746</v>
      </c>
      <c r="E5425" t="s">
        <v>4829</v>
      </c>
      <c r="F5425" s="150" t="s">
        <v>4829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6435</v>
      </c>
      <c r="M5425" s="178">
        <v>46045</v>
      </c>
      <c r="N5425" s="178"/>
      <c r="O5425" s="178"/>
      <c r="P5425" s="178" t="str">
        <f ca="1">IF(Proc[[#This Row],[DaysAgeing]]&gt;5,"yep","on track")</f>
        <v>on track</v>
      </c>
      <c r="Q5425" s="3">
        <f ca="1">IF(Proc[[#This Row],[DateClosed]]="",ABS(NETWORKDAYS(Proc[[#This Row],[DateOpened]],TODAY()))-1,ABS(NETWORKDAYS(Proc[[#This Row],[DateOpened]],Proc[[#This Row],[DateClosed]]))-1)</f>
        <v>4</v>
      </c>
      <c r="R5425" s="178" t="s">
        <v>7792</v>
      </c>
      <c r="S5425" s="150"/>
    </row>
    <row r="5426" spans="1:19">
      <c r="A5426" s="179" t="s">
        <v>7733</v>
      </c>
      <c r="B5426" s="150" t="str">
        <f>IFERROR(VLOOKUP(Proc[[#This Row],[App]],Table2[],3,0),"open")</f>
        <v>ok</v>
      </c>
      <c r="C5426" s="179" t="s">
        <v>369</v>
      </c>
      <c r="D5426" t="s">
        <v>7747</v>
      </c>
      <c r="E5426" t="s">
        <v>4829</v>
      </c>
      <c r="F5426" s="150" t="s">
        <v>4829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6435</v>
      </c>
      <c r="M5426" s="178">
        <v>46045</v>
      </c>
      <c r="N5426" s="178"/>
      <c r="O5426" s="178"/>
      <c r="P5426" s="178" t="str">
        <f ca="1">IF(Proc[[#This Row],[DaysAgeing]]&gt;5,"yep","on track")</f>
        <v>on track</v>
      </c>
      <c r="Q5426" s="3">
        <f ca="1">IF(Proc[[#This Row],[DateClosed]]="",ABS(NETWORKDAYS(Proc[[#This Row],[DateOpened]],TODAY()))-1,ABS(NETWORKDAYS(Proc[[#This Row],[DateOpened]],Proc[[#This Row],[DateClosed]]))-1)</f>
        <v>4</v>
      </c>
      <c r="R5426" s="178" t="s">
        <v>7792</v>
      </c>
      <c r="S5426" s="150"/>
    </row>
    <row r="5427" spans="1:19">
      <c r="A5427" s="179" t="s">
        <v>7733</v>
      </c>
      <c r="B5427" s="150" t="str">
        <f>IFERROR(VLOOKUP(Proc[[#This Row],[App]],Table2[],3,0),"open")</f>
        <v>ok</v>
      </c>
      <c r="C5427" s="179" t="s">
        <v>369</v>
      </c>
      <c r="D5427" t="s">
        <v>7748</v>
      </c>
      <c r="E5427" t="s">
        <v>4829</v>
      </c>
      <c r="F5427" s="150" t="s">
        <v>4829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6435</v>
      </c>
      <c r="M5427" s="178">
        <v>46045</v>
      </c>
      <c r="N5427" s="178"/>
      <c r="O5427" s="178"/>
      <c r="P5427" s="178" t="str">
        <f ca="1">IF(Proc[[#This Row],[DaysAgeing]]&gt;5,"yep","on track")</f>
        <v>on track</v>
      </c>
      <c r="Q5427" s="3">
        <f ca="1">IF(Proc[[#This Row],[DateClosed]]="",ABS(NETWORKDAYS(Proc[[#This Row],[DateOpened]],TODAY()))-1,ABS(NETWORKDAYS(Proc[[#This Row],[DateOpened]],Proc[[#This Row],[DateClosed]]))-1)</f>
        <v>4</v>
      </c>
      <c r="R5427" s="178" t="s">
        <v>7792</v>
      </c>
      <c r="S5427" s="150"/>
    </row>
    <row r="5428" spans="1:19">
      <c r="A5428" s="179" t="s">
        <v>7733</v>
      </c>
      <c r="B5428" s="150" t="str">
        <f>IFERROR(VLOOKUP(Proc[[#This Row],[App]],Table2[],3,0),"open")</f>
        <v>ok</v>
      </c>
      <c r="C5428" s="179" t="s">
        <v>369</v>
      </c>
      <c r="D5428" t="s">
        <v>7749</v>
      </c>
      <c r="E5428" t="s">
        <v>4829</v>
      </c>
      <c r="F5428" s="150" t="s">
        <v>4829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6435</v>
      </c>
      <c r="M5428" s="178">
        <v>46045</v>
      </c>
      <c r="N5428" s="178"/>
      <c r="O5428" s="178"/>
      <c r="P5428" s="178" t="str">
        <f ca="1">IF(Proc[[#This Row],[DaysAgeing]]&gt;5,"yep","on track")</f>
        <v>on track</v>
      </c>
      <c r="Q5428" s="3">
        <f ca="1">IF(Proc[[#This Row],[DateClosed]]="",ABS(NETWORKDAYS(Proc[[#This Row],[DateOpened]],TODAY()))-1,ABS(NETWORKDAYS(Proc[[#This Row],[DateOpened]],Proc[[#This Row],[DateClosed]]))-1)</f>
        <v>4</v>
      </c>
      <c r="R5428" s="178" t="s">
        <v>7792</v>
      </c>
      <c r="S5428" s="150"/>
    </row>
    <row r="5429" spans="1:19">
      <c r="A5429" s="179" t="s">
        <v>7733</v>
      </c>
      <c r="B5429" s="150" t="str">
        <f>IFERROR(VLOOKUP(Proc[[#This Row],[App]],Table2[],3,0),"open")</f>
        <v>ok</v>
      </c>
      <c r="C5429" s="179" t="s">
        <v>369</v>
      </c>
      <c r="D5429" t="s">
        <v>7750</v>
      </c>
      <c r="E5429" t="s">
        <v>4829</v>
      </c>
      <c r="F5429" s="150" t="s">
        <v>4829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6435</v>
      </c>
      <c r="M5429" s="178">
        <v>46045</v>
      </c>
      <c r="N5429" s="178"/>
      <c r="O5429" s="178"/>
      <c r="P5429" s="178" t="str">
        <f ca="1">IF(Proc[[#This Row],[DaysAgeing]]&gt;5,"yep","on track")</f>
        <v>on track</v>
      </c>
      <c r="Q5429" s="3">
        <f ca="1">IF(Proc[[#This Row],[DateClosed]]="",ABS(NETWORKDAYS(Proc[[#This Row],[DateOpened]],TODAY()))-1,ABS(NETWORKDAYS(Proc[[#This Row],[DateOpened]],Proc[[#This Row],[DateClosed]]))-1)</f>
        <v>4</v>
      </c>
      <c r="R5429" s="178" t="s">
        <v>7792</v>
      </c>
      <c r="S5429" s="150"/>
    </row>
    <row r="5430" spans="1:19">
      <c r="A5430" s="179" t="s">
        <v>7733</v>
      </c>
      <c r="B5430" s="150" t="str">
        <f>IFERROR(VLOOKUP(Proc[[#This Row],[App]],Table2[],3,0),"open")</f>
        <v>ok</v>
      </c>
      <c r="C5430" s="179" t="s">
        <v>369</v>
      </c>
      <c r="D5430" t="s">
        <v>7751</v>
      </c>
      <c r="E5430" t="s">
        <v>4829</v>
      </c>
      <c r="F5430" s="150" t="s">
        <v>4829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6435</v>
      </c>
      <c r="M5430" s="178">
        <v>46045</v>
      </c>
      <c r="N5430" s="178"/>
      <c r="O5430" s="178"/>
      <c r="P5430" s="178" t="str">
        <f ca="1">IF(Proc[[#This Row],[DaysAgeing]]&gt;5,"yep","on track")</f>
        <v>on track</v>
      </c>
      <c r="Q5430" s="3">
        <f ca="1">IF(Proc[[#This Row],[DateClosed]]="",ABS(NETWORKDAYS(Proc[[#This Row],[DateOpened]],TODAY()))-1,ABS(NETWORKDAYS(Proc[[#This Row],[DateOpened]],Proc[[#This Row],[DateClosed]]))-1)</f>
        <v>4</v>
      </c>
      <c r="R5430" s="178" t="s">
        <v>7792</v>
      </c>
      <c r="S5430" s="150"/>
    </row>
    <row r="5431" spans="1:19">
      <c r="A5431" s="179" t="s">
        <v>7733</v>
      </c>
      <c r="B5431" s="150" t="str">
        <f>IFERROR(VLOOKUP(Proc[[#This Row],[App]],Table2[],3,0),"open")</f>
        <v>ok</v>
      </c>
      <c r="C5431" s="179" t="s">
        <v>369</v>
      </c>
      <c r="D5431" t="s">
        <v>7752</v>
      </c>
      <c r="E5431" t="s">
        <v>4829</v>
      </c>
      <c r="F5431" s="150" t="s">
        <v>4829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6435</v>
      </c>
      <c r="M5431" s="178">
        <v>46045</v>
      </c>
      <c r="N5431" s="178"/>
      <c r="O5431" s="178"/>
      <c r="P5431" s="178" t="str">
        <f ca="1">IF(Proc[[#This Row],[DaysAgeing]]&gt;5,"yep","on track")</f>
        <v>on track</v>
      </c>
      <c r="Q5431" s="3">
        <f ca="1">IF(Proc[[#This Row],[DateClosed]]="",ABS(NETWORKDAYS(Proc[[#This Row],[DateOpened]],TODAY()))-1,ABS(NETWORKDAYS(Proc[[#This Row],[DateOpened]],Proc[[#This Row],[DateClosed]]))-1)</f>
        <v>4</v>
      </c>
      <c r="R5431" s="178" t="s">
        <v>7792</v>
      </c>
      <c r="S5431" s="150"/>
    </row>
    <row r="5432" spans="1:19">
      <c r="A5432" s="179" t="s">
        <v>7733</v>
      </c>
      <c r="B5432" s="150" t="str">
        <f>IFERROR(VLOOKUP(Proc[[#This Row],[App]],Table2[],3,0),"open")</f>
        <v>ok</v>
      </c>
      <c r="C5432" s="179" t="s">
        <v>369</v>
      </c>
      <c r="D5432" t="s">
        <v>7753</v>
      </c>
      <c r="E5432" t="s">
        <v>4829</v>
      </c>
      <c r="F5432" s="150" t="s">
        <v>4829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6435</v>
      </c>
      <c r="M5432" s="178">
        <v>46045</v>
      </c>
      <c r="N5432" s="178"/>
      <c r="O5432" s="178"/>
      <c r="P5432" s="178" t="str">
        <f ca="1">IF(Proc[[#This Row],[DaysAgeing]]&gt;5,"yep","on track")</f>
        <v>on track</v>
      </c>
      <c r="Q5432" s="3">
        <f ca="1">IF(Proc[[#This Row],[DateClosed]]="",ABS(NETWORKDAYS(Proc[[#This Row],[DateOpened]],TODAY()))-1,ABS(NETWORKDAYS(Proc[[#This Row],[DateOpened]],Proc[[#This Row],[DateClosed]]))-1)</f>
        <v>4</v>
      </c>
      <c r="R5432" s="178" t="s">
        <v>7792</v>
      </c>
      <c r="S5432" s="150"/>
    </row>
    <row r="5433" spans="1:19">
      <c r="A5433" s="179" t="s">
        <v>7733</v>
      </c>
      <c r="B5433" s="150" t="str">
        <f>IFERROR(VLOOKUP(Proc[[#This Row],[App]],Table2[],3,0),"open")</f>
        <v>ok</v>
      </c>
      <c r="C5433" s="179" t="s">
        <v>369</v>
      </c>
      <c r="D5433" t="s">
        <v>7754</v>
      </c>
      <c r="E5433" t="s">
        <v>4829</v>
      </c>
      <c r="F5433" s="150" t="s">
        <v>4829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6435</v>
      </c>
      <c r="M5433" s="178">
        <v>46045</v>
      </c>
      <c r="N5433" s="178"/>
      <c r="O5433" s="178"/>
      <c r="P5433" s="178" t="str">
        <f ca="1">IF(Proc[[#This Row],[DaysAgeing]]&gt;5,"yep","on track")</f>
        <v>on track</v>
      </c>
      <c r="Q5433" s="3">
        <f ca="1">IF(Proc[[#This Row],[DateClosed]]="",ABS(NETWORKDAYS(Proc[[#This Row],[DateOpened]],TODAY()))-1,ABS(NETWORKDAYS(Proc[[#This Row],[DateOpened]],Proc[[#This Row],[DateClosed]]))-1)</f>
        <v>4</v>
      </c>
      <c r="R5433" s="178" t="s">
        <v>7792</v>
      </c>
      <c r="S5433" s="150"/>
    </row>
    <row r="5434" spans="1:19">
      <c r="A5434" s="179" t="s">
        <v>7733</v>
      </c>
      <c r="B5434" s="150" t="str">
        <f>IFERROR(VLOOKUP(Proc[[#This Row],[App]],Table2[],3,0),"open")</f>
        <v>ok</v>
      </c>
      <c r="C5434" s="179" t="s">
        <v>369</v>
      </c>
      <c r="D5434" t="s">
        <v>7755</v>
      </c>
      <c r="E5434" t="s">
        <v>4829</v>
      </c>
      <c r="F5434" s="150" t="s">
        <v>4829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6435</v>
      </c>
      <c r="M5434" s="178">
        <v>46045</v>
      </c>
      <c r="N5434" s="178"/>
      <c r="O5434" s="178"/>
      <c r="P5434" s="178" t="str">
        <f ca="1">IF(Proc[[#This Row],[DaysAgeing]]&gt;5,"yep","on track")</f>
        <v>on track</v>
      </c>
      <c r="Q5434" s="3">
        <f ca="1">IF(Proc[[#This Row],[DateClosed]]="",ABS(NETWORKDAYS(Proc[[#This Row],[DateOpened]],TODAY()))-1,ABS(NETWORKDAYS(Proc[[#This Row],[DateOpened]],Proc[[#This Row],[DateClosed]]))-1)</f>
        <v>4</v>
      </c>
      <c r="R5434" s="178" t="s">
        <v>7792</v>
      </c>
      <c r="S5434" s="150"/>
    </row>
    <row r="5435" spans="1:19">
      <c r="A5435" s="179" t="s">
        <v>7733</v>
      </c>
      <c r="B5435" s="150" t="str">
        <f>IFERROR(VLOOKUP(Proc[[#This Row],[App]],Table2[],3,0),"open")</f>
        <v>ok</v>
      </c>
      <c r="C5435" s="179" t="s">
        <v>369</v>
      </c>
      <c r="D5435" t="s">
        <v>7756</v>
      </c>
      <c r="E5435" t="s">
        <v>4829</v>
      </c>
      <c r="F5435" s="150" t="s">
        <v>4829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6435</v>
      </c>
      <c r="M5435" s="178">
        <v>46045</v>
      </c>
      <c r="N5435" s="178"/>
      <c r="O5435" s="178"/>
      <c r="P5435" s="178" t="str">
        <f ca="1">IF(Proc[[#This Row],[DaysAgeing]]&gt;5,"yep","on track")</f>
        <v>on track</v>
      </c>
      <c r="Q5435" s="3">
        <f ca="1">IF(Proc[[#This Row],[DateClosed]]="",ABS(NETWORKDAYS(Proc[[#This Row],[DateOpened]],TODAY()))-1,ABS(NETWORKDAYS(Proc[[#This Row],[DateOpened]],Proc[[#This Row],[DateClosed]]))-1)</f>
        <v>4</v>
      </c>
      <c r="R5435" s="178" t="s">
        <v>7792</v>
      </c>
      <c r="S5435" s="150"/>
    </row>
    <row r="5436" spans="1:19">
      <c r="A5436" s="179" t="s">
        <v>7733</v>
      </c>
      <c r="B5436" s="150" t="str">
        <f>IFERROR(VLOOKUP(Proc[[#This Row],[App]],Table2[],3,0),"open")</f>
        <v>ok</v>
      </c>
      <c r="C5436" s="179" t="s">
        <v>369</v>
      </c>
      <c r="D5436" t="s">
        <v>7757</v>
      </c>
      <c r="E5436" t="s">
        <v>4829</v>
      </c>
      <c r="F5436" s="150" t="s">
        <v>4829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6435</v>
      </c>
      <c r="M5436" s="178">
        <v>46045</v>
      </c>
      <c r="N5436" s="178"/>
      <c r="O5436" s="178"/>
      <c r="P5436" s="178" t="str">
        <f ca="1">IF(Proc[[#This Row],[DaysAgeing]]&gt;5,"yep","on track")</f>
        <v>on track</v>
      </c>
      <c r="Q5436" s="3">
        <f ca="1">IF(Proc[[#This Row],[DateClosed]]="",ABS(NETWORKDAYS(Proc[[#This Row],[DateOpened]],TODAY()))-1,ABS(NETWORKDAYS(Proc[[#This Row],[DateOpened]],Proc[[#This Row],[DateClosed]]))-1)</f>
        <v>4</v>
      </c>
      <c r="R5436" s="178" t="s">
        <v>7792</v>
      </c>
      <c r="S5436" s="150"/>
    </row>
    <row r="5437" spans="1:19">
      <c r="A5437" s="179" t="s">
        <v>7733</v>
      </c>
      <c r="B5437" s="150" t="str">
        <f>IFERROR(VLOOKUP(Proc[[#This Row],[App]],Table2[],3,0),"open")</f>
        <v>ok</v>
      </c>
      <c r="C5437" s="179" t="s">
        <v>369</v>
      </c>
      <c r="D5437" t="s">
        <v>7758</v>
      </c>
      <c r="E5437" t="s">
        <v>4829</v>
      </c>
      <c r="F5437" s="150" t="s">
        <v>4829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6435</v>
      </c>
      <c r="M5437" s="178">
        <v>46045</v>
      </c>
      <c r="N5437" s="178"/>
      <c r="O5437" s="178"/>
      <c r="P5437" s="178" t="str">
        <f ca="1">IF(Proc[[#This Row],[DaysAgeing]]&gt;5,"yep","on track")</f>
        <v>on track</v>
      </c>
      <c r="Q5437" s="3">
        <f ca="1">IF(Proc[[#This Row],[DateClosed]]="",ABS(NETWORKDAYS(Proc[[#This Row],[DateOpened]],TODAY()))-1,ABS(NETWORKDAYS(Proc[[#This Row],[DateOpened]],Proc[[#This Row],[DateClosed]]))-1)</f>
        <v>4</v>
      </c>
      <c r="R5437" s="178" t="s">
        <v>7792</v>
      </c>
      <c r="S5437" s="150"/>
    </row>
    <row r="5438" spans="1:19">
      <c r="A5438" s="179" t="s">
        <v>7733</v>
      </c>
      <c r="B5438" s="150" t="str">
        <f>IFERROR(VLOOKUP(Proc[[#This Row],[App]],Table2[],3,0),"open")</f>
        <v>ok</v>
      </c>
      <c r="C5438" s="179" t="s">
        <v>369</v>
      </c>
      <c r="D5438" t="s">
        <v>7759</v>
      </c>
      <c r="E5438" t="s">
        <v>4829</v>
      </c>
      <c r="F5438" s="150" t="s">
        <v>4829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6435</v>
      </c>
      <c r="M5438" s="178">
        <v>46045</v>
      </c>
      <c r="N5438" s="178"/>
      <c r="O5438" s="178"/>
      <c r="P5438" s="178" t="str">
        <f ca="1">IF(Proc[[#This Row],[DaysAgeing]]&gt;5,"yep","on track")</f>
        <v>on track</v>
      </c>
      <c r="Q5438" s="3">
        <f ca="1">IF(Proc[[#This Row],[DateClosed]]="",ABS(NETWORKDAYS(Proc[[#This Row],[DateOpened]],TODAY()))-1,ABS(NETWORKDAYS(Proc[[#This Row],[DateOpened]],Proc[[#This Row],[DateClosed]]))-1)</f>
        <v>4</v>
      </c>
      <c r="R5438" s="178" t="s">
        <v>7792</v>
      </c>
      <c r="S5438" s="150"/>
    </row>
    <row r="5439" spans="1:19">
      <c r="A5439" s="179" t="s">
        <v>7733</v>
      </c>
      <c r="B5439" s="150" t="str">
        <f>IFERROR(VLOOKUP(Proc[[#This Row],[App]],Table2[],3,0),"open")</f>
        <v>ok</v>
      </c>
      <c r="C5439" s="179" t="s">
        <v>369</v>
      </c>
      <c r="D5439" t="s">
        <v>7760</v>
      </c>
      <c r="E5439" t="s">
        <v>4829</v>
      </c>
      <c r="F5439" s="150" t="s">
        <v>4829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6435</v>
      </c>
      <c r="M5439" s="178">
        <v>46045</v>
      </c>
      <c r="N5439" s="178"/>
      <c r="O5439" s="178"/>
      <c r="P5439" s="178" t="str">
        <f ca="1">IF(Proc[[#This Row],[DaysAgeing]]&gt;5,"yep","on track")</f>
        <v>on track</v>
      </c>
      <c r="Q5439" s="3">
        <f ca="1">IF(Proc[[#This Row],[DateClosed]]="",ABS(NETWORKDAYS(Proc[[#This Row],[DateOpened]],TODAY()))-1,ABS(NETWORKDAYS(Proc[[#This Row],[DateOpened]],Proc[[#This Row],[DateClosed]]))-1)</f>
        <v>4</v>
      </c>
      <c r="R5439" s="178" t="s">
        <v>7792</v>
      </c>
      <c r="S5439" s="150"/>
    </row>
    <row r="5440" spans="1:19">
      <c r="A5440" s="179" t="s">
        <v>7733</v>
      </c>
      <c r="B5440" s="150" t="str">
        <f>IFERROR(VLOOKUP(Proc[[#This Row],[App]],Table2[],3,0),"open")</f>
        <v>ok</v>
      </c>
      <c r="C5440" s="179" t="s">
        <v>369</v>
      </c>
      <c r="D5440" t="s">
        <v>7761</v>
      </c>
      <c r="E5440" t="s">
        <v>4829</v>
      </c>
      <c r="F5440" s="150" t="s">
        <v>4829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6435</v>
      </c>
      <c r="M5440" s="178">
        <v>46045</v>
      </c>
      <c r="N5440" s="178"/>
      <c r="O5440" s="178"/>
      <c r="P5440" s="178" t="str">
        <f ca="1">IF(Proc[[#This Row],[DaysAgeing]]&gt;5,"yep","on track")</f>
        <v>on track</v>
      </c>
      <c r="Q5440" s="3">
        <f ca="1">IF(Proc[[#This Row],[DateClosed]]="",ABS(NETWORKDAYS(Proc[[#This Row],[DateOpened]],TODAY()))-1,ABS(NETWORKDAYS(Proc[[#This Row],[DateOpened]],Proc[[#This Row],[DateClosed]]))-1)</f>
        <v>4</v>
      </c>
      <c r="R5440" s="178" t="s">
        <v>7792</v>
      </c>
      <c r="S5440" s="150"/>
    </row>
    <row r="5441" spans="1:19">
      <c r="A5441" s="179" t="s">
        <v>7733</v>
      </c>
      <c r="B5441" s="150" t="str">
        <f>IFERROR(VLOOKUP(Proc[[#This Row],[App]],Table2[],3,0),"open")</f>
        <v>ok</v>
      </c>
      <c r="C5441" s="179" t="s">
        <v>369</v>
      </c>
      <c r="D5441" t="s">
        <v>7762</v>
      </c>
      <c r="E5441" t="s">
        <v>4829</v>
      </c>
      <c r="F5441" s="150" t="s">
        <v>4829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6435</v>
      </c>
      <c r="M5441" s="178">
        <v>46045</v>
      </c>
      <c r="N5441" s="178"/>
      <c r="O5441" s="178"/>
      <c r="P5441" s="178" t="str">
        <f ca="1">IF(Proc[[#This Row],[DaysAgeing]]&gt;5,"yep","on track")</f>
        <v>on track</v>
      </c>
      <c r="Q5441" s="3">
        <f ca="1">IF(Proc[[#This Row],[DateClosed]]="",ABS(NETWORKDAYS(Proc[[#This Row],[DateOpened]],TODAY()))-1,ABS(NETWORKDAYS(Proc[[#This Row],[DateOpened]],Proc[[#This Row],[DateClosed]]))-1)</f>
        <v>4</v>
      </c>
      <c r="R5441" s="178" t="s">
        <v>7792</v>
      </c>
      <c r="S5441" s="150"/>
    </row>
    <row r="5442" spans="1:19">
      <c r="A5442" s="179" t="s">
        <v>7733</v>
      </c>
      <c r="B5442" s="150" t="str">
        <f>IFERROR(VLOOKUP(Proc[[#This Row],[App]],Table2[],3,0),"open")</f>
        <v>ok</v>
      </c>
      <c r="C5442" s="179" t="s">
        <v>369</v>
      </c>
      <c r="D5442" t="s">
        <v>7763</v>
      </c>
      <c r="E5442" t="s">
        <v>4829</v>
      </c>
      <c r="F5442" s="150" t="s">
        <v>4829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6435</v>
      </c>
      <c r="M5442" s="178">
        <v>46045</v>
      </c>
      <c r="N5442" s="178"/>
      <c r="O5442" s="178"/>
      <c r="P5442" s="178" t="str">
        <f ca="1">IF(Proc[[#This Row],[DaysAgeing]]&gt;5,"yep","on track")</f>
        <v>on track</v>
      </c>
      <c r="Q5442" s="3">
        <f ca="1">IF(Proc[[#This Row],[DateClosed]]="",ABS(NETWORKDAYS(Proc[[#This Row],[DateOpened]],TODAY()))-1,ABS(NETWORKDAYS(Proc[[#This Row],[DateOpened]],Proc[[#This Row],[DateClosed]]))-1)</f>
        <v>4</v>
      </c>
      <c r="R5442" s="178" t="s">
        <v>7792</v>
      </c>
      <c r="S5442" s="150"/>
    </row>
    <row r="5443" spans="1:19">
      <c r="A5443" s="179" t="s">
        <v>7733</v>
      </c>
      <c r="B5443" s="150" t="str">
        <f>IFERROR(VLOOKUP(Proc[[#This Row],[App]],Table2[],3,0),"open")</f>
        <v>ok</v>
      </c>
      <c r="C5443" s="179" t="s">
        <v>369</v>
      </c>
      <c r="D5443" t="s">
        <v>7764</v>
      </c>
      <c r="E5443" t="s">
        <v>4829</v>
      </c>
      <c r="F5443" s="150" t="s">
        <v>4829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6435</v>
      </c>
      <c r="M5443" s="178">
        <v>46045</v>
      </c>
      <c r="N5443" s="178"/>
      <c r="O5443" s="178"/>
      <c r="P5443" s="178" t="str">
        <f ca="1">IF(Proc[[#This Row],[DaysAgeing]]&gt;5,"yep","on track")</f>
        <v>on track</v>
      </c>
      <c r="Q5443" s="3">
        <f ca="1">IF(Proc[[#This Row],[DateClosed]]="",ABS(NETWORKDAYS(Proc[[#This Row],[DateOpened]],TODAY()))-1,ABS(NETWORKDAYS(Proc[[#This Row],[DateOpened]],Proc[[#This Row],[DateClosed]]))-1)</f>
        <v>4</v>
      </c>
      <c r="R5443" s="178" t="s">
        <v>7792</v>
      </c>
      <c r="S5443" s="150"/>
    </row>
    <row r="5444" spans="1:19">
      <c r="A5444" s="179" t="s">
        <v>7733</v>
      </c>
      <c r="B5444" s="150" t="str">
        <f>IFERROR(VLOOKUP(Proc[[#This Row],[App]],Table2[],3,0),"open")</f>
        <v>ok</v>
      </c>
      <c r="C5444" s="179" t="s">
        <v>369</v>
      </c>
      <c r="D5444" t="s">
        <v>7765</v>
      </c>
      <c r="E5444" t="s">
        <v>4829</v>
      </c>
      <c r="F5444" s="150" t="s">
        <v>4829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6435</v>
      </c>
      <c r="M5444" s="178">
        <v>46045</v>
      </c>
      <c r="N5444" s="178"/>
      <c r="O5444" s="178"/>
      <c r="P5444" s="178" t="str">
        <f ca="1">IF(Proc[[#This Row],[DaysAgeing]]&gt;5,"yep","on track")</f>
        <v>on track</v>
      </c>
      <c r="Q5444" s="3">
        <f ca="1">IF(Proc[[#This Row],[DateClosed]]="",ABS(NETWORKDAYS(Proc[[#This Row],[DateOpened]],TODAY()))-1,ABS(NETWORKDAYS(Proc[[#This Row],[DateOpened]],Proc[[#This Row],[DateClosed]]))-1)</f>
        <v>4</v>
      </c>
      <c r="R5444" s="178" t="s">
        <v>7792</v>
      </c>
      <c r="S5444" s="150"/>
    </row>
    <row r="5445" spans="1:19">
      <c r="A5445" s="179" t="s">
        <v>7733</v>
      </c>
      <c r="B5445" s="150" t="str">
        <f>IFERROR(VLOOKUP(Proc[[#This Row],[App]],Table2[],3,0),"open")</f>
        <v>ok</v>
      </c>
      <c r="C5445" s="179" t="s">
        <v>369</v>
      </c>
      <c r="D5445" t="s">
        <v>7766</v>
      </c>
      <c r="E5445" t="s">
        <v>4829</v>
      </c>
      <c r="F5445" s="150" t="s">
        <v>4829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6435</v>
      </c>
      <c r="M5445" s="178">
        <v>46045</v>
      </c>
      <c r="N5445" s="178"/>
      <c r="O5445" s="178"/>
      <c r="P5445" s="178" t="str">
        <f ca="1">IF(Proc[[#This Row],[DaysAgeing]]&gt;5,"yep","on track")</f>
        <v>on track</v>
      </c>
      <c r="Q5445" s="3">
        <f ca="1">IF(Proc[[#This Row],[DateClosed]]="",ABS(NETWORKDAYS(Proc[[#This Row],[DateOpened]],TODAY()))-1,ABS(NETWORKDAYS(Proc[[#This Row],[DateOpened]],Proc[[#This Row],[DateClosed]]))-1)</f>
        <v>4</v>
      </c>
      <c r="R5445" s="178" t="s">
        <v>7792</v>
      </c>
      <c r="S5445" s="150"/>
    </row>
    <row r="5446" spans="1:19">
      <c r="A5446" s="179" t="s">
        <v>7733</v>
      </c>
      <c r="B5446" s="150" t="str">
        <f>IFERROR(VLOOKUP(Proc[[#This Row],[App]],Table2[],3,0),"open")</f>
        <v>ok</v>
      </c>
      <c r="C5446" s="179" t="s">
        <v>369</v>
      </c>
      <c r="D5446" t="s">
        <v>7767</v>
      </c>
      <c r="E5446" t="s">
        <v>4829</v>
      </c>
      <c r="F5446" s="150" t="s">
        <v>4829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6435</v>
      </c>
      <c r="M5446" s="178">
        <v>46045</v>
      </c>
      <c r="N5446" s="178"/>
      <c r="O5446" s="178"/>
      <c r="P5446" s="178" t="str">
        <f ca="1">IF(Proc[[#This Row],[DaysAgeing]]&gt;5,"yep","on track")</f>
        <v>on track</v>
      </c>
      <c r="Q5446" s="3">
        <f ca="1">IF(Proc[[#This Row],[DateClosed]]="",ABS(NETWORKDAYS(Proc[[#This Row],[DateOpened]],TODAY()))-1,ABS(NETWORKDAYS(Proc[[#This Row],[DateOpened]],Proc[[#This Row],[DateClosed]]))-1)</f>
        <v>4</v>
      </c>
      <c r="R5446" s="178" t="s">
        <v>7792</v>
      </c>
      <c r="S5446" s="150"/>
    </row>
    <row r="5447" spans="1:19">
      <c r="A5447" s="179" t="s">
        <v>7733</v>
      </c>
      <c r="B5447" s="150" t="str">
        <f>IFERROR(VLOOKUP(Proc[[#This Row],[App]],Table2[],3,0),"open")</f>
        <v>ok</v>
      </c>
      <c r="C5447" s="179" t="s">
        <v>369</v>
      </c>
      <c r="D5447" t="s">
        <v>7768</v>
      </c>
      <c r="E5447" t="s">
        <v>4829</v>
      </c>
      <c r="F5447" s="150" t="s">
        <v>4829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6435</v>
      </c>
      <c r="M5447" s="178">
        <v>46045</v>
      </c>
      <c r="N5447" s="178"/>
      <c r="O5447" s="178"/>
      <c r="P5447" s="178" t="str">
        <f ca="1">IF(Proc[[#This Row],[DaysAgeing]]&gt;5,"yep","on track")</f>
        <v>on track</v>
      </c>
      <c r="Q5447" s="3">
        <f ca="1">IF(Proc[[#This Row],[DateClosed]]="",ABS(NETWORKDAYS(Proc[[#This Row],[DateOpened]],TODAY()))-1,ABS(NETWORKDAYS(Proc[[#This Row],[DateOpened]],Proc[[#This Row],[DateClosed]]))-1)</f>
        <v>4</v>
      </c>
      <c r="R5447" s="178" t="s">
        <v>7792</v>
      </c>
      <c r="S5447" s="150"/>
    </row>
    <row r="5448" spans="1:19">
      <c r="A5448" s="179" t="s">
        <v>7733</v>
      </c>
      <c r="B5448" s="150" t="str">
        <f>IFERROR(VLOOKUP(Proc[[#This Row],[App]],Table2[],3,0),"open")</f>
        <v>ok</v>
      </c>
      <c r="C5448" s="179" t="s">
        <v>369</v>
      </c>
      <c r="D5448" t="s">
        <v>7769</v>
      </c>
      <c r="E5448" t="s">
        <v>4829</v>
      </c>
      <c r="F5448" s="150" t="s">
        <v>4829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6435</v>
      </c>
      <c r="M5448" s="178">
        <v>46045</v>
      </c>
      <c r="N5448" s="178"/>
      <c r="O5448" s="178"/>
      <c r="P5448" s="178" t="str">
        <f ca="1">IF(Proc[[#This Row],[DaysAgeing]]&gt;5,"yep","on track")</f>
        <v>on track</v>
      </c>
      <c r="Q5448" s="3">
        <f ca="1">IF(Proc[[#This Row],[DateClosed]]="",ABS(NETWORKDAYS(Proc[[#This Row],[DateOpened]],TODAY()))-1,ABS(NETWORKDAYS(Proc[[#This Row],[DateOpened]],Proc[[#This Row],[DateClosed]]))-1)</f>
        <v>4</v>
      </c>
      <c r="R5448" s="178" t="s">
        <v>7792</v>
      </c>
      <c r="S5448" s="150"/>
    </row>
    <row r="5449" spans="1:19">
      <c r="A5449" s="179" t="s">
        <v>7733</v>
      </c>
      <c r="B5449" s="150" t="str">
        <f>IFERROR(VLOOKUP(Proc[[#This Row],[App]],Table2[],3,0),"open")</f>
        <v>ok</v>
      </c>
      <c r="C5449" s="179" t="s">
        <v>369</v>
      </c>
      <c r="D5449" t="s">
        <v>7770</v>
      </c>
      <c r="E5449" t="s">
        <v>4829</v>
      </c>
      <c r="F5449" s="150" t="s">
        <v>4829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6435</v>
      </c>
      <c r="M5449" s="178">
        <v>46045</v>
      </c>
      <c r="N5449" s="178"/>
      <c r="O5449" s="178"/>
      <c r="P5449" s="178" t="str">
        <f ca="1">IF(Proc[[#This Row],[DaysAgeing]]&gt;5,"yep","on track")</f>
        <v>on track</v>
      </c>
      <c r="Q5449" s="3">
        <f ca="1">IF(Proc[[#This Row],[DateClosed]]="",ABS(NETWORKDAYS(Proc[[#This Row],[DateOpened]],TODAY()))-1,ABS(NETWORKDAYS(Proc[[#This Row],[DateOpened]],Proc[[#This Row],[DateClosed]]))-1)</f>
        <v>4</v>
      </c>
      <c r="R5449" s="178" t="s">
        <v>7792</v>
      </c>
      <c r="S5449" s="150"/>
    </row>
    <row r="5450" spans="1:19">
      <c r="A5450" s="179" t="s">
        <v>7733</v>
      </c>
      <c r="B5450" s="150" t="str">
        <f>IFERROR(VLOOKUP(Proc[[#This Row],[App]],Table2[],3,0),"open")</f>
        <v>ok</v>
      </c>
      <c r="C5450" s="179" t="s">
        <v>369</v>
      </c>
      <c r="D5450" t="s">
        <v>7771</v>
      </c>
      <c r="E5450" t="s">
        <v>4829</v>
      </c>
      <c r="F5450" s="150" t="s">
        <v>4829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6435</v>
      </c>
      <c r="M5450" s="178">
        <v>46045</v>
      </c>
      <c r="N5450" s="178"/>
      <c r="O5450" s="178"/>
      <c r="P5450" s="178" t="str">
        <f ca="1">IF(Proc[[#This Row],[DaysAgeing]]&gt;5,"yep","on track")</f>
        <v>on track</v>
      </c>
      <c r="Q5450" s="3">
        <f ca="1">IF(Proc[[#This Row],[DateClosed]]="",ABS(NETWORKDAYS(Proc[[#This Row],[DateOpened]],TODAY()))-1,ABS(NETWORKDAYS(Proc[[#This Row],[DateOpened]],Proc[[#This Row],[DateClosed]]))-1)</f>
        <v>4</v>
      </c>
      <c r="R5450" s="178" t="s">
        <v>7792</v>
      </c>
      <c r="S5450" s="150"/>
    </row>
    <row r="5451" spans="1:19">
      <c r="A5451" s="179" t="s">
        <v>7733</v>
      </c>
      <c r="B5451" s="150" t="str">
        <f>IFERROR(VLOOKUP(Proc[[#This Row],[App]],Table2[],3,0),"open")</f>
        <v>ok</v>
      </c>
      <c r="C5451" s="179" t="s">
        <v>369</v>
      </c>
      <c r="D5451" t="s">
        <v>7772</v>
      </c>
      <c r="E5451" t="s">
        <v>4829</v>
      </c>
      <c r="F5451" s="150" t="s">
        <v>4829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6435</v>
      </c>
      <c r="M5451" s="178">
        <v>46045</v>
      </c>
      <c r="N5451" s="178"/>
      <c r="O5451" s="178"/>
      <c r="P5451" s="178" t="str">
        <f ca="1">IF(Proc[[#This Row],[DaysAgeing]]&gt;5,"yep","on track")</f>
        <v>on track</v>
      </c>
      <c r="Q5451" s="3">
        <f ca="1">IF(Proc[[#This Row],[DateClosed]]="",ABS(NETWORKDAYS(Proc[[#This Row],[DateOpened]],TODAY()))-1,ABS(NETWORKDAYS(Proc[[#This Row],[DateOpened]],Proc[[#This Row],[DateClosed]]))-1)</f>
        <v>4</v>
      </c>
      <c r="R5451" s="178" t="s">
        <v>7792</v>
      </c>
      <c r="S5451" s="150"/>
    </row>
    <row r="5452" spans="1:19">
      <c r="A5452" s="179" t="s">
        <v>7733</v>
      </c>
      <c r="B5452" s="150" t="str">
        <f>IFERROR(VLOOKUP(Proc[[#This Row],[App]],Table2[],3,0),"open")</f>
        <v>ok</v>
      </c>
      <c r="C5452" s="179" t="s">
        <v>369</v>
      </c>
      <c r="D5452" t="s">
        <v>7773</v>
      </c>
      <c r="E5452" t="s">
        <v>4829</v>
      </c>
      <c r="F5452" s="150" t="s">
        <v>4829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6435</v>
      </c>
      <c r="M5452" s="178">
        <v>46045</v>
      </c>
      <c r="N5452" s="178"/>
      <c r="O5452" s="178"/>
      <c r="P5452" s="178" t="str">
        <f ca="1">IF(Proc[[#This Row],[DaysAgeing]]&gt;5,"yep","on track")</f>
        <v>on track</v>
      </c>
      <c r="Q5452" s="3">
        <f ca="1">IF(Proc[[#This Row],[DateClosed]]="",ABS(NETWORKDAYS(Proc[[#This Row],[DateOpened]],TODAY()))-1,ABS(NETWORKDAYS(Proc[[#This Row],[DateOpened]],Proc[[#This Row],[DateClosed]]))-1)</f>
        <v>4</v>
      </c>
      <c r="R5452" s="178" t="s">
        <v>7792</v>
      </c>
      <c r="S5452" s="150"/>
    </row>
    <row r="5453" spans="1:19">
      <c r="A5453" s="179" t="s">
        <v>7733</v>
      </c>
      <c r="B5453" s="150" t="str">
        <f>IFERROR(VLOOKUP(Proc[[#This Row],[App]],Table2[],3,0),"open")</f>
        <v>ok</v>
      </c>
      <c r="C5453" s="179" t="s">
        <v>369</v>
      </c>
      <c r="D5453" t="s">
        <v>7774</v>
      </c>
      <c r="E5453" t="s">
        <v>4829</v>
      </c>
      <c r="F5453" s="150" t="s">
        <v>4829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6435</v>
      </c>
      <c r="M5453" s="178">
        <v>46045</v>
      </c>
      <c r="N5453" s="178"/>
      <c r="O5453" s="178"/>
      <c r="P5453" s="178" t="str">
        <f ca="1">IF(Proc[[#This Row],[DaysAgeing]]&gt;5,"yep","on track")</f>
        <v>on track</v>
      </c>
      <c r="Q5453" s="3">
        <f ca="1">IF(Proc[[#This Row],[DateClosed]]="",ABS(NETWORKDAYS(Proc[[#This Row],[DateOpened]],TODAY()))-1,ABS(NETWORKDAYS(Proc[[#This Row],[DateOpened]],Proc[[#This Row],[DateClosed]]))-1)</f>
        <v>4</v>
      </c>
      <c r="R5453" s="178" t="s">
        <v>7792</v>
      </c>
      <c r="S5453" s="150"/>
    </row>
    <row r="5454" spans="1:19">
      <c r="A5454" s="179" t="s">
        <v>7733</v>
      </c>
      <c r="B5454" s="150" t="str">
        <f>IFERROR(VLOOKUP(Proc[[#This Row],[App]],Table2[],3,0),"open")</f>
        <v>ok</v>
      </c>
      <c r="C5454" s="179" t="s">
        <v>369</v>
      </c>
      <c r="D5454" t="s">
        <v>7775</v>
      </c>
      <c r="E5454" t="s">
        <v>4829</v>
      </c>
      <c r="F5454" s="150" t="s">
        <v>4829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6435</v>
      </c>
      <c r="M5454" s="178">
        <v>46045</v>
      </c>
      <c r="N5454" s="178"/>
      <c r="O5454" s="178"/>
      <c r="P5454" s="178" t="str">
        <f ca="1">IF(Proc[[#This Row],[DaysAgeing]]&gt;5,"yep","on track")</f>
        <v>on track</v>
      </c>
      <c r="Q5454" s="3">
        <f ca="1">IF(Proc[[#This Row],[DateClosed]]="",ABS(NETWORKDAYS(Proc[[#This Row],[DateOpened]],TODAY()))-1,ABS(NETWORKDAYS(Proc[[#This Row],[DateOpened]],Proc[[#This Row],[DateClosed]]))-1)</f>
        <v>4</v>
      </c>
      <c r="R5454" s="178" t="s">
        <v>7792</v>
      </c>
      <c r="S5454" s="150"/>
    </row>
    <row r="5455" spans="1:19">
      <c r="A5455" s="179" t="s">
        <v>7733</v>
      </c>
      <c r="B5455" s="150" t="str">
        <f>IFERROR(VLOOKUP(Proc[[#This Row],[App]],Table2[],3,0),"open")</f>
        <v>ok</v>
      </c>
      <c r="C5455" s="179" t="s">
        <v>369</v>
      </c>
      <c r="D5455" t="s">
        <v>7776</v>
      </c>
      <c r="E5455" t="s">
        <v>4829</v>
      </c>
      <c r="F5455" s="150" t="s">
        <v>4829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6435</v>
      </c>
      <c r="M5455" s="178">
        <v>46045</v>
      </c>
      <c r="N5455" s="178"/>
      <c r="O5455" s="178"/>
      <c r="P5455" s="178" t="str">
        <f ca="1">IF(Proc[[#This Row],[DaysAgeing]]&gt;5,"yep","on track")</f>
        <v>on track</v>
      </c>
      <c r="Q5455" s="3">
        <f ca="1">IF(Proc[[#This Row],[DateClosed]]="",ABS(NETWORKDAYS(Proc[[#This Row],[DateOpened]],TODAY()))-1,ABS(NETWORKDAYS(Proc[[#This Row],[DateOpened]],Proc[[#This Row],[DateClosed]]))-1)</f>
        <v>4</v>
      </c>
      <c r="R5455" s="178" t="s">
        <v>7792</v>
      </c>
      <c r="S5455" s="150"/>
    </row>
    <row r="5456" spans="1:19">
      <c r="A5456" s="179" t="s">
        <v>7733</v>
      </c>
      <c r="B5456" s="150" t="str">
        <f>IFERROR(VLOOKUP(Proc[[#This Row],[App]],Table2[],3,0),"open")</f>
        <v>ok</v>
      </c>
      <c r="C5456" s="179" t="s">
        <v>369</v>
      </c>
      <c r="D5456" t="s">
        <v>7777</v>
      </c>
      <c r="E5456" t="s">
        <v>4829</v>
      </c>
      <c r="F5456" s="150" t="s">
        <v>4829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6435</v>
      </c>
      <c r="M5456" s="178">
        <v>46045</v>
      </c>
      <c r="N5456" s="178"/>
      <c r="O5456" s="178"/>
      <c r="P5456" s="178" t="str">
        <f ca="1">IF(Proc[[#This Row],[DaysAgeing]]&gt;5,"yep","on track")</f>
        <v>on track</v>
      </c>
      <c r="Q5456" s="3">
        <f ca="1">IF(Proc[[#This Row],[DateClosed]]="",ABS(NETWORKDAYS(Proc[[#This Row],[DateOpened]],TODAY()))-1,ABS(NETWORKDAYS(Proc[[#This Row],[DateOpened]],Proc[[#This Row],[DateClosed]]))-1)</f>
        <v>4</v>
      </c>
      <c r="R5456" s="178" t="s">
        <v>7792</v>
      </c>
      <c r="S5456" s="150"/>
    </row>
    <row r="5457" spans="1:19">
      <c r="A5457" s="179" t="s">
        <v>7733</v>
      </c>
      <c r="B5457" s="150" t="str">
        <f>IFERROR(VLOOKUP(Proc[[#This Row],[App]],Table2[],3,0),"open")</f>
        <v>ok</v>
      </c>
      <c r="C5457" s="179" t="s">
        <v>369</v>
      </c>
      <c r="D5457" t="s">
        <v>7778</v>
      </c>
      <c r="E5457" t="s">
        <v>4829</v>
      </c>
      <c r="F5457" s="150" t="s">
        <v>4829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6435</v>
      </c>
      <c r="M5457" s="178">
        <v>46045</v>
      </c>
      <c r="N5457" s="178"/>
      <c r="O5457" s="178"/>
      <c r="P5457" s="178" t="str">
        <f ca="1">IF(Proc[[#This Row],[DaysAgeing]]&gt;5,"yep","on track")</f>
        <v>on track</v>
      </c>
      <c r="Q5457" s="3">
        <f ca="1">IF(Proc[[#This Row],[DateClosed]]="",ABS(NETWORKDAYS(Proc[[#This Row],[DateOpened]],TODAY()))-1,ABS(NETWORKDAYS(Proc[[#This Row],[DateOpened]],Proc[[#This Row],[DateClosed]]))-1)</f>
        <v>4</v>
      </c>
      <c r="R5457" s="178" t="s">
        <v>7792</v>
      </c>
      <c r="S5457" s="150"/>
    </row>
    <row r="5458" spans="1:19">
      <c r="A5458" s="179" t="s">
        <v>7733</v>
      </c>
      <c r="B5458" s="150" t="str">
        <f>IFERROR(VLOOKUP(Proc[[#This Row],[App]],Table2[],3,0),"open")</f>
        <v>ok</v>
      </c>
      <c r="C5458" s="179" t="s">
        <v>369</v>
      </c>
      <c r="D5458" t="s">
        <v>7779</v>
      </c>
      <c r="E5458" t="s">
        <v>4829</v>
      </c>
      <c r="F5458" s="150" t="s">
        <v>4829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6435</v>
      </c>
      <c r="M5458" s="178">
        <v>46045</v>
      </c>
      <c r="N5458" s="178"/>
      <c r="O5458" s="178"/>
      <c r="P5458" s="178" t="str">
        <f ca="1">IF(Proc[[#This Row],[DaysAgeing]]&gt;5,"yep","on track")</f>
        <v>on track</v>
      </c>
      <c r="Q5458" s="3">
        <f ca="1">IF(Proc[[#This Row],[DateClosed]]="",ABS(NETWORKDAYS(Proc[[#This Row],[DateOpened]],TODAY()))-1,ABS(NETWORKDAYS(Proc[[#This Row],[DateOpened]],Proc[[#This Row],[DateClosed]]))-1)</f>
        <v>4</v>
      </c>
      <c r="R5458" s="178" t="s">
        <v>7792</v>
      </c>
      <c r="S5458" s="150"/>
    </row>
    <row r="5459" spans="1:19">
      <c r="A5459" s="179" t="s">
        <v>7733</v>
      </c>
      <c r="B5459" s="150" t="str">
        <f>IFERROR(VLOOKUP(Proc[[#This Row],[App]],Table2[],3,0),"open")</f>
        <v>ok</v>
      </c>
      <c r="C5459" s="179" t="s">
        <v>369</v>
      </c>
      <c r="D5459" t="s">
        <v>7780</v>
      </c>
      <c r="E5459" t="s">
        <v>4829</v>
      </c>
      <c r="F5459" s="150" t="s">
        <v>4829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6435</v>
      </c>
      <c r="M5459" s="178">
        <v>46045</v>
      </c>
      <c r="N5459" s="178"/>
      <c r="O5459" s="178"/>
      <c r="P5459" s="178" t="str">
        <f ca="1">IF(Proc[[#This Row],[DaysAgeing]]&gt;5,"yep","on track")</f>
        <v>on track</v>
      </c>
      <c r="Q5459" s="3">
        <f ca="1">IF(Proc[[#This Row],[DateClosed]]="",ABS(NETWORKDAYS(Proc[[#This Row],[DateOpened]],TODAY()))-1,ABS(NETWORKDAYS(Proc[[#This Row],[DateOpened]],Proc[[#This Row],[DateClosed]]))-1)</f>
        <v>4</v>
      </c>
      <c r="R5459" s="178" t="s">
        <v>7792</v>
      </c>
      <c r="S5459" s="150"/>
    </row>
    <row r="5460" spans="1:19">
      <c r="A5460" s="179" t="s">
        <v>7733</v>
      </c>
      <c r="B5460" s="150" t="str">
        <f>IFERROR(VLOOKUP(Proc[[#This Row],[App]],Table2[],3,0),"open")</f>
        <v>ok</v>
      </c>
      <c r="C5460" s="179" t="s">
        <v>369</v>
      </c>
      <c r="D5460" t="s">
        <v>7781</v>
      </c>
      <c r="E5460" t="s">
        <v>4829</v>
      </c>
      <c r="F5460" s="150" t="s">
        <v>4829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6435</v>
      </c>
      <c r="M5460" s="178">
        <v>46045</v>
      </c>
      <c r="N5460" s="178"/>
      <c r="O5460" s="178"/>
      <c r="P5460" s="178" t="str">
        <f ca="1">IF(Proc[[#This Row],[DaysAgeing]]&gt;5,"yep","on track")</f>
        <v>on track</v>
      </c>
      <c r="Q5460" s="3">
        <f ca="1">IF(Proc[[#This Row],[DateClosed]]="",ABS(NETWORKDAYS(Proc[[#This Row],[DateOpened]],TODAY()))-1,ABS(NETWORKDAYS(Proc[[#This Row],[DateOpened]],Proc[[#This Row],[DateClosed]]))-1)</f>
        <v>4</v>
      </c>
      <c r="R5460" s="178" t="s">
        <v>7792</v>
      </c>
      <c r="S5460" s="150"/>
    </row>
    <row r="5461" spans="1:19">
      <c r="A5461" s="179" t="s">
        <v>7733</v>
      </c>
      <c r="B5461" s="150" t="str">
        <f>IFERROR(VLOOKUP(Proc[[#This Row],[App]],Table2[],3,0),"open")</f>
        <v>ok</v>
      </c>
      <c r="C5461" s="179" t="s">
        <v>369</v>
      </c>
      <c r="D5461" t="s">
        <v>7782</v>
      </c>
      <c r="E5461" t="s">
        <v>4829</v>
      </c>
      <c r="F5461" s="150" t="s">
        <v>4829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6435</v>
      </c>
      <c r="M5461" s="178">
        <v>46045</v>
      </c>
      <c r="N5461" s="178"/>
      <c r="O5461" s="178"/>
      <c r="P5461" s="178" t="str">
        <f ca="1">IF(Proc[[#This Row],[DaysAgeing]]&gt;5,"yep","on track")</f>
        <v>on track</v>
      </c>
      <c r="Q5461" s="3">
        <f ca="1">IF(Proc[[#This Row],[DateClosed]]="",ABS(NETWORKDAYS(Proc[[#This Row],[DateOpened]],TODAY()))-1,ABS(NETWORKDAYS(Proc[[#This Row],[DateOpened]],Proc[[#This Row],[DateClosed]]))-1)</f>
        <v>4</v>
      </c>
      <c r="R5461" s="178" t="s">
        <v>7792</v>
      </c>
      <c r="S5461" s="150"/>
    </row>
    <row r="5462" spans="1:19">
      <c r="A5462" s="179" t="s">
        <v>7733</v>
      </c>
      <c r="B5462" s="150" t="str">
        <f>IFERROR(VLOOKUP(Proc[[#This Row],[App]],Table2[],3,0),"open")</f>
        <v>ok</v>
      </c>
      <c r="C5462" s="179" t="s">
        <v>369</v>
      </c>
      <c r="D5462" t="s">
        <v>7783</v>
      </c>
      <c r="E5462" t="s">
        <v>4829</v>
      </c>
      <c r="F5462" s="150" t="s">
        <v>4829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6435</v>
      </c>
      <c r="M5462" s="178">
        <v>46045</v>
      </c>
      <c r="N5462" s="178"/>
      <c r="O5462" s="178"/>
      <c r="P5462" s="178" t="str">
        <f ca="1">IF(Proc[[#This Row],[DaysAgeing]]&gt;5,"yep","on track")</f>
        <v>on track</v>
      </c>
      <c r="Q5462" s="3">
        <f ca="1">IF(Proc[[#This Row],[DateClosed]]="",ABS(NETWORKDAYS(Proc[[#This Row],[DateOpened]],TODAY()))-1,ABS(NETWORKDAYS(Proc[[#This Row],[DateOpened]],Proc[[#This Row],[DateClosed]]))-1)</f>
        <v>4</v>
      </c>
      <c r="R5462" s="178" t="s">
        <v>7792</v>
      </c>
      <c r="S5462" s="150"/>
    </row>
    <row r="5463" spans="1:19">
      <c r="A5463" s="179" t="s">
        <v>7733</v>
      </c>
      <c r="B5463" s="150" t="str">
        <f>IFERROR(VLOOKUP(Proc[[#This Row],[App]],Table2[],3,0),"open")</f>
        <v>ok</v>
      </c>
      <c r="C5463" s="179" t="s">
        <v>369</v>
      </c>
      <c r="D5463" t="s">
        <v>7784</v>
      </c>
      <c r="E5463" t="s">
        <v>4829</v>
      </c>
      <c r="F5463" s="150" t="s">
        <v>4829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6435</v>
      </c>
      <c r="M5463" s="178">
        <v>46045</v>
      </c>
      <c r="N5463" s="178"/>
      <c r="O5463" s="178"/>
      <c r="P5463" s="178" t="str">
        <f ca="1">IF(Proc[[#This Row],[DaysAgeing]]&gt;5,"yep","on track")</f>
        <v>on track</v>
      </c>
      <c r="Q5463" s="3">
        <f ca="1">IF(Proc[[#This Row],[DateClosed]]="",ABS(NETWORKDAYS(Proc[[#This Row],[DateOpened]],TODAY()))-1,ABS(NETWORKDAYS(Proc[[#This Row],[DateOpened]],Proc[[#This Row],[DateClosed]]))-1)</f>
        <v>4</v>
      </c>
      <c r="R5463" s="178" t="s">
        <v>7792</v>
      </c>
      <c r="S5463" s="150"/>
    </row>
    <row r="5464" spans="1:19">
      <c r="A5464" s="179" t="s">
        <v>7733</v>
      </c>
      <c r="B5464" s="150" t="str">
        <f>IFERROR(VLOOKUP(Proc[[#This Row],[App]],Table2[],3,0),"open")</f>
        <v>ok</v>
      </c>
      <c r="C5464" s="179" t="s">
        <v>369</v>
      </c>
      <c r="D5464" t="s">
        <v>7785</v>
      </c>
      <c r="E5464" t="s">
        <v>4829</v>
      </c>
      <c r="F5464" s="150" t="s">
        <v>4829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6435</v>
      </c>
      <c r="M5464" s="178">
        <v>46045</v>
      </c>
      <c r="N5464" s="178"/>
      <c r="O5464" s="178"/>
      <c r="P5464" s="178" t="str">
        <f ca="1">IF(Proc[[#This Row],[DaysAgeing]]&gt;5,"yep","on track")</f>
        <v>on track</v>
      </c>
      <c r="Q5464" s="3">
        <f ca="1">IF(Proc[[#This Row],[DateClosed]]="",ABS(NETWORKDAYS(Proc[[#This Row],[DateOpened]],TODAY()))-1,ABS(NETWORKDAYS(Proc[[#This Row],[DateOpened]],Proc[[#This Row],[DateClosed]]))-1)</f>
        <v>4</v>
      </c>
      <c r="R5464" s="178" t="s">
        <v>7792</v>
      </c>
      <c r="S5464" s="150"/>
    </row>
    <row r="5465" spans="1:19">
      <c r="A5465" s="179" t="s">
        <v>7733</v>
      </c>
      <c r="B5465" s="150" t="str">
        <f>IFERROR(VLOOKUP(Proc[[#This Row],[App]],Table2[],3,0),"open")</f>
        <v>ok</v>
      </c>
      <c r="C5465" s="179" t="s">
        <v>369</v>
      </c>
      <c r="D5465" t="s">
        <v>7786</v>
      </c>
      <c r="E5465" t="s">
        <v>4829</v>
      </c>
      <c r="F5465" s="150" t="s">
        <v>4829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6435</v>
      </c>
      <c r="M5465" s="178">
        <v>46045</v>
      </c>
      <c r="N5465" s="178"/>
      <c r="O5465" s="178"/>
      <c r="P5465" s="178" t="str">
        <f ca="1">IF(Proc[[#This Row],[DaysAgeing]]&gt;5,"yep","on track")</f>
        <v>on track</v>
      </c>
      <c r="Q5465" s="3">
        <f ca="1">IF(Proc[[#This Row],[DateClosed]]="",ABS(NETWORKDAYS(Proc[[#This Row],[DateOpened]],TODAY()))-1,ABS(NETWORKDAYS(Proc[[#This Row],[DateOpened]],Proc[[#This Row],[DateClosed]]))-1)</f>
        <v>4</v>
      </c>
      <c r="R5465" s="178" t="s">
        <v>7792</v>
      </c>
      <c r="S5465" s="150"/>
    </row>
    <row r="5466" spans="1:19">
      <c r="A5466" s="179" t="s">
        <v>7733</v>
      </c>
      <c r="B5466" s="150" t="str">
        <f>IFERROR(VLOOKUP(Proc[[#This Row],[App]],Table2[],3,0),"open")</f>
        <v>ok</v>
      </c>
      <c r="C5466" s="179" t="s">
        <v>369</v>
      </c>
      <c r="D5466" t="s">
        <v>7787</v>
      </c>
      <c r="E5466" t="s">
        <v>4829</v>
      </c>
      <c r="F5466" s="150" t="s">
        <v>4829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6435</v>
      </c>
      <c r="M5466" s="178">
        <v>46045</v>
      </c>
      <c r="N5466" s="178"/>
      <c r="O5466" s="178"/>
      <c r="P5466" s="178" t="str">
        <f ca="1">IF(Proc[[#This Row],[DaysAgeing]]&gt;5,"yep","on track")</f>
        <v>on track</v>
      </c>
      <c r="Q5466" s="3">
        <f ca="1">IF(Proc[[#This Row],[DateClosed]]="",ABS(NETWORKDAYS(Proc[[#This Row],[DateOpened]],TODAY()))-1,ABS(NETWORKDAYS(Proc[[#This Row],[DateOpened]],Proc[[#This Row],[DateClosed]]))-1)</f>
        <v>4</v>
      </c>
      <c r="R5466" s="178" t="s">
        <v>7792</v>
      </c>
      <c r="S5466" s="150"/>
    </row>
    <row r="5467" spans="1:19">
      <c r="A5467" s="179" t="s">
        <v>7733</v>
      </c>
      <c r="B5467" s="150" t="str">
        <f>IFERROR(VLOOKUP(Proc[[#This Row],[App]],Table2[],3,0),"open")</f>
        <v>ok</v>
      </c>
      <c r="C5467" s="179" t="s">
        <v>369</v>
      </c>
      <c r="D5467" t="s">
        <v>7788</v>
      </c>
      <c r="E5467" t="s">
        <v>4829</v>
      </c>
      <c r="F5467" s="150" t="s">
        <v>4829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6435</v>
      </c>
      <c r="M5467" s="178">
        <v>46045</v>
      </c>
      <c r="N5467" s="178"/>
      <c r="O5467" s="178"/>
      <c r="P5467" s="178" t="str">
        <f ca="1">IF(Proc[[#This Row],[DaysAgeing]]&gt;5,"yep","on track")</f>
        <v>on track</v>
      </c>
      <c r="Q5467" s="3">
        <f ca="1">IF(Proc[[#This Row],[DateClosed]]="",ABS(NETWORKDAYS(Proc[[#This Row],[DateOpened]],TODAY()))-1,ABS(NETWORKDAYS(Proc[[#This Row],[DateOpened]],Proc[[#This Row],[DateClosed]]))-1)</f>
        <v>4</v>
      </c>
      <c r="R5467" s="178" t="s">
        <v>7792</v>
      </c>
      <c r="S5467" s="150"/>
    </row>
    <row r="5468" spans="1:19">
      <c r="A5468" s="179" t="s">
        <v>7733</v>
      </c>
      <c r="B5468" s="150" t="str">
        <f>IFERROR(VLOOKUP(Proc[[#This Row],[App]],Table2[],3,0),"open")</f>
        <v>ok</v>
      </c>
      <c r="C5468" s="179" t="s">
        <v>369</v>
      </c>
      <c r="D5468" t="s">
        <v>7789</v>
      </c>
      <c r="E5468" t="s">
        <v>4829</v>
      </c>
      <c r="F5468" s="150" t="s">
        <v>4829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6435</v>
      </c>
      <c r="M5468" s="178">
        <v>46045</v>
      </c>
      <c r="N5468" s="178"/>
      <c r="O5468" s="178"/>
      <c r="P5468" s="178" t="str">
        <f ca="1">IF(Proc[[#This Row],[DaysAgeing]]&gt;5,"yep","on track")</f>
        <v>on track</v>
      </c>
      <c r="Q5468" s="3">
        <f ca="1">IF(Proc[[#This Row],[DateClosed]]="",ABS(NETWORKDAYS(Proc[[#This Row],[DateOpened]],TODAY()))-1,ABS(NETWORKDAYS(Proc[[#This Row],[DateOpened]],Proc[[#This Row],[DateClosed]]))-1)</f>
        <v>4</v>
      </c>
      <c r="R5468" s="178" t="s">
        <v>7792</v>
      </c>
      <c r="S5468" s="150"/>
    </row>
    <row r="5469" spans="1:19">
      <c r="A5469" s="179" t="s">
        <v>7733</v>
      </c>
      <c r="B5469" s="150" t="str">
        <f>IFERROR(VLOOKUP(Proc[[#This Row],[App]],Table2[],3,0),"open")</f>
        <v>ok</v>
      </c>
      <c r="C5469" s="179" t="s">
        <v>369</v>
      </c>
      <c r="D5469" t="s">
        <v>7790</v>
      </c>
      <c r="E5469" t="s">
        <v>4829</v>
      </c>
      <c r="F5469" s="150" t="s">
        <v>4829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6435</v>
      </c>
      <c r="M5469" s="178">
        <v>46045</v>
      </c>
      <c r="N5469" s="178"/>
      <c r="O5469" s="178"/>
      <c r="P5469" s="178" t="str">
        <f ca="1">IF(Proc[[#This Row],[DaysAgeing]]&gt;5,"yep","on track")</f>
        <v>on track</v>
      </c>
      <c r="Q5469" s="3">
        <f ca="1">IF(Proc[[#This Row],[DateClosed]]="",ABS(NETWORKDAYS(Proc[[#This Row],[DateOpened]],TODAY()))-1,ABS(NETWORKDAYS(Proc[[#This Row],[DateOpened]],Proc[[#This Row],[DateClosed]]))-1)</f>
        <v>4</v>
      </c>
      <c r="R5469" s="178" t="s">
        <v>7792</v>
      </c>
      <c r="S5469" s="150"/>
    </row>
    <row r="5470" spans="1:19">
      <c r="A5470" s="179" t="s">
        <v>7733</v>
      </c>
      <c r="B5470" s="150" t="str">
        <f>IFERROR(VLOOKUP(Proc[[#This Row],[App]],Table2[],3,0),"open")</f>
        <v>ok</v>
      </c>
      <c r="C5470" s="179" t="s">
        <v>369</v>
      </c>
      <c r="D5470" t="s">
        <v>7791</v>
      </c>
      <c r="E5470" t="s">
        <v>4829</v>
      </c>
      <c r="F5470" s="150" t="s">
        <v>4829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6435</v>
      </c>
      <c r="M5470" s="178">
        <v>46045</v>
      </c>
      <c r="N5470" s="178"/>
      <c r="O5470" s="178"/>
      <c r="P5470" s="178" t="str">
        <f ca="1">IF(Proc[[#This Row],[DaysAgeing]]&gt;5,"yep","on track")</f>
        <v>on track</v>
      </c>
      <c r="Q5470" s="3">
        <f ca="1">IF(Proc[[#This Row],[DateClosed]]="",ABS(NETWORKDAYS(Proc[[#This Row],[DateOpened]],TODAY()))-1,ABS(NETWORKDAYS(Proc[[#This Row],[DateOpened]],Proc[[#This Row],[DateClosed]]))-1)</f>
        <v>4</v>
      </c>
      <c r="R5470" s="178" t="s">
        <v>7792</v>
      </c>
      <c r="S5470" s="150"/>
    </row>
    <row r="5471" spans="1:19">
      <c r="A5471" s="178" t="s">
        <v>7799</v>
      </c>
      <c r="B5471" s="150" t="str">
        <f>IFERROR(VLOOKUP(Proc[[#This Row],[App]],Table2[],3,0),"open")</f>
        <v>open</v>
      </c>
      <c r="C5471" t="s">
        <v>375</v>
      </c>
      <c r="D5471" t="s">
        <v>7796</v>
      </c>
      <c r="E5471" t="s">
        <v>6473</v>
      </c>
      <c r="F5471" s="150"/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0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6435</v>
      </c>
      <c r="M5471" s="178">
        <v>46050</v>
      </c>
      <c r="N5471" s="178"/>
      <c r="O5471" s="178"/>
      <c r="P5471" s="178" t="str">
        <f ca="1">IF(Proc[[#This Row],[DaysAgeing]]&gt;5,"yep","on track")</f>
        <v>on track</v>
      </c>
      <c r="Q5471" s="3">
        <f ca="1">IF(Proc[[#This Row],[DateClosed]]="",ABS(NETWORKDAYS(Proc[[#This Row],[DateOpened]],TODAY()))-1,ABS(NETWORKDAYS(Proc[[#This Row],[DateOpened]],Proc[[#This Row],[DateClosed]]))-1)</f>
        <v>1</v>
      </c>
      <c r="R5471" s="178" t="s">
        <v>489</v>
      </c>
      <c r="S5471" s="150"/>
    </row>
    <row r="5472" spans="1:19">
      <c r="A5472" s="178" t="s">
        <v>7799</v>
      </c>
      <c r="B5472" s="150" t="str">
        <f>IFERROR(VLOOKUP(Proc[[#This Row],[App]],Table2[],3,0),"open")</f>
        <v>open</v>
      </c>
      <c r="C5472" s="179" t="s">
        <v>375</v>
      </c>
      <c r="D5472" t="s">
        <v>7797</v>
      </c>
      <c r="E5472" t="s">
        <v>7798</v>
      </c>
      <c r="F5472" s="150"/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0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6435</v>
      </c>
      <c r="M5472" s="178">
        <v>46050</v>
      </c>
      <c r="N5472" s="178"/>
      <c r="O5472" s="178"/>
      <c r="P5472" s="178" t="str">
        <f ca="1">IF(Proc[[#This Row],[DaysAgeing]]&gt;5,"yep","on track")</f>
        <v>on track</v>
      </c>
      <c r="Q5472" s="3">
        <f ca="1">IF(Proc[[#This Row],[DateClosed]]="",ABS(NETWORKDAYS(Proc[[#This Row],[DateOpened]],TODAY()))-1,ABS(NETWORKDAYS(Proc[[#This Row],[DateOpened]],Proc[[#This Row],[DateClosed]]))-1)</f>
        <v>1</v>
      </c>
      <c r="R5472" s="178" t="s">
        <v>489</v>
      </c>
      <c r="S5472" s="150"/>
    </row>
    <row r="5473" spans="1:19">
      <c r="A5473" t="s">
        <v>7800</v>
      </c>
      <c r="B5473" s="150" t="str">
        <f>IFERROR(VLOOKUP(Proc[[#This Row],[App]],Table2[],3,0),"open")</f>
        <v>open</v>
      </c>
      <c r="C5473" s="179" t="s">
        <v>370</v>
      </c>
      <c r="D5473" t="s">
        <v>7801</v>
      </c>
      <c r="E5473" t="s">
        <v>6347</v>
      </c>
      <c r="F5473" s="150"/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0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6435</v>
      </c>
      <c r="M5473" s="178">
        <v>46050</v>
      </c>
      <c r="N5473" s="178"/>
      <c r="O5473" s="178"/>
      <c r="P5473" s="178" t="str">
        <f ca="1">IF(Proc[[#This Row],[DaysAgeing]]&gt;5,"yep","on track")</f>
        <v>on track</v>
      </c>
      <c r="Q5473" s="3">
        <f ca="1">IF(Proc[[#This Row],[DateClosed]]="",ABS(NETWORKDAYS(Proc[[#This Row],[DateOpened]],TODAY()))-1,ABS(NETWORKDAYS(Proc[[#This Row],[DateOpened]],Proc[[#This Row],[DateClosed]]))-1)</f>
        <v>1</v>
      </c>
      <c r="R5473" s="178" t="s">
        <v>410</v>
      </c>
      <c r="S5473" s="150"/>
    </row>
    <row r="5474" spans="1:19">
      <c r="A5474" t="s">
        <v>7802</v>
      </c>
      <c r="B5474" s="150" t="str">
        <f>IFERROR(VLOOKUP(Proc[[#This Row],[App]],Table2[],3,0),"open")</f>
        <v>open</v>
      </c>
      <c r="C5474" s="179" t="s">
        <v>370</v>
      </c>
      <c r="D5474" t="s">
        <v>7803</v>
      </c>
      <c r="E5474" t="s">
        <v>7805</v>
      </c>
      <c r="F5474" s="150"/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0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6435</v>
      </c>
      <c r="M5474" s="178">
        <v>46050</v>
      </c>
      <c r="N5474" s="178"/>
      <c r="O5474" s="178"/>
      <c r="P5474" s="178" t="str">
        <f ca="1">IF(Proc[[#This Row],[DaysAgeing]]&gt;5,"yep","on track")</f>
        <v>on track</v>
      </c>
      <c r="Q5474" s="3">
        <f ca="1">IF(Proc[[#This Row],[DateClosed]]="",ABS(NETWORKDAYS(Proc[[#This Row],[DateOpened]],TODAY()))-1,ABS(NETWORKDAYS(Proc[[#This Row],[DateOpened]],Proc[[#This Row],[DateClosed]]))-1)</f>
        <v>1</v>
      </c>
      <c r="R5474" s="178" t="s">
        <v>484</v>
      </c>
      <c r="S5474" s="150"/>
    </row>
    <row r="5475" spans="1:19">
      <c r="A5475" s="179" t="s">
        <v>7802</v>
      </c>
      <c r="B5475" s="150" t="str">
        <f>IFERROR(VLOOKUP(Proc[[#This Row],[App]],Table2[],3,0),"open")</f>
        <v>open</v>
      </c>
      <c r="C5475" s="179" t="s">
        <v>370</v>
      </c>
      <c r="D5475" t="s">
        <v>7804</v>
      </c>
      <c r="E5475" t="s">
        <v>7805</v>
      </c>
      <c r="F5475" s="150"/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0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6435</v>
      </c>
      <c r="M5475" s="178">
        <v>46050</v>
      </c>
      <c r="N5475" s="178"/>
      <c r="O5475" s="178"/>
      <c r="P5475" s="178" t="str">
        <f ca="1">IF(Proc[[#This Row],[DaysAgeing]]&gt;5,"yep","on track")</f>
        <v>on track</v>
      </c>
      <c r="Q5475" s="3">
        <f ca="1">IF(Proc[[#This Row],[DateClosed]]="",ABS(NETWORKDAYS(Proc[[#This Row],[DateOpened]],TODAY()))-1,ABS(NETWORKDAYS(Proc[[#This Row],[DateOpened]],Proc[[#This Row],[DateClosed]]))-1)</f>
        <v>1</v>
      </c>
      <c r="R5475" s="178" t="s">
        <v>484</v>
      </c>
      <c r="S5475" s="150"/>
    </row>
    <row r="5476" spans="1:19">
      <c r="A5476" t="s">
        <v>7806</v>
      </c>
      <c r="B5476" s="150" t="str">
        <f>IFERROR(VLOOKUP(Proc[[#This Row],[App]],Table2[],3,0),"open")</f>
        <v>open</v>
      </c>
      <c r="C5476" s="179" t="s">
        <v>370</v>
      </c>
      <c r="D5476" t="s">
        <v>7807</v>
      </c>
      <c r="E5476" t="s">
        <v>7809</v>
      </c>
      <c r="F5476" s="150"/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0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6435</v>
      </c>
      <c r="M5476" s="178">
        <v>46050</v>
      </c>
      <c r="N5476" s="178"/>
      <c r="O5476" s="178"/>
      <c r="P5476" s="178" t="str">
        <f ca="1">IF(Proc[[#This Row],[DaysAgeing]]&gt;5,"yep","on track")</f>
        <v>on track</v>
      </c>
      <c r="Q5476" s="3">
        <f ca="1">IF(Proc[[#This Row],[DateClosed]]="",ABS(NETWORKDAYS(Proc[[#This Row],[DateOpened]],TODAY()))-1,ABS(NETWORKDAYS(Proc[[#This Row],[DateOpened]],Proc[[#This Row],[DateClosed]]))-1)</f>
        <v>1</v>
      </c>
      <c r="R5476" s="178" t="s">
        <v>780</v>
      </c>
      <c r="S5476" s="150"/>
    </row>
    <row r="5477" spans="1:19">
      <c r="A5477" s="179" t="s">
        <v>7806</v>
      </c>
      <c r="B5477" s="150" t="str">
        <f>IFERROR(VLOOKUP(Proc[[#This Row],[App]],Table2[],3,0),"open")</f>
        <v>open</v>
      </c>
      <c r="C5477" s="179" t="s">
        <v>370</v>
      </c>
      <c r="D5477" t="s">
        <v>7808</v>
      </c>
      <c r="E5477" s="179" t="s">
        <v>7809</v>
      </c>
      <c r="F5477" s="150"/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0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6435</v>
      </c>
      <c r="M5477" s="178">
        <v>46050</v>
      </c>
      <c r="N5477" s="178"/>
      <c r="O5477" s="178"/>
      <c r="P5477" s="178" t="str">
        <f ca="1">IF(Proc[[#This Row],[DaysAgeing]]&gt;5,"yep","on track")</f>
        <v>on track</v>
      </c>
      <c r="Q5477" s="3">
        <f ca="1">IF(Proc[[#This Row],[DateClosed]]="",ABS(NETWORKDAYS(Proc[[#This Row],[DateOpened]],TODAY()))-1,ABS(NETWORKDAYS(Proc[[#This Row],[DateOpened]],Proc[[#This Row],[DateClosed]]))-1)</f>
        <v>1</v>
      </c>
      <c r="R5477" s="178" t="s">
        <v>780</v>
      </c>
      <c r="S5477" s="150"/>
    </row>
    <row r="5478" spans="1:19">
      <c r="A5478" t="s">
        <v>7817</v>
      </c>
      <c r="B5478" s="150" t="str">
        <f>IFERROR(VLOOKUP(Proc[[#This Row],[App]],Table2[],3,0),"open")</f>
        <v>open</v>
      </c>
      <c r="C5478" t="s">
        <v>370</v>
      </c>
      <c r="D5478" t="s">
        <v>7818</v>
      </c>
      <c r="E5478" t="s">
        <v>426</v>
      </c>
      <c r="F5478" s="150"/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0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6435</v>
      </c>
      <c r="M5478" s="178">
        <v>46051</v>
      </c>
      <c r="N5478" s="178"/>
      <c r="O5478" s="178"/>
      <c r="P5478" s="178" t="str">
        <f ca="1">IF(Proc[[#This Row],[DaysAgeing]]&gt;5,"yep","on track")</f>
        <v>on track</v>
      </c>
      <c r="Q5478" s="3">
        <f ca="1">IF(Proc[[#This Row],[DateClosed]]="",ABS(NETWORKDAYS(Proc[[#This Row],[DateOpened]],TODAY()))-1,ABS(NETWORKDAYS(Proc[[#This Row],[DateOpened]],Proc[[#This Row],[DateClosed]]))-1)</f>
        <v>0</v>
      </c>
      <c r="R5478" s="178" t="s">
        <v>780</v>
      </c>
      <c r="S5478" s="150"/>
    </row>
    <row r="5479" spans="1:19">
      <c r="A5479" s="179" t="s">
        <v>7817</v>
      </c>
      <c r="B5479" s="150" t="str">
        <f>IFERROR(VLOOKUP(Proc[[#This Row],[App]],Table2[],3,0),"open")</f>
        <v>open</v>
      </c>
      <c r="C5479" s="179" t="s">
        <v>370</v>
      </c>
      <c r="D5479" t="s">
        <v>7819</v>
      </c>
      <c r="E5479" t="s">
        <v>426</v>
      </c>
      <c r="F5479" s="150"/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0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6435</v>
      </c>
      <c r="M5479" s="178">
        <v>46051</v>
      </c>
      <c r="N5479" s="178"/>
      <c r="O5479" s="178"/>
      <c r="P5479" s="178" t="str">
        <f ca="1">IF(Proc[[#This Row],[DaysAgeing]]&gt;5,"yep","on track")</f>
        <v>on track</v>
      </c>
      <c r="Q5479" s="3">
        <f ca="1">IF(Proc[[#This Row],[DateClosed]]="",ABS(NETWORKDAYS(Proc[[#This Row],[DateOpened]],TODAY()))-1,ABS(NETWORKDAYS(Proc[[#This Row],[DateOpened]],Proc[[#This Row],[DateClosed]]))-1)</f>
        <v>0</v>
      </c>
      <c r="R5479" s="178" t="s">
        <v>780</v>
      </c>
      <c r="S5479" s="150"/>
    </row>
    <row r="5480" spans="1:19">
      <c r="A5480" s="179" t="s">
        <v>7817</v>
      </c>
      <c r="B5480" s="150" t="str">
        <f>IFERROR(VLOOKUP(Proc[[#This Row],[App]],Table2[],3,0),"open")</f>
        <v>open</v>
      </c>
      <c r="C5480" s="179" t="s">
        <v>370</v>
      </c>
      <c r="D5480" t="s">
        <v>7820</v>
      </c>
      <c r="E5480" t="s">
        <v>426</v>
      </c>
      <c r="F5480" s="150"/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0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6435</v>
      </c>
      <c r="M5480" s="178">
        <v>46051</v>
      </c>
      <c r="N5480" s="178"/>
      <c r="O5480" s="178"/>
      <c r="P5480" s="178" t="str">
        <f ca="1">IF(Proc[[#This Row],[DaysAgeing]]&gt;5,"yep","on track")</f>
        <v>on track</v>
      </c>
      <c r="Q5480" s="3">
        <f ca="1">IF(Proc[[#This Row],[DateClosed]]="",ABS(NETWORKDAYS(Proc[[#This Row],[DateOpened]],TODAY()))-1,ABS(NETWORKDAYS(Proc[[#This Row],[DateOpened]],Proc[[#This Row],[DateClosed]]))-1)</f>
        <v>0</v>
      </c>
      <c r="R5480" s="178" t="s">
        <v>780</v>
      </c>
      <c r="S5480" s="150"/>
    </row>
    <row r="5481" spans="1:19">
      <c r="A5481" s="179" t="s">
        <v>7817</v>
      </c>
      <c r="B5481" s="150" t="str">
        <f>IFERROR(VLOOKUP(Proc[[#This Row],[App]],Table2[],3,0),"open")</f>
        <v>open</v>
      </c>
      <c r="C5481" s="179" t="s">
        <v>370</v>
      </c>
      <c r="D5481" t="s">
        <v>7821</v>
      </c>
      <c r="E5481" t="s">
        <v>426</v>
      </c>
      <c r="F5481" s="150"/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0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6435</v>
      </c>
      <c r="M5481" s="178">
        <v>46051</v>
      </c>
      <c r="N5481" s="178"/>
      <c r="O5481" s="178"/>
      <c r="P5481" s="178" t="str">
        <f ca="1">IF(Proc[[#This Row],[DaysAgeing]]&gt;5,"yep","on track")</f>
        <v>on track</v>
      </c>
      <c r="Q5481" s="3">
        <f ca="1">IF(Proc[[#This Row],[DateClosed]]="",ABS(NETWORKDAYS(Proc[[#This Row],[DateOpened]],TODAY()))-1,ABS(NETWORKDAYS(Proc[[#This Row],[DateOpened]],Proc[[#This Row],[DateClosed]]))-1)</f>
        <v>0</v>
      </c>
      <c r="R5481" s="178" t="s">
        <v>780</v>
      </c>
      <c r="S5481" s="150"/>
    </row>
    <row r="5482" spans="1:19">
      <c r="A5482" s="179" t="s">
        <v>7817</v>
      </c>
      <c r="B5482" s="150" t="str">
        <f>IFERROR(VLOOKUP(Proc[[#This Row],[App]],Table2[],3,0),"open")</f>
        <v>open</v>
      </c>
      <c r="C5482" s="179" t="s">
        <v>370</v>
      </c>
      <c r="D5482" t="s">
        <v>7822</v>
      </c>
      <c r="E5482" t="s">
        <v>426</v>
      </c>
      <c r="F5482" s="150"/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0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6435</v>
      </c>
      <c r="M5482" s="178">
        <v>46051</v>
      </c>
      <c r="N5482" s="178"/>
      <c r="O5482" s="178"/>
      <c r="P5482" s="178" t="str">
        <f ca="1">IF(Proc[[#This Row],[DaysAgeing]]&gt;5,"yep","on track")</f>
        <v>on track</v>
      </c>
      <c r="Q5482" s="3">
        <f ca="1">IF(Proc[[#This Row],[DateClosed]]="",ABS(NETWORKDAYS(Proc[[#This Row],[DateOpened]],TODAY()))-1,ABS(NETWORKDAYS(Proc[[#This Row],[DateOpened]],Proc[[#This Row],[DateClosed]]))-1)</f>
        <v>0</v>
      </c>
      <c r="R5482" s="178" t="s">
        <v>780</v>
      </c>
      <c r="S5482" s="150"/>
    </row>
    <row r="5483" spans="1:19">
      <c r="A5483" s="179" t="s">
        <v>7817</v>
      </c>
      <c r="B5483" s="150" t="str">
        <f>IFERROR(VLOOKUP(Proc[[#This Row],[App]],Table2[],3,0),"open")</f>
        <v>open</v>
      </c>
      <c r="C5483" s="179" t="s">
        <v>370</v>
      </c>
      <c r="D5483" t="s">
        <v>7823</v>
      </c>
      <c r="E5483" t="s">
        <v>426</v>
      </c>
      <c r="F5483" s="150"/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0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6435</v>
      </c>
      <c r="M5483" s="178">
        <v>46051</v>
      </c>
      <c r="N5483" s="178"/>
      <c r="O5483" s="178"/>
      <c r="P5483" s="178" t="str">
        <f ca="1">IF(Proc[[#This Row],[DaysAgeing]]&gt;5,"yep","on track")</f>
        <v>on track</v>
      </c>
      <c r="Q5483" s="3">
        <f ca="1">IF(Proc[[#This Row],[DateClosed]]="",ABS(NETWORKDAYS(Proc[[#This Row],[DateOpened]],TODAY()))-1,ABS(NETWORKDAYS(Proc[[#This Row],[DateOpened]],Proc[[#This Row],[DateClosed]]))-1)</f>
        <v>0</v>
      </c>
      <c r="R5483" s="178" t="s">
        <v>780</v>
      </c>
      <c r="S5483" s="150"/>
    </row>
    <row r="5484" spans="1:19">
      <c r="A5484" s="179" t="s">
        <v>7817</v>
      </c>
      <c r="B5484" s="150" t="str">
        <f>IFERROR(VLOOKUP(Proc[[#This Row],[App]],Table2[],3,0),"open")</f>
        <v>open</v>
      </c>
      <c r="C5484" s="179" t="s">
        <v>370</v>
      </c>
      <c r="D5484" t="s">
        <v>7824</v>
      </c>
      <c r="E5484" t="s">
        <v>426</v>
      </c>
      <c r="F5484" s="150"/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0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6435</v>
      </c>
      <c r="M5484" s="178">
        <v>46051</v>
      </c>
      <c r="N5484" s="178"/>
      <c r="O5484" s="178"/>
      <c r="P5484" s="178" t="str">
        <f ca="1">IF(Proc[[#This Row],[DaysAgeing]]&gt;5,"yep","on track")</f>
        <v>on track</v>
      </c>
      <c r="Q5484" s="3">
        <f ca="1">IF(Proc[[#This Row],[DateClosed]]="",ABS(NETWORKDAYS(Proc[[#This Row],[DateOpened]],TODAY()))-1,ABS(NETWORKDAYS(Proc[[#This Row],[DateOpened]],Proc[[#This Row],[DateClosed]]))-1)</f>
        <v>0</v>
      </c>
      <c r="R5484" s="178" t="s">
        <v>780</v>
      </c>
      <c r="S5484" s="150"/>
    </row>
    <row r="5485" spans="1:19">
      <c r="A5485" s="179" t="s">
        <v>7817</v>
      </c>
      <c r="B5485" s="150" t="str">
        <f>IFERROR(VLOOKUP(Proc[[#This Row],[App]],Table2[],3,0),"open")</f>
        <v>open</v>
      </c>
      <c r="C5485" s="179" t="s">
        <v>370</v>
      </c>
      <c r="D5485" t="s">
        <v>7825</v>
      </c>
      <c r="E5485" t="s">
        <v>7809</v>
      </c>
      <c r="F5485" s="150"/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0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6435</v>
      </c>
      <c r="M5485" s="178">
        <v>46051</v>
      </c>
      <c r="N5485" s="178"/>
      <c r="O5485" s="178"/>
      <c r="P5485" s="178" t="str">
        <f ca="1">IF(Proc[[#This Row],[DaysAgeing]]&gt;5,"yep","on track")</f>
        <v>on track</v>
      </c>
      <c r="Q5485" s="3">
        <f ca="1">IF(Proc[[#This Row],[DateClosed]]="",ABS(NETWORKDAYS(Proc[[#This Row],[DateOpened]],TODAY()))-1,ABS(NETWORKDAYS(Proc[[#This Row],[DateOpened]],Proc[[#This Row],[DateClosed]]))-1)</f>
        <v>0</v>
      </c>
      <c r="R5485" s="178" t="s">
        <v>780</v>
      </c>
      <c r="S5485" s="150"/>
    </row>
    <row r="5486" spans="1:19">
      <c r="A5486" s="179" t="s">
        <v>7817</v>
      </c>
      <c r="B5486" s="150" t="str">
        <f>IFERROR(VLOOKUP(Proc[[#This Row],[App]],Table2[],3,0),"open")</f>
        <v>open</v>
      </c>
      <c r="C5486" s="179" t="s">
        <v>375</v>
      </c>
      <c r="D5486" t="s">
        <v>7826</v>
      </c>
      <c r="E5486" t="s">
        <v>7809</v>
      </c>
      <c r="F5486" s="150"/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0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6435</v>
      </c>
      <c r="M5486" s="178">
        <v>46051</v>
      </c>
      <c r="N5486" s="178"/>
      <c r="O5486" s="178"/>
      <c r="P5486" s="178" t="str">
        <f ca="1">IF(Proc[[#This Row],[DaysAgeing]]&gt;5,"yep","on track")</f>
        <v>on track</v>
      </c>
      <c r="Q5486" s="3">
        <f ca="1">IF(Proc[[#This Row],[DateClosed]]="",ABS(NETWORKDAYS(Proc[[#This Row],[DateOpened]],TODAY()))-1,ABS(NETWORKDAYS(Proc[[#This Row],[DateOpened]],Proc[[#This Row],[DateClosed]]))-1)</f>
        <v>0</v>
      </c>
      <c r="R5486" s="178" t="s">
        <v>780</v>
      </c>
      <c r="S5486" s="150"/>
    </row>
    <row r="5487" spans="1:19">
      <c r="A5487" s="179" t="s">
        <v>7817</v>
      </c>
      <c r="B5487" s="150" t="str">
        <f>IFERROR(VLOOKUP(Proc[[#This Row],[App]],Table2[],3,0),"open")</f>
        <v>open</v>
      </c>
      <c r="C5487" s="179" t="s">
        <v>375</v>
      </c>
      <c r="D5487" t="s">
        <v>7827</v>
      </c>
      <c r="E5487" t="s">
        <v>7809</v>
      </c>
      <c r="F5487" s="150"/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0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6435</v>
      </c>
      <c r="M5487" s="178">
        <v>46051</v>
      </c>
      <c r="N5487" s="178"/>
      <c r="O5487" s="178"/>
      <c r="P5487" s="178" t="str">
        <f ca="1">IF(Proc[[#This Row],[DaysAgeing]]&gt;5,"yep","on track")</f>
        <v>on track</v>
      </c>
      <c r="Q5487" s="3">
        <f ca="1">IF(Proc[[#This Row],[DateClosed]]="",ABS(NETWORKDAYS(Proc[[#This Row],[DateOpened]],TODAY()))-1,ABS(NETWORKDAYS(Proc[[#This Row],[DateOpened]],Proc[[#This Row],[DateClosed]]))-1)</f>
        <v>0</v>
      </c>
      <c r="R5487" s="178" t="s">
        <v>780</v>
      </c>
      <c r="S5487" s="150"/>
    </row>
    <row r="5488" spans="1:19">
      <c r="A5488" s="179" t="s">
        <v>7817</v>
      </c>
      <c r="B5488" s="150" t="str">
        <f>IFERROR(VLOOKUP(Proc[[#This Row],[App]],Table2[],3,0),"open")</f>
        <v>open</v>
      </c>
      <c r="C5488" s="179" t="s">
        <v>375</v>
      </c>
      <c r="D5488" t="s">
        <v>7828</v>
      </c>
      <c r="E5488" t="s">
        <v>6827</v>
      </c>
      <c r="F5488" s="150"/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0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6435</v>
      </c>
      <c r="M5488" s="178">
        <v>46051</v>
      </c>
      <c r="N5488" s="178"/>
      <c r="O5488" s="178"/>
      <c r="P5488" s="178" t="str">
        <f ca="1">IF(Proc[[#This Row],[DaysAgeing]]&gt;5,"yep","on track")</f>
        <v>on track</v>
      </c>
      <c r="Q5488" s="3">
        <f ca="1">IF(Proc[[#This Row],[DateClosed]]="",ABS(NETWORKDAYS(Proc[[#This Row],[DateOpened]],TODAY()))-1,ABS(NETWORKDAYS(Proc[[#This Row],[DateOpened]],Proc[[#This Row],[DateClosed]]))-1)</f>
        <v>0</v>
      </c>
      <c r="R5488" s="178" t="s">
        <v>780</v>
      </c>
      <c r="S5488" s="150"/>
    </row>
    <row r="5489" spans="1:19">
      <c r="A5489" s="179" t="s">
        <v>7817</v>
      </c>
      <c r="B5489" s="150" t="str">
        <f>IFERROR(VLOOKUP(Proc[[#This Row],[App]],Table2[],3,0),"open")</f>
        <v>open</v>
      </c>
      <c r="C5489" s="179" t="s">
        <v>375</v>
      </c>
      <c r="D5489" t="s">
        <v>7829</v>
      </c>
      <c r="E5489" t="s">
        <v>6827</v>
      </c>
      <c r="F5489" s="150"/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0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6435</v>
      </c>
      <c r="M5489" s="178">
        <v>46051</v>
      </c>
      <c r="N5489" s="178"/>
      <c r="O5489" s="178"/>
      <c r="P5489" s="178" t="str">
        <f ca="1">IF(Proc[[#This Row],[DaysAgeing]]&gt;5,"yep","on track")</f>
        <v>on track</v>
      </c>
      <c r="Q5489" s="3">
        <f ca="1">IF(Proc[[#This Row],[DateClosed]]="",ABS(NETWORKDAYS(Proc[[#This Row],[DateOpened]],TODAY()))-1,ABS(NETWORKDAYS(Proc[[#This Row],[DateOpened]],Proc[[#This Row],[DateClosed]]))-1)</f>
        <v>0</v>
      </c>
      <c r="R5489" s="178" t="s">
        <v>780</v>
      </c>
      <c r="S5489" s="150"/>
    </row>
    <row r="5490" spans="1:19">
      <c r="A5490" s="179" t="s">
        <v>7817</v>
      </c>
      <c r="B5490" s="150" t="str">
        <f>IFERROR(VLOOKUP(Proc[[#This Row],[App]],Table2[],3,0),"open")</f>
        <v>open</v>
      </c>
      <c r="C5490" s="179" t="s">
        <v>375</v>
      </c>
      <c r="D5490" t="s">
        <v>7830</v>
      </c>
      <c r="E5490" t="s">
        <v>6827</v>
      </c>
      <c r="F5490" s="150"/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0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6435</v>
      </c>
      <c r="M5490" s="178">
        <v>46051</v>
      </c>
      <c r="N5490" s="178"/>
      <c r="O5490" s="178"/>
      <c r="P5490" s="178" t="str">
        <f ca="1">IF(Proc[[#This Row],[DaysAgeing]]&gt;5,"yep","on track")</f>
        <v>on track</v>
      </c>
      <c r="Q5490" s="3">
        <f ca="1">IF(Proc[[#This Row],[DateClosed]]="",ABS(NETWORKDAYS(Proc[[#This Row],[DateOpened]],TODAY()))-1,ABS(NETWORKDAYS(Proc[[#This Row],[DateOpened]],Proc[[#This Row],[DateClosed]]))-1)</f>
        <v>0</v>
      </c>
      <c r="R5490" s="178" t="s">
        <v>780</v>
      </c>
      <c r="S5490" s="150"/>
    </row>
    <row r="5491" spans="1:19">
      <c r="A5491" s="179" t="s">
        <v>7817</v>
      </c>
      <c r="B5491" s="150" t="str">
        <f>IFERROR(VLOOKUP(Proc[[#This Row],[App]],Table2[],3,0),"open")</f>
        <v>open</v>
      </c>
      <c r="C5491" s="179" t="s">
        <v>375</v>
      </c>
      <c r="D5491" t="s">
        <v>7831</v>
      </c>
      <c r="E5491" t="s">
        <v>6827</v>
      </c>
      <c r="F5491" s="150"/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0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6435</v>
      </c>
      <c r="M5491" s="178">
        <v>46051</v>
      </c>
      <c r="N5491" s="178"/>
      <c r="O5491" s="178"/>
      <c r="P5491" s="178" t="str">
        <f ca="1">IF(Proc[[#This Row],[DaysAgeing]]&gt;5,"yep","on track")</f>
        <v>on track</v>
      </c>
      <c r="Q5491" s="3">
        <f ca="1">IF(Proc[[#This Row],[DateClosed]]="",ABS(NETWORKDAYS(Proc[[#This Row],[DateOpened]],TODAY()))-1,ABS(NETWORKDAYS(Proc[[#This Row],[DateOpened]],Proc[[#This Row],[DateClosed]]))-1)</f>
        <v>0</v>
      </c>
      <c r="R5491" s="178" t="s">
        <v>780</v>
      </c>
      <c r="S5491" s="150"/>
    </row>
    <row r="5492" spans="1:19">
      <c r="A5492" s="179" t="s">
        <v>7817</v>
      </c>
      <c r="B5492" s="150" t="str">
        <f>IFERROR(VLOOKUP(Proc[[#This Row],[App]],Table2[],3,0),"open")</f>
        <v>open</v>
      </c>
      <c r="C5492" s="179" t="s">
        <v>375</v>
      </c>
      <c r="D5492" t="s">
        <v>7832</v>
      </c>
      <c r="E5492" t="s">
        <v>6827</v>
      </c>
      <c r="F5492" s="150"/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0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6435</v>
      </c>
      <c r="M5492" s="178">
        <v>46051</v>
      </c>
      <c r="N5492" s="178"/>
      <c r="O5492" s="178"/>
      <c r="P5492" s="178" t="str">
        <f ca="1">IF(Proc[[#This Row],[DaysAgeing]]&gt;5,"yep","on track")</f>
        <v>on track</v>
      </c>
      <c r="Q5492" s="3">
        <f ca="1">IF(Proc[[#This Row],[DateClosed]]="",ABS(NETWORKDAYS(Proc[[#This Row],[DateOpened]],TODAY()))-1,ABS(NETWORKDAYS(Proc[[#This Row],[DateOpened]],Proc[[#This Row],[DateClosed]]))-1)</f>
        <v>0</v>
      </c>
      <c r="R5492" s="178" t="s">
        <v>780</v>
      </c>
      <c r="S5492" s="150"/>
    </row>
    <row r="5493" spans="1:19">
      <c r="A5493" s="179" t="s">
        <v>7817</v>
      </c>
      <c r="B5493" s="150" t="str">
        <f>IFERROR(VLOOKUP(Proc[[#This Row],[App]],Table2[],3,0),"open")</f>
        <v>open</v>
      </c>
      <c r="C5493" s="179" t="s">
        <v>375</v>
      </c>
      <c r="D5493" t="s">
        <v>7833</v>
      </c>
      <c r="E5493" t="s">
        <v>6827</v>
      </c>
      <c r="F5493" s="150"/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0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6435</v>
      </c>
      <c r="M5493" s="178">
        <v>46051</v>
      </c>
      <c r="N5493" s="178"/>
      <c r="O5493" s="178"/>
      <c r="P5493" s="178" t="str">
        <f ca="1">IF(Proc[[#This Row],[DaysAgeing]]&gt;5,"yep","on track")</f>
        <v>on track</v>
      </c>
      <c r="Q5493" s="3">
        <f ca="1">IF(Proc[[#This Row],[DateClosed]]="",ABS(NETWORKDAYS(Proc[[#This Row],[DateOpened]],TODAY()))-1,ABS(NETWORKDAYS(Proc[[#This Row],[DateOpened]],Proc[[#This Row],[DateClosed]]))-1)</f>
        <v>0</v>
      </c>
      <c r="R5493" s="178" t="s">
        <v>780</v>
      </c>
      <c r="S5493" s="150"/>
    </row>
    <row r="5494" spans="1:19">
      <c r="A5494" s="179" t="s">
        <v>7817</v>
      </c>
      <c r="B5494" s="150" t="str">
        <f>IFERROR(VLOOKUP(Proc[[#This Row],[App]],Table2[],3,0),"open")</f>
        <v>open</v>
      </c>
      <c r="C5494" s="179" t="s">
        <v>375</v>
      </c>
      <c r="D5494" t="s">
        <v>7834</v>
      </c>
      <c r="E5494" t="s">
        <v>6827</v>
      </c>
      <c r="F5494" s="150"/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0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6435</v>
      </c>
      <c r="M5494" s="178">
        <v>46051</v>
      </c>
      <c r="N5494" s="178"/>
      <c r="O5494" s="178"/>
      <c r="P5494" s="178" t="str">
        <f ca="1">IF(Proc[[#This Row],[DaysAgeing]]&gt;5,"yep","on track")</f>
        <v>on track</v>
      </c>
      <c r="Q5494" s="3">
        <f ca="1">IF(Proc[[#This Row],[DateClosed]]="",ABS(NETWORKDAYS(Proc[[#This Row],[DateOpened]],TODAY()))-1,ABS(NETWORKDAYS(Proc[[#This Row],[DateOpened]],Proc[[#This Row],[DateClosed]]))-1)</f>
        <v>0</v>
      </c>
      <c r="R5494" s="178" t="s">
        <v>780</v>
      </c>
      <c r="S5494" s="150"/>
    </row>
    <row r="5495" spans="1:19">
      <c r="A5495" s="179" t="s">
        <v>7817</v>
      </c>
      <c r="B5495" s="150" t="str">
        <f>IFERROR(VLOOKUP(Proc[[#This Row],[App]],Table2[],3,0),"open")</f>
        <v>open</v>
      </c>
      <c r="C5495" s="179" t="s">
        <v>375</v>
      </c>
      <c r="D5495" t="s">
        <v>7835</v>
      </c>
      <c r="E5495" t="s">
        <v>6827</v>
      </c>
      <c r="F5495" s="150"/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0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6435</v>
      </c>
      <c r="M5495" s="178">
        <v>46051</v>
      </c>
      <c r="N5495" s="178"/>
      <c r="O5495" s="178"/>
      <c r="P5495" s="178" t="str">
        <f ca="1">IF(Proc[[#This Row],[DaysAgeing]]&gt;5,"yep","on track")</f>
        <v>on track</v>
      </c>
      <c r="Q5495" s="3">
        <f ca="1">IF(Proc[[#This Row],[DateClosed]]="",ABS(NETWORKDAYS(Proc[[#This Row],[DateOpened]],TODAY()))-1,ABS(NETWORKDAYS(Proc[[#This Row],[DateOpened]],Proc[[#This Row],[DateClosed]]))-1)</f>
        <v>0</v>
      </c>
      <c r="R5495" s="178" t="s">
        <v>780</v>
      </c>
      <c r="S5495" s="150"/>
    </row>
    <row r="5496" spans="1:19">
      <c r="A5496" s="179" t="s">
        <v>7817</v>
      </c>
      <c r="B5496" s="150" t="str">
        <f>IFERROR(VLOOKUP(Proc[[#This Row],[App]],Table2[],3,0),"open")</f>
        <v>open</v>
      </c>
      <c r="C5496" s="179" t="s">
        <v>375</v>
      </c>
      <c r="D5496" t="s">
        <v>7836</v>
      </c>
      <c r="E5496" t="s">
        <v>6827</v>
      </c>
      <c r="F5496" s="150"/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0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6435</v>
      </c>
      <c r="M5496" s="178">
        <v>46051</v>
      </c>
      <c r="N5496" s="178"/>
      <c r="O5496" s="178"/>
      <c r="P5496" s="178" t="str">
        <f ca="1">IF(Proc[[#This Row],[DaysAgeing]]&gt;5,"yep","on track")</f>
        <v>on track</v>
      </c>
      <c r="Q5496" s="3">
        <f ca="1">IF(Proc[[#This Row],[DateClosed]]="",ABS(NETWORKDAYS(Proc[[#This Row],[DateOpened]],TODAY()))-1,ABS(NETWORKDAYS(Proc[[#This Row],[DateOpened]],Proc[[#This Row],[DateClosed]]))-1)</f>
        <v>0</v>
      </c>
      <c r="R5496" s="178" t="s">
        <v>780</v>
      </c>
      <c r="S5496" s="150"/>
    </row>
    <row r="5497" spans="1:19">
      <c r="A5497" s="179" t="s">
        <v>7817</v>
      </c>
      <c r="B5497" s="150" t="str">
        <f>IFERROR(VLOOKUP(Proc[[#This Row],[App]],Table2[],3,0),"open")</f>
        <v>open</v>
      </c>
      <c r="C5497" s="179" t="s">
        <v>375</v>
      </c>
      <c r="D5497" t="s">
        <v>7837</v>
      </c>
      <c r="E5497" t="s">
        <v>6827</v>
      </c>
      <c r="F5497" s="150"/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0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6435</v>
      </c>
      <c r="M5497" s="178">
        <v>46051</v>
      </c>
      <c r="N5497" s="178"/>
      <c r="O5497" s="178"/>
      <c r="P5497" s="178" t="str">
        <f ca="1">IF(Proc[[#This Row],[DaysAgeing]]&gt;5,"yep","on track")</f>
        <v>on track</v>
      </c>
      <c r="Q5497" s="3">
        <f ca="1">IF(Proc[[#This Row],[DateClosed]]="",ABS(NETWORKDAYS(Proc[[#This Row],[DateOpened]],TODAY()))-1,ABS(NETWORKDAYS(Proc[[#This Row],[DateOpened]],Proc[[#This Row],[DateClosed]]))-1)</f>
        <v>0</v>
      </c>
      <c r="R5497" s="178" t="s">
        <v>780</v>
      </c>
      <c r="S5497" s="150"/>
    </row>
    <row r="5498" spans="1:19">
      <c r="A5498" s="179" t="s">
        <v>7817</v>
      </c>
      <c r="B5498" s="150" t="str">
        <f>IFERROR(VLOOKUP(Proc[[#This Row],[App]],Table2[],3,0),"open")</f>
        <v>open</v>
      </c>
      <c r="C5498" s="179" t="s">
        <v>375</v>
      </c>
      <c r="D5498" t="s">
        <v>7838</v>
      </c>
      <c r="E5498" t="s">
        <v>6827</v>
      </c>
      <c r="F5498" s="150"/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0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6435</v>
      </c>
      <c r="M5498" s="178">
        <v>46051</v>
      </c>
      <c r="N5498" s="178"/>
      <c r="O5498" s="178"/>
      <c r="P5498" s="178" t="str">
        <f ca="1">IF(Proc[[#This Row],[DaysAgeing]]&gt;5,"yep","on track")</f>
        <v>on track</v>
      </c>
      <c r="Q5498" s="3">
        <f ca="1">IF(Proc[[#This Row],[DateClosed]]="",ABS(NETWORKDAYS(Proc[[#This Row],[DateOpened]],TODAY()))-1,ABS(NETWORKDAYS(Proc[[#This Row],[DateOpened]],Proc[[#This Row],[DateClosed]]))-1)</f>
        <v>0</v>
      </c>
      <c r="R5498" s="178" t="s">
        <v>780</v>
      </c>
      <c r="S5498" s="150"/>
    </row>
    <row r="5499" spans="1:19">
      <c r="A5499" s="179" t="s">
        <v>7817</v>
      </c>
      <c r="B5499" s="150" t="str">
        <f>IFERROR(VLOOKUP(Proc[[#This Row],[App]],Table2[],3,0),"open")</f>
        <v>open</v>
      </c>
      <c r="C5499" s="179" t="s">
        <v>370</v>
      </c>
      <c r="D5499" t="s">
        <v>7839</v>
      </c>
      <c r="E5499" t="s">
        <v>6827</v>
      </c>
      <c r="F5499" s="150"/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0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6435</v>
      </c>
      <c r="M5499" s="178">
        <v>46051</v>
      </c>
      <c r="N5499" s="178"/>
      <c r="O5499" s="178"/>
      <c r="P5499" s="178" t="str">
        <f ca="1">IF(Proc[[#This Row],[DaysAgeing]]&gt;5,"yep","on track")</f>
        <v>on track</v>
      </c>
      <c r="Q5499" s="3">
        <f ca="1">IF(Proc[[#This Row],[DateClosed]]="",ABS(NETWORKDAYS(Proc[[#This Row],[DateOpened]],TODAY()))-1,ABS(NETWORKDAYS(Proc[[#This Row],[DateOpened]],Proc[[#This Row],[DateClosed]]))-1)</f>
        <v>0</v>
      </c>
      <c r="R5499" s="178" t="s">
        <v>780</v>
      </c>
      <c r="S5499" s="150"/>
    </row>
    <row r="5500" spans="1:19">
      <c r="A5500" s="179" t="s">
        <v>7817</v>
      </c>
      <c r="B5500" s="150" t="str">
        <f>IFERROR(VLOOKUP(Proc[[#This Row],[App]],Table2[],3,0),"open")</f>
        <v>open</v>
      </c>
      <c r="C5500" s="179" t="s">
        <v>370</v>
      </c>
      <c r="D5500" t="s">
        <v>7840</v>
      </c>
      <c r="E5500" t="s">
        <v>6827</v>
      </c>
      <c r="F5500" s="150"/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0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6435</v>
      </c>
      <c r="M5500" s="178">
        <v>46051</v>
      </c>
      <c r="N5500" s="178"/>
      <c r="O5500" s="178"/>
      <c r="P5500" s="178" t="str">
        <f ca="1">IF(Proc[[#This Row],[DaysAgeing]]&gt;5,"yep","on track")</f>
        <v>on track</v>
      </c>
      <c r="Q5500" s="3">
        <f ca="1">IF(Proc[[#This Row],[DateClosed]]="",ABS(NETWORKDAYS(Proc[[#This Row],[DateOpened]],TODAY()))-1,ABS(NETWORKDAYS(Proc[[#This Row],[DateOpened]],Proc[[#This Row],[DateClosed]]))-1)</f>
        <v>0</v>
      </c>
      <c r="R5500" s="178" t="s">
        <v>780</v>
      </c>
      <c r="S5500" s="150"/>
    </row>
    <row r="5501" spans="1:19">
      <c r="A5501" s="179" t="s">
        <v>7817</v>
      </c>
      <c r="B5501" s="150" t="str">
        <f>IFERROR(VLOOKUP(Proc[[#This Row],[App]],Table2[],3,0),"open")</f>
        <v>open</v>
      </c>
      <c r="C5501" s="179" t="s">
        <v>375</v>
      </c>
      <c r="D5501" t="s">
        <v>7841</v>
      </c>
      <c r="E5501" t="s">
        <v>6827</v>
      </c>
      <c r="F5501" s="150"/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0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6435</v>
      </c>
      <c r="M5501" s="178">
        <v>46051</v>
      </c>
      <c r="N5501" s="178"/>
      <c r="O5501" s="178"/>
      <c r="P5501" s="178" t="str">
        <f ca="1">IF(Proc[[#This Row],[DaysAgeing]]&gt;5,"yep","on track")</f>
        <v>on track</v>
      </c>
      <c r="Q5501" s="3">
        <f ca="1">IF(Proc[[#This Row],[DateClosed]]="",ABS(NETWORKDAYS(Proc[[#This Row],[DateOpened]],TODAY()))-1,ABS(NETWORKDAYS(Proc[[#This Row],[DateOpened]],Proc[[#This Row],[DateClosed]]))-1)</f>
        <v>0</v>
      </c>
      <c r="R5501" s="178" t="s">
        <v>780</v>
      </c>
      <c r="S5501" s="150"/>
    </row>
    <row r="5502" spans="1:19">
      <c r="A5502" s="179" t="s">
        <v>7817</v>
      </c>
      <c r="B5502" s="150" t="str">
        <f>IFERROR(VLOOKUP(Proc[[#This Row],[App]],Table2[],3,0),"open")</f>
        <v>open</v>
      </c>
      <c r="C5502" s="179" t="s">
        <v>375</v>
      </c>
      <c r="D5502" t="s">
        <v>7842</v>
      </c>
      <c r="E5502" t="s">
        <v>6827</v>
      </c>
      <c r="F5502" s="150"/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0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6435</v>
      </c>
      <c r="M5502" s="178">
        <v>46051</v>
      </c>
      <c r="N5502" s="178"/>
      <c r="O5502" s="178"/>
      <c r="P5502" s="178" t="str">
        <f ca="1">IF(Proc[[#This Row],[DaysAgeing]]&gt;5,"yep","on track")</f>
        <v>on track</v>
      </c>
      <c r="Q5502" s="3">
        <f ca="1">IF(Proc[[#This Row],[DateClosed]]="",ABS(NETWORKDAYS(Proc[[#This Row],[DateOpened]],TODAY()))-1,ABS(NETWORKDAYS(Proc[[#This Row],[DateOpened]],Proc[[#This Row],[DateClosed]]))-1)</f>
        <v>0</v>
      </c>
      <c r="R5502" s="178" t="s">
        <v>780</v>
      </c>
      <c r="S5502" s="150"/>
    </row>
    <row r="5503" spans="1:19">
      <c r="A5503" s="179" t="s">
        <v>7817</v>
      </c>
      <c r="B5503" s="150" t="str">
        <f>IFERROR(VLOOKUP(Proc[[#This Row],[App]],Table2[],3,0),"open")</f>
        <v>open</v>
      </c>
      <c r="C5503" s="179" t="s">
        <v>375</v>
      </c>
      <c r="D5503" t="s">
        <v>7843</v>
      </c>
      <c r="E5503" t="s">
        <v>7858</v>
      </c>
      <c r="F5503" s="150"/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0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6435</v>
      </c>
      <c r="M5503" s="178">
        <v>46051</v>
      </c>
      <c r="N5503" s="178"/>
      <c r="O5503" s="178"/>
      <c r="P5503" s="178" t="str">
        <f ca="1">IF(Proc[[#This Row],[DaysAgeing]]&gt;5,"yep","on track")</f>
        <v>on track</v>
      </c>
      <c r="Q5503" s="3">
        <f ca="1">IF(Proc[[#This Row],[DateClosed]]="",ABS(NETWORKDAYS(Proc[[#This Row],[DateOpened]],TODAY()))-1,ABS(NETWORKDAYS(Proc[[#This Row],[DateOpened]],Proc[[#This Row],[DateClosed]]))-1)</f>
        <v>0</v>
      </c>
      <c r="R5503" s="178" t="s">
        <v>780</v>
      </c>
      <c r="S5503" s="150"/>
    </row>
    <row r="5504" spans="1:19">
      <c r="A5504" s="179" t="s">
        <v>7817</v>
      </c>
      <c r="B5504" s="150" t="str">
        <f>IFERROR(VLOOKUP(Proc[[#This Row],[App]],Table2[],3,0),"open")</f>
        <v>open</v>
      </c>
      <c r="C5504" s="179" t="s">
        <v>375</v>
      </c>
      <c r="D5504" t="s">
        <v>7844</v>
      </c>
      <c r="E5504" t="s">
        <v>7858</v>
      </c>
      <c r="F5504" s="150"/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0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6435</v>
      </c>
      <c r="M5504" s="178">
        <v>46051</v>
      </c>
      <c r="N5504" s="178"/>
      <c r="O5504" s="178"/>
      <c r="P5504" s="178" t="str">
        <f ca="1">IF(Proc[[#This Row],[DaysAgeing]]&gt;5,"yep","on track")</f>
        <v>on track</v>
      </c>
      <c r="Q5504" s="3">
        <f ca="1">IF(Proc[[#This Row],[DateClosed]]="",ABS(NETWORKDAYS(Proc[[#This Row],[DateOpened]],TODAY()))-1,ABS(NETWORKDAYS(Proc[[#This Row],[DateOpened]],Proc[[#This Row],[DateClosed]]))-1)</f>
        <v>0</v>
      </c>
      <c r="R5504" s="178" t="s">
        <v>780</v>
      </c>
      <c r="S5504" s="150"/>
    </row>
    <row r="5505" spans="1:19">
      <c r="A5505" s="179" t="s">
        <v>7817</v>
      </c>
      <c r="B5505" s="150" t="str">
        <f>IFERROR(VLOOKUP(Proc[[#This Row],[App]],Table2[],3,0),"open")</f>
        <v>open</v>
      </c>
      <c r="C5505" s="179" t="s">
        <v>375</v>
      </c>
      <c r="D5505" t="s">
        <v>7845</v>
      </c>
      <c r="E5505" t="s">
        <v>7858</v>
      </c>
      <c r="F5505" s="150"/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0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6435</v>
      </c>
      <c r="M5505" s="178">
        <v>46051</v>
      </c>
      <c r="N5505" s="178"/>
      <c r="O5505" s="178"/>
      <c r="P5505" s="178" t="str">
        <f ca="1">IF(Proc[[#This Row],[DaysAgeing]]&gt;5,"yep","on track")</f>
        <v>on track</v>
      </c>
      <c r="Q5505" s="3">
        <f ca="1">IF(Proc[[#This Row],[DateClosed]]="",ABS(NETWORKDAYS(Proc[[#This Row],[DateOpened]],TODAY()))-1,ABS(NETWORKDAYS(Proc[[#This Row],[DateOpened]],Proc[[#This Row],[DateClosed]]))-1)</f>
        <v>0</v>
      </c>
      <c r="R5505" s="178" t="s">
        <v>780</v>
      </c>
      <c r="S5505" s="150"/>
    </row>
    <row r="5506" spans="1:19">
      <c r="A5506" s="179" t="s">
        <v>7817</v>
      </c>
      <c r="B5506" s="150" t="str">
        <f>IFERROR(VLOOKUP(Proc[[#This Row],[App]],Table2[],3,0),"open")</f>
        <v>open</v>
      </c>
      <c r="C5506" s="179" t="s">
        <v>375</v>
      </c>
      <c r="D5506" t="s">
        <v>7846</v>
      </c>
      <c r="E5506" t="s">
        <v>7858</v>
      </c>
      <c r="F5506" s="150"/>
      <c r="G5506" s="179" t="s">
        <v>406</v>
      </c>
      <c r="H5506" s="150" t="str">
        <f>IF(Proc[[#This Row],[type]]="LFF (MDG-F)",MID(Proc[[#This Row],[Obj]],13,10),"")</f>
        <v>DE10L80001</v>
      </c>
      <c r="I5506" s="179"/>
      <c r="J5506" s="150" t="b">
        <f>Proc[[#This Row],[Requested]]=Proc[[#This Row],[CurrentParent]]</f>
        <v>0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6435</v>
      </c>
      <c r="M5506" s="178">
        <v>46051</v>
      </c>
      <c r="N5506" s="178"/>
      <c r="O5506" s="178"/>
      <c r="P5506" s="178" t="str">
        <f ca="1">IF(Proc[[#This Row],[DaysAgeing]]&gt;5,"yep","on track")</f>
        <v>on track</v>
      </c>
      <c r="Q5506" s="3">
        <f ca="1">IF(Proc[[#This Row],[DateClosed]]="",ABS(NETWORKDAYS(Proc[[#This Row],[DateOpened]],TODAY()))-1,ABS(NETWORKDAYS(Proc[[#This Row],[DateOpened]],Proc[[#This Row],[DateClosed]]))-1)</f>
        <v>0</v>
      </c>
      <c r="R5506" s="178" t="s">
        <v>780</v>
      </c>
      <c r="S5506" s="150"/>
    </row>
    <row r="5507" spans="1:19">
      <c r="A5507" s="179" t="s">
        <v>7817</v>
      </c>
      <c r="B5507" s="150" t="str">
        <f>IFERROR(VLOOKUP(Proc[[#This Row],[App]],Table2[],3,0),"open")</f>
        <v>open</v>
      </c>
      <c r="C5507" s="179" t="s">
        <v>375</v>
      </c>
      <c r="D5507" t="s">
        <v>7847</v>
      </c>
      <c r="E5507" t="s">
        <v>7859</v>
      </c>
      <c r="F5507" s="150"/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0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6435</v>
      </c>
      <c r="M5507" s="178">
        <v>46051</v>
      </c>
      <c r="N5507" s="178"/>
      <c r="O5507" s="178"/>
      <c r="P5507" s="178" t="str">
        <f ca="1">IF(Proc[[#This Row],[DaysAgeing]]&gt;5,"yep","on track")</f>
        <v>on track</v>
      </c>
      <c r="Q5507" s="3">
        <f ca="1">IF(Proc[[#This Row],[DateClosed]]="",ABS(NETWORKDAYS(Proc[[#This Row],[DateOpened]],TODAY()))-1,ABS(NETWORKDAYS(Proc[[#This Row],[DateOpened]],Proc[[#This Row],[DateClosed]]))-1)</f>
        <v>0</v>
      </c>
      <c r="R5507" s="178" t="s">
        <v>780</v>
      </c>
      <c r="S5507" s="150"/>
    </row>
    <row r="5508" spans="1:19">
      <c r="A5508" s="179" t="s">
        <v>7817</v>
      </c>
      <c r="B5508" s="150" t="str">
        <f>IFERROR(VLOOKUP(Proc[[#This Row],[App]],Table2[],3,0),"open")</f>
        <v>open</v>
      </c>
      <c r="C5508" s="179" t="s">
        <v>375</v>
      </c>
      <c r="D5508" t="s">
        <v>7848</v>
      </c>
      <c r="E5508" t="s">
        <v>7859</v>
      </c>
      <c r="F5508" s="150"/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0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6435</v>
      </c>
      <c r="M5508" s="178">
        <v>46051</v>
      </c>
      <c r="N5508" s="178"/>
      <c r="O5508" s="178"/>
      <c r="P5508" s="178" t="str">
        <f ca="1">IF(Proc[[#This Row],[DaysAgeing]]&gt;5,"yep","on track")</f>
        <v>on track</v>
      </c>
      <c r="Q5508" s="3">
        <f ca="1">IF(Proc[[#This Row],[DateClosed]]="",ABS(NETWORKDAYS(Proc[[#This Row],[DateOpened]],TODAY()))-1,ABS(NETWORKDAYS(Proc[[#This Row],[DateOpened]],Proc[[#This Row],[DateClosed]]))-1)</f>
        <v>0</v>
      </c>
      <c r="R5508" s="178" t="s">
        <v>780</v>
      </c>
      <c r="S5508" s="150"/>
    </row>
    <row r="5509" spans="1:19">
      <c r="A5509" s="179" t="s">
        <v>7817</v>
      </c>
      <c r="B5509" s="150" t="str">
        <f>IFERROR(VLOOKUP(Proc[[#This Row],[App]],Table2[],3,0),"open")</f>
        <v>open</v>
      </c>
      <c r="C5509" s="179" t="s">
        <v>370</v>
      </c>
      <c r="D5509" t="s">
        <v>7849</v>
      </c>
      <c r="E5509" t="s">
        <v>7860</v>
      </c>
      <c r="F5509" s="150"/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0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6435</v>
      </c>
      <c r="M5509" s="178">
        <v>46051</v>
      </c>
      <c r="N5509" s="178"/>
      <c r="O5509" s="178"/>
      <c r="P5509" s="178" t="str">
        <f ca="1">IF(Proc[[#This Row],[DaysAgeing]]&gt;5,"yep","on track")</f>
        <v>on track</v>
      </c>
      <c r="Q5509" s="3">
        <f ca="1">IF(Proc[[#This Row],[DateClosed]]="",ABS(NETWORKDAYS(Proc[[#This Row],[DateOpened]],TODAY()))-1,ABS(NETWORKDAYS(Proc[[#This Row],[DateOpened]],Proc[[#This Row],[DateClosed]]))-1)</f>
        <v>0</v>
      </c>
      <c r="R5509" s="178" t="s">
        <v>780</v>
      </c>
      <c r="S5509" s="150"/>
    </row>
    <row r="5510" spans="1:19">
      <c r="A5510" t="s">
        <v>7850</v>
      </c>
      <c r="B5510" s="150" t="str">
        <f>IFERROR(VLOOKUP(Proc[[#This Row],[App]],Table2[],3,0),"open")</f>
        <v>open</v>
      </c>
      <c r="C5510" s="179" t="s">
        <v>370</v>
      </c>
      <c r="D5510" t="s">
        <v>7852</v>
      </c>
      <c r="E5510" t="s">
        <v>784</v>
      </c>
      <c r="F5510" s="150"/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0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6435</v>
      </c>
      <c r="M5510" s="178">
        <v>46051</v>
      </c>
      <c r="N5510" s="178"/>
      <c r="O5510" s="178"/>
      <c r="P5510" s="178" t="str">
        <f ca="1">IF(Proc[[#This Row],[DaysAgeing]]&gt;5,"yep","on track")</f>
        <v>on track</v>
      </c>
      <c r="Q5510" s="3">
        <f ca="1">IF(Proc[[#This Row],[DateClosed]]="",ABS(NETWORKDAYS(Proc[[#This Row],[DateOpened]],TODAY()))-1,ABS(NETWORKDAYS(Proc[[#This Row],[DateOpened]],Proc[[#This Row],[DateClosed]]))-1)</f>
        <v>0</v>
      </c>
      <c r="R5510" s="178" t="s">
        <v>7851</v>
      </c>
      <c r="S5510" s="150"/>
    </row>
    <row r="5511" spans="1:19">
      <c r="A5511" t="s">
        <v>7857</v>
      </c>
      <c r="B5511" s="150" t="str">
        <f>IFERROR(VLOOKUP(Proc[[#This Row],[App]],Table2[],3,0),"open")</f>
        <v>open</v>
      </c>
      <c r="C5511" s="179" t="s">
        <v>370</v>
      </c>
      <c r="D5511" t="s">
        <v>7853</v>
      </c>
      <c r="E5511" t="s">
        <v>7855</v>
      </c>
      <c r="F5511" s="150"/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0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6435</v>
      </c>
      <c r="M5511" s="178">
        <v>46051</v>
      </c>
      <c r="N5511" s="178"/>
      <c r="O5511" s="178"/>
      <c r="P5511" s="178" t="str">
        <f ca="1">IF(Proc[[#This Row],[DaysAgeing]]&gt;5,"yep","on track")</f>
        <v>on track</v>
      </c>
      <c r="Q5511" s="3">
        <f ca="1">IF(Proc[[#This Row],[DateClosed]]="",ABS(NETWORKDAYS(Proc[[#This Row],[DateOpened]],TODAY()))-1,ABS(NETWORKDAYS(Proc[[#This Row],[DateOpened]],Proc[[#This Row],[DateClosed]]))-1)</f>
        <v>0</v>
      </c>
      <c r="R5511" s="178" t="s">
        <v>484</v>
      </c>
      <c r="S5511" s="150"/>
    </row>
    <row r="5512" spans="1:19">
      <c r="A5512" t="s">
        <v>7857</v>
      </c>
      <c r="B5512" s="150" t="str">
        <f>IFERROR(VLOOKUP(Proc[[#This Row],[App]],Table2[],3,0),"open")</f>
        <v>open</v>
      </c>
      <c r="C5512" s="179" t="s">
        <v>370</v>
      </c>
      <c r="D5512" t="s">
        <v>7854</v>
      </c>
      <c r="E5512" t="s">
        <v>7856</v>
      </c>
      <c r="F5512" s="150"/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0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6435</v>
      </c>
      <c r="M5512" s="178">
        <v>46051</v>
      </c>
      <c r="N5512" s="178"/>
      <c r="O5512" s="178"/>
      <c r="P5512" s="178" t="str">
        <f ca="1">IF(Proc[[#This Row],[DaysAgeing]]&gt;5,"yep","on track")</f>
        <v>on track</v>
      </c>
      <c r="Q5512" s="3">
        <f ca="1">IF(Proc[[#This Row],[DateClosed]]="",ABS(NETWORKDAYS(Proc[[#This Row],[DateOpened]],TODAY()))-1,ABS(NETWORKDAYS(Proc[[#This Row],[DateOpened]],Proc[[#This Row],[DateClosed]]))-1)</f>
        <v>0</v>
      </c>
      <c r="R5512" s="178" t="s">
        <v>484</v>
      </c>
      <c r="S5512" s="150"/>
    </row>
    <row r="5513" spans="1:19">
      <c r="A5513" t="s">
        <v>7884</v>
      </c>
      <c r="B5513" s="150" t="str">
        <f>IFERROR(VLOOKUP(Proc[[#This Row],[App]],Table2[],3,0),"open")</f>
        <v>open</v>
      </c>
      <c r="C5513" s="179" t="s">
        <v>375</v>
      </c>
      <c r="D5513" t="s">
        <v>7885</v>
      </c>
      <c r="E5513" t="s">
        <v>3589</v>
      </c>
      <c r="F5513" s="150"/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0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6435</v>
      </c>
      <c r="M5513" s="178">
        <v>46051</v>
      </c>
      <c r="N5513" s="178"/>
      <c r="O5513" s="178"/>
      <c r="P5513" s="178" t="str">
        <f ca="1">IF(Proc[[#This Row],[DaysAgeing]]&gt;5,"yep","on track")</f>
        <v>on track</v>
      </c>
      <c r="Q5513" s="3">
        <f ca="1">IF(Proc[[#This Row],[DateClosed]]="",ABS(NETWORKDAYS(Proc[[#This Row],[DateOpened]],TODAY()))-1,ABS(NETWORKDAYS(Proc[[#This Row],[DateOpened]],Proc[[#This Row],[DateClosed]]))-1)</f>
        <v>0</v>
      </c>
      <c r="R5513" s="178" t="s">
        <v>5709</v>
      </c>
      <c r="S5513" s="150"/>
    </row>
    <row r="5514" spans="1:19">
      <c r="A5514" s="179" t="s">
        <v>7884</v>
      </c>
      <c r="B5514" s="150" t="str">
        <f>IFERROR(VLOOKUP(Proc[[#This Row],[App]],Table2[],3,0),"open")</f>
        <v>open</v>
      </c>
      <c r="C5514" s="179" t="s">
        <v>375</v>
      </c>
      <c r="D5514" t="s">
        <v>7886</v>
      </c>
      <c r="E5514" t="s">
        <v>7889</v>
      </c>
      <c r="F5514" s="150"/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0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6435</v>
      </c>
      <c r="M5514" s="178">
        <v>46051</v>
      </c>
      <c r="N5514" s="178"/>
      <c r="O5514" s="178"/>
      <c r="P5514" s="178" t="str">
        <f ca="1">IF(Proc[[#This Row],[DaysAgeing]]&gt;5,"yep","on track")</f>
        <v>on track</v>
      </c>
      <c r="Q5514" s="3">
        <f ca="1">IF(Proc[[#This Row],[DateClosed]]="",ABS(NETWORKDAYS(Proc[[#This Row],[DateOpened]],TODAY()))-1,ABS(NETWORKDAYS(Proc[[#This Row],[DateOpened]],Proc[[#This Row],[DateClosed]]))-1)</f>
        <v>0</v>
      </c>
      <c r="R5514" s="178" t="s">
        <v>5709</v>
      </c>
      <c r="S5514" s="150"/>
    </row>
    <row r="5515" spans="1:19">
      <c r="A5515" s="179" t="s">
        <v>7884</v>
      </c>
      <c r="B5515" s="150" t="str">
        <f>IFERROR(VLOOKUP(Proc[[#This Row],[App]],Table2[],3,0),"open")</f>
        <v>open</v>
      </c>
      <c r="C5515" s="179" t="s">
        <v>375</v>
      </c>
      <c r="D5515" t="s">
        <v>7887</v>
      </c>
      <c r="E5515" t="s">
        <v>7889</v>
      </c>
      <c r="F5515" s="150"/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0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6435</v>
      </c>
      <c r="M5515" s="178">
        <v>46051</v>
      </c>
      <c r="N5515" s="178"/>
      <c r="O5515" s="178"/>
      <c r="P5515" s="178" t="str">
        <f ca="1">IF(Proc[[#This Row],[DaysAgeing]]&gt;5,"yep","on track")</f>
        <v>on track</v>
      </c>
      <c r="Q5515" s="3">
        <f ca="1">IF(Proc[[#This Row],[DateClosed]]="",ABS(NETWORKDAYS(Proc[[#This Row],[DateOpened]],TODAY()))-1,ABS(NETWORKDAYS(Proc[[#This Row],[DateOpened]],Proc[[#This Row],[DateClosed]]))-1)</f>
        <v>0</v>
      </c>
      <c r="R5515" s="178" t="s">
        <v>5709</v>
      </c>
      <c r="S5515" s="150"/>
    </row>
    <row r="5516" spans="1:19">
      <c r="A5516" s="179" t="s">
        <v>7884</v>
      </c>
      <c r="B5516" s="150" t="str">
        <f>IFERROR(VLOOKUP(Proc[[#This Row],[App]],Table2[],3,0),"open")</f>
        <v>open</v>
      </c>
      <c r="C5516" s="179" t="s">
        <v>375</v>
      </c>
      <c r="D5516" t="s">
        <v>7888</v>
      </c>
      <c r="E5516" t="s">
        <v>7889</v>
      </c>
      <c r="F5516" s="150"/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0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6435</v>
      </c>
      <c r="M5516" s="178">
        <v>46051</v>
      </c>
      <c r="N5516" s="178"/>
      <c r="O5516" s="178"/>
      <c r="P5516" s="178" t="str">
        <f ca="1">IF(Proc[[#This Row],[DaysAgeing]]&gt;5,"yep","on track")</f>
        <v>on track</v>
      </c>
      <c r="Q5516" s="3">
        <f ca="1">IF(Proc[[#This Row],[DateClosed]]="",ABS(NETWORKDAYS(Proc[[#This Row],[DateOpened]],TODAY()))-1,ABS(NETWORKDAYS(Proc[[#This Row],[DateOpened]],Proc[[#This Row],[DateClosed]]))-1)</f>
        <v>0</v>
      </c>
      <c r="R5516" s="178" t="s">
        <v>5709</v>
      </c>
      <c r="S5516" s="150"/>
    </row>
    <row r="5517" spans="1:19">
      <c r="A5517" t="s">
        <v>7890</v>
      </c>
      <c r="B5517" s="150" t="str">
        <f>IFERROR(VLOOKUP(Proc[[#This Row],[App]],Table2[],3,0),"open")</f>
        <v>open</v>
      </c>
      <c r="C5517" s="179" t="s">
        <v>370</v>
      </c>
      <c r="D5517" t="s">
        <v>7891</v>
      </c>
      <c r="E5517" t="s">
        <v>7896</v>
      </c>
      <c r="F5517" s="150"/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0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6435</v>
      </c>
      <c r="M5517" s="178">
        <v>46051</v>
      </c>
      <c r="N5517" s="178"/>
      <c r="O5517" s="178"/>
      <c r="P5517" s="178" t="str">
        <f ca="1">IF(Proc[[#This Row],[DaysAgeing]]&gt;5,"yep","on track")</f>
        <v>on track</v>
      </c>
      <c r="Q5517" s="3">
        <f ca="1">IF(Proc[[#This Row],[DateClosed]]="",ABS(NETWORKDAYS(Proc[[#This Row],[DateOpened]],TODAY()))-1,ABS(NETWORKDAYS(Proc[[#This Row],[DateOpened]],Proc[[#This Row],[DateClosed]]))-1)</f>
        <v>0</v>
      </c>
      <c r="R5517" s="178" t="s">
        <v>5709</v>
      </c>
      <c r="S5517" s="150"/>
    </row>
    <row r="5518" spans="1:19">
      <c r="A5518" s="179" t="s">
        <v>7890</v>
      </c>
      <c r="B5518" s="150" t="str">
        <f>IFERROR(VLOOKUP(Proc[[#This Row],[App]],Table2[],3,0),"open")</f>
        <v>open</v>
      </c>
      <c r="C5518" s="179" t="s">
        <v>692</v>
      </c>
      <c r="D5518" t="s">
        <v>7892</v>
      </c>
      <c r="E5518" s="179" t="s">
        <v>7896</v>
      </c>
      <c r="F5518" s="150"/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6435</v>
      </c>
      <c r="M5518" s="178">
        <v>46051</v>
      </c>
      <c r="N5518" s="178"/>
      <c r="O5518" s="178"/>
      <c r="P5518" s="178" t="str">
        <f ca="1">IF(Proc[[#This Row],[DaysAgeing]]&gt;5,"yep","on track")</f>
        <v>on track</v>
      </c>
      <c r="Q5518" s="3">
        <f ca="1">IF(Proc[[#This Row],[DateClosed]]="",ABS(NETWORKDAYS(Proc[[#This Row],[DateOpened]],TODAY()))-1,ABS(NETWORKDAYS(Proc[[#This Row],[DateOpened]],Proc[[#This Row],[DateClosed]]))-1)</f>
        <v>0</v>
      </c>
      <c r="R5518" s="178" t="s">
        <v>5709</v>
      </c>
      <c r="S5518" s="150"/>
    </row>
    <row r="5519" spans="1:19">
      <c r="A5519" s="179" t="s">
        <v>7890</v>
      </c>
      <c r="B5519" s="150" t="str">
        <f>IFERROR(VLOOKUP(Proc[[#This Row],[App]],Table2[],3,0),"open")</f>
        <v>open</v>
      </c>
      <c r="C5519" s="179" t="s">
        <v>370</v>
      </c>
      <c r="D5519" t="s">
        <v>7893</v>
      </c>
      <c r="E5519" s="179" t="s">
        <v>7896</v>
      </c>
      <c r="F5519" s="150"/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0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6435</v>
      </c>
      <c r="M5519" s="178">
        <v>46051</v>
      </c>
      <c r="N5519" s="178"/>
      <c r="O5519" s="178"/>
      <c r="P5519" s="178" t="str">
        <f ca="1">IF(Proc[[#This Row],[DaysAgeing]]&gt;5,"yep","on track")</f>
        <v>on track</v>
      </c>
      <c r="Q5519" s="3">
        <f ca="1">IF(Proc[[#This Row],[DateClosed]]="",ABS(NETWORKDAYS(Proc[[#This Row],[DateOpened]],TODAY()))-1,ABS(NETWORKDAYS(Proc[[#This Row],[DateOpened]],Proc[[#This Row],[DateClosed]]))-1)</f>
        <v>0</v>
      </c>
      <c r="R5519" s="178" t="s">
        <v>5709</v>
      </c>
      <c r="S5519" s="150"/>
    </row>
    <row r="5520" spans="1:19">
      <c r="A5520" s="179" t="s">
        <v>7890</v>
      </c>
      <c r="B5520" s="150" t="str">
        <f>IFERROR(VLOOKUP(Proc[[#This Row],[App]],Table2[],3,0),"open")</f>
        <v>open</v>
      </c>
      <c r="C5520" s="179" t="s">
        <v>370</v>
      </c>
      <c r="D5520" t="s">
        <v>7894</v>
      </c>
      <c r="E5520" s="179" t="s">
        <v>7896</v>
      </c>
      <c r="F5520" s="150"/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0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6435</v>
      </c>
      <c r="M5520" s="178">
        <v>46051</v>
      </c>
      <c r="N5520" s="178"/>
      <c r="O5520" s="178"/>
      <c r="P5520" s="178" t="str">
        <f ca="1">IF(Proc[[#This Row],[DaysAgeing]]&gt;5,"yep","on track")</f>
        <v>on track</v>
      </c>
      <c r="Q5520" s="3">
        <f ca="1">IF(Proc[[#This Row],[DateClosed]]="",ABS(NETWORKDAYS(Proc[[#This Row],[DateOpened]],TODAY()))-1,ABS(NETWORKDAYS(Proc[[#This Row],[DateOpened]],Proc[[#This Row],[DateClosed]]))-1)</f>
        <v>0</v>
      </c>
      <c r="R5520" s="178" t="s">
        <v>5709</v>
      </c>
      <c r="S5520" s="150"/>
    </row>
    <row r="5521" spans="1:19">
      <c r="A5521" s="179" t="s">
        <v>7890</v>
      </c>
      <c r="B5521" s="150" t="str">
        <f>IFERROR(VLOOKUP(Proc[[#This Row],[App]],Table2[],3,0),"open")</f>
        <v>open</v>
      </c>
      <c r="C5521" s="179" t="s">
        <v>370</v>
      </c>
      <c r="D5521" t="s">
        <v>7895</v>
      </c>
      <c r="E5521" s="179" t="s">
        <v>7896</v>
      </c>
      <c r="F5521" s="150"/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0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6435</v>
      </c>
      <c r="M5521" s="178">
        <v>46051</v>
      </c>
      <c r="N5521" s="178"/>
      <c r="O5521" s="178"/>
      <c r="P5521" s="178" t="str">
        <f ca="1">IF(Proc[[#This Row],[DaysAgeing]]&gt;5,"yep","on track")</f>
        <v>on track</v>
      </c>
      <c r="Q5521" s="3">
        <f ca="1">IF(Proc[[#This Row],[DateClosed]]="",ABS(NETWORKDAYS(Proc[[#This Row],[DateOpened]],TODAY()))-1,ABS(NETWORKDAYS(Proc[[#This Row],[DateOpened]],Proc[[#This Row],[DateClosed]]))-1)</f>
        <v>0</v>
      </c>
      <c r="R5521" s="178" t="s">
        <v>5709</v>
      </c>
      <c r="S5521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G2:G5521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06488-7345-447C-ACD5-2BC30CA0FD56}">
  <dimension ref="A1:C37"/>
  <sheetViews>
    <sheetView workbookViewId="0">
      <selection activeCell="A33" sqref="A33:C37"/>
    </sheetView>
  </sheetViews>
  <sheetFormatPr defaultRowHeight="15"/>
  <sheetData>
    <row r="1" spans="1:3">
      <c r="A1">
        <v>1000</v>
      </c>
      <c r="B1" t="s">
        <v>7861</v>
      </c>
    </row>
    <row r="2" spans="1:3">
      <c r="A2" t="s">
        <v>7809</v>
      </c>
      <c r="C2" t="s">
        <v>7862</v>
      </c>
    </row>
    <row r="3" spans="1:3">
      <c r="A3" t="s">
        <v>7809</v>
      </c>
      <c r="C3" t="s">
        <v>7863</v>
      </c>
    </row>
    <row r="4" spans="1:3">
      <c r="A4" t="s">
        <v>6827</v>
      </c>
      <c r="C4" t="s">
        <v>7864</v>
      </c>
    </row>
    <row r="5" spans="1:3">
      <c r="A5" t="s">
        <v>6827</v>
      </c>
      <c r="C5" t="s">
        <v>7865</v>
      </c>
    </row>
    <row r="6" spans="1:3">
      <c r="A6" t="s">
        <v>6827</v>
      </c>
      <c r="C6" t="s">
        <v>7866</v>
      </c>
    </row>
    <row r="7" spans="1:3">
      <c r="A7" t="s">
        <v>6827</v>
      </c>
      <c r="C7" t="s">
        <v>7867</v>
      </c>
    </row>
    <row r="8" spans="1:3">
      <c r="A8" t="s">
        <v>6827</v>
      </c>
      <c r="C8" t="s">
        <v>7868</v>
      </c>
    </row>
    <row r="9" spans="1:3">
      <c r="A9" t="s">
        <v>6827</v>
      </c>
      <c r="C9" t="s">
        <v>7869</v>
      </c>
    </row>
    <row r="10" spans="1:3">
      <c r="A10" t="s">
        <v>6827</v>
      </c>
      <c r="C10" t="s">
        <v>7870</v>
      </c>
    </row>
    <row r="11" spans="1:3">
      <c r="A11" t="s">
        <v>6827</v>
      </c>
      <c r="C11" t="s">
        <v>7871</v>
      </c>
    </row>
    <row r="12" spans="1:3">
      <c r="A12" t="s">
        <v>6827</v>
      </c>
      <c r="C12" t="s">
        <v>7872</v>
      </c>
    </row>
    <row r="13" spans="1:3">
      <c r="A13" t="s">
        <v>6827</v>
      </c>
      <c r="C13" t="s">
        <v>7873</v>
      </c>
    </row>
    <row r="14" spans="1:3">
      <c r="A14" t="s">
        <v>6827</v>
      </c>
      <c r="C14" t="s">
        <v>7874</v>
      </c>
    </row>
    <row r="15" spans="1:3">
      <c r="A15" t="s">
        <v>6827</v>
      </c>
      <c r="C15" t="s">
        <v>7875</v>
      </c>
    </row>
    <row r="16" spans="1:3">
      <c r="A16" t="s">
        <v>7858</v>
      </c>
      <c r="C16" t="s">
        <v>7877</v>
      </c>
    </row>
    <row r="17" spans="1:3">
      <c r="A17" t="s">
        <v>7858</v>
      </c>
      <c r="C17" t="s">
        <v>7878</v>
      </c>
    </row>
    <row r="18" spans="1:3">
      <c r="A18" t="s">
        <v>7858</v>
      </c>
      <c r="C18" t="s">
        <v>7879</v>
      </c>
    </row>
    <row r="19" spans="1:3">
      <c r="A19" t="s">
        <v>7858</v>
      </c>
      <c r="C19" t="s">
        <v>7880</v>
      </c>
    </row>
    <row r="20" spans="1:3">
      <c r="A20" t="s">
        <v>7859</v>
      </c>
      <c r="C20" t="s">
        <v>7881</v>
      </c>
    </row>
    <row r="21" spans="1:3">
      <c r="A21" t="s">
        <v>7859</v>
      </c>
      <c r="C21" t="s">
        <v>7882</v>
      </c>
    </row>
    <row r="28" spans="1:3">
      <c r="A28" t="s">
        <v>7883</v>
      </c>
    </row>
    <row r="29" spans="1:3">
      <c r="A29" t="s">
        <v>7876</v>
      </c>
      <c r="C29" t="s">
        <v>6827</v>
      </c>
    </row>
    <row r="33" spans="1:3">
      <c r="A33">
        <v>1000</v>
      </c>
      <c r="B33" t="s">
        <v>7901</v>
      </c>
    </row>
    <row r="34" spans="1:3">
      <c r="A34" t="s">
        <v>3589</v>
      </c>
      <c r="C34" t="s">
        <v>7897</v>
      </c>
    </row>
    <row r="35" spans="1:3">
      <c r="A35" t="s">
        <v>7889</v>
      </c>
      <c r="C35" t="s">
        <v>7898</v>
      </c>
    </row>
    <row r="36" spans="1:3">
      <c r="A36" t="s">
        <v>7889</v>
      </c>
      <c r="C36" t="s">
        <v>7899</v>
      </c>
    </row>
    <row r="37" spans="1:3">
      <c r="A37" t="s">
        <v>7889</v>
      </c>
      <c r="C37" t="s">
        <v>7900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AF7F-CEB8-46E7-B67F-FAF85E679B63}">
  <dimension ref="A1:B21"/>
  <sheetViews>
    <sheetView workbookViewId="0"/>
  </sheetViews>
  <sheetFormatPr defaultRowHeight="15"/>
  <cols>
    <col min="1" max="1" width="61.5703125" bestFit="1" customWidth="1"/>
  </cols>
  <sheetData>
    <row r="1" spans="1:2">
      <c r="A1" t="s">
        <v>7525</v>
      </c>
      <c r="B1" t="s">
        <v>2336</v>
      </c>
    </row>
    <row r="2" spans="1:2">
      <c r="A2" t="s">
        <v>7526</v>
      </c>
      <c r="B2" t="s">
        <v>2625</v>
      </c>
    </row>
    <row r="3" spans="1:2">
      <c r="A3" t="s">
        <v>7810</v>
      </c>
      <c r="B3" t="s">
        <v>7617</v>
      </c>
    </row>
    <row r="4" spans="1:2">
      <c r="A4" t="s">
        <v>7811</v>
      </c>
      <c r="B4" t="s">
        <v>7617</v>
      </c>
    </row>
    <row r="5" spans="1:2">
      <c r="A5" t="s">
        <v>7812</v>
      </c>
      <c r="B5" t="s">
        <v>7617</v>
      </c>
    </row>
    <row r="6" spans="1:2">
      <c r="A6" t="s">
        <v>7813</v>
      </c>
      <c r="B6" t="s">
        <v>7617</v>
      </c>
    </row>
    <row r="7" spans="1:2">
      <c r="A7" t="s">
        <v>7814</v>
      </c>
      <c r="B7" t="s">
        <v>7617</v>
      </c>
    </row>
    <row r="8" spans="1:2">
      <c r="A8" t="s">
        <v>7815</v>
      </c>
      <c r="B8" t="s">
        <v>7617</v>
      </c>
    </row>
    <row r="9" spans="1:2">
      <c r="A9" t="s">
        <v>7592</v>
      </c>
      <c r="B9" t="s">
        <v>7634</v>
      </c>
    </row>
    <row r="10" spans="1:2">
      <c r="A10" t="s">
        <v>7593</v>
      </c>
      <c r="B10" t="s">
        <v>7635</v>
      </c>
    </row>
    <row r="11" spans="1:2">
      <c r="A11" t="s">
        <v>7594</v>
      </c>
      <c r="B11" t="s">
        <v>7635</v>
      </c>
    </row>
    <row r="12" spans="1:2">
      <c r="A12" t="s">
        <v>7595</v>
      </c>
      <c r="B12" t="s">
        <v>7635</v>
      </c>
    </row>
    <row r="13" spans="1:2">
      <c r="A13" t="s">
        <v>1995</v>
      </c>
      <c r="B13" t="s">
        <v>7615</v>
      </c>
    </row>
    <row r="14" spans="1:2">
      <c r="A14" t="s">
        <v>7599</v>
      </c>
      <c r="B14" t="s">
        <v>7636</v>
      </c>
    </row>
    <row r="15" spans="1:2">
      <c r="A15" t="s">
        <v>7600</v>
      </c>
      <c r="B15" t="s">
        <v>7637</v>
      </c>
    </row>
    <row r="16" spans="1:2">
      <c r="A16" t="s">
        <v>7601</v>
      </c>
      <c r="B16" t="s">
        <v>7637</v>
      </c>
    </row>
    <row r="17" spans="1:2">
      <c r="A17" t="s">
        <v>7602</v>
      </c>
      <c r="B17" t="s">
        <v>7637</v>
      </c>
    </row>
    <row r="18" spans="1:2">
      <c r="A18" t="s">
        <v>7603</v>
      </c>
      <c r="B18" t="s">
        <v>7637</v>
      </c>
    </row>
    <row r="19" spans="1:2">
      <c r="A19" t="s">
        <v>7605</v>
      </c>
      <c r="B19" t="s">
        <v>7638</v>
      </c>
    </row>
    <row r="20" spans="1:2">
      <c r="A20" t="s">
        <v>7606</v>
      </c>
      <c r="B20" t="s">
        <v>7638</v>
      </c>
    </row>
    <row r="21" spans="1:2">
      <c r="A21" t="s">
        <v>7607</v>
      </c>
      <c r="B21" t="s">
        <v>7639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7400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2026-01-29T14:44:22Z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