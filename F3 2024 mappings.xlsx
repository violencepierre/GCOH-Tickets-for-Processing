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47FC0BA3-A84C-4ECC-9F15-2DC941EDE393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73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52" i="1" l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/>
  <c r="Q1153" i="1"/>
  <c r="P1153" i="1"/>
  <c r="Q1154" i="1"/>
  <c r="P1154" i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/>
  <c r="Q1149" i="1"/>
  <c r="P1149" i="1"/>
  <c r="Q1150" i="1"/>
  <c r="P1150" i="1"/>
  <c r="Q1151" i="1"/>
  <c r="P1151" i="1"/>
  <c r="B1147" i="1"/>
  <c r="H1147" i="1"/>
  <c r="J1147" i="1"/>
  <c r="K1147" i="1"/>
  <c r="Q1147" i="1"/>
  <c r="P1147" i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B1137" i="1"/>
  <c r="H1137" i="1"/>
  <c r="J1137" i="1"/>
  <c r="K1137" i="1"/>
  <c r="Q1137" i="1"/>
  <c r="P1137" i="1"/>
  <c r="B1136" i="1"/>
  <c r="H1136" i="1"/>
  <c r="J1136" i="1"/>
  <c r="K1136" i="1"/>
  <c r="Q1136" i="1"/>
  <c r="P1136" i="1"/>
  <c r="B1135" i="1"/>
  <c r="H1135" i="1"/>
  <c r="J1135" i="1"/>
  <c r="K1135" i="1"/>
  <c r="Q1135" i="1"/>
  <c r="P1135" i="1"/>
  <c r="B1133" i="1"/>
  <c r="B1134" i="1"/>
  <c r="H1133" i="1"/>
  <c r="H1134" i="1"/>
  <c r="J1133" i="1"/>
  <c r="J1134" i="1"/>
  <c r="K1133" i="1"/>
  <c r="K1134" i="1"/>
  <c r="Q1133" i="1"/>
  <c r="P1133" i="1"/>
  <c r="Q1134" i="1"/>
  <c r="P1134" i="1"/>
  <c r="B1132" i="1"/>
  <c r="H1132" i="1"/>
  <c r="J1132" i="1"/>
  <c r="K1132" i="1"/>
  <c r="Q1132" i="1"/>
  <c r="P1132" i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B1124" i="1"/>
  <c r="H1124" i="1"/>
  <c r="J1124" i="1"/>
  <c r="K1124" i="1"/>
  <c r="Q1124" i="1"/>
  <c r="P1124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B1072" i="1"/>
  <c r="H1072" i="1"/>
  <c r="J1072" i="1"/>
  <c r="K1072" i="1"/>
  <c r="Q1072" i="1"/>
  <c r="P1072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<sst xmlns="http://schemas.openxmlformats.org/spreadsheetml/2006/main" count="11928" uniqueCount="3135">
  <si>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</si>
  <si>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</si>
  <si>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</si>
  <si>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</si>
  <si>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</si>
  <si>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</si>
  <si>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</si>
  <si>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</si>
  <si>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</si>
  <si>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</si>
  <si>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</si>
  <si>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</si>
  <si>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</si>
  <si>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</si>
  <si>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</si>
  <si>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</si>
  <si>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</si>
  <si>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</si>
  <si>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</si>
  <si>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</si>
  <si>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</si>
  <si>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</si>
  <si>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</si>
  <si>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</si>
  <si>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</si>
  <si>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</si>
  <si>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</si>
  <si>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</si>
  <si>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</si>
  <si>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</si>
  <si>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</si>
  <si>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</si>
  <si>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</si>
  <si>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</si>
  <si>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</si>
  <si>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</si>
  <si>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</si>
  <si>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</si>
  <si>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</si>
  <si>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</si>
  <si>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</si>
  <si>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</si>
  <si>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</si>
  <si>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</si>
  <si>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</si>
  <si>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</si>
  <si>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</si>
  <si>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</si>
  <si>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</si>
  <si>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</si>
  <si>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</si>
  <si>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</si>
  <si>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</si>
  <si>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</si>
  <si>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</si>
  <si>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</si>
  <si>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</si>
  <si>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</si>
  <si>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</si>
  <si>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</si>
  <si>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</si>
  <si>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</si>
  <si>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</si>
  <si>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</si>
  <si>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</si>
  <si>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</si>
  <si>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</si>
  <si>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</si>
  <si>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</si>
  <si>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</si>
  <si>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</si>
  <si>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</si>
  <si>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</si>
  <si>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</si>
  <si>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</si>
  <si>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</si>
  <si>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</si>
  <si>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</si>
  <si>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</si>
  <si>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</si>
  <si>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</si>
  <si>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</si>
  <si>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</si>
  <si>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</si>
  <si>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</si>
  <si>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</si>
  <si>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</si>
  <si>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</si>
  <si>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</si>
  <si>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</si>
  <si>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</si>
  <si>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</si>
  <si>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</si>
  <si>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</si>
  <si>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</si>
  <si>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</si>
  <si>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</si>
  <si>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</si>
  <si>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</si>
  <si>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</si>
  <si>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</si>
  <si>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</si>
  <si>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</si>
  <si>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</si>
  <si>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</si>
  <si>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</si>
  <si>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</si>
  <si>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</si>
  <si>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</si>
  <si>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</si>
  <si>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</si>
  <si>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</si>
  <si>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</si>
  <si>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</si>
  <si>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</si>
  <si>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</si>
  <si>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</si>
  <si>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</si>
  <si>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</si>
  <si>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</si>
  <si>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</si>
  <si>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</si>
  <si>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</si>
  <si>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</si>
  <si>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</si>
  <si>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</si>
  <si>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</si>
  <si>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</si>
  <si>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</si>
  <si>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</si>
  <si>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</si>
  <si>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</si>
  <si>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</si>
  <si>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</si>
  <si>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</si>
  <si>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</si>
  <si>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</si>
  <si>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</si>
  <si>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</si>
  <si>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</si>
  <si>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</si>
  <si>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</si>
  <si>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</si>
  <si>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</si>
  <si>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</si>
  <si>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</si>
  <si>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</si>
  <si>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</si>
  <si>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</si>
  <si>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</si>
  <si>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</si>
  <si>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</si>
  <si>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</si>
  <si>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</si>
  <si>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</si>
  <si>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</si>
  <si>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</si>
  <si>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</si>
  <si>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</si>
  <si>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</si>
  <si>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</si>
  <si>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</si>
  <si>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</si>
  <si>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</si>
  <si>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</si>
  <si>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</si>
  <si>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</si>
  <si>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</si>
  <si>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</si>
  <si>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</si>
  <si>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</si>
  <si>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</si>
  <si>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</si>
  <si>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</si>
  <si>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</si>
  <si>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</si>
  <si>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</si>
  <si>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</si>
  <si>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</si>
  <si>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</si>
  <si>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</si>
  <si>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</si>
  <si>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</si>
  <si>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</si>
  <si>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</si>
  <si>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</si>
  <si>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</si>
  <si>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</si>
  <si>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</si>
  <si>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</si>
  <si>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</si>
  <si>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</si>
  <si>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</si>
  <si>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</si>
  <si>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</si>
  <si>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</si>
  <si>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</si>
  <si>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</si>
  <si>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</si>
  <si>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</si>
  <si>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</si>
  <si>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</si>
  <si>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</si>
  <si>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</si>
  <si>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</si>
  <si>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</si>
  <si>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</si>
  <si>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</si>
  <si>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</si>
  <si>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</si>
  <si>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</si>
  <si>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</si>
  <si>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</si>
  <si>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</si>
  <si>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</si>
  <si>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</si>
  <si>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</si>
  <si>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</si>
  <si>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</si>
  <si>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</si>
  <si>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</si>
  <si>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</si>
  <si>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</si>
  <si>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</si>
  <si>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</si>
  <si>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</si>
  <si>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</si>
  <si>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</si>
  <si>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</si>
  <si>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</si>
  <si>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</si>
  <si>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</si>
  <si>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</si>
  <si>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</si>
  <si>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</si>
  <si>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</si>
  <si>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</si>
  <si>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</si>
  <si>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</si>
  <si>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</si>
  <si>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</si>
  <si>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</si>
  <si>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</si>
  <si>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</si>
  <si>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</si>
  <si>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</si>
  <si>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</si>
  <si>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</si>
  <si>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</si>
  <si>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</si>
  <si>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</si>
  <si>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</si>
  <si>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</si>
  <si>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</si>
  <si>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</si>
  <si>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</si>
  <si>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</si>
  <si>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</si>
  <si>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</si>
  <si>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</si>
  <si>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</si>
  <si>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</si>
  <si>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</si>
  <si>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</si>
  <si>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</si>
  <si>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</si>
  <si>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</si>
  <si>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</si>
  <si>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</si>
  <si>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</si>
  <si>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</si>
  <si>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</si>
  <si>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</si>
  <si>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</si>
  <si>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</si>
  <si>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</si>
  <si>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</si>
  <si>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</si>
  <si>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</si>
  <si>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</si>
  <si>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</si>
  <si>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</si>
  <si>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</si>
  <si>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</si>
  <si>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</si>
  <si>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</si>
  <si>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</si>
  <si>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</si>
  <si>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</si>
  <si>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</si>
  <si>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</si>
  <si>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</si>
  <si>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</si>
  <si>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</si>
  <si>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</si>
  <si>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</si>
  <si>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</si>
  <si>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</si>
  <si>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</si>
  <si>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</si>
  <si>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</si>
  <si>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</si>
  <si>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</si>
  <si>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</si>
  <si>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</si>
  <si>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</si>
  <si>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</si>
  <si>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</si>
  <si>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</si>
  <si>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</si>
  <si>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</si>
  <si>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</si>
  <si>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</si>
  <si>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</si>
  <si>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</si>
  <si>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</si>
  <si>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</si>
  <si>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</si>
  <si>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</si>
  <si>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</si>
  <si>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</si>
  <si>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</si>
  <si>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</si>
  <si>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</si>
  <si>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</si>
  <si>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</si>
  <si>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</si>
  <si>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</si>
  <si>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</si>
  <si>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</si>
  <si>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</si>
  <si>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</si>
  <si>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</si>
  <si>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</si>
  <si>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</si>
  <si>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</si>
  <si>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</si>
  <si>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</si>
  <si>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</si>
  <si>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</si>
  <si>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</si>
  <si>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</si>
  <si>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</si>
  <si>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</si>
  <si>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</si>
  <si>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</si>
  <si>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</si>
  <si>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</si>
  <si>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</si>
  <si>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</si>
  <si>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</si>
  <si>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</si>
  <si>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</si>
  <si>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</si>
  <si>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</si>
  <si>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</si>
  <si>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</si>
  <si>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</si>
  <si>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</si>
  <si>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</si>
  <si>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</si>
  <si>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</si>
  <si>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</si>
  <si>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</si>
  <si>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</si>
  <si>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</si>
  <si>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</si>
  <si>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</si>
  <si>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</si>
  <si>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</si>
  <si>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</si>
  <si>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</si>
  <si>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</si>
  <si>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</si>
  <si>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</si>
  <si>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</si>
  <si>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</si>
  <si>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</si>
  <si>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</si>
  <si>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</si>
  <si>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</si>
  <si>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</si>
  <si>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</si>
  <si>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</si>
  <si>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</si>
  <si>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</si>
  <si>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</si>
  <si>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</si>
  <si>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</si>
  <si>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</si>
  <si>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</si>
  <si>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</si>
  <si>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</si>
  <si>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</si>
  <si>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</si>
  <si>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</si>
  <si>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</si>
  <si>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</si>
  <si>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</si>
  <si>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</si>
  <si>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</si>
  <si>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</si>
  <si>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</si>
  <si>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</si>
  <si>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</si>
  <si>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</si>
  <si>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</si>
  <si>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</si>
  <si>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</si>
  <si>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</si>
  <si>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</si>
  <si>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</si>
  <si>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</si>
  <si>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</si>
  <si>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</si>
  <si>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</si>
  <si>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</si>
  <si>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</si>
  <si>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</si>
  <si>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</si>
  <si>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</si>
  <si>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</si>
  <si>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</si>
  <si>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</si>
  <si>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</si>
  <si>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</si>
  <si>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</si>
  <si>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</si>
  <si>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</si>
  <si>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</si>
  <si>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</si>
  <si>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</si>
  <si>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</si>
  <si>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</si>
  <si>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</si>
  <si>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</si>
  <si>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</si>
  <si>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</si>
  <si>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</si>
  <si>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</si>
  <si>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</si>
  <si>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</si>
  <si>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</si>
  <si>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</si>
  <si>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</si>
  <si>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</si>
  <si>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</si>
  <si>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</si>
  <si>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</si>
  <si>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</si>
  <si>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</si>
  <si>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</si>
  <si>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</si>
  <si>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</si>
  <si>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</si>
  <si>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</si>
  <si>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</si>
  <si>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</si>
  <si>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</si>
  <si>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</si>
  <si>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</si>
  <si>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</si>
  <si>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</si>
  <si>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</si>
  <si>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</si>
  <si>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</si>
  <si>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</si>
  <si>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</si>
  <si>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</si>
  <si>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</si>
  <si>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</si>
  <si>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</si>
  <si>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</si>
  <si>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</si>
  <si>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</si>
  <si>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</si>
  <si>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</si>
  <si>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</si>
  <si>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</si>
  <si>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</si>
  <si>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</si>
  <si>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</si>
  <si>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</si>
  <si>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</si>
  <si>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</si>
  <si>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</si>
  <si>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</si>
  <si>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</si>
  <si>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</si>
  <si>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</si>
  <si>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</si>
  <si>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</si>
  <si>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</si>
  <si>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</si>
  <si>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</si>
  <si>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</si>
  <si>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</si>
  <si>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</si>
  <si>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</si>
  <si>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</si>
  <si>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</si>
  <si>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</si>
  <si>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</si>
  <si>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</si>
  <si>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</si>
  <si>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</si>
  <si>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</si>
  <si>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</si>
  <si>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</si>
  <si>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</si>
  <si>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</si>
  <si>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</si>
  <si>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</si>
  <si>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</si>
  <si>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</si>
  <si>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</si>
  <si>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</si>
  <si>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</si>
  <si>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</si>
  <si>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</si>
  <si>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</si>
  <si>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</si>
  <si>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</si>
  <si>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</si>
  <si>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</si>
  <si>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</si>
  <si>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</si>
  <si>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</si>
  <si>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</si>
  <si>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</si>
  <si>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</si>
  <si>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</si>
  <si>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</si>
  <si>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</si>
  <si>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</si>
  <si>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</si>
  <si>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</si>
  <si>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</si>
  <si>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</si>
  <si>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</si>
  <si>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</si>
  <si>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</si>
  <si>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</si>
  <si>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</si>
  <si>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</si>
  <si>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</si>
  <si>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</si>
  <si>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</si>
  <si>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</si>
  <si>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</si>
  <si>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</si>
  <si>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</si>
  <si>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</si>
  <si>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</si>
  <si>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</si>
  <si>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</si>
  <si>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</si>
  <si>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</si>
  <si>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</si>
  <si>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</si>
  <si>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</si>
  <si>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</si>
  <si>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</si>
  <si>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</si>
  <si>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</si>
  <si>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</si>
  <si>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</si>
  <si>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</si>
  <si>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</si>
  <si>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</si>
  <si>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</si>
  <si>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</si>
  <si>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</si>
  <si>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</si>
  <si>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</si>
  <si>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</si>
  <si>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</si>
  <si>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</si>
  <si>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</si>
  <si>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</si>
  <si>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</si>
  <si>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</si>
  <si>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</si>
  <si>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</si>
  <si>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</si>
  <si>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</si>
  <si>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</si>
  <si>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</si>
  <si>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</si>
  <si>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</si>
  <si>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</si>
  <si>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</si>
  <si>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</si>
  <si>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</si>
  <si>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</si>
  <si>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</si>
  <si>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</si>
  <si>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</si>
  <si>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</si>
  <si>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</si>
  <si>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</si>
  <si>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</si>
  <si>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</si>
  <si>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</si>
  <si>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</si>
  <si>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</si>
  <si>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</si>
  <si>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</si>
  <si>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</si>
  <si>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</si>
  <si>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</si>
  <si>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</si>
  <si>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</si>
  <si>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</si>
  <si>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</si>
  <si>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</si>
  <si>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</si>
  <si>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</si>
  <si>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</si>
  <si>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</si>
  <si>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</si>
  <si>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</si>
  <si>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</si>
  <si>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</si>
  <si>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</si>
  <si>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</si>
  <si>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</si>
  <si>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</si>
  <si>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</si>
  <si>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</si>
  <si>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</si>
  <si>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</si>
  <si>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</si>
  <si>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</si>
  <si>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</si>
  <si>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</si>
  <si>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</si>
  <si>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</si>
  <si>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</si>
  <si>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</si>
  <si>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</si>
  <si>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</si>
  <si>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</si>
  <si>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</si>
  <si>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</si>
  <si>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</si>
  <si>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</si>
  <si>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</si>
  <si>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</si>
  <si>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</si>
  <si>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</si>
  <si>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</si>
  <si>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</si>
  <si>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</si>
  <si>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</si>
  <si>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</si>
  <si>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</si>
  <si>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</si>
  <si>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</si>
  <si>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</si>
  <si>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</si>
  <si>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</si>
  <si>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</si>
  <si>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</si>
  <si>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</si>
  <si>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</si>
  <si>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</si>
  <si>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</si>
  <si>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</si>
  <si>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</si>
  <si>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</si>
  <si>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</si>
  <si>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</si>
  <si>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</si>
  <si>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</si>
  <si>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</si>
  <si>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</si>
  <si>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</si>
  <si>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</si>
  <si>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</si>
  <si>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</si>
  <si>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</si>
  <si>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</si>
  <si>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</si>
  <si>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</si>
  <si>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</si>
  <si>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</si>
  <si>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</si>
  <si>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</si>
  <si>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</si>
  <si>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</si>
  <si>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</si>
  <si>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</si>
  <si>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</si>
  <si>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</si>
  <si>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</si>
  <si>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</si>
  <si>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</si>
  <si>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</si>
  <si>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</si>
  <si>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</si>
  <si>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</si>
  <si>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</si>
  <si>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</si>
  <si>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</si>
  <si>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</si>
  <si>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</si>
  <si>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</si>
  <si>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</si>
  <si>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</si>
  <si>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</si>
  <si>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</si>
  <si>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</si>
  <si>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</si>
  <si>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</si>
  <si>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</si>
  <si>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</si>
  <si>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</si>
  <si>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</si>
  <si>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</si>
  <si>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</si>
  <si>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</si>
  <si>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</si>
  <si>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</si>
  <si>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</si>
  <si>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</si>
  <si>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</si>
  <si>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</si>
  <si>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</si>
  <si>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</si>
  <si>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</si>
  <si>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</si>
  <si>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</si>
  <si>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</si>
  <si>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</si>
  <si>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</si>
  <si>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</si>
  <si>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</si>
  <si>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</si>
  <si>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</si>
  <si>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</si>
  <si>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</si>
  <si>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</si>
  <si>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</si>
  <si>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</si>
  <si>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</si>
  <si>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</si>
  <si>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</si>
  <si>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</si>
  <si>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</si>
  <si>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</si>
  <si>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</si>
  <si>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</si>
  <si>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</si>
  <si>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</si>
  <si>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</si>
  <si>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</si>
  <si>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</si>
  <si>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</si>
  <si>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</si>
  <si>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</si>
  <si>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</si>
  <si>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</si>
  <si>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</si>
  <si>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</si>
  <si>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</si>
  <si>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</si>
  <si>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</si>
  <si>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</si>
  <si>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</si>
  <si>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</si>
  <si>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</si>
  <si>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</si>
  <si>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</si>
  <si>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</si>
  <si>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</si>
  <si>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</si>
  <si>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</si>
  <si>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</si>
  <si>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</si>
  <si>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</si>
  <si>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</si>
  <si>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</si>
  <si>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</si>
  <si>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</si>
  <si>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</si>
  <si>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</si>
  <si>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</si>
  <si>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</si>
  <si>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</si>
  <si>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</si>
  <si>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</si>
  <si>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</si>
  <si>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</si>
  <si>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</si>
  <si>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</si>
  <si>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</si>
  <si>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</si>
  <si>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</si>
  <si>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</si>
  <si>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</si>
  <si>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</si>
  <si>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</si>
  <si>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</si>
  <si>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</si>
  <si>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</si>
  <si>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</si>
  <si>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</si>
  <si>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</si>
  <si>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</si>
  <si>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</si>
  <si>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</si>
  <si>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</si>
  <si>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</si>
  <si>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</si>
  <si>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</si>
  <si>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</si>
  <si>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</si>
  <si>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</si>
  <si>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</si>
  <si>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</si>
  <si>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</si>
  <si>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</si>
  <si>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</si>
  <si>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</si>
  <si>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</si>
  <si>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</si>
  <si>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</si>
  <si>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</si>
  <si>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</si>
  <si>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</si>
  <si>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</si>
  <si>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</si>
  <si>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</si>
  <si>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</si>
  <si>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</si>
  <si>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</si>
  <si>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</si>
  <si>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</si>
  <si>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</si>
  <si>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</si>
  <si>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</si>
  <si>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</si>
  <si>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</si>
  <si>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</si>
  <si>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</si>
  <si>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</si>
  <si>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</si>
  <si>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</si>
  <si>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</si>
  <si>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</si>
  <si>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</si>
  <si>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</si>
  <si>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</si>
  <si>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</si>
  <si>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</si>
  <si>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</si>
  <si>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</si>
  <si>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</si>
  <si>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</si>
  <si>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</si>
  <si>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</si>
  <si>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</si>
  <si>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</si>
  <si>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</si>
  <si>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</si>
  <si>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</si>
  <si>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</si>
  <si>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</si>
  <si>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</si>
  <si>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</si>
  <si>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</si>
  <si>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</si>
  <si>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</si>
  <si>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</si>
  <si>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</si>
  <si>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</si>
  <si>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</si>
  <si>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</si>
  <si>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</si>
  <si>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</si>
  <si>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</si>
  <si>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</si>
  <si>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</si>
  <si>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</si>
  <si>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</si>
  <si>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</si>
  <si>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</si>
  <si>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</si>
  <si>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</si>
  <si>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</si>
  <si>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</si>
  <si>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</si>
  <si>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</si>
  <si>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</si>
  <si>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</si>
  <si>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</si>
  <si>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</si>
  <si>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</si>
  <si>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</si>
  <si>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</si>
  <si>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</si>
  <si>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</si>
  <si>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</si>
  <si>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</si>
  <si>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</si>
  <si>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</si>
  <si>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</si>
  <si>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</si>
  <si>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</si>
  <si>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</si>
  <si>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</si>
  <si>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</si>
  <si>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</si>
  <si>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</si>
  <si>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</si>
  <si>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</si>
  <si>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</si>
  <si>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</si>
  <si>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</si>
  <si>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</si>
  <si>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</si>
  <si>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</si>
  <si>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</si>
  <si>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</si>
  <si>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</si>
  <si>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</si>
  <si>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</si>
  <si>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</si>
  <si>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</si>
  <si>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</si>
  <si>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</si>
  <si>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</si>
  <si>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</si>
  <si>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</si>
  <si>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</si>
  <si>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</si>
  <si>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</si>
  <si>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</si>
  <si>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</si>
  <si>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</si>
  <si>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</si>
  <si>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</si>
  <si>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</si>
  <si>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</si>
  <si>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</si>
  <si>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</si>
  <si>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</si>
  <si>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</si>
  <si>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</si>
  <si>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</si>
  <si>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</si>
  <si>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</si>
  <si>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</si>
  <si>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</si>
  <si>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</si>
  <si>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</si>
  <si>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</si>
  <si>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</si>
  <si>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</si>
  <si>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</si>
  <si>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</si>
  <si>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</si>
  <si>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</si>
  <si>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</si>
  <si>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</si>
  <si>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</si>
  <si>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</si>
  <si>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</si>
  <si>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</si>
  <si>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</si>
  <si>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</si>
  <si>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</si>
  <si>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</si>
  <si>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</si>
  <si>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</si>
  <si>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</si>
  <si>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</si>
  <si>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</si>
  <si>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</si>
  <si>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</si>
  <si>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</si>
  <si>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</si>
  <si>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</si>
  <si>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</si>
  <si>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</si>
  <si>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</si>
  <si>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</si>
  <si>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</si>
  <si>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</si>
  <si>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</si>
  <si>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</si>
  <si>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</si>
  <si>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</si>
  <si>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</si>
  <si>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</si>
  <si>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</si>
  <si>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</si>
  <si>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</si>
  <si>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</si>
  <si>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</si>
  <si>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</si>
  <si>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</si>
  <si>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</si>
  <si>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</si>
  <si>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</si>
  <si>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</si>
  <si>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</si>
  <si>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</si>
  <si>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</si>
  <si>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</si>
  <si>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</si>
  <si>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</si>
  <si>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</si>
  <si>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</si>
  <si>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</si>
  <si>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</si>
  <si>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</si>
  <si>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</si>
  <si>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</si>
  <si>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</si>
  <si>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</si>
  <si>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</si>
  <si>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</si>
  <si>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</si>
  <si>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</si>
  <si>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</si>
  <si>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</si>
  <si>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</si>
  <si>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</si>
  <si>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</si>
  <si>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</si>
  <si>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</si>
  <si>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</si>
  <si>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</si>
  <si>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</si>
  <si>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</si>
  <si>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</si>
  <si>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</si>
  <si>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</si>
  <si>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</si>
  <si>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</si>
  <si>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</si>
  <si>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</si>
  <si>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</si>
  <si>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</si>
  <si>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</si>
  <si>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</si>
  <si>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</si>
  <si>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</si>
  <si>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</si>
  <si>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</si>
  <si>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</si>
  <si>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</si>
  <si>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</si>
  <si>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</si>
  <si>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</si>
  <si>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</si>
  <si>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</si>
  <si>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</si>
  <si>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</si>
  <si>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</si>
  <si>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</si>
  <si>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</si>
  <si>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</si>
  <si>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</si>
  <si>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</si>
  <si>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</si>
  <si>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</si>
  <si>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</si>
  <si>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</si>
  <si>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</si>
  <si>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</si>
  <si>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</si>
  <si>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</si>
  <si>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</si>
  <si>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</si>
  <si>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</si>
  <si>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</si>
  <si>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</si>
  <si>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</si>
  <si>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</si>
  <si>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</si>
  <si>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</si>
  <si>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</si>
  <si>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</si>
  <si>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</si>
  <si>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</si>
  <si>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</si>
  <si>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</si>
  <si>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</si>
  <si>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</si>
  <si>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</si>
  <si>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</si>
  <si>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</si>
  <si>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</si>
  <si>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</si>
  <si>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</si>
  <si>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</si>
  <si>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</si>
  <si>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</si>
  <si>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</si>
  <si>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</si>
  <si>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</si>
  <si>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</si>
  <si>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</si>
  <si>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</si>
  <si>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</si>
  <si>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</si>
  <si>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</si>
  <si>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</si>
  <si>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</si>
  <si>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</si>
  <si>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</si>
  <si>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</si>
  <si>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</si>
  <si>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</si>
  <si>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</si>
  <si>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</si>
  <si>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</si>
  <si>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</si>
  <si>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</si>
  <si>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</si>
  <si>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</si>
  <si>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</si>
  <si>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</si>
  <si>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</si>
  <si>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</si>
  <si>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</si>
  <si>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</si>
  <si>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</si>
  <si>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</si>
  <si>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</si>
  <si>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</si>
  <si>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</si>
  <si>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</si>
  <si>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</si>
  <si>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</si>
  <si>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</si>
  <si>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</si>
  <si>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</si>
  <si>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</si>
  <si>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</si>
  <si>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</si>
  <si>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</si>
  <si>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</si>
  <si>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</si>
  <si>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</si>
  <si>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</si>
  <si>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</si>
  <si>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</si>
  <si>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</si>
  <si>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</si>
  <si>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</si>
  <si>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</si>
  <si>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</si>
  <si>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</si>
  <si>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</si>
  <si>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</si>
  <si>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</si>
  <si>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</si>
  <si>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</si>
  <si>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</si>
  <si>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</si>
  <si>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</si>
  <si>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</si>
  <si>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</si>
  <si>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</si>
  <si>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</si>
  <si>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</si>
  <si>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</si>
  <si>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</si>
  <si>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</si>
  <si>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</si>
  <si>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</si>
  <si>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</si>
  <si>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</si>
  <si>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</si>
  <si>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</si>
  <si>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</si>
  <si>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</si>
  <si>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</si>
  <si>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</si>
  <si>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</si>
  <si>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</si>
  <si>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</si>
  <si>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</si>
  <si>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</si>
  <si>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</si>
  <si>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</si>
  <si>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</si>
  <si>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</si>
  <si>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</si>
  <si>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</si>
  <si>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</si>
  <si>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</si>
  <si>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</si>
  <si>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</si>
  <si>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</si>
  <si>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</si>
  <si>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</si>
  <si>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</si>
  <si>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</si>
  <si>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</si>
  <si>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</si>
  <si>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</si>
  <si>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</si>
  <si>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</si>
  <si>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</si>
  <si>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</si>
  <si>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</si>
  <si>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</si>
  <si>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</si>
  <si>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</si>
  <si>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</si>
  <si>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</si>
  <si>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</si>
  <si>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</si>
  <si>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</si>
  <si>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</si>
  <si>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</si>
  <si>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</si>
  <si>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</si>
  <si>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</si>
  <si>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</si>
  <si>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</si>
  <si>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</si>
  <si>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</si>
  <si>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</si>
  <si>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</si>
  <si>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</si>
  <si>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</si>
  <si>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</si>
  <si>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</si>
  <si>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</si>
  <si>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</si>
  <si>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</si>
  <si>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</si>
  <si>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</si>
  <si>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</si>
  <si>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</si>
  <si>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</si>
  <si>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</si>
  <si>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</si>
  <si>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</si>
  <si>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</si>
  <si>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</si>
  <si>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</si>
  <si>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</si>
  <si>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</si>
  <si>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</si>
  <si>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</si>
  <si>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</si>
  <si>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</si>
  <si>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</si>
  <si>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</si>
  <si>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</si>
  <si>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</si>
  <si>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</si>
  <si>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</si>
  <si>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</si>
  <si>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</si>
  <si>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</si>
  <si>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</si>
  <si>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</si>
  <si>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</si>
  <si>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</si>
  <si>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</si>
  <si>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</si>
  <si>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</si>
  <si>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</si>
  <si>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</si>
  <si>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</si>
  <si>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</si>
  <si>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</si>
  <si>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</si>
  <si>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</si>
  <si>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</si>
  <si>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</si>
  <si>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</si>
  <si>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</si>
  <si>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</si>
  <si>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</si>
  <si>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</si>
  <si>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</si>
  <si>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</si>
  <si>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</si>
  <si>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</si>
  <si>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</si>
  <si>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</si>
  <si>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</si>
  <si>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</si>
  <si>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</si>
  <si>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</si>
  <si>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</si>
  <si>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</si>
  <si>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</si>
  <si>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</si>
  <si>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</si>
  <si>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</si>
  <si>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</si>
  <si>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</si>
  <si>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</si>
  <si>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</si>
  <si>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</si>
  <si>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</si>
  <si>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</si>
  <si>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</si>
  <si>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</si>
  <si>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</si>
  <si>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</si>
  <si>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</si>
  <si>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</si>
  <si>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</si>
  <si>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</si>
  <si>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</si>
  <si>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</si>
  <si>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</si>
  <si>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</si>
  <si>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</si>
  <si>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</si>
  <si>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</si>
  <si>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</si>
  <si>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</si>
  <si>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</si>
  <si>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</si>
  <si>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</si>
  <si>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</si>
  <si>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</si>
  <si>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</si>
  <si>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</si>
  <si>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</si>
  <si>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</si>
  <si>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</si>
  <si>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</si>
  <si>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</si>
  <si>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</si>
  <si>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</si>
  <si>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</si>
  <si>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</si>
  <si>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</si>
  <si>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</si>
  <si>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</si>
  <si>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</si>
  <si>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</si>
  <si>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</si>
  <si>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</si>
  <si>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</si>
  <si>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</si>
  <si>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</si>
  <si>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</si>
  <si>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</si>
  <si>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</si>
  <si>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</si>
  <si>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</si>
  <si>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</si>
  <si>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</si>
  <si>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</si>
  <si>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</si>
  <si>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</si>
  <si>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</si>
  <si>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</si>
  <si>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</si>
  <si>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</si>
  <si>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</si>
  <si>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</si>
  <si>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</si>
  <si>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</si>
  <si>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</si>
  <si>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</si>
  <si>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</si>
  <si>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</si>
  <si>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</si>
  <si>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</si>
  <si>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</si>
  <si>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</si>
  <si>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</si>
  <si>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</si>
  <si>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</si>
  <si>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</si>
  <si>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</si>
  <si>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</si>
  <si>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</si>
  <si>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</si>
  <si>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</si>
  <si>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</si>
  <si>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</si>
  <si>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</si>
  <si>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</si>
  <si>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</si>
  <si>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</si>
  <si>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</si>
  <si>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</si>
  <si>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</si>
  <si>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</si>
  <si>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</si>
  <si>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</si>
  <si>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</si>
  <si>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</si>
  <si>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</si>
  <si>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</si>
  <si>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</si>
  <si>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</si>
  <si>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</si>
  <si>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</si>
  <si>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</si>
  <si>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</si>
  <si>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</si>
  <si>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</si>
  <si>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</si>
  <si>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</si>
  <si>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</si>
  <si>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</si>
  <si>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</si>
  <si>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</si>
  <si>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</si>
  <si>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</si>
  <si>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</si>
  <si>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</si>
  <si>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</si>
  <si>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</si>
  <si>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</si>
  <si>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</si>
  <si>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</si>
  <si>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</si>
  <si>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</si>
  <si>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</si>
  <si>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</si>
  <si>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</si>
  <si>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</si>
  <si>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</si>
  <si>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</si>
  <si>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</si>
  <si>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</si>
  <si>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</si>
  <si>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</si>
  <si>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</si>
  <si>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</si>
  <si>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</si>
  <si>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</si>
  <si>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</si>
  <si>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</si>
  <si>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</si>
  <si>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</si>
  <si>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</si>
  <si>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</si>
  <si>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</si>
  <si>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</si>
  <si>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</si>
  <si>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</si>
  <si>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</si>
  <si>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</si>
  <si>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</si>
  <si>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</si>
  <si>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</si>
  <si>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</si>
  <si>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</si>
  <si>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</si>
  <si>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</si>
  <si>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</si>
  <si>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</si>
  <si>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</si>
  <si>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</si>
  <si>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</si>
  <si>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</si>
  <si>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</si>
  <si>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</si>
  <si>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</si>
  <si>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</si>
  <si>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</si>
  <si>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</si>
  <si>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</si>
  <si>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</si>
  <si>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</si>
  <si>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</si>
  <si>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</si>
  <si>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</si>
  <si>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</si>
  <si>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</si>
  <si>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</si>
  <si>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</si>
  <si>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</si>
  <si>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</si>
  <si>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</si>
  <si>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</si>
  <si>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</si>
  <si>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</si>
  <si>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</si>
  <si>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</si>
  <si>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</si>
  <si>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</si>
  <si>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</si>
  <si>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</si>
  <si>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</si>
  <si>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</si>
  <si>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</si>
  <si>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</si>
  <si>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</si>
  <si>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</si>
  <si>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</si>
  <si>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</si>
  <si>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</si>
  <si>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</si>
  <si>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</si>
  <si>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</si>
  <si>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</si>
  <si>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</si>
  <si>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</si>
  <si>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</si>
  <si>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</si>
  <si>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</si>
  <si>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</si>
  <si>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</si>
  <si>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</si>
  <si>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</si>
  <si>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</si>
  <si>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</si>
  <si>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</si>
  <si>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</si>
  <si>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</si>
  <si>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</si>
  <si>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</si>
  <si>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</si>
  <si>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</si>
  <si>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</si>
  <si>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</si>
  <si>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</si>
  <si>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</si>
  <si>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</si>
  <si>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</si>
  <si>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</si>
  <si>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</si>
  <si>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</si>
  <si>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</si>
  <si>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</si>
  <si>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</si>
  <si>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</si>
  <si>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</si>
  <si>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</si>
  <si>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</si>
  <si>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</si>
  <si>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</si>
  <si>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</si>
  <si>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</si>
  <si>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</si>
  <si>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</si>
  <si>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</si>
  <si>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</si>
  <si>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</si>
  <si>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</si>
  <si>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</si>
  <si>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</si>
  <si>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</si>
  <si>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</si>
  <si>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</si>
  <si>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</si>
  <si>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</si>
  <si>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</si>
  <si>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</si>
  <si>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</si>
  <si>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</si>
  <si>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</si>
  <si>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</si>
  <si>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</si>
  <si>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</si>
  <si>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</si>
  <si>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</si>
  <si>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</si>
  <si>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</si>
  <si>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</si>
  <si>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</si>
  <si>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</si>
  <si>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</si>
  <si>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</si>
  <si>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</si>
  <si>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</si>
  <si>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</si>
  <si>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</si>
  <si>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</si>
  <si>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</si>
  <si>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</si>
  <si>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</si>
  <si>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</si>
  <si>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</si>
  <si>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</si>
  <si>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</si>
  <si>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</si>
  <si>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</si>
  <si>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</si>
  <si>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</si>
  <si>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</si>
  <si>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</si>
  <si>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</si>
  <si>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</si>
  <si>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</si>
  <si>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</si>
  <si>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</si>
  <si>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</si>
  <si>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</si>
  <si>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</si>
  <si>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</si>
  <si>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</si>
  <si>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</si>
  <si>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</si>
  <si>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</si>
  <si>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</si>
  <si>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</si>
  <si>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</si>
  <si>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</si>
  <si>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</si>
  <si>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</si>
  <si>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</si>
  <si>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</si>
  <si>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</si>
  <si>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</si>
  <si>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</si>
  <si>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</si>
  <si>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</si>
  <si>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</si>
  <si>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</si>
  <si>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</si>
  <si>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</si>
  <si>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</si>
  <si>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</si>
  <si>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</si>
  <si>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</si>
  <si>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</si>
  <si>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</si>
  <si>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</si>
  <si>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</si>
  <si>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</si>
  <si>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</si>
  <si>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</si>
  <si>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</si>
  <si>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</si>
  <si>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</si>
  <si>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</si>
  <si>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</si>
  <si>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</si>
  <si>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</si>
  <si>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</si>
  <si>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</si>
  <si>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</si>
  <si>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</si>
  <si>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</si>
  <si>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</si>
  <si>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</si>
  <si>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</si>
  <si>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</si>
  <si>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</si>
  <si>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</si>
  <si>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</si>
  <si>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</si>
  <si>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</si>
  <si>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</si>
  <si>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</si>
  <si>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</si>
  <si>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</si>
  <si>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</si>
  <si>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</si>
  <si>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</si>
  <si>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</si>
  <si>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</si>
  <si>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</si>
  <si>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</si>
  <si>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</si>
  <si>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</si>
  <si>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</si>
  <si>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</si>
  <si>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</si>
  <si>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</si>
  <si>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</si>
  <si>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</si>
  <si>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</si>
  <si>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</si>
  <si>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</si>
  <si>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</si>
  <si>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</si>
  <si>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</si>
  <si>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</si>
  <si>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</si>
  <si>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</si>
  <si>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</si>
  <si>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</si>
  <si>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</si>
  <si>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</si>
  <si>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</si>
  <si>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</si>
  <si>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</si>
  <si>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</si>
  <si>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</si>
  <si>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</si>
  <si>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</si>
  <si>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</si>
  <si>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</si>
  <si>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</si>
  <si>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</si>
  <si>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</si>
  <si>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</si>
  <si>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</si>
  <si>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</si>
  <si>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</si>
  <si>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</si>
  <si>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</si>
  <si>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</si>
  <si>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</si>
  <si>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</si>
  <si>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</si>
  <si>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</si>
  <si>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</si>
  <si>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</si>
  <si>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</si>
  <si>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</si>
  <si>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</si>
  <si>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</si>
  <si>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</si>
  <si>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</si>
  <si>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</si>
  <si>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</si>
  <si>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</si>
  <si>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</si>
  <si>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</si>
  <si>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</si>
  <si>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</si>
  <si>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</si>
  <si>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</si>
  <si>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</si>
  <si>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</si>
  <si>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</si>
  <si>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</si>
  <si>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</si>
  <si>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</si>
  <si>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</si>
  <si>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</si>
  <si>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</si>
  <si>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</si>
  <si>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</si>
  <si>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</si>
  <si>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</si>
  <si>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</si>
  <si>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</si>
  <si>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</si>
  <si>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</si>
  <si>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</si>
  <si>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</si>
  <si>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</si>
  <si>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</si>
  <si>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</si>
  <si>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</si>
  <si>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</si>
  <si>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</si>
  <si>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</si>
  <si>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</si>
  <si>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</si>
  <si>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</si>
  <si>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</si>
  <si>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</si>
  <si>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</si>
  <si>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</si>
  <si>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</si>
  <si>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</si>
  <si>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</si>
  <si>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</si>
  <si>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</si>
  <si>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</si>
  <si>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</si>
  <si>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</si>
  <si>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</si>
  <si>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</si>
  <si>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</si>
  <si>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</si>
  <si>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</si>
  <si>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</si>
  <si>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</si>
  <si>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</si>
  <si>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</si>
  <si>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</si>
  <si>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</si>
  <si>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</si>
  <si>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</si>
  <si>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</si>
  <si>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</si>
  <si>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</si>
  <si>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</si>
  <si>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</si>
  <si>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</si>
  <si>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</si>
  <si>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</si>
  <si>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</si>
  <si>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</si>
  <si>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</si>
  <si>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</si>
  <si>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</si>
  <si>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</si>
  <si>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</si>
  <si>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</si>
  <si>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</si>
  <si>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</si>
  <si>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</si>
  <si>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</si>
  <si>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</si>
  <si>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</si>
  <si>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</si>
  <si>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</si>
  <si>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</si>
  <si>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</si>
  <si>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</si>
  <si>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</si>
  <si>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</si>
  <si>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</si>
  <si>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</si>
  <si>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</si>
  <si>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</si>
  <si>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</si>
  <si>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</si>
  <si>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</si>
  <si>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</si>
  <si>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</si>
  <si>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</si>
  <si>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</si>
  <si>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</si>
  <si>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</si>
  <si>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</si>
  <si>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</si>
  <si>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</si>
  <si>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</si>
  <si>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</si>
  <si>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</si>
  <si>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</si>
  <si>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</si>
  <si>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</si>
  <si>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</si>
  <si>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</si>
  <si>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</si>
  <si>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</si>
  <si>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</si>
  <si>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</si>
  <si>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</si>
  <si>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</si>
  <si>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</si>
  <si>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</si>
  <si>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</si>
  <si>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</si>
  <si>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</si>
  <si>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</si>
  <si>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</si>
  <si>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</si>
  <si>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</si>
  <si>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</si>
  <si>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</si>
  <si>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</si>
  <si>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</si>
  <si>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</si>
  <si>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</si>
  <si>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</si>
  <si>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</si>
  <si>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</si>
  <si>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</si>
  <si>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</si>
  <si>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</si>
  <si>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</si>
  <si>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</si>
  <si>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</si>
  <si>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</si>
  <si>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</si>
  <si>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</si>
  <si>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</si>
  <si>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</si>
  <si>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</si>
  <si>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</si>
  <si>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</si>
  <si>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</si>
  <si>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</si>
  <si>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</si>
  <si>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</si>
  <si>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</si>
  <si>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</si>
  <si>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</si>
  <si>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</si>
  <si>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</si>
  <si>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</si>
  <si>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</si>
  <si>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</si>
  <si>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</si>
  <si>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</si>
  <si>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</si>
  <si>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</si>
  <si>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</si>
  <si>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</si>
  <si>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</si>
  <si>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</si>
  <si>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</si>
  <si>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</si>
  <si>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</si>
  <si>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</si>
  <si>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</si>
  <si>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</si>
  <si>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</si>
  <si>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</si>
  <si>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</si>
  <si>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</si>
  <si>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</si>
  <si>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</si>
  <si>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</si>
  <si>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</si>
  <si>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</si>
  <si>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</si>
  <si>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</si>
  <si>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</si>
  <si>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</si>
  <si>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</si>
  <si>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</si>
  <si>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</si>
  <si>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</si>
  <si>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</si>
  <si>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</si>
  <si>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</si>
  <si>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</si>
  <si>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</si>
  <si>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</si>
  <si>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</si>
  <si>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</si>
  <si>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</si>
  <si>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</si>
  <si>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</si>
  <si>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</si>
  <si>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</si>
  <si>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</si>
  <si>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</si>
  <si>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</si>
  <si>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</si>
  <si>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</si>
  <si>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</si>
  <si>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</si>
  <si>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</si>
  <si>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</si>
  <si>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</si>
  <si>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</si>
  <si>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</si>
  <si>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</si>
  <si>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</si>
  <si>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</si>
  <si>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</si>
  <si>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</si>
  <si>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</si>
  <si>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</si>
  <si>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</si>
  <si>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</si>
  <si>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</si>
  <si>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</si>
  <si>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</si>
  <si>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</si>
  <si>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</si>
  <si>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</si>
  <si>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</si>
  <si>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</si>
  <si>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</si>
  <si>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</si>
  <si>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</si>
  <si>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</si>
  <si>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</si>
  <si>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</si>
  <si>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</si>
  <si>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</si>
  <si>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</si>
  <si>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</si>
  <si>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</si>
  <si>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</si>
  <si>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</si>
  <si>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</si>
  <si>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</si>
  <si>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</si>
  <si>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</si>
  <si>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</si>
  <si>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</si>
  <si>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</si>
  <si>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</si>
  <si>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</si>
  <si>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</si>
  <si>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</si>
  <si>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</si>
  <si>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</si>
  <si>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</si>
  <si>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</si>
  <si>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</si>
  <si>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</si>
  <si>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</si>
  <si>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</si>
  <si>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</si>
  <si>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</si>
  <si>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</si>
  <si>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</si>
  <si>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</si>
  <si>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</si>
  <si>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</si>
  <si>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</si>
  <si>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</si>
  <si>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</si>
  <si>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</si>
  <si>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</si>
  <si>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</si>
  <si>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</si>
  <si>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</si>
  <si>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</si>
  <si>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</si>
  <si>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</si>
  <si>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</si>
  <si>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</si>
  <si>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</si>
  <si>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</si>
  <si>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</si>
  <si>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</si>
  <si>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</si>
  <si>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</si>
  <si>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</si>
  <si>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</si>
  <si>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</si>
  <si>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</si>
  <si>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</si>
  <si>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</si>
  <si>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</si>
  <si>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</si>
  <si>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</si>
  <si>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</si>
  <si>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</si>
  <si>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</si>
  <si>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</si>
  <si>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</si>
  <si>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</si>
  <si>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</si>
  <si>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</si>
  <si>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</si>
  <si>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</si>
  <si>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</si>
  <si>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</si>
  <si>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</si>
  <si>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</si>
  <si>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</si>
  <si>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</si>
  <si>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</si>
  <si>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</si>
  <si>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</si>
  <si>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</si>
  <si>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</si>
  <si>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</si>
  <si>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</si>
  <si>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</si>
  <si>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</si>
  <si>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</si>
  <si>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</si>
  <si>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</si>
  <si>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</si>
  <si>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</si>
  <si>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</si>
  <si>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</si>
  <si>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</si>
  <si>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</si>
  <si>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</si>
  <si>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</si>
  <si>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</si>
  <si>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</si>
  <si>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</si>
  <si>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</si>
  <si>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</si>
  <si>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</si>
  <si>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</si>
  <si>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</si>
  <si>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</si>
  <si>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</si>
  <si>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</si>
  <si>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</si>
  <si>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</si>
  <si>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</si>
  <si>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</si>
  <si>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</si>
  <si>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</si>
  <si>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</si>
  <si>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</si>
  <si>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</si>
  <si>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</si>
  <si>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</si>
  <si>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</si>
  <si>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</si>
  <si>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</si>
  <si>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</si>
  <si>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</si>
  <si>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</si>
  <si>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</si>
  <si>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</si>
  <si>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</si>
  <si>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</si>
  <si>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</si>
  <si>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</si>
  <si>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</si>
  <si>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</si>
  <si>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</si>
  <si>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</si>
  <si>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</si>
  <si>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</si>
  <si>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</si>
  <si>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</si>
  <si>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</si>
  <si>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</si>
  <si>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</si>
  <si>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</si>
  <si>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</si>
  <si>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</si>
  <si>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</si>
  <si>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</si>
  <si>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</si>
  <si>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</si>
  <si>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</si>
  <si>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</si>
  <si>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</si>
  <si>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</si>
  <si>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</si>
  <si>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</si>
  <si>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</si>
  <si>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</si>
  <si>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</si>
  <si>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</si>
  <si>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</si>
  <si>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</si>
  <si>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</si>
  <si>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</si>
  <si>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</si>
  <si>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</si>
  <si>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</si>
  <si>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</si>
  <si>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</si>
  <si>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</si>
  <si>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</si>
  <si>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</si>
  <si>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</si>
  <si>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</si>
  <si>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</si>
  <si>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</si>
  <si>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</si>
  <si>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</si>
  <si>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</si>
  <si>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</si>
  <si>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</si>
  <si>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</si>
  <si>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</si>
  <si>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</si>
  <si>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</si>
  <si>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</si>
  <si>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</si>
  <si>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</si>
  <si>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</si>
  <si>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</si>
  <si>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</si>
  <si>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</si>
  <si>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</si>
  <si>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</si>
  <si>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</si>
  <si>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</si>
  <si>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</si>
  <si>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</si>
  <si>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</si>
  <si>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</si>
  <si>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</si>
  <si>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</si>
  <si>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</si>
  <si>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</si>
  <si>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</si>
  <si>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</si>
  <si>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</si>
  <si>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</si>
  <si>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</si>
  <si>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</si>
  <si>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</si>
  <si>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</si>
  <si>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</si>
  <si>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</si>
  <si>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</si>
  <si>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</si>
  <si>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</si>
  <si>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</si>
  <si>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</si>
  <si>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</si>
  <si>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</si>
  <si>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</si>
  <si>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</si>
  <si>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</si>
  <si>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</si>
  <si>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</si>
  <si>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</si>
  <si>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</si>
  <si>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</si>
  <si>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</si>
  <si>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</si>
  <si>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</si>
  <si>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</si>
  <si>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</si>
  <si>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</si>
  <si>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</si>
  <si>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</si>
  <si>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</si>
  <si>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</si>
  <si>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</si>
  <si>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</si>
  <si>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</si>
  <si>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</si>
  <si>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</si>
  <si>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</si>
  <si>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</si>
  <si>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</si>
  <si>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</si>
  <si>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</si>
  <si>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</si>
  <si>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</si>
  <si>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</si>
  <si>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</si>
  <si>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</si>
  <si>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</si>
  <si>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</si>
  <si>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</si>
  <si>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</si>
  <si>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</si>
  <si>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</si>
  <si>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</si>
  <si>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</si>
  <si>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</si>
  <si>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</si>
  <si>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</si>
  <si>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</si>
  <si>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</si>
  <si>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</si>
  <si>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</si>
  <si>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</si>
  <si>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</si>
  <si>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</si>
  <si>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</si>
  <si>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</si>
  <si>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</si>
  <si>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</si>
  <si>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</si>
  <si>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</si>
  <si>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</si>
  <si>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</si>
  <si>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</si>
  <si>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</si>
  <si>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</si>
  <si>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</si>
  <si>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</si>
  <si>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</si>
  <si>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</si>
  <si>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</si>
  <si>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</si>
  <si>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</si>
  <si>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</si>
  <si>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</si>
  <si>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</si>
  <si>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</si>
  <si>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</si>
  <si>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</si>
  <si>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</si>
  <si>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</si>
  <si>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</si>
  <si>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</si>
  <si>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</si>
  <si>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</si>
  <si>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</si>
  <si>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</si>
  <si>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</si>
  <si>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</si>
  <si>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</si>
  <si>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</si>
  <si>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</si>
  <si>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</si>
  <si>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</si>
  <si>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</si>
  <si>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</si>
  <si>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</si>
  <si>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</si>
  <si>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</si>
  <si>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</si>
  <si>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</si>
  <si>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</si>
  <si>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</si>
  <si>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</si>
  <si>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</si>
  <si>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</si>
  <si>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</si>
  <si>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</si>
  <si>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</si>
  <si>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</si>
  <si>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</si>
  <si>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</si>
  <si>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</si>
  <si>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</si>
  <si>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</si>
  <si>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</si>
  <si>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</si>
  <si>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</si>
  <si>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</si>
  <si>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</si>
  <si>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</si>
  <si>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</si>
  <si>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</si>
  <si>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</si>
  <si>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</si>
  <si>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</si>
  <si>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</si>
  <si>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</si>
  <si>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</si>
  <si>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</si>
  <si>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</si>
  <si>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</si>
  <si>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</si>
  <si>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</si>
  <si>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</si>
  <si>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</si>
  <si>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</si>
  <si>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</si>
  <si>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</si>
  <si>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</si>
  <si>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</si>
  <si>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</si>
  <si>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</si>
  <si>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</si>
  <si>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</si>
  <si>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</si>
  <si>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</si>
  <si>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</si>
  <si>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</si>
  <si>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</si>
  <si>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</si>
  <si>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</si>
  <si>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</si>
  <si>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</si>
  <si>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</si>
  <si>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</si>
  <si>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</si>
  <si>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</si>
  <si>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</si>
  <si>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</si>
  <si>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</si>
  <si>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</si>
  <si>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</si>
  <si>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</si>
  <si>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</si>
  <si>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</si>
  <si>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</si>
  <si>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</si>
  <si>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</si>
  <si>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</si>
  <si>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</si>
  <si>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</si>
  <si>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</si>
  <si>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</si>
  <si>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</si>
  <si>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</si>
  <si>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</si>
  <si>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</si>
  <si>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</si>
  <si>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</si>
  <si>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</si>
  <si>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</si>
  <si>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</si>
  <si>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</si>
  <si>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</si>
  <si>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</si>
  <si>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</si>
  <si>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</si>
  <si>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</si>
  <si>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</si>
  <si>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</si>
  <si>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</si>
  <si>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</si>
  <si>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</si>
  <si>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</si>
  <si>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</si>
  <si>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</si>
  <si>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</si>
  <si>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</si>
  <si>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</si>
  <si>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</si>
  <si>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</si>
  <si>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</si>
  <si>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</si>
  <si>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</si>
  <si>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</si>
  <si>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</si>
  <si>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</si>
  <si>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</si>
  <si>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</si>
  <si>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</si>
  <si>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</si>
  <si>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</si>
  <si>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</si>
  <si>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</si>
  <si>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</si>
  <si>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</si>
  <si>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</si>
  <si>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</si>
  <si>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</si>
  <si>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</si>
  <si>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</si>
  <si>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</si>
  <si>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</si>
  <si>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</si>
  <si>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</si>
  <si>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</si>
  <si>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</si>
  <si>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</si>
  <si>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</si>
  <si>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</si>
  <si>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</si>
  <si>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</si>
  <si>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</si>
  <si>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</si>
  <si>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</si>
  <si>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</si>
  <si>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</si>
  <si>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</si>
  <si>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</si>
  <si>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</si>
  <si>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</si>
  <si>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</si>
  <si>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</si>
  <si>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</si>
  <si>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</si>
  <si>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</si>
  <si>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</si>
  <si>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</si>
  <si>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</si>
  <si>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</si>
  <si>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</si>
  <si>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</si>
  <si>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</si>
  <si>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</si>
  <si>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</si>
  <si>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</si>
  <si>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</si>
  <si>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</si>
  <si>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</si>
  <si>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</si>
  <si>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</si>
  <si>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</si>
  <si>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</si>
  <si>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</si>
  <si>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</si>
  <si>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</si>
  <si>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</si>
  <si>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</si>
  <si>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</si>
  <si>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</si>
  <si>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</si>
  <si>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</si>
  <si>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</si>
  <si>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</si>
  <si>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</si>
  <si>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</si>
  <si>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</si>
  <si>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</si>
  <si>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</si>
  <si>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</si>
  <si>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</si>
  <si>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</si>
  <si>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</si>
  <si>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</si>
  <si>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</si>
  <si>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</si>
  <si>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</si>
  <si>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</si>
  <si>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</si>
  <si>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</si>
  <si>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</si>
  <si>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</si>
  <si>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</si>
  <si>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</si>
  <si>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</si>
  <si>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</si>
  <si>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</si>
  <si>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</si>
  <si>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</si>
  <si>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</si>
  <si>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</si>
  <si>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</si>
  <si>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</si>
  <si>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</si>
  <si>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</si>
  <si>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</si>
  <si>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</si>
  <si>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</si>
  <si>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</si>
  <si>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</si>
  <si>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</si>
  <si>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</si>
  <si>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</si>
  <si>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</si>
  <si>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</si>
  <si>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</si>
  <si>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</si>
  <si>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</si>
  <si>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</si>
  <si>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</si>
  <si>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</si>
  <si>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</si>
  <si>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</si>
  <si>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</si>
  <si>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</si>
  <si>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</si>
  <si>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</si>
  <si>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</si>
  <si>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</si>
  <si>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</si>
  <si>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</si>
  <si>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</si>
  <si>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</si>
  <si>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</si>
  <si>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</si>
  <si>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</si>
  <si>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</si>
  <si>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</si>
  <si>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</si>
  <si>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</si>
  <si>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</si>
  <si>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</si>
  <si>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</si>
  <si>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</si>
  <si>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</si>
  <si>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</si>
  <si>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</si>
  <si>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</si>
  <si>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</si>
  <si>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</si>
  <si>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</si>
  <si>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</si>
  <si>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</si>
  <si>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</si>
  <si>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</si>
  <si>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</si>
  <si>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</si>
  <si>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</si>
  <si>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</si>
  <si>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</si>
  <si>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</si>
  <si>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</si>
  <si>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</si>
  <si>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</si>
  <si>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</si>
  <si>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</si>
  <si>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</si>
  <si>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</si>
  <si>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</si>
  <si>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</si>
  <si>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</si>
  <si>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</si>
  <si>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</si>
  <si>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</si>
  <si>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</si>
  <si>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</si>
  <si>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</si>
  <si>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</si>
  <si>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</si>
  <si>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</si>
  <si>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</si>
  <si>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</si>
  <si>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</si>
  <si>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</si>
  <si>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</si>
  <si>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</si>
  <si>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</si>
  <si>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</si>
  <si>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</si>
  <si>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</si>
  <si>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</si>
  <si>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</si>
  <si>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</si>
  <si>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</si>
  <si>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</si>
  <si>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</si>
  <si>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</si>
  <si>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</si>
  <si>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</si>
  <si>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</si>
  <si>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</si>
  <si>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</si>
  <si>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</si>
  <si>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</si>
  <si>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</si>
  <si>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</si>
  <si>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</si>
  <si>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</si>
  <si>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</si>
  <si>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</si>
  <si>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</si>
  <si>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</si>
  <si>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</si>
  <si>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</si>
  <si>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</si>
  <si>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</si>
  <si>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</si>
  <si>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</si>
  <si>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</si>
  <si>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</si>
  <si>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</si>
  <si>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</si>
  <si>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</si>
  <si>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</si>
  <si>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</si>
  <si>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</si>
  <si>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</si>
  <si>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</si>
  <si>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</si>
  <si>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</si>
  <si>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</si>
  <si>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</si>
  <si>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</si>
  <si>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</si>
  <si>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</si>
  <si>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</si>
  <si>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</si>
  <si>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</si>
  <si>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</si>
  <si>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</si>
  <si>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</si>
  <si>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</si>
  <si>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</si>
  <si>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</si>
  <si>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</si>
  <si>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</si>
  <si>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</si>
  <si>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</si>
  <si>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</si>
  <si>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</si>
  <si>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</si>
  <si>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</si>
  <si>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</si>
  <si>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</si>
  <si>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</si>
  <si>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</si>
  <si>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</si>
  <si>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</si>
  <si>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</si>
  <si>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</si>
  <si>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</si>
  <si>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</si>
  <si>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</si>
  <si>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</si>
  <si>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</si>
  <si>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</si>
  <si>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</si>
  <si>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</si>
  <si>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</si>
  <si>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</si>
  <si>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</si>
  <si>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</si>
  <si>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</si>
  <si>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</si>
  <si>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</si>
  <si>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</si>
  <si>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</si>
  <si>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</si>
  <si>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</si>
  <si>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</si>
  <si>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</si>
  <si>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</si>
  <si>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</si>
  <si>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</si>
  <si>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</si>
  <si>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</si>
  <si>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</si>
  <si>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</si>
  <si>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</si>
  <si>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</si>
  <si>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</si>
  <si>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</si>
  <si>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</si>
  <si>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</si>
  <si>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</si>
  <si>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</si>
  <si>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</si>
  <si>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</si>
  <si>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</si>
  <si>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</si>
  <si>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</si>
  <si>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</si>
  <si>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</si>
  <si>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</si>
  <si>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</si>
  <si>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</si>
  <si>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</si>
  <si>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</si>
  <si>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</si>
  <si>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</si>
  <si>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</si>
  <si>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</si>
  <si>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</si>
  <si>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</si>
  <si>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</si>
  <si>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</si>
  <si>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</si>
  <si>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</si>
  <si>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</si>
  <si>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</si>
  <si>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</si>
  <si>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</si>
  <si>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</si>
  <si>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</si>
  <si>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</si>
  <si>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</si>
  <si>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</si>
  <si>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</si>
  <si>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</si>
  <si>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</si>
  <si>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</si>
  <si>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</si>
  <si>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</si>
  <si>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</si>
  <si>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</si>
  <si>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</si>
  <si>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</si>
  <si>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</si>
  <si>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</si>
  <si>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</si>
  <si>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</si>
  <si>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</si>
  <si>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</si>
  <si>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</si>
  <si>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</si>
  <si>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</si>
  <si>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</si>
  <si>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</si>
  <si>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</si>
  <si>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</si>
  <si>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</si>
  <si>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</si>
  <si>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</si>
  <si>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</si>
  <si>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</si>
  <si>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</si>
  <si>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</si>
  <si>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</si>
  <si>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</si>
  <si>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</si>
  <si>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</si>
  <si>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</si>
  <si>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</si>
  <si>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</si>
  <si>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</si>
  <si>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</si>
  <si>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</si>
  <si>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</si>
  <si>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</si>
  <si>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</si>
  <si>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</si>
  <si>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</si>
  <si>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</si>
  <si>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</si>
  <si>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</si>
  <si>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</si>
  <si>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</si>
  <si>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</si>
  <si>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</si>
  <si>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</si>
  <si>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</si>
  <si>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</si>
  <si>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</si>
  <si>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</si>
  <si>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</si>
  <si>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</si>
  <si>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</si>
  <si>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</si>
  <si>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</si>
  <si>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</si>
  <si>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</si>
  <si>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</si>
  <si>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</si>
  <si>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</si>
  <si>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</si>
  <si>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</si>
  <si>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</si>
  <si>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</si>
  <si>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</si>
  <si>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</si>
  <si>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</si>
  <si>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</si>
  <si>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</si>
  <si>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</si>
  <si>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</si>
  <si>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</si>
  <si>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</si>
  <si>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</si>
  <si>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</si>
  <si>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</si>
  <si>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</si>
  <si>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</si>
  <si>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</si>
  <si>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</si>
  <si>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</si>
  <si>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</si>
  <si>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</si>
  <si>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</si>
  <si>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</si>
  <si>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</si>
  <si>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</si>
  <si>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</si>
  <si>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</si>
  <si>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</si>
  <si>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</si>
  <si>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</si>
  <si>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</si>
  <si>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</si>
  <si>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</si>
  <si>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</si>
  <si>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</si>
  <si>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</si>
  <si>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</si>
  <si>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</si>
  <si>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</si>
  <si>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</si>
  <si>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</si>
  <si>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</si>
  <si>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</si>
  <si>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</si>
  <si>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</si>
  <si>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</si>
  <si>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</si>
  <si>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</si>
  <si>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</si>
  <si>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</si>
  <si>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</si>
  <si>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</si>
  <si>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</si>
  <si>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</si>
  <si>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</si>
  <si>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</si>
  <si>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</si>
  <si>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</si>
  <si>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</si>
  <si>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</si>
  <si>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</si>
  <si>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</si>
  <si>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</si>
  <si>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</si>
  <si>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</si>
  <si>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</si>
  <si>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</si>
  <si>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</si>
  <si>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</si>
  <si>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</si>
  <si>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</si>
  <si>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</si>
  <si>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</si>
  <si>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</si>
  <si>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</si>
  <si>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</si>
  <si>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</si>
  <si>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</si>
  <si>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</si>
  <si>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</si>
  <si>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</si>
  <si>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</si>
  <si>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</si>
  <si>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</si>
  <si>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</si>
  <si>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</si>
  <si>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</si>
  <si>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</si>
  <si>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</si>
  <si>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</si>
  <si>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</si>
  <si>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</si>
  <si>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</si>
  <si>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</si>
  <si>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</si>
  <si>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</si>
  <si>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</si>
  <si>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</si>
  <si>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</si>
  <si>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</si>
  <si>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</si>
  <si>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</si>
  <si>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</si>
  <si>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</si>
  <si>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</si>
  <si>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</si>
  <si>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</si>
  <si>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</si>
  <si>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</si>
  <si>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</si>
  <si>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</si>
  <si>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</si>
  <si>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</si>
  <si>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</si>
  <si>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</si>
  <si>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</si>
  <si>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</si>
  <si>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</si>
  <si>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</si>
  <si>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</si>
  <si>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</si>
  <si>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</si>
  <si>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</si>
  <si>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</si>
  <si>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</si>
  <si>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</si>
  <si>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</si>
  <si>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</si>
  <si>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</si>
  <si>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</si>
  <si>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</si>
  <si>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</si>
  <si>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</si>
  <si>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</si>
  <si>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</si>
  <si>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</si>
  <si>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</si>
  <si>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</si>
  <si>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</si>
  <si>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</si>
  <si>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</si>
  <si>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</si>
  <si>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</si>
  <si>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</si>
  <si>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</si>
  <si>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</si>
  <si>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</si>
  <si>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</si>
  <si>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</si>
  <si>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</si>
  <si>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</si>
  <si>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</si>
  <si>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</si>
  <si>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</si>
  <si>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</si>
  <si>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</si>
  <si>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</si>
  <si>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</si>
  <si>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</si>
  <si>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</si>
  <si>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</si>
  <si>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</si>
  <si>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</si>
  <si>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</si>
  <si>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</si>
  <si>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</si>
  <si>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</si>
  <si>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</si>
  <si>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</si>
  <si>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</si>
  <si>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</si>
  <si>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</si>
  <si>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</si>
  <si>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</si>
  <si>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</si>
  <si>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</si>
  <si>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</si>
  <si>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</si>
  <si>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</si>
  <si>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</si>
  <si>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</si>
  <si>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</si>
  <si>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</si>
  <si>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</si>
  <si>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</si>
  <si>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</si>
  <si>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</si>
  <si>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</si>
  <si>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</si>
  <si>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</si>
  <si>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</si>
  <si>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</si>
  <si>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</si>
  <si>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</si>
  <si>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</si>
  <si>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</si>
  <si>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</si>
  <si>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</si>
  <si>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</si>
  <si>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</si>
  <si>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</si>
  <si>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</si>
  <si>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</si>
  <si>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</si>
  <si>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</si>
  <si>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</si>
  <si>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</si>
  <si>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</si>
  <si>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</si>
  <si>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</si>
  <si>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</si>
  <si>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</si>
  <si>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</si>
  <si>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</si>
  <si>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</si>
  <si>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</si>
  <si>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</si>
  <si>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</si>
  <si>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</si>
  <si>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</si>
  <si>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</si>
  <si>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</si>
  <si>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</si>
  <si>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</si>
  <si>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</si>
  <si>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</si>
  <si>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</si>
  <si>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</si>
  <si>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</si>
  <si>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</si>
  <si>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</si>
  <si>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</si>
  <si>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</si>
  <si>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</si>
  <si>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</si>
  <si>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</si>
  <si>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</si>
  <si>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</si>
  <si>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</si>
  <si>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</si>
  <si>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</si>
  <si>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</si>
  <si>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</si>
  <si>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</si>
  <si>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</si>
  <si>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</si>
  <si>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</si>
  <si>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</si>
  <si>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</si>
  <si>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</si>
  <si>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</si>
  <si>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</si>
  <si>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</si>
  <si>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</si>
  <si>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</si>
  <si>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</si>
  <si>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</si>
  <si>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</si>
  <si>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</si>
  <si>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</si>
  <si>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</si>
  <si>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</si>
  <si>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</si>
  <si>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</si>
  <si>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</si>
  <si>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</si>
  <si>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</si>
  <si>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</si>
  <si>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</si>
  <si>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</si>
  <si>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</si>
  <si>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</si>
  <si>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</si>
  <si>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</si>
  <si>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</si>
  <si>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</si>
  <si>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</si>
  <si>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</si>
  <si>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</si>
  <si>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</si>
  <si>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</si>
  <si>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</si>
  <si>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</si>
  <si>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</si>
  <si>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</si>
  <si>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</si>
  <si>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</si>
  <si>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</si>
  <si>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L000013350</t>
  </si>
  <si>
    <t>L000013814</t>
  </si>
  <si>
    <t>L000012810</t>
  </si>
  <si>
    <t>L000012812</t>
  </si>
  <si>
    <t>L000013815</t>
  </si>
  <si>
    <t>L000012017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</si>
  <si>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</si>
  <si>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</si>
  <si>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</si>
  <si>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</si>
  <si>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</si>
  <si>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</si>
  <si>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</si>
  <si>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</si>
  <si>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</si>
  <si>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</si>
  <si>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</si>
  <si>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</si>
  <si>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</si>
  <si>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</si>
  <si>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</si>
  <si>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</si>
  <si>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</si>
  <si>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</si>
  <si>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</si>
  <si>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</si>
  <si>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</si>
  <si>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</si>
  <si>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</si>
  <si>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</si>
  <si>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</si>
  <si>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</si>
  <si>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</si>
  <si>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</si>
  <si>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</si>
  <si>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</si>
  <si>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</si>
  <si>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</si>
  <si>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</si>
  <si>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DFLTPGCOH_001025 Merck Kft., Hungary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</si>
  <si>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</si>
  <si>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</si>
  <si>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</si>
  <si>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</si>
  <si>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</si>
  <si>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</si>
  <si>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</si>
  <si>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</si>
  <si>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</si>
  <si>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</si>
  <si>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</si>
  <si>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</si>
  <si>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</si>
  <si>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</si>
  <si>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</si>
  <si>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</si>
  <si>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</si>
  <si>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</si>
  <si>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</si>
  <si>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</si>
  <si>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</si>
  <si>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</si>
  <si>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</si>
  <si>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</si>
  <si>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</si>
  <si>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</si>
  <si>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</si>
  <si>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</si>
  <si>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</si>
  <si>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DFLTPGCOH_001248</t>
  </si>
  <si>
    <t>FR7265072</t>
  </si>
  <si>
    <t xml:space="preserve">Changes were saved for change request 25256034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</si>
</sst>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70.739949074072" createdVersion="7" refreshedVersion="8" minRefreshableVersion="3" recordCount="1153" xr:uid="{11839AE3-6158-4318-87AD-2C711D0BF451}">
  <cacheSource type="worksheet">
    <worksheetSource name="Proc"/>
  </cacheSource>
  <cacheFields count="19">
    <cacheField name="App" numFmtId="0">
      <sharedItems containsBlank="1" count="136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23T09:09:14"/>
    </cacheField>
    <cacheField name="DateMapped" numFmtId="14">
      <sharedItems containsNonDate="0" containsDate="1" containsString="0" containsBlank="1" minDate="2023-09-01T00:00:00" maxDate="2025-04-24T00:00:00"/>
    </cacheField>
    <cacheField name="DateClosed" numFmtId="14">
      <sharedItems containsNonDate="0" containsDate="1" containsString="0" containsBlank="1" minDate="2023-09-06T00:00:00" maxDate="2025-04-2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88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53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88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6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63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9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56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56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56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56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56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56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56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56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56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56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56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56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56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56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56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56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56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56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56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56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56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56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56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56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56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56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56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56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56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56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56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56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56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56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56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56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56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56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56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56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56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55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55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55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55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55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54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54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54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54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54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53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53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51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51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50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47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47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47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47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47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47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47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47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47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47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47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47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47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47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47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47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47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47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47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47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47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46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46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46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46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46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41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41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41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36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36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36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36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36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36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36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36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32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32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32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7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26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26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26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1"/>
    <n v="12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1"/>
    <n v="12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1"/>
    <n v="11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1"/>
    <n v="11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1"/>
    <n v="11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m/>
    <s v="Non-LFF"/>
    <s v=""/>
    <m/>
    <b v="0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m/>
    <s v="Non-LFF"/>
    <s v=""/>
    <m/>
    <b v="0"/>
    <x v="3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35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13121"/>
    <s v="LFF (MDG-F)"/>
    <s v="KE50C0FF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13121"/>
    <s v="LFF (MDG-F)"/>
    <s v="KE50C0IM11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814"/>
    <s v="LFF (MDG-F)"/>
    <s v="2029C00004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814"/>
    <s v="LFF (MDG-F)"/>
    <s v="2031C00005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814"/>
    <s v="LFF (MDG-F)"/>
    <s v="2034C00012"/>
    <s v="Changes were saved for change request 25249553"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12812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12017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3815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814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183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0"/>
    <s v="Non-LFF"/>
    <s v=""/>
    <m/>
    <b v="0"/>
    <x v="3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m/>
    <s v="Non-LFF"/>
    <s v=""/>
    <m/>
    <b v="0"/>
    <x v="2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1000000 STI2305 CIP (STI3000) for Logic SoN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3000000 HPD8762 Oxidizer for Micron HBM CMP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1"/>
    <x v="0"/>
    <x v="4"/>
    <s v="DP000016000000 DP1300 barrier slurry for TSMC"/>
    <s v="P000001016"/>
    <m/>
    <s v="Non-LFF"/>
    <s v=""/>
    <m/>
    <b v="0"/>
    <x v="2"/>
    <x v="2"/>
    <d v="2025-04-16T14:40:47"/>
    <m/>
    <d v="2025-04-23T00:00:00"/>
    <x v="0"/>
    <n v="5"/>
    <s v="Eivy Denine Cruz"/>
    <m/>
  </r>
  <r>
    <x v="172"/>
    <x v="0"/>
    <x v="2"/>
    <s v="CLFF_7210$$$2123OF0027 SBS PS Pricing operation"/>
    <s v="G000001338"/>
    <s v="L000013756"/>
    <s v="LFF (MDG-F)"/>
    <s v="2123OF0027"/>
    <s v="Requested last April 16. This request is still within the cut-off and prior K2 transition."/>
    <b v="0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m/>
    <s v="Non-LFF"/>
    <s v=""/>
    <m/>
    <b v="0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0635"/>
    <s v="Non-LFF"/>
    <s v=""/>
    <m/>
    <b v="0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DFLTPGCOH_001025 Merck Kft., Hungary"/>
    <s v="Non-LFF"/>
    <s v=""/>
    <m/>
    <b v="0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DFLTPGCOH_002072 BioReliance Corporation, USA"/>
    <s v="LFF (MDG-F)"/>
    <s v="2102TPSZ93"/>
    <s v="Not found in MDGF"/>
    <b v="0"/>
    <x v="3"/>
    <x v="2"/>
    <d v="2025-04-21T10:40:46"/>
    <m/>
    <d v="2025-04-23T00:00:00"/>
    <x v="0"/>
    <n v="2"/>
    <s v="Joan Rose Pena"/>
    <m/>
  </r>
  <r>
    <x v="176"/>
    <x v="0"/>
    <x v="2"/>
    <s v="IPHOENX_000002414801 "/>
    <s v="L000013065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DFLTPGCOH_002072 BioReliance Corporation, USA"/>
    <s v="Non-LFF"/>
    <s v=""/>
    <m/>
    <b v="0"/>
    <x v="3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6"/>
    <s v="Non-LFF"/>
    <s v=""/>
    <m/>
    <b v="0"/>
    <x v="1"/>
    <x v="2"/>
    <d v="2025-04-22T07:24:24"/>
    <d v="2025-04-23T00:00:00"/>
    <d v="2025-04-23T00:00:00"/>
    <x v="0"/>
    <n v="1"/>
    <s v="Yusuke Hasegawa"/>
    <m/>
  </r>
  <r>
    <x v="178"/>
    <x v="1"/>
    <x v="6"/>
    <s v="CLFF_1000$$$AE50R0GR11"/>
    <s v="H000000774"/>
    <m/>
    <s v="LFF (MDG-F)"/>
    <s v="AE50R0GR11"/>
    <s v="Changes were saved for change request 25256034 "/>
    <b v="0"/>
    <x v="1"/>
    <x v="2"/>
    <d v="2025-04-23T09:09:14"/>
    <m/>
    <m/>
    <x v="0"/>
    <n v="0"/>
    <s v="Erjo Miguel Tagle"/>
    <m/>
  </r>
  <r>
    <x v="178"/>
    <x v="1"/>
    <x v="5"/>
    <s v="CSCALA_1820$Q326_P93"/>
    <s v="H000000773"/>
    <m/>
    <s v="Non-LFF"/>
    <s v=""/>
    <m/>
    <b v="0"/>
    <x v="1"/>
    <x v="2"/>
    <d v="2025-04-23T09:09:14"/>
    <m/>
    <m/>
    <x v="0"/>
    <n v="0"/>
    <s v="Erjo Miguel Tagle"/>
    <m/>
  </r>
  <r>
    <x v="178"/>
    <x v="1"/>
    <x v="5"/>
    <s v="CSCALA_1820$Q326"/>
    <s v="H000000773"/>
    <m/>
    <s v="Non-LFF"/>
    <s v=""/>
    <m/>
    <b v="0"/>
    <x v="1"/>
    <x v="2"/>
    <d v="2025-04-23T09:09:14"/>
    <m/>
    <m/>
    <x v="0"/>
    <n v="0"/>
    <s v="Erjo Miguel Tagle"/>
    <m/>
  </r>
  <r>
    <x v="178"/>
    <x v="1"/>
    <x v="5"/>
    <s v="CSCALA_1820$Q326_H99"/>
    <s v="H000000773"/>
    <m/>
    <s v="Non-LFF"/>
    <s v=""/>
    <m/>
    <b v="0"/>
    <x v="1"/>
    <x v="2"/>
    <d v="2025-04-23T09:09:14"/>
    <m/>
    <m/>
    <x v="0"/>
    <n v="0"/>
    <s v="Erjo Miguel Tagle"/>
    <m/>
  </r>
  <r>
    <x v="179"/>
    <x v="1"/>
    <x v="2"/>
    <s v="CSCALA_1025$GEHR"/>
    <s v="G000000199"/>
    <s v="DFLTPGCOH_001025 Merck Kft., Hungary"/>
    <s v="Non-LFF"/>
    <s v=""/>
    <s v="Already mapped"/>
    <b v="0"/>
    <x v="0"/>
    <x v="2"/>
    <d v="2025-04-22T15:19:09"/>
    <m/>
    <m/>
    <x v="0"/>
    <n v="1"/>
    <s v="Jojeff Tagnong"/>
    <m/>
  </r>
  <r>
    <x v="179"/>
    <x v="1"/>
    <x v="5"/>
    <s v="CSCALA_1248$GEFI"/>
    <s v="G000000189"/>
    <s v="DFLTPGCOH_001248"/>
    <s v="Non-LFF"/>
    <s v=""/>
    <m/>
    <b v="0"/>
    <x v="0"/>
    <x v="2"/>
    <d v="2025-04-22T15:19:09"/>
    <m/>
    <m/>
    <x v="0"/>
    <n v="1"/>
    <s v="Jojeff Tagnong"/>
    <m/>
  </r>
  <r>
    <x v="179"/>
    <x v="1"/>
    <x v="5"/>
    <s v="CSCALA_1248$GEPO"/>
    <s v="G000000711"/>
    <s v="DFLTPGCOH_001248"/>
    <s v="Non-LFF"/>
    <s v=""/>
    <m/>
    <b v="0"/>
    <x v="0"/>
    <x v="2"/>
    <d v="2025-04-22T15:19:09"/>
    <m/>
    <m/>
    <x v="0"/>
    <n v="1"/>
    <s v="Jojeff Tagno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362">
        <item m="1" x="746"/>
        <item x="0"/>
        <item m="1" x="816"/>
        <item m="1" x="1237"/>
        <item m="1" x="399"/>
        <item m="1" x="1254"/>
        <item m="1" x="776"/>
        <item m="1" x="866"/>
        <item m="1" x="1287"/>
        <item m="1" x="1081"/>
        <item m="1" x="769"/>
        <item m="1" x="1353"/>
        <item m="1" x="1099"/>
        <item m="1" x="1343"/>
        <item m="1" x="717"/>
        <item m="1" x="618"/>
        <item m="1" x="322"/>
        <item m="1" x="583"/>
        <item m="1" x="1307"/>
        <item m="1" x="375"/>
        <item m="1" x="683"/>
        <item m="1" x="1051"/>
        <item m="1" x="766"/>
        <item m="1" x="859"/>
        <item m="1" x="1155"/>
        <item m="1" x="1340"/>
        <item m="1" x="801"/>
        <item m="1" x="823"/>
        <item m="1" x="588"/>
        <item m="1" x="989"/>
        <item m="1" x="748"/>
        <item m="1" x="1294"/>
        <item m="1" x="951"/>
        <item m="1" x="384"/>
        <item m="1" x="492"/>
        <item m="1" x="1279"/>
        <item m="1" x="1043"/>
        <item m="1" x="297"/>
        <item m="1" x="1129"/>
        <item m="1" x="795"/>
        <item m="1" x="1090"/>
        <item m="1" x="676"/>
        <item m="1" x="1028"/>
        <item m="1" x="287"/>
        <item m="1" x="317"/>
        <item m="1" x="1356"/>
        <item m="1" x="1035"/>
        <item m="1" x="1103"/>
        <item m="1" x="1210"/>
        <item m="1" x="979"/>
        <item m="1" x="1077"/>
        <item m="1" x="916"/>
        <item m="1" x="371"/>
        <item m="1" x="562"/>
        <item m="1" x="1338"/>
        <item m="1" x="906"/>
        <item m="1" x="1046"/>
        <item m="1" x="574"/>
        <item m="1" x="535"/>
        <item m="1" x="827"/>
        <item m="1" x="719"/>
        <item m="1" x="752"/>
        <item m="1" x="311"/>
        <item m="1" x="450"/>
        <item m="1" x="1112"/>
        <item m="1" x="1329"/>
        <item m="1" x="515"/>
        <item m="1" x="920"/>
        <item m="1" x="930"/>
        <item m="1" x="1107"/>
        <item m="1" x="1217"/>
        <item m="1" x="1095"/>
        <item m="1" x="390"/>
        <item m="1" x="1238"/>
        <item m="1" x="968"/>
        <item m="1" x="955"/>
        <item m="1" x="490"/>
        <item m="1" x="843"/>
        <item m="1" x="1190"/>
        <item m="1" x="308"/>
        <item m="1" x="887"/>
        <item m="1" x="1240"/>
        <item m="1" x="1078"/>
        <item m="1" x="813"/>
        <item m="1" x="855"/>
        <item m="1" x="736"/>
        <item m="1" x="971"/>
        <item m="1" x="783"/>
        <item m="1" x="1015"/>
        <item m="1" x="499"/>
        <item m="1" x="1328"/>
        <item m="1" x="853"/>
        <item m="1" x="1139"/>
        <item m="1" x="216"/>
        <item m="1" x="1344"/>
        <item m="1" x="880"/>
        <item m="1" x="1169"/>
        <item m="1" x="1082"/>
        <item m="1" x="860"/>
        <item m="1" x="370"/>
        <item m="1" x="377"/>
        <item m="1" x="417"/>
        <item m="1" x="599"/>
        <item m="1" x="1023"/>
        <item m="1" x="784"/>
        <item m="1" x="900"/>
        <item m="1" x="963"/>
        <item m="1" x="1110"/>
        <item m="1" x="1193"/>
        <item m="1" x="755"/>
        <item m="1" x="476"/>
        <item m="1" x="319"/>
        <item m="1" x="462"/>
        <item m="1" x="1337"/>
        <item m="1" x="494"/>
        <item m="1" x="1175"/>
        <item m="1" x="1104"/>
        <item m="1" x="722"/>
        <item m="1" x="794"/>
        <item m="1" x="660"/>
        <item m="1" x="917"/>
        <item m="1" x="1292"/>
        <item m="1" x="468"/>
        <item m="1" x="416"/>
        <item m="1" x="351"/>
        <item m="1" x="1017"/>
        <item m="1" x="1277"/>
        <item m="1" x="1205"/>
        <item m="1" x="862"/>
        <item m="1" x="386"/>
        <item m="1" x="1111"/>
        <item m="1" x="563"/>
        <item m="1" x="817"/>
        <item m="1" x="992"/>
        <item m="1" x="1100"/>
        <item m="1" x="220"/>
        <item m="1" x="1049"/>
        <item m="1" x="1012"/>
        <item m="1" x="453"/>
        <item m="1" x="901"/>
        <item m="1" x="789"/>
        <item m="1" x="742"/>
        <item m="1" x="475"/>
        <item m="1" x="411"/>
        <item m="1" x="651"/>
        <item m="1" x="838"/>
        <item m="1" x="245"/>
        <item m="1" x="584"/>
        <item m="1" x="443"/>
        <item m="1" x="185"/>
        <item m="1" x="695"/>
        <item m="1" x="896"/>
        <item m="1" x="778"/>
        <item m="1" x="824"/>
        <item m="1" x="1143"/>
        <item m="1" x="725"/>
        <item m="1" x="1251"/>
        <item m="1" x="975"/>
        <item m="1" x="914"/>
        <item m="1" x="428"/>
        <item m="1" x="1061"/>
        <item m="1" x="1339"/>
        <item m="1" x="1027"/>
        <item m="1" x="1011"/>
        <item m="1" x="298"/>
        <item m="1" x="346"/>
        <item m="1" x="881"/>
        <item m="1" x="387"/>
        <item m="1" x="1324"/>
        <item m="1" x="990"/>
        <item m="1" x="915"/>
        <item m="1" x="867"/>
        <item m="1" x="668"/>
        <item m="1" x="296"/>
        <item m="1" x="396"/>
        <item m="1" x="502"/>
        <item m="1" x="1235"/>
        <item m="1" x="1267"/>
        <item m="1" x="966"/>
        <item m="1" x="693"/>
        <item m="1" x="781"/>
        <item m="1" x="291"/>
        <item m="1" x="331"/>
        <item m="1" x="670"/>
        <item m="1" x="895"/>
        <item m="1" x="808"/>
        <item m="1" x="466"/>
        <item m="1" x="699"/>
        <item m="1" x="413"/>
        <item m="1" x="608"/>
        <item m="1" x="530"/>
        <item m="1" x="365"/>
        <item m="1" x="501"/>
        <item m="1" x="871"/>
        <item m="1" x="281"/>
        <item m="1" x="520"/>
        <item m="1" x="312"/>
        <item m="1" x="1005"/>
        <item m="1" x="1194"/>
        <item m="1" x="804"/>
        <item m="1" x="448"/>
        <item m="1" x="1098"/>
        <item m="1" x="943"/>
        <item m="1" x="460"/>
        <item m="1" x="461"/>
        <item m="1" x="646"/>
        <item m="1" x="336"/>
        <item m="1" x="525"/>
        <item m="1" x="320"/>
        <item m="1" x="506"/>
        <item m="1" x="1074"/>
        <item m="1" x="585"/>
        <item m="1" x="952"/>
        <item m="1" x="1002"/>
        <item m="1" x="1136"/>
        <item m="1" x="1140"/>
        <item m="1" x="857"/>
        <item m="1" x="698"/>
        <item m="1" x="737"/>
        <item m="1" x="1304"/>
        <item m="1" x="597"/>
        <item m="1" x="409"/>
        <item m="1" x="787"/>
        <item m="1" x="244"/>
        <item m="1" x="1308"/>
        <item m="1" x="771"/>
        <item m="1" x="205"/>
        <item m="1" x="1226"/>
        <item m="1" x="1269"/>
        <item m="1" x="1106"/>
        <item m="1" x="483"/>
        <item m="1" x="222"/>
        <item m="1" x="1156"/>
        <item m="1" x="547"/>
        <item m="1" x="183"/>
        <item m="1" x="1327"/>
        <item m="1" x="571"/>
        <item m="1" x="726"/>
        <item m="1" x="1171"/>
        <item m="1" x="258"/>
        <item m="1" x="1083"/>
        <item m="1" x="891"/>
        <item m="1" x="756"/>
        <item m="1" x="626"/>
        <item m="1" x="373"/>
        <item m="1" x="874"/>
        <item m="1" x="576"/>
        <item m="1" x="1114"/>
        <item m="1" x="436"/>
        <item m="1" x="1184"/>
        <item m="1" x="1191"/>
        <item m="1" x="875"/>
        <item m="1" x="1065"/>
        <item m="1" x="482"/>
        <item m="1" x="779"/>
        <item m="1" x="1068"/>
        <item m="1" x="652"/>
        <item m="1" x="942"/>
        <item m="1" x="581"/>
        <item m="1" x="366"/>
        <item m="1" x="570"/>
        <item m="1" x="1336"/>
        <item m="1" x="1278"/>
        <item m="1" x="423"/>
        <item m="1" x="1224"/>
        <item m="1" x="230"/>
        <item m="1" x="1246"/>
        <item m="1" x="265"/>
        <item m="1" x="567"/>
        <item m="1" x="665"/>
        <item m="1" x="612"/>
        <item m="1" x="1219"/>
        <item m="1" x="1122"/>
        <item m="1" x="363"/>
        <item m="1" x="933"/>
        <item m="1" x="1141"/>
        <item m="1" x="1275"/>
        <item m="1" x="1182"/>
        <item m="1" x="268"/>
        <item m="1" x="1348"/>
        <item m="1" x="419"/>
        <item m="1" x="700"/>
        <item m="1" x="1144"/>
        <item m="1" x="267"/>
        <item m="1" x="1203"/>
        <item m="1" x="432"/>
        <item m="1" x="1076"/>
        <item m="1" x="940"/>
        <item m="1" x="918"/>
        <item m="1" x="497"/>
        <item m="1" x="459"/>
        <item m="1" x="1271"/>
        <item m="1" x="212"/>
        <item m="1" x="394"/>
        <item m="1" x="1053"/>
        <item m="1" x="1164"/>
        <item m="1" x="1091"/>
        <item m="1" x="1295"/>
        <item m="1" x="799"/>
        <item m="1" x="426"/>
        <item m="1" x="546"/>
        <item m="1" x="865"/>
        <item m="1" x="607"/>
        <item m="1" x="935"/>
        <item m="1" x="548"/>
        <item m="1" x="350"/>
        <item m="1" x="1003"/>
        <item m="1" x="405"/>
        <item m="1" x="285"/>
        <item m="1" x="1137"/>
        <item m="1" x="1284"/>
        <item m="1" x="985"/>
        <item m="1" x="250"/>
        <item m="1" x="1176"/>
        <item m="1" x="974"/>
        <item m="1" x="1084"/>
        <item m="1" x="1223"/>
        <item m="1" x="451"/>
        <item m="1" x="643"/>
        <item m="1" x="481"/>
        <item m="1" x="749"/>
        <item m="1" x="673"/>
        <item m="1" x="703"/>
        <item m="1" x="1239"/>
        <item m="1" x="685"/>
        <item m="1" x="888"/>
        <item m="1" x="420"/>
        <item m="1" x="619"/>
        <item m="1" x="593"/>
        <item m="1" x="936"/>
        <item m="1" x="839"/>
        <item m="1" x="1067"/>
        <item m="1" x="589"/>
        <item m="1" x="1225"/>
        <item m="1" x="427"/>
        <item m="1" x="353"/>
        <item m="1" x="609"/>
        <item m="1" x="1150"/>
        <item m="1" x="260"/>
        <item m="1" x="261"/>
        <item m="1" x="557"/>
        <item m="1" x="1230"/>
        <item m="1" x="624"/>
        <item m="1" x="269"/>
        <item m="1" x="429"/>
        <item m="1" x="671"/>
        <item m="1" x="982"/>
        <item m="1" x="954"/>
        <item m="1" x="625"/>
        <item m="1" x="206"/>
        <item m="1" x="344"/>
        <item m="1" x="556"/>
        <item m="1" x="444"/>
        <item m="1" x="201"/>
        <item m="1" x="1154"/>
        <item m="1" x="1283"/>
        <item m="1" x="753"/>
        <item m="1" x="1183"/>
        <item m="1" x="1243"/>
        <item m="1" x="266"/>
        <item m="1" x="1281"/>
        <item m="1" x="1019"/>
        <item m="1" x="442"/>
        <item m="1" x="628"/>
        <item m="1" x="532"/>
        <item m="1" x="894"/>
        <item m="1" x="465"/>
        <item m="1" x="681"/>
        <item m="1" x="976"/>
        <item m="1" x="1101"/>
        <item m="1" x="604"/>
        <item m="1" x="732"/>
        <item m="1" x="544"/>
        <item m="1" x="470"/>
        <item m="1" x="981"/>
        <item m="1" x="1096"/>
        <item m="1" x="1258"/>
        <item m="1" x="300"/>
        <item m="1" x="504"/>
        <item m="1" x="944"/>
        <item m="1" x="345"/>
        <item m="1" x="632"/>
        <item m="1" x="1013"/>
        <item m="1" x="278"/>
        <item m="1" x="488"/>
        <item m="1" x="598"/>
        <item m="1" x="1204"/>
        <item m="1" x="437"/>
        <item m="1" x="707"/>
        <item m="1" x="1260"/>
        <item m="1" x="388"/>
        <item m="1" x="577"/>
        <item m="1" x="765"/>
        <item m="1" x="1102"/>
        <item m="1" x="400"/>
        <item m="1" x="656"/>
        <item m="1" x="498"/>
        <item m="1" x="994"/>
        <item m="1" x="1180"/>
        <item m="1" x="306"/>
        <item m="1" x="526"/>
        <item m="1" x="1262"/>
        <item m="1" x="1227"/>
        <item m="1" x="327"/>
        <item m="1" x="644"/>
        <item m="1" x="1168"/>
        <item m="1" x="1299"/>
        <item m="1" x="1170"/>
        <item m="1" x="1145"/>
        <item m="1" x="276"/>
        <item m="1" x="452"/>
        <item m="1" x="534"/>
        <item m="1" x="523"/>
        <item m="1" x="750"/>
        <item m="1" x="238"/>
        <item m="1" x="937"/>
        <item m="1" x="1008"/>
        <item m="1" x="190"/>
        <item m="1" x="1268"/>
        <item m="1" x="1130"/>
        <item m="1" x="1259"/>
        <item m="1" x="1289"/>
        <item m="1" x="1325"/>
        <item m="1" x="1263"/>
        <item m="1" x="627"/>
        <item m="1" x="987"/>
        <item m="1" x="594"/>
        <item m="1" x="1000"/>
        <item m="1" x="965"/>
        <item m="1" x="403"/>
        <item m="1" x="441"/>
        <item m="1" x="579"/>
        <item m="1" x="1044"/>
        <item m="1" x="564"/>
        <item m="1" x="310"/>
        <item m="1" x="1309"/>
        <item m="1" x="1059"/>
        <item m="1" x="892"/>
        <item m="1" x="924"/>
        <item m="1" x="973"/>
        <item m="1" x="398"/>
        <item m="1" x="740"/>
        <item m="1" x="1085"/>
        <item m="1" x="236"/>
        <item m="1" x="479"/>
        <item m="1" x="379"/>
        <item m="1" x="376"/>
        <item m="1" x="380"/>
        <item m="1" x="181"/>
        <item m="1" x="402"/>
        <item m="1" x="1199"/>
        <item m="1" x="203"/>
        <item m="1" x="849"/>
        <item m="1" x="1286"/>
        <item m="1" x="1097"/>
        <item m="1" x="357"/>
        <item m="1" x="1357"/>
        <item m="1" x="286"/>
        <item m="1" x="653"/>
        <item m="1" x="876"/>
        <item m="1" x="332"/>
        <item m="1" x="785"/>
        <item m="1" x="945"/>
        <item m="1" x="1213"/>
        <item m="1" x="1115"/>
        <item m="1" x="194"/>
        <item m="1" x="877"/>
        <item m="1" x="277"/>
        <item m="1" x="513"/>
        <item m="1" x="485"/>
        <item m="1" x="247"/>
        <item m="1" x="840"/>
        <item m="1" x="847"/>
        <item m="1" x="947"/>
        <item m="1" x="696"/>
        <item m="1" x="1196"/>
        <item m="1" x="605"/>
        <item m="1" x="1315"/>
        <item m="1" x="950"/>
        <item m="1" x="841"/>
        <item m="1" x="505"/>
        <item m="1" x="913"/>
        <item m="1" x="1211"/>
        <item m="1" x="1276"/>
        <item m="1" x="1255"/>
        <item m="1" x="1185"/>
        <item m="1" x="934"/>
        <item m="1" x="1047"/>
        <item m="1" x="560"/>
        <item m="1" x="1009"/>
        <item m="1" x="834"/>
        <item m="1" x="793"/>
        <item m="1" x="791"/>
        <item m="1" x="792"/>
        <item m="1" x="489"/>
        <item m="1" x="533"/>
        <item m="1" x="1146"/>
        <item m="1" x="711"/>
        <item m="1" x="553"/>
        <item m="1" x="595"/>
        <item m="1" x="641"/>
        <item m="1" x="893"/>
        <item m="1" x="1231"/>
        <item m="1" x="1320"/>
        <item m="1" x="438"/>
        <item m="1" x="389"/>
        <item m="1" x="226"/>
        <item m="1" x="248"/>
        <item m="1" x="545"/>
        <item m="1" x="333"/>
        <item m="1" x="661"/>
        <item m="1" x="1197"/>
        <item m="1" x="538"/>
        <item m="1" x="330"/>
        <item m="1" x="1089"/>
        <item m="1" x="207"/>
        <item m="1" x="1215"/>
        <item m="1" x="1290"/>
        <item m="1" x="1354"/>
        <item m="1" x="1229"/>
        <item m="1" x="472"/>
        <item m="1" x="249"/>
        <item m="1" x="713"/>
        <item m="1" x="797"/>
        <item m="1" x="993"/>
        <item m="1" x="961"/>
        <item m="1" x="997"/>
        <item m="1" x="774"/>
        <item m="1" x="812"/>
        <item m="1" x="1253"/>
        <item m="1" x="1016"/>
        <item m="1" x="986"/>
        <item m="1" x="925"/>
        <item m="1" x="998"/>
        <item m="1" x="199"/>
        <item m="1" x="204"/>
        <item m="1" x="807"/>
        <item m="1" x="1192"/>
        <item m="1" x="762"/>
        <item m="1" x="1332"/>
        <item m="1" x="731"/>
        <item m="1" x="907"/>
        <item m="1" x="978"/>
        <item m="1" x="592"/>
        <item m="1" x="424"/>
        <item m="1" x="800"/>
        <item m="1" x="486"/>
        <item m="1" x="1341"/>
        <item m="1" x="1256"/>
        <item m="1" x="1069"/>
        <item m="1" x="326"/>
        <item m="1" x="253"/>
        <item m="1" x="826"/>
        <item m="1" x="1070"/>
        <item m="1" x="1359"/>
        <item m="1" x="705"/>
        <item m="1" x="1306"/>
        <item m="1" x="240"/>
        <item m="1" x="354"/>
        <item m="1" x="666"/>
        <item m="1" x="757"/>
        <item m="1" x="1186"/>
        <item m="1" x="510"/>
        <item m="1" x="1189"/>
        <item m="1" x="606"/>
        <item m="1" x="1178"/>
        <item m="1" x="1342"/>
        <item m="1" x="270"/>
        <item m="1" x="1326"/>
        <item m="1" x="217"/>
        <item m="1" x="1079"/>
        <item m="1" x="697"/>
        <item m="1" x="528"/>
        <item m="1" x="491"/>
        <item m="1" x="635"/>
        <item m="1" x="234"/>
        <item m="1" x="1319"/>
        <item m="1" x="318"/>
        <item m="1" x="339"/>
        <item m="1" x="1212"/>
        <item m="1" x="1291"/>
        <item m="1" x="805"/>
        <item m="1" x="946"/>
        <item m="1" x="647"/>
        <item m="1" x="760"/>
        <item m="1" x="909"/>
        <item m="1" x="1026"/>
        <item m="1" x="613"/>
        <item m="1" x="889"/>
        <item m="1" x="708"/>
        <item m="1" x="1345"/>
        <item m="1" x="198"/>
        <item m="1" x="637"/>
        <item m="1" x="578"/>
        <item m="1" x="539"/>
        <item m="1" x="1333"/>
        <item m="1" x="1151"/>
        <item m="1" x="1282"/>
        <item m="1" x="295"/>
        <item m="1" x="1293"/>
        <item m="1" x="1280"/>
        <item m="1" x="1157"/>
        <item m="1" x="392"/>
        <item m="1" x="761"/>
        <item m="1" x="854"/>
        <item m="1" x="600"/>
        <item m="1" x="1198"/>
        <item m="1" x="984"/>
        <item m="1" x="1004"/>
        <item m="1" x="898"/>
        <item m="1" x="241"/>
        <item m="1" x="1071"/>
        <item m="1" x="1233"/>
        <item m="1" x="638"/>
        <item m="1" x="1352"/>
        <item m="1" x="846"/>
        <item m="1" x="433"/>
        <item m="1" x="566"/>
        <item m="1" x="602"/>
        <item m="1" x="1261"/>
        <item m="1" x="1245"/>
        <item m="1" x="305"/>
        <item m="1" x="307"/>
        <item m="1" x="221"/>
        <item m="1" x="1181"/>
        <item m="1" x="223"/>
        <item m="1" x="640"/>
        <item m="1" x="540"/>
        <item m="1" x="996"/>
        <item m="1" x="939"/>
        <item m="1" x="1288"/>
        <item m="1" x="1220"/>
        <item m="1" x="712"/>
        <item m="1" x="926"/>
        <item m="1" x="1161"/>
        <item m="1" x="274"/>
        <item m="1" x="706"/>
        <item m="1" x="636"/>
        <item m="1" x="1330"/>
        <item m="1" x="1297"/>
        <item m="1" x="728"/>
        <item m="1" x="334"/>
        <item m="1" x="629"/>
        <item m="1" x="802"/>
        <item m="1" x="256"/>
        <item m="1" x="1092"/>
        <item m="1" x="686"/>
        <item m="1" x="496"/>
        <item m="1" x="590"/>
        <item m="1" x="1036"/>
        <item m="1" x="1335"/>
        <item m="1" x="414"/>
        <item m="1" x="1187"/>
        <item m="1" x="408"/>
        <item m="1" x="972"/>
        <item m="1" x="744"/>
        <item m="1" x="675"/>
        <item m="1" x="397"/>
        <item m="1" x="464"/>
        <item m="1" x="252"/>
        <item m="1" x="1052"/>
        <item m="1" x="565"/>
        <item m="1" x="289"/>
        <item m="1" x="903"/>
        <item m="1" x="1218"/>
        <item m="1" x="758"/>
        <item m="1" x="716"/>
        <item m="1" x="187"/>
        <item m="1" x="1323"/>
        <item m="1" x="573"/>
        <item m="1" x="633"/>
        <item m="1" x="1040"/>
        <item m="1" x="1317"/>
        <item m="1" x="1242"/>
        <item m="1" x="1093"/>
        <item m="1" x="1208"/>
        <item m="1" x="369"/>
        <item m="1" x="568"/>
        <item m="1" x="401"/>
        <item m="1" x="193"/>
        <item m="1" x="806"/>
        <item m="1" x="255"/>
        <item m="1" x="477"/>
        <item m="1" x="421"/>
        <item m="1" x="367"/>
        <item m="1" x="1322"/>
        <item m="1" x="418"/>
        <item m="1" x="1020"/>
        <item m="1" x="1232"/>
        <item m="1" x="358"/>
        <item m="1" x="262"/>
        <item m="1" x="1055"/>
        <item m="1" x="1031"/>
        <item m="1" x="1072"/>
        <item m="1" x="991"/>
        <item m="1" x="335"/>
        <item m="1" x="691"/>
        <item m="1" x="959"/>
        <item m="1" x="1209"/>
        <item m="1" x="803"/>
        <item m="1" x="921"/>
        <item m="1" x="1265"/>
        <item m="1" x="677"/>
        <item m="1" x="521"/>
        <item m="1" x="754"/>
        <item m="1" x="701"/>
        <item m="1" x="631"/>
        <item m="1" x="1148"/>
        <item m="1" x="835"/>
        <item m="1" x="931"/>
        <item m="1" x="182"/>
        <item m="1" x="727"/>
        <item m="1" x="329"/>
        <item m="1" x="596"/>
        <item m="1" x="734"/>
        <item m="1" x="264"/>
        <item m="1" x="381"/>
        <item m="1" x="836"/>
        <item m="1" x="1033"/>
        <item m="1" x="1303"/>
        <item m="1" x="1346"/>
        <item m="1" x="956"/>
        <item m="1" x="304"/>
        <item m="1" x="232"/>
        <item m="1" x="818"/>
        <item m="1" x="440"/>
        <item m="1" x="714"/>
        <item m="1" x="342"/>
        <item m="1" x="445"/>
        <item m="1" x="872"/>
        <item m="1" x="1228"/>
        <item m="1" x="1159"/>
        <item m="1" x="575"/>
        <item m="1" x="610"/>
        <item m="1" x="886"/>
        <item m="1" x="1316"/>
        <item m="1" x="1042"/>
        <item m="1" x="208"/>
        <item m="1" x="1270"/>
        <item m="1" x="316"/>
        <item m="1" x="962"/>
        <item m="1" x="1007"/>
        <item m="1" x="1010"/>
        <item m="1" x="1350"/>
        <item m="1" x="243"/>
        <item m="1" x="1021"/>
        <item m="1" x="1118"/>
        <item m="1" x="890"/>
        <item m="1" x="1060"/>
        <item m="1" x="302"/>
        <item m="1" x="694"/>
        <item m="1" x="541"/>
        <item m="1" x="1153"/>
        <item m="1" x="1248"/>
        <item m="1" x="777"/>
        <item m="1" x="1216"/>
        <item m="1" x="1264"/>
        <item m="1" x="617"/>
        <item m="1" x="1120"/>
        <item m="1" x="983"/>
        <item m="1" x="1266"/>
        <item m="1" x="1310"/>
        <item m="1" x="1048"/>
        <item m="1" x="658"/>
        <item m="1" x="463"/>
        <item m="1" x="1298"/>
        <item m="1" x="845"/>
        <item m="1" x="819"/>
        <item m="1" x="828"/>
        <item m="1" x="1349"/>
        <item m="1" x="1073"/>
        <item m="1" x="768"/>
        <item m="1" x="1037"/>
        <item m="1" x="1014"/>
        <item m="1" x="630"/>
        <item m="1" x="531"/>
        <item m="1" x="1030"/>
        <item m="1" x="425"/>
        <item m="1" x="382"/>
        <item m="1" x="324"/>
        <item m="1" x="1311"/>
        <item m="1" x="927"/>
        <item m="1" x="662"/>
        <item m="1" x="743"/>
        <item m="1" x="224"/>
        <item m="1" x="1300"/>
        <item m="1" x="851"/>
        <item m="1" x="999"/>
        <item m="1" x="447"/>
        <item m="1" x="1131"/>
        <item m="1" x="634"/>
        <item m="1" x="527"/>
        <item m="1" x="1355"/>
        <item m="1" x="657"/>
        <item m="1" x="1296"/>
        <item m="1" x="882"/>
        <item m="1" x="558"/>
        <item m="1" x="349"/>
        <item m="1" x="292"/>
        <item m="1" x="586"/>
        <item m="1" x="283"/>
        <item m="1" x="254"/>
        <item m="1" x="271"/>
        <item m="1" x="550"/>
        <item m="1" x="395"/>
        <item m="1" x="702"/>
        <item m="1" x="759"/>
        <item m="1" x="858"/>
        <item m="1" x="729"/>
        <item m="1" x="1062"/>
        <item m="1" x="1126"/>
        <item m="1" x="338"/>
        <item m="1" x="348"/>
        <item m="1" x="537"/>
        <item m="1" x="679"/>
        <item m="1" x="469"/>
        <item m="1" x="1022"/>
        <item m="1" x="772"/>
        <item m="1" x="689"/>
        <item m="1" x="822"/>
        <item m="1" x="1128"/>
        <item m="1" x="1066"/>
        <item m="1" x="1152"/>
        <item m="1" x="908"/>
        <item m="1" x="328"/>
        <item m="1" x="1334"/>
        <item m="1" x="747"/>
        <item m="1" x="362"/>
        <item m="1" x="186"/>
        <item m="1" x="1331"/>
        <item m="1" x="815"/>
        <item m="1" x="782"/>
        <item m="1" x="554"/>
        <item m="1" x="434"/>
        <item m="1" x="518"/>
        <item m="1" x="672"/>
        <item m="1" x="1247"/>
        <item m="1" x="1166"/>
        <item m="1" x="542"/>
        <item m="1" x="615"/>
        <item m="1" x="622"/>
        <item m="1" x="1160"/>
        <item m="1" x="763"/>
        <item m="1" x="235"/>
        <item m="1" x="796"/>
        <item m="1" x="1075"/>
        <item m="1" x="1201"/>
        <item m="1" x="1094"/>
        <item m="1" x="902"/>
        <item m="1" x="1200"/>
        <item m="1" x="214"/>
        <item m="1" x="1117"/>
        <item m="1" x="196"/>
        <item m="1" x="536"/>
        <item m="1" x="200"/>
        <item m="1" x="359"/>
        <item m="1" x="449"/>
        <item m="1" x="455"/>
        <item m="1" x="873"/>
        <item m="1" x="1127"/>
        <item m="1" x="654"/>
        <item m="1" x="225"/>
        <item m="1" x="431"/>
        <item m="1" x="219"/>
        <item m="1" x="1214"/>
        <item m="1" x="439"/>
        <item m="1" x="775"/>
        <item m="1" x="1234"/>
        <item m="1" x="561"/>
        <item m="1" x="503"/>
        <item m="1" x="899"/>
        <item m="1" x="456"/>
        <item m="1" x="764"/>
        <item m="1" x="1058"/>
        <item m="1" x="197"/>
        <item m="1" x="710"/>
        <item m="1" x="829"/>
        <item m="1" x="321"/>
        <item m="1" x="663"/>
        <item m="1" x="798"/>
        <item m="1" x="549"/>
        <item m="1" x="587"/>
        <item m="1" x="314"/>
        <item m="1" x="720"/>
        <item m="1" x="184"/>
        <item m="1" x="856"/>
        <item m="1" x="1249"/>
        <item m="1" x="970"/>
        <item m="1" x="964"/>
        <item m="1" x="863"/>
        <item m="1" x="189"/>
        <item m="1" x="995"/>
        <item m="1" x="1038"/>
        <item m="1" x="844"/>
        <item m="1" x="188"/>
        <item m="1" x="1195"/>
        <item m="1" x="1162"/>
        <item m="1" x="192"/>
        <item m="1" x="471"/>
        <item m="1" x="861"/>
        <item m="1" x="1116"/>
        <item m="1" x="313"/>
        <item m="1" x="209"/>
        <item m="1" x="368"/>
        <item m="1" x="259"/>
        <item m="1" x="667"/>
        <item m="1" x="480"/>
        <item m="1" x="478"/>
        <item m="1" x="649"/>
        <item m="1" x="751"/>
        <item m="1" x="655"/>
        <item m="1" x="852"/>
        <item m="1" x="704"/>
        <item m="1" x="569"/>
        <item m="1" x="684"/>
        <item m="1" x="1177"/>
        <item m="1" x="1272"/>
        <item m="1" x="529"/>
        <item m="1" x="1252"/>
        <item m="1" x="294"/>
        <item m="1" x="1241"/>
        <item m="1" x="938"/>
        <item m="1" x="1109"/>
        <item m="1" x="1188"/>
        <item m="1" x="868"/>
        <item m="1" x="1080"/>
        <item m="1" x="372"/>
        <item m="1" x="355"/>
        <item m="1" x="977"/>
        <item m="1" x="949"/>
        <item m="1" x="511"/>
        <item m="1" x="1347"/>
        <item m="1" x="919"/>
        <item m="1" x="659"/>
        <item m="1" x="733"/>
        <item m="1" x="692"/>
        <item m="1" x="1202"/>
        <item m="1" x="1206"/>
        <item m="1" x="202"/>
        <item m="1" x="1086"/>
        <item m="1" x="1132"/>
        <item m="1" x="251"/>
        <item m="1" x="623"/>
        <item m="1" x="614"/>
        <item m="1" x="1121"/>
        <item m="1" x="820"/>
        <item m="1" x="1024"/>
        <item m="1" x="690"/>
        <item m="1" x="1041"/>
        <item m="1" x="229"/>
        <item m="1" x="352"/>
        <item m="1" x="1321"/>
        <item m="1" x="941"/>
        <item m="1" x="1313"/>
        <item m="1" x="233"/>
        <item m="1" x="493"/>
        <item m="1" x="309"/>
        <item m="1" x="242"/>
        <item m="1" x="257"/>
        <item m="1" x="809"/>
        <item m="1" x="842"/>
        <item m="1" x="514"/>
        <item m="1" x="932"/>
        <item m="1" x="1250"/>
        <item m="1" x="601"/>
        <item m="1" x="680"/>
        <item m="1" x="830"/>
        <item m="1" x="1318"/>
        <item m="1" x="495"/>
        <item m="1" x="507"/>
        <item m="1" x="517"/>
        <item m="1" x="1138"/>
        <item m="1" x="1274"/>
        <item m="1" x="191"/>
        <item m="1" x="1018"/>
        <item m="1" x="1314"/>
        <item m="1" x="415"/>
        <item m="1" x="730"/>
        <item m="1" x="1351"/>
        <item m="1" x="1257"/>
        <item m="1" x="404"/>
        <item m="1" x="516"/>
        <item m="1" x="603"/>
        <item m="1" x="928"/>
        <item m="1" x="1125"/>
        <item m="1" x="360"/>
        <item m="1" x="831"/>
        <item m="1" x="356"/>
        <item m="1" x="325"/>
        <item m="1" x="273"/>
        <item m="1" x="1244"/>
        <item m="1" x="837"/>
        <item m="1" x="1285"/>
        <item m="1" x="678"/>
        <item m="1" x="1302"/>
        <item m="1" x="1054"/>
        <item m="1" x="343"/>
        <item m="1" x="1158"/>
        <item m="1" x="1172"/>
        <item m="1" x="832"/>
        <item m="1" x="1207"/>
        <item m="1" x="1045"/>
        <item m="1" x="910"/>
        <item m="1" x="227"/>
        <item m="1" x="1056"/>
        <item m="1" x="788"/>
        <item m="1" x="721"/>
        <item m="1" x="1064"/>
        <item m="1" x="648"/>
        <item m="1" x="282"/>
        <item m="1" x="454"/>
        <item m="1" x="231"/>
        <item m="1" x="580"/>
        <item m="1" x="958"/>
        <item m="1" x="543"/>
        <item m="1" x="406"/>
        <item m="1" x="621"/>
        <item m="1" x="299"/>
        <item m="1" x="551"/>
        <item m="1" x="422"/>
        <item m="1" x="773"/>
        <item m="1" x="1360"/>
        <item m="1" x="814"/>
        <item m="1" x="410"/>
        <item m="1" x="687"/>
        <item m="1" x="393"/>
        <item m="1" x="446"/>
        <item m="1" x="738"/>
        <item m="1" x="1006"/>
        <item m="1" x="723"/>
        <item m="1" x="1173"/>
        <item m="1" x="735"/>
        <item m="1" x="969"/>
        <item m="1" x="284"/>
        <item m="1" x="767"/>
        <item m="1" x="407"/>
        <item m="1" x="337"/>
        <item m="1" x="1063"/>
        <item m="1" x="378"/>
        <item m="1" x="1087"/>
        <item m="1" x="279"/>
        <item m="1" x="904"/>
        <item m="1" x="911"/>
        <item m="1" x="315"/>
        <item m="1" x="833"/>
        <item m="1" x="211"/>
        <item m="1" x="1034"/>
        <item m="1" x="739"/>
        <item m="1" x="960"/>
        <item m="1" x="929"/>
        <item m="1" x="1149"/>
        <item m="1" x="922"/>
        <item m="1" x="500"/>
        <item m="1" x="1001"/>
        <item m="1" x="1135"/>
        <item m="1" x="825"/>
        <item m="1" x="957"/>
        <item m="1" x="290"/>
        <item m="1" x="1123"/>
        <item m="1" x="780"/>
        <item m="1" x="645"/>
        <item m="1" x="1029"/>
        <item m="1" x="555"/>
        <item m="1" x="878"/>
        <item m="1" x="412"/>
        <item m="1" x="508"/>
        <item m="1" x="905"/>
        <item m="1" x="674"/>
        <item m="1" x="218"/>
        <item m="1" x="552"/>
        <item m="1" x="1032"/>
        <item m="1" x="1134"/>
        <item m="1" x="237"/>
        <item m="1" x="522"/>
        <item m="1" x="457"/>
        <item m="1" x="790"/>
        <item m="1" x="883"/>
        <item m="1" x="323"/>
        <item m="1" x="1305"/>
        <item m="1" x="288"/>
        <item m="1" x="361"/>
        <item m="1" x="1142"/>
        <item m="1" x="650"/>
        <item m="1" x="664"/>
        <item m="1" x="718"/>
        <item m="1" x="293"/>
        <item m="1" x="572"/>
        <item m="1" x="967"/>
        <item m="1" x="879"/>
        <item m="1" x="669"/>
        <item m="1" x="616"/>
        <item m="1" x="246"/>
        <item m="1" x="484"/>
        <item m="1" x="948"/>
        <item m="1" x="582"/>
        <item m="1" x="745"/>
        <item m="1" x="682"/>
        <item m="1" x="864"/>
        <item m="1" x="228"/>
        <item m="1" x="709"/>
        <item m="1" x="383"/>
        <item m="1" x="786"/>
        <item m="1" x="912"/>
        <item m="1" x="988"/>
        <item m="1" x="923"/>
        <item m="1" x="884"/>
        <item m="1" x="810"/>
        <item m="1" x="1221"/>
        <item m="1" x="1113"/>
        <item m="1" x="364"/>
        <item m="1" x="1105"/>
        <item m="1" x="559"/>
        <item m="1" x="869"/>
        <item m="1" x="275"/>
        <item m="1" x="848"/>
        <item m="1" x="715"/>
        <item m="1" x="1147"/>
        <item m="1" x="301"/>
        <item m="1" x="1358"/>
        <item m="1" x="340"/>
        <item m="1" x="280"/>
        <item m="1" x="850"/>
        <item m="1" x="1050"/>
        <item m="1" x="953"/>
        <item m="1" x="239"/>
        <item m="1" x="391"/>
        <item m="1" x="1179"/>
        <item m="1" x="1119"/>
        <item m="1" x="374"/>
        <item m="1" x="347"/>
        <item m="1" x="642"/>
        <item m="1" x="263"/>
        <item m="1" x="870"/>
        <item m="1" x="303"/>
        <item m="1" x="473"/>
        <item m="1" x="770"/>
        <item m="1" x="1301"/>
        <item m="1" x="341"/>
        <item m="1" x="611"/>
        <item m="1" x="458"/>
        <item m="1" x="620"/>
        <item m="1" x="1174"/>
        <item m="1" x="1057"/>
        <item m="1" x="519"/>
        <item m="1" x="272"/>
        <item m="1" x="1222"/>
        <item m="1" x="385"/>
        <item m="1" x="1167"/>
        <item m="1" x="724"/>
        <item m="1" x="1108"/>
        <item m="1" x="467"/>
        <item m="1" x="639"/>
        <item m="1" x="1124"/>
        <item m="1" x="1312"/>
        <item m="1" x="1088"/>
        <item m="1" x="487"/>
        <item m="1" x="430"/>
        <item m="1" x="1133"/>
        <item m="1" x="897"/>
        <item m="1" x="741"/>
        <item m="1" x="1165"/>
        <item m="1" x="213"/>
        <item m="1" x="210"/>
        <item m="1" x="885"/>
        <item m="1" x="1025"/>
        <item m="1" x="980"/>
        <item m="1" x="1163"/>
        <item m="1" x="688"/>
        <item m="1" x="435"/>
        <item m="1" x="509"/>
        <item m="1" x="1039"/>
        <item m="1" x="591"/>
        <item m="1" x="821"/>
        <item m="1" x="1236"/>
        <item m="1" x="474"/>
        <item m="1" x="811"/>
        <item m="1" x="195"/>
        <item m="1" x="52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m="1" x="512"/>
        <item m="1" x="1273"/>
        <item m="1" x="215"/>
        <item m="1" x="18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355"/>
    </i>
    <i r="2">
      <x v="3"/>
    </i>
    <i r="2">
      <x v="8"/>
    </i>
    <i r="1">
      <x v="1356"/>
    </i>
    <i r="2">
      <x v="8"/>
    </i>
    <i r="2">
      <x v="11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102" totalsRowShown="0" totalsRowDxfId="28">
  <autoFilter ref="A1:C1102" xr:uid="{43456A03-EFD4-416A-B021-C441A7C21E4E}"/>
  <tableColumns count="3">
    <tableColumn id="1" xr3:uid="{96F9219D-1D74-4611-A7AA-8AB4E044352A}" name="Ticket" totalsRowDxfId="27"/>
    <tableColumn id="2" xr3:uid="{D6F02EDE-42BA-4EF9-A278-EA070340E315}" name="Number" totalsRowDxfId="26"/>
    <tableColumn id="3" xr3:uid="{F6A90E5F-0E5C-41D7-A40C-1CC9A86DC194}" name="Status" totalsRow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154" totalsRowShown="0">
  <autoFilter ref="A1:S1154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24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3"/>
    <tableColumn id="7" xr3:uid="{D69C8A00-2CB4-4F31-920A-C1D332375D40}" name="type"/>
    <tableColumn id="9" xr3:uid="{3D246B09-CC89-411A-9E7E-B79496797F29}" name="LFF_ID" dataDxfId="22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1">
      <calculatedColumnFormula>Proc[[#This Row],[Requested]]=Proc[[#This Row],[CurrentParent]]</calculatedColumnFormula>
    </tableColumn>
    <tableColumn id="24" xr3:uid="{9DAA192A-7AAB-4460-A9EA-787D5AF7E069}" name="Sector" dataDxfId="20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9"/>
    <tableColumn id="15" xr3:uid="{F0BFEDC5-AB85-4752-8DBE-1E2D2A86C38C}" name="DateOpened" dataDxfId="18"/>
    <tableColumn id="17" xr3:uid="{78B7D816-31FE-4F8F-8018-91CE8D5DE9A2}" name="DateMapped" dataDxfId="17"/>
    <tableColumn id="16" xr3:uid="{37F76675-DAA7-497A-B0C3-D5ADC87396FC}" name="DateClosed" dataDxfId="16"/>
    <tableColumn id="23" xr3:uid="{77371810-6F86-4EEF-85D0-5FCFC20B88DC}" name="Delayed?" dataDxfId="15">
      <calculatedColumnFormula>IF(Proc[[#This Row],[DaysAgeing]]&gt;5,"yep","on track")</calculatedColumnFormula>
    </tableColumn>
    <tableColumn id="18" xr3:uid="{6AC4A96E-CE6C-49CA-A4F1-794160BB5940}" name="DaysAgeing" dataDxfId="14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3"/>
    <tableColumn id="22" xr3:uid="{87389AE1-9ECE-4C7F-80F9-48A35BE78A62}" name="Prognosis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1"/>
    <tableColumn id="6" xr3:uid="{73647D57-303F-4AF5-983C-1CCB32EBD08D}" name="Forecast Period" dataDxfId="10"/>
    <tableColumn id="4" xr3:uid="{FA11B267-B5E3-452C-A4E3-1668B4A12A28}" name="Number of Tickets Raised" dataDxfId="9"/>
    <tableColumn id="1" xr3:uid="{441BC59C-A1EA-4CA8-B944-D602CD57D89D}" name="Delayed Tickets"/>
    <tableColumn id="5" xr3:uid="{29680677-3B0F-4EC4-81FF-46A6FDD4C5F7}" name="Number of Total Objects" dataDxfId="8"/>
    <tableColumn id="2" xr3:uid="{3D96D299-AEA2-4D9C-9BE6-F98ADF0CDB84}" name="Commentary for delayed tickets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zoomScale="115" zoomScaleNormal="115" workbookViewId="0">
      <selection activeCell="A4" sqref="A4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3120</v>
      </c>
      <c r="B5" s="71">
        <v>7</v>
      </c>
      <c r="C5"/>
      <c r="D5"/>
      <c r="E5"/>
    </row>
    <row r="6" spans="1:6">
      <c r="A6" s="67" t="s">
        <v>3133</v>
      </c>
      <c r="B6" s="71">
        <v>3</v>
      </c>
      <c r="C6"/>
      <c r="D6"/>
      <c r="E6"/>
    </row>
    <row r="7" spans="1:6">
      <c r="A7" s="68" t="s">
        <v>369</v>
      </c>
      <c r="B7" s="71">
        <v>1</v>
      </c>
      <c r="C7"/>
      <c r="D7"/>
      <c r="E7"/>
    </row>
    <row r="8" spans="1:6">
      <c r="A8" s="68" t="s">
        <v>370</v>
      </c>
      <c r="B8" s="71">
        <v>2</v>
      </c>
      <c r="C8" s="56"/>
      <c r="D8"/>
      <c r="E8"/>
    </row>
    <row r="9" spans="1:6">
      <c r="A9" s="67" t="s">
        <v>3129</v>
      </c>
      <c r="B9" s="71">
        <v>4</v>
      </c>
      <c r="C9"/>
      <c r="D9"/>
    </row>
    <row r="10" spans="1:6">
      <c r="A10" s="68" t="s">
        <v>370</v>
      </c>
      <c r="B10" s="71">
        <v>3</v>
      </c>
      <c r="C10" s="53"/>
      <c r="D10"/>
    </row>
    <row r="11" spans="1:6">
      <c r="A11" s="68" t="s">
        <v>375</v>
      </c>
      <c r="B11" s="71">
        <v>1</v>
      </c>
      <c r="C11"/>
      <c r="D11"/>
    </row>
    <row r="12" spans="1:6">
      <c r="A12" s="17" t="s">
        <v>381</v>
      </c>
      <c r="B12" s="71">
        <v>7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102"/>
  <sheetViews>
    <sheetView topLeftCell="A1067" workbookViewId="0">
      <selection activeCell="C1096" sqref="C1096:C110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2832</v>
      </c>
      <c r="B1057">
        <v>2</v>
      </c>
      <c r="C1057" s="74" t="s">
        <v>4</v>
      </c>
    </row>
    <row r="1058" spans="1:3">
      <c r="A1058" t="s">
        <v>2830</v>
      </c>
      <c r="B1058">
        <v>1</v>
      </c>
      <c r="C1058" s="74" t="s">
        <v>4</v>
      </c>
    </row>
    <row r="1059" spans="1:3">
      <c r="A1059" t="s">
        <v>2829</v>
      </c>
      <c r="B1059">
        <v>1</v>
      </c>
      <c r="C1059" s="74" t="s">
        <v>4</v>
      </c>
    </row>
    <row r="1060" spans="1:3">
      <c r="A1060" t="s">
        <v>2826</v>
      </c>
      <c r="B1060">
        <v>1</v>
      </c>
      <c r="C1060" s="74" t="s">
        <v>4</v>
      </c>
    </row>
    <row r="1061" spans="1:3">
      <c r="A1061" t="s">
        <v>2821</v>
      </c>
      <c r="B1061">
        <v>1</v>
      </c>
      <c r="C1061" s="74" t="s">
        <v>4</v>
      </c>
    </row>
    <row r="1062" spans="1:3">
      <c r="A1062" t="s">
        <v>2817</v>
      </c>
      <c r="B1062">
        <v>1</v>
      </c>
      <c r="C1062" s="74" t="s">
        <v>4</v>
      </c>
    </row>
    <row r="1063" spans="1:3">
      <c r="A1063" t="s">
        <v>2814</v>
      </c>
      <c r="B1063">
        <v>1</v>
      </c>
      <c r="C1063" s="74" t="s">
        <v>4</v>
      </c>
    </row>
    <row r="1064" spans="1:3">
      <c r="A1064" t="s">
        <v>2840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2888</v>
      </c>
      <c r="B1066">
        <v>1</v>
      </c>
      <c r="C1066" s="74" t="s">
        <v>4</v>
      </c>
    </row>
    <row r="1067" spans="1:3">
      <c r="A1067" t="s">
        <v>2853</v>
      </c>
      <c r="B1067">
        <v>1</v>
      </c>
      <c r="C1067" s="74" t="s">
        <v>4</v>
      </c>
    </row>
    <row r="1068" spans="1:3">
      <c r="A1068" t="s">
        <v>2847</v>
      </c>
      <c r="B1068">
        <v>1</v>
      </c>
      <c r="C1068" s="74" t="s">
        <v>4</v>
      </c>
    </row>
    <row r="1069" spans="1:3">
      <c r="A1069" t="s">
        <v>2844</v>
      </c>
      <c r="B1069">
        <v>1</v>
      </c>
      <c r="C1069" s="74" t="s">
        <v>4</v>
      </c>
    </row>
    <row r="1070" spans="1:3">
      <c r="A1070" t="s">
        <v>2842</v>
      </c>
      <c r="B1070">
        <v>1</v>
      </c>
      <c r="C1070" s="74" t="s">
        <v>4</v>
      </c>
    </row>
    <row r="1071" spans="1:3">
      <c r="A1071" t="s">
        <v>2851</v>
      </c>
      <c r="B1071">
        <v>8</v>
      </c>
      <c r="C1071" s="74" t="s">
        <v>4</v>
      </c>
    </row>
    <row r="1072" spans="1:3">
      <c r="A1072" t="s">
        <v>2880</v>
      </c>
      <c r="B1072">
        <v>3</v>
      </c>
      <c r="C1072" s="74" t="s">
        <v>4</v>
      </c>
    </row>
    <row r="1073" spans="1:3">
      <c r="A1073" t="s">
        <v>2868</v>
      </c>
      <c r="B1073">
        <v>4</v>
      </c>
      <c r="C1073" s="74" t="s">
        <v>4</v>
      </c>
    </row>
    <row r="1074" spans="1:3">
      <c r="A1074" t="s">
        <v>2867</v>
      </c>
      <c r="B1074">
        <v>4</v>
      </c>
      <c r="C1074" s="74" t="s">
        <v>4</v>
      </c>
    </row>
    <row r="1075" spans="1:3">
      <c r="A1075" t="s">
        <v>2858</v>
      </c>
      <c r="B1075">
        <v>1</v>
      </c>
      <c r="C1075" s="74" t="s">
        <v>4</v>
      </c>
    </row>
    <row r="1076" spans="1:3">
      <c r="A1076" t="s">
        <v>2881</v>
      </c>
      <c r="B1076">
        <v>1</v>
      </c>
      <c r="C1076" s="74" t="s">
        <v>4</v>
      </c>
    </row>
    <row r="1077" spans="1:3">
      <c r="A1077" t="s">
        <v>2895</v>
      </c>
      <c r="B1077">
        <v>5</v>
      </c>
      <c r="C1077" s="74" t="s">
        <v>4</v>
      </c>
    </row>
    <row r="1078" spans="1:3">
      <c r="A1078" t="s">
        <v>2890</v>
      </c>
      <c r="B1078">
        <v>2</v>
      </c>
      <c r="C1078" s="74" t="s">
        <v>4</v>
      </c>
    </row>
    <row r="1079" spans="1:3">
      <c r="A1079" t="s">
        <v>2908</v>
      </c>
      <c r="B1079">
        <v>1</v>
      </c>
      <c r="C1079" s="74" t="s">
        <v>4</v>
      </c>
    </row>
    <row r="1080" spans="1:3">
      <c r="A1080" t="s">
        <v>2910</v>
      </c>
      <c r="B1080">
        <v>2</v>
      </c>
      <c r="C1080" s="74" t="s">
        <v>4</v>
      </c>
    </row>
    <row r="1081" spans="1:3">
      <c r="A1081" t="s">
        <v>2924</v>
      </c>
      <c r="B1081">
        <v>29</v>
      </c>
      <c r="C1081" s="74" t="s">
        <v>4</v>
      </c>
    </row>
    <row r="1082" spans="1:3">
      <c r="A1082" t="s">
        <v>2917</v>
      </c>
      <c r="B1082">
        <v>2</v>
      </c>
      <c r="C1082" s="74" t="s">
        <v>4</v>
      </c>
    </row>
    <row r="1083" spans="1:3">
      <c r="A1083" s="74" t="s">
        <v>2968</v>
      </c>
      <c r="B1083" s="71">
        <v>3</v>
      </c>
      <c r="C1083" s="74" t="s">
        <v>4</v>
      </c>
    </row>
    <row r="1084" spans="1:3">
      <c r="A1084" t="s">
        <v>2911</v>
      </c>
      <c r="B1084">
        <v>2</v>
      </c>
      <c r="C1084" s="74" t="s">
        <v>4</v>
      </c>
    </row>
    <row r="1085" spans="1:3">
      <c r="A1085" t="s">
        <v>2964</v>
      </c>
      <c r="B1085">
        <v>1</v>
      </c>
      <c r="C1085" s="74" t="s">
        <v>4</v>
      </c>
    </row>
    <row r="1086" spans="1:3">
      <c r="A1086" t="s">
        <v>2969</v>
      </c>
      <c r="B1086">
        <v>1</v>
      </c>
      <c r="C1086" s="74" t="s">
        <v>4</v>
      </c>
    </row>
    <row r="1087" spans="1:3">
      <c r="A1087" t="s">
        <v>2960</v>
      </c>
      <c r="B1087">
        <v>1</v>
      </c>
      <c r="C1087" s="74" t="s">
        <v>4</v>
      </c>
    </row>
    <row r="1088" spans="1:3">
      <c r="A1088" t="s">
        <v>2955</v>
      </c>
      <c r="B1088">
        <v>2</v>
      </c>
      <c r="C1088" s="74" t="s">
        <v>4</v>
      </c>
    </row>
    <row r="1089" spans="1:3">
      <c r="A1089" t="s">
        <v>2970</v>
      </c>
      <c r="B1089">
        <v>1</v>
      </c>
      <c r="C1089" s="74" t="s">
        <v>4</v>
      </c>
    </row>
    <row r="1090" spans="1:3">
      <c r="A1090" t="s">
        <v>2953</v>
      </c>
      <c r="B1090">
        <v>1</v>
      </c>
      <c r="C1090" s="74" t="s">
        <v>4</v>
      </c>
    </row>
    <row r="1091" spans="1:3">
      <c r="A1091" t="s">
        <v>2971</v>
      </c>
      <c r="B1091">
        <v>1</v>
      </c>
      <c r="C1091" s="74" t="s">
        <v>4</v>
      </c>
    </row>
    <row r="1092" spans="1:3">
      <c r="A1092" t="s">
        <v>2987</v>
      </c>
      <c r="B1092">
        <v>2</v>
      </c>
      <c r="C1092" s="74" t="s">
        <v>4</v>
      </c>
    </row>
    <row r="1093" spans="1:3">
      <c r="A1093" t="s">
        <v>2983</v>
      </c>
      <c r="B1093">
        <v>1</v>
      </c>
      <c r="C1093" s="74" t="s">
        <v>4</v>
      </c>
    </row>
    <row r="1094" spans="1:3">
      <c r="A1094" t="s">
        <v>3006</v>
      </c>
      <c r="B1094">
        <v>15</v>
      </c>
      <c r="C1094" s="74" t="s">
        <v>4</v>
      </c>
    </row>
    <row r="1095" spans="1:3">
      <c r="A1095" t="s">
        <v>3010</v>
      </c>
      <c r="B1095">
        <v>52</v>
      </c>
      <c r="C1095" s="74" t="s">
        <v>4</v>
      </c>
    </row>
    <row r="1096" spans="1:3">
      <c r="A1096" t="s">
        <v>3096</v>
      </c>
      <c r="B1096">
        <v>2</v>
      </c>
      <c r="C1096" s="74" t="s">
        <v>4</v>
      </c>
    </row>
    <row r="1097" spans="1:3">
      <c r="A1097" t="s">
        <v>3090</v>
      </c>
      <c r="B1097">
        <v>1</v>
      </c>
      <c r="C1097" s="74" t="s">
        <v>4</v>
      </c>
    </row>
    <row r="1098" spans="1:3">
      <c r="A1098" t="s">
        <v>3081</v>
      </c>
      <c r="B1098">
        <v>8</v>
      </c>
      <c r="C1098" s="74" t="s">
        <v>4</v>
      </c>
    </row>
    <row r="1099" spans="1:3">
      <c r="A1099" t="s">
        <v>3103</v>
      </c>
      <c r="B1099">
        <v>10</v>
      </c>
      <c r="C1099" s="74" t="s">
        <v>4</v>
      </c>
    </row>
    <row r="1100" spans="1:3">
      <c r="A1100" t="s">
        <v>3122</v>
      </c>
      <c r="B1100">
        <v>1</v>
      </c>
      <c r="C1100" s="74" t="s">
        <v>4</v>
      </c>
    </row>
    <row r="1101" spans="1:3">
      <c r="A1101" t="s">
        <v>3101</v>
      </c>
      <c r="B1101">
        <v>1</v>
      </c>
      <c r="C1101" s="74" t="s">
        <v>4</v>
      </c>
    </row>
    <row r="1102" spans="1:3">
      <c r="A1102" t="s">
        <v>3097</v>
      </c>
      <c r="B1102">
        <v>1</v>
      </c>
      <c r="C1102" s="74" t="s">
        <v>4</v>
      </c>
    </row>
  </sheetData>
  <conditionalFormatting sqref="A2:A545 A548:A568 A570:A1036 A1038:A1048576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154"/>
  <sheetViews>
    <sheetView zoomScale="85" zoomScaleNormal="85" workbookViewId="0">
      <selection activeCell="C1154" sqref="C115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88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63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63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63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63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63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63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63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63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63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63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63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59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56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56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56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56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56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56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56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56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56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56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56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56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56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56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56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56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56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56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56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56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56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56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56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56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56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56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56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56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56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56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56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56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56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56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56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56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56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56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56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56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56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55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55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55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55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55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55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55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55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55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55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55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55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55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55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55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55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55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55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55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55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55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55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55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55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55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55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55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55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55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55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55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55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55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55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55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55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55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55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55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55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55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55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55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55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55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55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55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55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55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55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55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55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55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55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55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55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55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55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55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54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54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54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54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54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53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53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51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51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50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47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47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47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47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47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47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47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47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47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47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47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47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47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47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47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47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47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47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47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47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47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46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46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46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46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46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41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41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41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36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36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36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36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36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2855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36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36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36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36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36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36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36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36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36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36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36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36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36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32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32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32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27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26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26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26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26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26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26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26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26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26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26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26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26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2888</v>
      </c>
      <c r="B965" s="71" t="str">
        <f>IFERROR(VLOOKUP(Proc[[#This Row],[App]],Table2[],3,0),"open")</f>
        <v>ok</v>
      </c>
      <c r="C965" s="74" t="s">
        <v>369</v>
      </c>
      <c r="D965" t="s">
        <v>2889</v>
      </c>
      <c r="E965" t="s">
        <v>494</v>
      </c>
      <c r="F965" s="71" t="s">
        <v>2828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2841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2853</v>
      </c>
      <c r="B966" s="71" t="str">
        <f>IFERROR(VLOOKUP(Proc[[#This Row],[App]],Table2[],3,0),"open")</f>
        <v>ok</v>
      </c>
      <c r="C966" s="74" t="s">
        <v>369</v>
      </c>
      <c r="D966" s="45" t="s">
        <v>2852</v>
      </c>
      <c r="E966" t="s">
        <v>566</v>
      </c>
      <c r="F966" s="71" t="s">
        <v>2828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2854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2841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2832</v>
      </c>
      <c r="B967" s="71" t="str">
        <f>IFERROR(VLOOKUP(Proc[[#This Row],[App]],Table2[],3,0),"open")</f>
        <v>ok</v>
      </c>
      <c r="C967" s="74" t="s">
        <v>369</v>
      </c>
      <c r="D967" t="s">
        <v>2833</v>
      </c>
      <c r="E967" t="s">
        <v>2836</v>
      </c>
      <c r="F967" s="71" t="s">
        <v>2835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2832</v>
      </c>
      <c r="B968" s="71" t="str">
        <f>IFERROR(VLOOKUP(Proc[[#This Row],[App]],Table2[],3,0),"open")</f>
        <v>ok</v>
      </c>
      <c r="C968" s="74" t="s">
        <v>369</v>
      </c>
      <c r="D968" t="s">
        <v>2834</v>
      </c>
      <c r="E968" t="s">
        <v>2836</v>
      </c>
      <c r="F968" s="71" t="s">
        <v>2835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2908</v>
      </c>
      <c r="B969" s="71" t="str">
        <f>IFERROR(VLOOKUP(Proc[[#This Row],[App]],Table2[],3,0),"open")</f>
        <v>ok</v>
      </c>
      <c r="C969" s="74" t="s">
        <v>369</v>
      </c>
      <c r="D969" t="s">
        <v>2907</v>
      </c>
      <c r="E969" t="s">
        <v>2836</v>
      </c>
      <c r="F969" s="71" t="s">
        <v>2825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2841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2830</v>
      </c>
      <c r="B970" s="71" t="str">
        <f>IFERROR(VLOOKUP(Proc[[#This Row],[App]],Table2[],3,0),"open")</f>
        <v>ok</v>
      </c>
      <c r="C970" s="74" t="s">
        <v>369</v>
      </c>
      <c r="D970" s="77" t="s">
        <v>2831</v>
      </c>
      <c r="E970" t="s">
        <v>494</v>
      </c>
      <c r="F970" s="71" t="s">
        <v>2825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2829</v>
      </c>
      <c r="B971" s="71" t="str">
        <f>IFERROR(VLOOKUP(Proc[[#This Row],[App]],Table2[],3,0),"open")</f>
        <v>ok</v>
      </c>
      <c r="C971" s="74" t="s">
        <v>369</v>
      </c>
      <c r="D971" t="s">
        <v>2827</v>
      </c>
      <c r="E971" t="s">
        <v>494</v>
      </c>
      <c r="F971" s="71" t="s">
        <v>2828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2826</v>
      </c>
      <c r="B972" s="71" t="str">
        <f>IFERROR(VLOOKUP(Proc[[#This Row],[App]],Table2[],3,0),"open")</f>
        <v>ok</v>
      </c>
      <c r="C972" s="74" t="s">
        <v>369</v>
      </c>
      <c r="D972" t="s">
        <v>2824</v>
      </c>
      <c r="E972" s="74" t="s">
        <v>494</v>
      </c>
      <c r="F972" s="71" t="s">
        <v>2825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2821</v>
      </c>
      <c r="B973" s="71" t="str">
        <f>IFERROR(VLOOKUP(Proc[[#This Row],[App]],Table2[],3,0),"open")</f>
        <v>ok</v>
      </c>
      <c r="C973" s="74" t="s">
        <v>369</v>
      </c>
      <c r="D973" t="s">
        <v>2822</v>
      </c>
      <c r="E973" t="s">
        <v>494</v>
      </c>
      <c r="F973" s="71" t="s">
        <v>2823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2817</v>
      </c>
      <c r="B974" s="71" t="str">
        <f>IFERROR(VLOOKUP(Proc[[#This Row],[App]],Table2[],3,0),"open")</f>
        <v>ok</v>
      </c>
      <c r="C974" s="74" t="s">
        <v>369</v>
      </c>
      <c r="D974" t="s">
        <v>2818</v>
      </c>
      <c r="E974" t="s">
        <v>2820</v>
      </c>
      <c r="F974" s="71" t="s">
        <v>2819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2814</v>
      </c>
      <c r="B975" s="71" t="str">
        <f>IFERROR(VLOOKUP(Proc[[#This Row],[App]],Table2[],3,0),"open")</f>
        <v>ok</v>
      </c>
      <c r="C975" s="74" t="s">
        <v>369</v>
      </c>
      <c r="D975" t="s">
        <v>2815</v>
      </c>
      <c r="E975" t="s">
        <v>2816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2840</v>
      </c>
      <c r="B976" s="71" t="str">
        <f>IFERROR(VLOOKUP(Proc[[#This Row],[App]],Table2[],3,0),"open")</f>
        <v>ok</v>
      </c>
      <c r="C976" s="74" t="s">
        <v>369</v>
      </c>
      <c r="D976" t="s">
        <v>2837</v>
      </c>
      <c r="E976" t="s">
        <v>2838</v>
      </c>
      <c r="F976" s="71" t="s">
        <v>2839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2847</v>
      </c>
      <c r="B977" s="71" t="str">
        <f>IFERROR(VLOOKUP(Proc[[#This Row],[App]],Table2[],3,0),"open")</f>
        <v>ok</v>
      </c>
      <c r="C977" s="74" t="s">
        <v>369</v>
      </c>
      <c r="D977" t="s">
        <v>2848</v>
      </c>
      <c r="E977" t="s">
        <v>2849</v>
      </c>
      <c r="F977" s="71" t="s">
        <v>2850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2854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2841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2844</v>
      </c>
      <c r="B978" s="71" t="str">
        <f>IFERROR(VLOOKUP(Proc[[#This Row],[App]],Table2[],3,0),"open")</f>
        <v>ok</v>
      </c>
      <c r="C978" s="74" t="s">
        <v>369</v>
      </c>
      <c r="D978" t="s">
        <v>2845</v>
      </c>
      <c r="E978" t="s">
        <v>492</v>
      </c>
      <c r="F978" s="71" t="s">
        <v>2846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2841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2842</v>
      </c>
      <c r="B979" s="71" t="str">
        <f>IFERROR(VLOOKUP(Proc[[#This Row],[App]],Table2[],3,0),"open")</f>
        <v>ok</v>
      </c>
      <c r="C979" s="74" t="s">
        <v>369</v>
      </c>
      <c r="D979" t="s">
        <v>2843</v>
      </c>
      <c r="E979" t="s">
        <v>2828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2841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2851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2854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2841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2851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2854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2841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2851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2854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2841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2851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2854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2841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2851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2854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2841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2851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2854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2841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2851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2854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2841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2851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2854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2841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2880</v>
      </c>
      <c r="B988" s="71" t="str">
        <f>IFERROR(VLOOKUP(Proc[[#This Row],[App]],Table2[],3,0),"open")</f>
        <v>ok</v>
      </c>
      <c r="C988" s="74" t="s">
        <v>369</v>
      </c>
      <c r="D988" t="s">
        <v>2875</v>
      </c>
      <c r="E988" t="s">
        <v>2878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2841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2880</v>
      </c>
      <c r="B989" s="71" t="str">
        <f>IFERROR(VLOOKUP(Proc[[#This Row],[App]],Table2[],3,0),"open")</f>
        <v>ok</v>
      </c>
      <c r="C989" s="74" t="s">
        <v>369</v>
      </c>
      <c r="D989" t="s">
        <v>2876</v>
      </c>
      <c r="E989" t="s">
        <v>2879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2841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2880</v>
      </c>
      <c r="B990" s="71" t="str">
        <f>IFERROR(VLOOKUP(Proc[[#This Row],[App]],Table2[],3,0),"open")</f>
        <v>ok</v>
      </c>
      <c r="C990" s="74" t="s">
        <v>369</v>
      </c>
      <c r="D990" t="s">
        <v>2877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2841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2868</v>
      </c>
      <c r="B991" s="71" t="str">
        <f>IFERROR(VLOOKUP(Proc[[#This Row],[App]],Table2[],3,0),"open")</f>
        <v>ok</v>
      </c>
      <c r="C991" s="74" t="s">
        <v>369</v>
      </c>
      <c r="D991" t="s">
        <v>2869</v>
      </c>
      <c r="E991" t="s">
        <v>2884</v>
      </c>
      <c r="F991" s="71" t="s">
        <v>2873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2841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2868</v>
      </c>
      <c r="B992" s="71" t="str">
        <f>IFERROR(VLOOKUP(Proc[[#This Row],[App]],Table2[],3,0),"open")</f>
        <v>ok</v>
      </c>
      <c r="C992" s="74" t="s">
        <v>369</v>
      </c>
      <c r="D992" t="s">
        <v>2870</v>
      </c>
      <c r="E992" t="s">
        <v>2885</v>
      </c>
      <c r="F992" s="71" t="s">
        <v>2873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2841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2868</v>
      </c>
      <c r="B993" s="71" t="str">
        <f>IFERROR(VLOOKUP(Proc[[#This Row],[App]],Table2[],3,0),"open")</f>
        <v>ok</v>
      </c>
      <c r="C993" s="74" t="s">
        <v>369</v>
      </c>
      <c r="D993" t="s">
        <v>2871</v>
      </c>
      <c r="E993" t="s">
        <v>2886</v>
      </c>
      <c r="F993" s="71" t="s">
        <v>2873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2841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2868</v>
      </c>
      <c r="B994" s="71" t="str">
        <f>IFERROR(VLOOKUP(Proc[[#This Row],[App]],Table2[],3,0),"open")</f>
        <v>ok</v>
      </c>
      <c r="C994" s="74" t="s">
        <v>369</v>
      </c>
      <c r="D994" t="s">
        <v>2872</v>
      </c>
      <c r="E994" t="s">
        <v>2758</v>
      </c>
      <c r="F994" s="71" t="s">
        <v>2874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2841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2867</v>
      </c>
      <c r="B995" s="71" t="str">
        <f>IFERROR(VLOOKUP(Proc[[#This Row],[App]],Table2[],3,0),"open")</f>
        <v>ok</v>
      </c>
      <c r="C995" s="74" t="s">
        <v>369</v>
      </c>
      <c r="D995" t="s">
        <v>2859</v>
      </c>
      <c r="E995" t="s">
        <v>2882</v>
      </c>
      <c r="F995" s="71" t="s">
        <v>2864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2841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2867</v>
      </c>
      <c r="B996" s="71" t="str">
        <f>IFERROR(VLOOKUP(Proc[[#This Row],[App]],Table2[],3,0),"open")</f>
        <v>ok</v>
      </c>
      <c r="C996" s="74" t="s">
        <v>369</v>
      </c>
      <c r="D996" t="s">
        <v>2860</v>
      </c>
      <c r="E996" t="s">
        <v>2883</v>
      </c>
      <c r="F996" s="71" t="s">
        <v>2865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2841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2867</v>
      </c>
      <c r="B997" s="71" t="str">
        <f>IFERROR(VLOOKUP(Proc[[#This Row],[App]],Table2[],3,0),"open")</f>
        <v>ok</v>
      </c>
      <c r="C997" s="74" t="s">
        <v>369</v>
      </c>
      <c r="D997" t="s">
        <v>2861</v>
      </c>
      <c r="E997" t="s">
        <v>2883</v>
      </c>
      <c r="F997" s="71" t="s">
        <v>2865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2841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2867</v>
      </c>
      <c r="B998" s="71" t="str">
        <f>IFERROR(VLOOKUP(Proc[[#This Row],[App]],Table2[],3,0),"open")</f>
        <v>ok</v>
      </c>
      <c r="C998" s="74" t="s">
        <v>369</v>
      </c>
      <c r="D998" t="s">
        <v>2862</v>
      </c>
      <c r="E998" t="s">
        <v>2863</v>
      </c>
      <c r="F998" s="71" t="s">
        <v>2866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2841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2858</v>
      </c>
      <c r="B999" s="71" t="str">
        <f>IFERROR(VLOOKUP(Proc[[#This Row],[App]],Table2[],3,0),"open")</f>
        <v>ok</v>
      </c>
      <c r="C999" t="s">
        <v>369</v>
      </c>
      <c r="D999" t="s">
        <v>2856</v>
      </c>
      <c r="E999" t="s">
        <v>644</v>
      </c>
      <c r="F999" s="71" t="s">
        <v>2857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2841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2881</v>
      </c>
      <c r="B1000" s="71" t="str">
        <f>IFERROR(VLOOKUP(Proc[[#This Row],[App]],Table2[],3,0),"open")</f>
        <v>ok</v>
      </c>
      <c r="C1000" t="s">
        <v>369</v>
      </c>
      <c r="D1000" t="s">
        <v>2887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2841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2895</v>
      </c>
      <c r="B1001" s="71" t="str">
        <f>IFERROR(VLOOKUP(Proc[[#This Row],[App]],Table2[],3,0),"open")</f>
        <v>ok</v>
      </c>
      <c r="C1001" s="74" t="s">
        <v>369</v>
      </c>
      <c r="D1001" t="s">
        <v>2896</v>
      </c>
      <c r="E1001" t="s">
        <v>429</v>
      </c>
      <c r="F1001" s="71" t="s">
        <v>2903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2841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2895</v>
      </c>
      <c r="B1002" s="71" t="str">
        <f>IFERROR(VLOOKUP(Proc[[#This Row],[App]],Table2[],3,0),"open")</f>
        <v>ok</v>
      </c>
      <c r="C1002" s="74" t="s">
        <v>369</v>
      </c>
      <c r="D1002" t="s">
        <v>2897</v>
      </c>
      <c r="E1002" t="s">
        <v>2901</v>
      </c>
      <c r="F1002" s="71" t="s">
        <v>2904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2906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2841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2895</v>
      </c>
      <c r="B1003" s="71" t="str">
        <f>IFERROR(VLOOKUP(Proc[[#This Row],[App]],Table2[],3,0),"open")</f>
        <v>ok</v>
      </c>
      <c r="C1003" s="74" t="s">
        <v>369</v>
      </c>
      <c r="D1003" t="s">
        <v>2898</v>
      </c>
      <c r="E1003" t="s">
        <v>2902</v>
      </c>
      <c r="F1003" s="71" t="s">
        <v>2905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2906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2841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2895</v>
      </c>
      <c r="B1004" s="71" t="str">
        <f>IFERROR(VLOOKUP(Proc[[#This Row],[App]],Table2[],3,0),"open")</f>
        <v>ok</v>
      </c>
      <c r="C1004" s="74" t="s">
        <v>369</v>
      </c>
      <c r="D1004" t="s">
        <v>2899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2841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2895</v>
      </c>
      <c r="B1005" s="71" t="str">
        <f>IFERROR(VLOOKUP(Proc[[#This Row],[App]],Table2[],3,0),"open")</f>
        <v>ok</v>
      </c>
      <c r="C1005" s="74" t="s">
        <v>369</v>
      </c>
      <c r="D1005" t="s">
        <v>2900</v>
      </c>
      <c r="E1005" t="s">
        <v>2902</v>
      </c>
      <c r="F1005" s="71" t="s">
        <v>2905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2906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2841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2890</v>
      </c>
      <c r="B1006" s="71" t="str">
        <f>IFERROR(VLOOKUP(Proc[[#This Row],[App]],Table2[],3,0),"open")</f>
        <v>ok</v>
      </c>
      <c r="C1006" s="74" t="s">
        <v>369</v>
      </c>
      <c r="D1006" t="s">
        <v>2891</v>
      </c>
      <c r="E1006" t="s">
        <v>2771</v>
      </c>
      <c r="F1006" s="71" t="s">
        <v>2894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2841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2890</v>
      </c>
      <c r="B1007" s="71" t="str">
        <f>IFERROR(VLOOKUP(Proc[[#This Row],[App]],Table2[],3,0),"open")</f>
        <v>ok</v>
      </c>
      <c r="C1007" s="74" t="s">
        <v>369</v>
      </c>
      <c r="D1007" t="s">
        <v>2892</v>
      </c>
      <c r="E1007" t="s">
        <v>2893</v>
      </c>
      <c r="F1007" s="71" t="s">
        <v>2894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2841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2917</v>
      </c>
      <c r="B1008" s="71" t="str">
        <f>IFERROR(VLOOKUP(Proc[[#This Row],[App]],Table2[],3,0),"open")</f>
        <v>ok</v>
      </c>
      <c r="C1008" t="s">
        <v>369</v>
      </c>
      <c r="D1008" t="s">
        <v>2918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2841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12</v>
      </c>
      <c r="R1008" s="76" t="s">
        <v>1003</v>
      </c>
      <c r="S1008" s="71"/>
    </row>
    <row r="1009" spans="1:19" hidden="1">
      <c r="A1009" s="74" t="s">
        <v>2917</v>
      </c>
      <c r="B1009" s="71" t="str">
        <f>IFERROR(VLOOKUP(Proc[[#This Row],[App]],Table2[],3,0),"open")</f>
        <v>ok</v>
      </c>
      <c r="C1009" s="74" t="s">
        <v>369</v>
      </c>
      <c r="D1009" t="s">
        <v>2919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2841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12</v>
      </c>
      <c r="R1009" s="76" t="s">
        <v>1003</v>
      </c>
      <c r="S1009" s="71"/>
    </row>
    <row r="1010" spans="1:19" hidden="1">
      <c r="A1010" t="s">
        <v>2911</v>
      </c>
      <c r="B1010" s="71" t="str">
        <f>IFERROR(VLOOKUP(Proc[[#This Row],[App]],Table2[],3,0),"open")</f>
        <v>ok</v>
      </c>
      <c r="C1010" s="74" t="s">
        <v>369</v>
      </c>
      <c r="D1010" t="s">
        <v>2912</v>
      </c>
      <c r="E1010" t="s">
        <v>2914</v>
      </c>
      <c r="F1010" s="71" t="s">
        <v>2915</v>
      </c>
      <c r="G1010" t="s">
        <v>400</v>
      </c>
      <c r="H1010" s="71" t="str">
        <f>IF(Proc[[#This Row],[type]]="LFF (MDG-F)",MID(Proc[[#This Row],[Obj]],13,10),"")</f>
        <v/>
      </c>
      <c r="I1010" t="s">
        <v>2979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2841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2911</v>
      </c>
      <c r="B1011" s="71" t="str">
        <f>IFERROR(VLOOKUP(Proc[[#This Row],[App]],Table2[],3,0),"open")</f>
        <v>ok</v>
      </c>
      <c r="C1011" s="74" t="s">
        <v>369</v>
      </c>
      <c r="D1011" t="s">
        <v>2913</v>
      </c>
      <c r="E1011" t="s">
        <v>426</v>
      </c>
      <c r="F1011" s="71" t="s">
        <v>2916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2841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2910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2909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2920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2841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2910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2909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2920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2841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2964</v>
      </c>
      <c r="B1014" s="71" t="str">
        <f>IFERROR(VLOOKUP(Proc[[#This Row],[App]],Table2[],3,0),"open")</f>
        <v>ok</v>
      </c>
      <c r="C1014" s="74" t="s">
        <v>369</v>
      </c>
      <c r="D1014" s="74" t="s">
        <v>2965</v>
      </c>
      <c r="E1014" s="74" t="s">
        <v>2674</v>
      </c>
      <c r="F1014" s="74" t="s">
        <v>2966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2841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2969</v>
      </c>
      <c r="B1015" s="71" t="str">
        <f>IFERROR(VLOOKUP(Proc[[#This Row],[App]],Table2[],3,0),"open")</f>
        <v>ok</v>
      </c>
      <c r="C1015" s="74" t="s">
        <v>398</v>
      </c>
      <c r="D1015" s="74" t="s">
        <v>2972</v>
      </c>
      <c r="E1015" s="74" t="s">
        <v>2973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2980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2841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2974</v>
      </c>
      <c r="S1015" s="71"/>
    </row>
    <row r="1016" spans="1:19" hidden="1">
      <c r="A1016" s="74" t="s">
        <v>2968</v>
      </c>
      <c r="B1016" s="71" t="str">
        <f>IFERROR(VLOOKUP(Proc[[#This Row],[App]],Table2[],3,0),"open")</f>
        <v>ok</v>
      </c>
      <c r="C1016" s="74" t="s">
        <v>369</v>
      </c>
      <c r="D1016" s="74" t="s">
        <v>2921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2841</v>
      </c>
      <c r="M1016" s="76">
        <v>45755.527407407404</v>
      </c>
      <c r="N1016" s="81"/>
      <c r="O1016" s="81"/>
      <c r="P1016" s="76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11</v>
      </c>
      <c r="R1016" s="76" t="s">
        <v>508</v>
      </c>
      <c r="S1016" s="71"/>
    </row>
    <row r="1017" spans="1:19" hidden="1">
      <c r="A1017" s="74" t="s">
        <v>2968</v>
      </c>
      <c r="B1017" s="71" t="str">
        <f>IFERROR(VLOOKUP(Proc[[#This Row],[App]],Table2[],3,0),"open")</f>
        <v>ok</v>
      </c>
      <c r="C1017" s="74" t="s">
        <v>369</v>
      </c>
      <c r="D1017" s="74" t="s">
        <v>2922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2841</v>
      </c>
      <c r="M1017" s="76">
        <v>45755.527407407404</v>
      </c>
      <c r="N1017" s="81"/>
      <c r="O1017" s="81"/>
      <c r="P1017" s="76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11</v>
      </c>
      <c r="R1017" s="76" t="s">
        <v>508</v>
      </c>
      <c r="S1017" s="71"/>
    </row>
    <row r="1018" spans="1:19" hidden="1">
      <c r="A1018" s="74" t="s">
        <v>2968</v>
      </c>
      <c r="B1018" s="71" t="str">
        <f>IFERROR(VLOOKUP(Proc[[#This Row],[App]],Table2[],3,0),"open")</f>
        <v>ok</v>
      </c>
      <c r="C1018" s="74" t="s">
        <v>369</v>
      </c>
      <c r="D1018" s="74" t="s">
        <v>2923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2841</v>
      </c>
      <c r="M1018" s="76">
        <v>45755.527407407404</v>
      </c>
      <c r="N1018" s="81"/>
      <c r="O1018" s="81"/>
      <c r="P1018" s="76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11</v>
      </c>
      <c r="R1018" s="76" t="s">
        <v>508</v>
      </c>
      <c r="S1018" s="71"/>
    </row>
    <row r="1019" spans="1:19" hidden="1">
      <c r="A1019" s="74" t="s">
        <v>2960</v>
      </c>
      <c r="B1019" s="71" t="str">
        <f>IFERROR(VLOOKUP(Proc[[#This Row],[App]],Table2[],3,0),"open")</f>
        <v>ok</v>
      </c>
      <c r="C1019" s="74" t="s">
        <v>369</v>
      </c>
      <c r="D1019" s="74" t="s">
        <v>2961</v>
      </c>
      <c r="E1019" s="74" t="s">
        <v>2962</v>
      </c>
      <c r="F1019" s="74" t="s">
        <v>2963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2841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2955</v>
      </c>
      <c r="B1020" s="71" t="str">
        <f>IFERROR(VLOOKUP(Proc[[#This Row],[App]],Table2[],3,0),"open")</f>
        <v>ok</v>
      </c>
      <c r="C1020" s="74" t="s">
        <v>369</v>
      </c>
      <c r="D1020" s="74" t="s">
        <v>2956</v>
      </c>
      <c r="E1020" s="74" t="s">
        <v>2958</v>
      </c>
      <c r="F1020" s="71" t="s">
        <v>2959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2841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2955</v>
      </c>
      <c r="B1021" s="71" t="str">
        <f>IFERROR(VLOOKUP(Proc[[#This Row],[App]],Table2[],3,0),"open")</f>
        <v>ok</v>
      </c>
      <c r="C1021" s="74" t="s">
        <v>369</v>
      </c>
      <c r="D1021" s="74" t="s">
        <v>2957</v>
      </c>
      <c r="E1021" s="74" t="s">
        <v>2958</v>
      </c>
      <c r="F1021" s="71" t="s">
        <v>2959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2841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2970</v>
      </c>
      <c r="B1022" s="71" t="str">
        <f>IFERROR(VLOOKUP(Proc[[#This Row],[App]],Table2[],3,0),"open")</f>
        <v>ok</v>
      </c>
      <c r="C1022" s="74" t="s">
        <v>369</v>
      </c>
      <c r="D1022" s="74" t="s">
        <v>2975</v>
      </c>
      <c r="E1022" s="74" t="s">
        <v>2962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2841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2971</v>
      </c>
      <c r="B1023" s="71" t="str">
        <f>IFERROR(VLOOKUP(Proc[[#This Row],[App]],Table2[],3,0),"open")</f>
        <v>ok</v>
      </c>
      <c r="C1023" s="74" t="s">
        <v>369</v>
      </c>
      <c r="D1023" s="74" t="s">
        <v>2981</v>
      </c>
      <c r="E1023" s="74" t="s">
        <v>2976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2841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2977</v>
      </c>
      <c r="S1023" s="71"/>
    </row>
    <row r="1024" spans="1:19" hidden="1">
      <c r="A1024" s="74" t="s">
        <v>2924</v>
      </c>
      <c r="B1024" s="71" t="str">
        <f>IFERROR(VLOOKUP(Proc[[#This Row],[App]],Table2[],3,0),"open")</f>
        <v>ok</v>
      </c>
      <c r="C1024" s="74" t="s">
        <v>369</v>
      </c>
      <c r="D1024" s="78" t="s">
        <v>2921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2841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2924</v>
      </c>
      <c r="B1025" s="71" t="str">
        <f>IFERROR(VLOOKUP(Proc[[#This Row],[App]],Table2[],3,0),"open")</f>
        <v>ok</v>
      </c>
      <c r="C1025" s="74" t="s">
        <v>369</v>
      </c>
      <c r="D1025" s="78" t="s">
        <v>2922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2841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2924</v>
      </c>
      <c r="B1026" s="71" t="str">
        <f>IFERROR(VLOOKUP(Proc[[#This Row],[App]],Table2[],3,0),"open")</f>
        <v>ok</v>
      </c>
      <c r="C1026" s="74" t="s">
        <v>369</v>
      </c>
      <c r="D1026" s="78" t="s">
        <v>2923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2841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2924</v>
      </c>
      <c r="B1027" s="71" t="str">
        <f>IFERROR(VLOOKUP(Proc[[#This Row],[App]],Table2[],3,0),"open")</f>
        <v>ok</v>
      </c>
      <c r="C1027" s="74" t="s">
        <v>369</v>
      </c>
      <c r="D1027" s="78" t="s">
        <v>2925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2841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2924</v>
      </c>
      <c r="B1028" s="71" t="str">
        <f>IFERROR(VLOOKUP(Proc[[#This Row],[App]],Table2[],3,0),"open")</f>
        <v>ok</v>
      </c>
      <c r="C1028" s="74" t="s">
        <v>369</v>
      </c>
      <c r="D1028" s="78" t="s">
        <v>2926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2841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2924</v>
      </c>
      <c r="B1029" s="71" t="str">
        <f>IFERROR(VLOOKUP(Proc[[#This Row],[App]],Table2[],3,0),"open")</f>
        <v>ok</v>
      </c>
      <c r="C1029" s="74" t="s">
        <v>369</v>
      </c>
      <c r="D1029" s="74" t="s">
        <v>2927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2841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2924</v>
      </c>
      <c r="B1030" s="71" t="str">
        <f>IFERROR(VLOOKUP(Proc[[#This Row],[App]],Table2[],3,0),"open")</f>
        <v>ok</v>
      </c>
      <c r="C1030" s="74" t="s">
        <v>369</v>
      </c>
      <c r="D1030" s="74" t="s">
        <v>2928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2841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2924</v>
      </c>
      <c r="B1031" s="71" t="str">
        <f>IFERROR(VLOOKUP(Proc[[#This Row],[App]],Table2[],3,0),"open")</f>
        <v>ok</v>
      </c>
      <c r="C1031" s="74" t="s">
        <v>369</v>
      </c>
      <c r="D1031" s="74" t="s">
        <v>2929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2841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2924</v>
      </c>
      <c r="B1032" s="71" t="str">
        <f>IFERROR(VLOOKUP(Proc[[#This Row],[App]],Table2[],3,0),"open")</f>
        <v>ok</v>
      </c>
      <c r="C1032" s="74" t="s">
        <v>369</v>
      </c>
      <c r="D1032" s="74" t="s">
        <v>2930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2841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2924</v>
      </c>
      <c r="B1033" s="71" t="str">
        <f>IFERROR(VLOOKUP(Proc[[#This Row],[App]],Table2[],3,0),"open")</f>
        <v>ok</v>
      </c>
      <c r="C1033" s="74" t="s">
        <v>369</v>
      </c>
      <c r="D1033" s="74" t="s">
        <v>2931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2841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2924</v>
      </c>
      <c r="B1034" s="71" t="str">
        <f>IFERROR(VLOOKUP(Proc[[#This Row],[App]],Table2[],3,0),"open")</f>
        <v>ok</v>
      </c>
      <c r="C1034" s="74" t="s">
        <v>369</v>
      </c>
      <c r="D1034" s="74" t="s">
        <v>2932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2841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2924</v>
      </c>
      <c r="B1035" s="71" t="str">
        <f>IFERROR(VLOOKUP(Proc[[#This Row],[App]],Table2[],3,0),"open")</f>
        <v>ok</v>
      </c>
      <c r="C1035" s="74" t="s">
        <v>369</v>
      </c>
      <c r="D1035" s="74" t="s">
        <v>2933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2841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2924</v>
      </c>
      <c r="B1036" s="71" t="str">
        <f>IFERROR(VLOOKUP(Proc[[#This Row],[App]],Table2[],3,0),"open")</f>
        <v>ok</v>
      </c>
      <c r="C1036" s="74" t="s">
        <v>369</v>
      </c>
      <c r="D1036" s="74" t="s">
        <v>2934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2841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2924</v>
      </c>
      <c r="B1037" s="71" t="str">
        <f>IFERROR(VLOOKUP(Proc[[#This Row],[App]],Table2[],3,0),"open")</f>
        <v>ok</v>
      </c>
      <c r="C1037" s="74" t="s">
        <v>369</v>
      </c>
      <c r="D1037" s="74" t="s">
        <v>2935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2841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2924</v>
      </c>
      <c r="B1038" s="71" t="str">
        <f>IFERROR(VLOOKUP(Proc[[#This Row],[App]],Table2[],3,0),"open")</f>
        <v>ok</v>
      </c>
      <c r="C1038" s="74" t="s">
        <v>369</v>
      </c>
      <c r="D1038" s="74" t="s">
        <v>2936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2841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2924</v>
      </c>
      <c r="B1039" s="71" t="str">
        <f>IFERROR(VLOOKUP(Proc[[#This Row],[App]],Table2[],3,0),"open")</f>
        <v>ok</v>
      </c>
      <c r="C1039" s="74" t="s">
        <v>369</v>
      </c>
      <c r="D1039" s="74" t="s">
        <v>2937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2841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2924</v>
      </c>
      <c r="B1040" s="71" t="str">
        <f>IFERROR(VLOOKUP(Proc[[#This Row],[App]],Table2[],3,0),"open")</f>
        <v>ok</v>
      </c>
      <c r="C1040" s="74" t="s">
        <v>369</v>
      </c>
      <c r="D1040" s="74" t="s">
        <v>2938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2841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2924</v>
      </c>
      <c r="B1041" s="71" t="str">
        <f>IFERROR(VLOOKUP(Proc[[#This Row],[App]],Table2[],3,0),"open")</f>
        <v>ok</v>
      </c>
      <c r="C1041" s="74" t="s">
        <v>369</v>
      </c>
      <c r="D1041" s="74" t="s">
        <v>2939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2841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2924</v>
      </c>
      <c r="B1042" s="71" t="str">
        <f>IFERROR(VLOOKUP(Proc[[#This Row],[App]],Table2[],3,0),"open")</f>
        <v>ok</v>
      </c>
      <c r="C1042" s="74" t="s">
        <v>369</v>
      </c>
      <c r="D1042" s="74" t="s">
        <v>2940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2841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2924</v>
      </c>
      <c r="B1043" s="71" t="str">
        <f>IFERROR(VLOOKUP(Proc[[#This Row],[App]],Table2[],3,0),"open")</f>
        <v>ok</v>
      </c>
      <c r="C1043" t="s">
        <v>369</v>
      </c>
      <c r="D1043" t="s">
        <v>2941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2841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2924</v>
      </c>
      <c r="B1044" s="71" t="str">
        <f>IFERROR(VLOOKUP(Proc[[#This Row],[App]],Table2[],3,0),"open")</f>
        <v>ok</v>
      </c>
      <c r="C1044" s="74" t="s">
        <v>369</v>
      </c>
      <c r="D1044" t="s">
        <v>2942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2841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2924</v>
      </c>
      <c r="B1045" s="71" t="str">
        <f>IFERROR(VLOOKUP(Proc[[#This Row],[App]],Table2[],3,0),"open")</f>
        <v>ok</v>
      </c>
      <c r="C1045" s="74" t="s">
        <v>369</v>
      </c>
      <c r="D1045" t="s">
        <v>2943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2841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2924</v>
      </c>
      <c r="B1046" s="71" t="str">
        <f>IFERROR(VLOOKUP(Proc[[#This Row],[App]],Table2[],3,0),"open")</f>
        <v>ok</v>
      </c>
      <c r="C1046" s="74" t="s">
        <v>369</v>
      </c>
      <c r="D1046" t="s">
        <v>2944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2841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2924</v>
      </c>
      <c r="B1047" s="71" t="str">
        <f>IFERROR(VLOOKUP(Proc[[#This Row],[App]],Table2[],3,0),"open")</f>
        <v>ok</v>
      </c>
      <c r="C1047" s="74" t="s">
        <v>369</v>
      </c>
      <c r="D1047" t="s">
        <v>2945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2841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2924</v>
      </c>
      <c r="B1048" s="71" t="str">
        <f>IFERROR(VLOOKUP(Proc[[#This Row],[App]],Table2[],3,0),"open")</f>
        <v>ok</v>
      </c>
      <c r="C1048" s="74" t="s">
        <v>369</v>
      </c>
      <c r="D1048" t="s">
        <v>2946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2841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2924</v>
      </c>
      <c r="B1049" s="71" t="str">
        <f>IFERROR(VLOOKUP(Proc[[#This Row],[App]],Table2[],3,0),"open")</f>
        <v>ok</v>
      </c>
      <c r="C1049" s="74" t="s">
        <v>369</v>
      </c>
      <c r="D1049" t="s">
        <v>2947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2841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2924</v>
      </c>
      <c r="B1050" s="71" t="str">
        <f>IFERROR(VLOOKUP(Proc[[#This Row],[App]],Table2[],3,0),"open")</f>
        <v>ok</v>
      </c>
      <c r="C1050" s="74" t="s">
        <v>369</v>
      </c>
      <c r="D1050" t="s">
        <v>2948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2841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2924</v>
      </c>
      <c r="B1051" s="71" t="str">
        <f>IFERROR(VLOOKUP(Proc[[#This Row],[App]],Table2[],3,0),"open")</f>
        <v>ok</v>
      </c>
      <c r="C1051" t="s">
        <v>369</v>
      </c>
      <c r="D1051" t="s">
        <v>2949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2841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2924</v>
      </c>
      <c r="B1052" s="71" t="str">
        <f>IFERROR(VLOOKUP(Proc[[#This Row],[App]],Table2[],3,0),"open")</f>
        <v>ok</v>
      </c>
      <c r="C1052" s="74" t="s">
        <v>369</v>
      </c>
      <c r="D1052" t="s">
        <v>2950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2841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2953</v>
      </c>
      <c r="B1053" s="71" t="str">
        <f>IFERROR(VLOOKUP(Proc[[#This Row],[App]],Table2[],3,0),"open")</f>
        <v>ok</v>
      </c>
      <c r="C1053" s="74" t="s">
        <v>369</v>
      </c>
      <c r="D1053" t="s">
        <v>2978</v>
      </c>
      <c r="E1053" t="s">
        <v>2952</v>
      </c>
      <c r="F1053" s="71" t="s">
        <v>2951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2967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2841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2954</v>
      </c>
      <c r="S1053" s="71"/>
    </row>
    <row r="1054" spans="1:19" hidden="1">
      <c r="A1054" t="s">
        <v>2983</v>
      </c>
      <c r="B1054" s="71" t="str">
        <f>IFERROR(VLOOKUP(Proc[[#This Row],[App]],Table2[],3,0),"open")</f>
        <v>ok</v>
      </c>
      <c r="C1054" t="s">
        <v>369</v>
      </c>
      <c r="D1054" t="s">
        <v>3008</v>
      </c>
      <c r="E1054" t="s">
        <v>2982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2841</v>
      </c>
      <c r="M1054" s="81">
        <v>45758.372824074075</v>
      </c>
      <c r="N1054" s="81">
        <v>45761</v>
      </c>
      <c r="O1054" s="81">
        <v>45761</v>
      </c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2" t="s">
        <v>496</v>
      </c>
      <c r="S1054" s="71"/>
    </row>
    <row r="1055" spans="1:19" hidden="1">
      <c r="A1055" t="s">
        <v>2987</v>
      </c>
      <c r="B1055" s="71" t="str">
        <f>IFERROR(VLOOKUP(Proc[[#This Row],[App]],Table2[],3,0),"open")</f>
        <v>ok</v>
      </c>
      <c r="C1055" s="74" t="s">
        <v>369</v>
      </c>
      <c r="D1055" t="s">
        <v>2984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2841</v>
      </c>
      <c r="M1055" s="81">
        <v>45758.358437499999</v>
      </c>
      <c r="N1055" s="81">
        <v>45761</v>
      </c>
      <c r="O1055" s="81">
        <v>45761</v>
      </c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2" t="s">
        <v>858</v>
      </c>
      <c r="S1055" s="71"/>
    </row>
    <row r="1056" spans="1:19" hidden="1">
      <c r="A1056" s="74" t="s">
        <v>2987</v>
      </c>
      <c r="B1056" s="71" t="str">
        <f>IFERROR(VLOOKUP(Proc[[#This Row],[App]],Table2[],3,0),"open")</f>
        <v>ok</v>
      </c>
      <c r="C1056" s="74" t="s">
        <v>369</v>
      </c>
      <c r="D1056" t="s">
        <v>2985</v>
      </c>
      <c r="E1056" t="s">
        <v>2986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2841</v>
      </c>
      <c r="M1056" s="81">
        <v>45758.358437499999</v>
      </c>
      <c r="N1056" s="81">
        <v>45761</v>
      </c>
      <c r="O1056" s="81">
        <v>45761</v>
      </c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2" t="s">
        <v>858</v>
      </c>
      <c r="S1056" s="71"/>
    </row>
    <row r="1057" spans="1:19" hidden="1">
      <c r="A1057" t="s">
        <v>3006</v>
      </c>
      <c r="B1057" s="71" t="str">
        <f>IFERROR(VLOOKUP(Proc[[#This Row],[App]],Table2[],3,0),"open")</f>
        <v>ok</v>
      </c>
      <c r="C1057" s="74" t="s">
        <v>369</v>
      </c>
      <c r="D1057" t="s">
        <v>2988</v>
      </c>
      <c r="E1057" t="s">
        <v>2989</v>
      </c>
      <c r="F1057" s="71" t="s">
        <v>2992</v>
      </c>
      <c r="G1057" t="s">
        <v>406</v>
      </c>
      <c r="H1057" s="71" t="str">
        <f>IF(Proc[[#This Row],[type]]="LFF (MDG-F)",MID(Proc[[#This Row],[Obj]],13,10),"")</f>
        <v>DE10N12380</v>
      </c>
      <c r="I1057" t="s">
        <v>3009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2841</v>
      </c>
      <c r="M1057" s="81">
        <v>45757.718622685185</v>
      </c>
      <c r="N1057" s="81">
        <v>45768</v>
      </c>
      <c r="O1057" s="81">
        <v>45768</v>
      </c>
      <c r="P1057" s="82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2" t="s">
        <v>3007</v>
      </c>
      <c r="S1057" s="71"/>
    </row>
    <row r="1058" spans="1:19" hidden="1">
      <c r="A1058" s="74" t="s">
        <v>3006</v>
      </c>
      <c r="B1058" s="71" t="str">
        <f>IFERROR(VLOOKUP(Proc[[#This Row],[App]],Table2[],3,0),"open")</f>
        <v>ok</v>
      </c>
      <c r="C1058" s="74" t="s">
        <v>369</v>
      </c>
      <c r="D1058" t="s">
        <v>2990</v>
      </c>
      <c r="E1058" t="s">
        <v>2989</v>
      </c>
      <c r="F1058" s="71" t="s">
        <v>2992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3009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2841</v>
      </c>
      <c r="M1058" s="81">
        <v>45757.718622685185</v>
      </c>
      <c r="N1058" s="81">
        <v>45768</v>
      </c>
      <c r="O1058" s="81">
        <v>45768</v>
      </c>
      <c r="P1058" s="82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2" t="s">
        <v>3007</v>
      </c>
      <c r="S1058" s="71"/>
    </row>
    <row r="1059" spans="1:19" hidden="1">
      <c r="A1059" s="74" t="s">
        <v>3006</v>
      </c>
      <c r="B1059" s="71" t="str">
        <f>IFERROR(VLOOKUP(Proc[[#This Row],[App]],Table2[],3,0),"open")</f>
        <v>ok</v>
      </c>
      <c r="C1059" s="74" t="s">
        <v>369</v>
      </c>
      <c r="D1059" t="s">
        <v>2991</v>
      </c>
      <c r="E1059" t="s">
        <v>2992</v>
      </c>
      <c r="F1059" s="71" t="s">
        <v>2989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3009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2841</v>
      </c>
      <c r="M1059" s="81">
        <v>45757.718622685185</v>
      </c>
      <c r="N1059" s="81">
        <v>45768</v>
      </c>
      <c r="O1059" s="81">
        <v>45768</v>
      </c>
      <c r="P1059" s="82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2" t="s">
        <v>3007</v>
      </c>
      <c r="S1059" s="71"/>
    </row>
    <row r="1060" spans="1:19" hidden="1">
      <c r="A1060" s="74" t="s">
        <v>3006</v>
      </c>
      <c r="B1060" s="71" t="str">
        <f>IFERROR(VLOOKUP(Proc[[#This Row],[App]],Table2[],3,0),"open")</f>
        <v>ok</v>
      </c>
      <c r="C1060" s="74" t="s">
        <v>369</v>
      </c>
      <c r="D1060" t="s">
        <v>2993</v>
      </c>
      <c r="E1060" t="s">
        <v>2992</v>
      </c>
      <c r="F1060" s="71" t="s">
        <v>2989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3009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2841</v>
      </c>
      <c r="M1060" s="81">
        <v>45757.718622685185</v>
      </c>
      <c r="N1060" s="81">
        <v>45768</v>
      </c>
      <c r="O1060" s="81">
        <v>45768</v>
      </c>
      <c r="P1060" s="82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2" t="s">
        <v>3007</v>
      </c>
      <c r="S1060" s="71"/>
    </row>
    <row r="1061" spans="1:19" hidden="1">
      <c r="A1061" s="74" t="s">
        <v>3006</v>
      </c>
      <c r="B1061" s="71" t="str">
        <f>IFERROR(VLOOKUP(Proc[[#This Row],[App]],Table2[],3,0),"open")</f>
        <v>ok</v>
      </c>
      <c r="C1061" s="74" t="s">
        <v>369</v>
      </c>
      <c r="D1061" t="s">
        <v>2994</v>
      </c>
      <c r="E1061" t="s">
        <v>2992</v>
      </c>
      <c r="F1061" s="71" t="s">
        <v>2989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3009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2841</v>
      </c>
      <c r="M1061" s="81">
        <v>45757.718622685185</v>
      </c>
      <c r="N1061" s="81">
        <v>45768</v>
      </c>
      <c r="O1061" s="81">
        <v>45768</v>
      </c>
      <c r="P1061" s="82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2" t="s">
        <v>3007</v>
      </c>
      <c r="S1061" s="71"/>
    </row>
    <row r="1062" spans="1:19" hidden="1">
      <c r="A1062" s="74" t="s">
        <v>3006</v>
      </c>
      <c r="B1062" s="71" t="str">
        <f>IFERROR(VLOOKUP(Proc[[#This Row],[App]],Table2[],3,0),"open")</f>
        <v>ok</v>
      </c>
      <c r="C1062" s="74" t="s">
        <v>369</v>
      </c>
      <c r="D1062" t="s">
        <v>2995</v>
      </c>
      <c r="E1062" t="s">
        <v>2992</v>
      </c>
      <c r="F1062" s="71" t="s">
        <v>2989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3009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2841</v>
      </c>
      <c r="M1062" s="81">
        <v>45757.718622685185</v>
      </c>
      <c r="N1062" s="81">
        <v>45768</v>
      </c>
      <c r="O1062" s="81">
        <v>45768</v>
      </c>
      <c r="P1062" s="82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2" t="s">
        <v>3007</v>
      </c>
      <c r="S1062" s="71"/>
    </row>
    <row r="1063" spans="1:19" hidden="1">
      <c r="A1063" s="74" t="s">
        <v>3006</v>
      </c>
      <c r="B1063" s="71" t="str">
        <f>IFERROR(VLOOKUP(Proc[[#This Row],[App]],Table2[],3,0),"open")</f>
        <v>ok</v>
      </c>
      <c r="C1063" s="74" t="s">
        <v>369</v>
      </c>
      <c r="D1063" t="s">
        <v>2996</v>
      </c>
      <c r="E1063" t="s">
        <v>2992</v>
      </c>
      <c r="F1063" s="71" t="s">
        <v>2989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3009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2841</v>
      </c>
      <c r="M1063" s="81">
        <v>45757.718622685185</v>
      </c>
      <c r="N1063" s="81">
        <v>45768</v>
      </c>
      <c r="O1063" s="81">
        <v>45768</v>
      </c>
      <c r="P1063" s="82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2" t="s">
        <v>3007</v>
      </c>
      <c r="S1063" s="71"/>
    </row>
    <row r="1064" spans="1:19" hidden="1">
      <c r="A1064" s="74" t="s">
        <v>3006</v>
      </c>
      <c r="B1064" s="71" t="str">
        <f>IFERROR(VLOOKUP(Proc[[#This Row],[App]],Table2[],3,0),"open")</f>
        <v>ok</v>
      </c>
      <c r="C1064" s="74" t="s">
        <v>369</v>
      </c>
      <c r="D1064" t="s">
        <v>2997</v>
      </c>
      <c r="E1064" t="s">
        <v>2992</v>
      </c>
      <c r="F1064" s="71" t="s">
        <v>2989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3009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2841</v>
      </c>
      <c r="M1064" s="81">
        <v>45757.718622685185</v>
      </c>
      <c r="N1064" s="81">
        <v>45768</v>
      </c>
      <c r="O1064" s="81">
        <v>45768</v>
      </c>
      <c r="P1064" s="82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2" t="s">
        <v>3007</v>
      </c>
      <c r="S1064" s="71"/>
    </row>
    <row r="1065" spans="1:19" hidden="1">
      <c r="A1065" s="74" t="s">
        <v>3006</v>
      </c>
      <c r="B1065" s="71" t="str">
        <f>IFERROR(VLOOKUP(Proc[[#This Row],[App]],Table2[],3,0),"open")</f>
        <v>ok</v>
      </c>
      <c r="C1065" s="74" t="s">
        <v>369</v>
      </c>
      <c r="D1065" t="s">
        <v>2998</v>
      </c>
      <c r="E1065" t="s">
        <v>2992</v>
      </c>
      <c r="F1065" s="71" t="s">
        <v>2989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3009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2841</v>
      </c>
      <c r="M1065" s="81">
        <v>45757.718622685185</v>
      </c>
      <c r="N1065" s="81">
        <v>45768</v>
      </c>
      <c r="O1065" s="81">
        <v>45768</v>
      </c>
      <c r="P1065" s="82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2" t="s">
        <v>3007</v>
      </c>
      <c r="S1065" s="71"/>
    </row>
    <row r="1066" spans="1:19" hidden="1">
      <c r="A1066" s="74" t="s">
        <v>3006</v>
      </c>
      <c r="B1066" s="71" t="str">
        <f>IFERROR(VLOOKUP(Proc[[#This Row],[App]],Table2[],3,0),"open")</f>
        <v>ok</v>
      </c>
      <c r="C1066" s="74" t="s">
        <v>369</v>
      </c>
      <c r="D1066" t="s">
        <v>2999</v>
      </c>
      <c r="E1066" t="s">
        <v>2992</v>
      </c>
      <c r="F1066" s="71" t="s">
        <v>2989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3009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2841</v>
      </c>
      <c r="M1066" s="81">
        <v>45757.718622685185</v>
      </c>
      <c r="N1066" s="81">
        <v>45768</v>
      </c>
      <c r="O1066" s="81">
        <v>45768</v>
      </c>
      <c r="P1066" s="82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2" t="s">
        <v>3007</v>
      </c>
      <c r="S1066" s="71"/>
    </row>
    <row r="1067" spans="1:19" hidden="1">
      <c r="A1067" s="74" t="s">
        <v>3006</v>
      </c>
      <c r="B1067" s="71" t="str">
        <f>IFERROR(VLOOKUP(Proc[[#This Row],[App]],Table2[],3,0),"open")</f>
        <v>ok</v>
      </c>
      <c r="C1067" s="74" t="s">
        <v>369</v>
      </c>
      <c r="D1067" t="s">
        <v>3000</v>
      </c>
      <c r="E1067" t="s">
        <v>2992</v>
      </c>
      <c r="F1067" s="71" t="s">
        <v>2989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3009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2841</v>
      </c>
      <c r="M1067" s="81">
        <v>45757.718622685185</v>
      </c>
      <c r="N1067" s="81">
        <v>45768</v>
      </c>
      <c r="O1067" s="81">
        <v>45768</v>
      </c>
      <c r="P1067" s="82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2" t="s">
        <v>3007</v>
      </c>
      <c r="S1067" s="71"/>
    </row>
    <row r="1068" spans="1:19" hidden="1">
      <c r="A1068" s="74" t="s">
        <v>3006</v>
      </c>
      <c r="B1068" s="71" t="str">
        <f>IFERROR(VLOOKUP(Proc[[#This Row],[App]],Table2[],3,0),"open")</f>
        <v>ok</v>
      </c>
      <c r="C1068" s="74" t="s">
        <v>369</v>
      </c>
      <c r="D1068" t="s">
        <v>3001</v>
      </c>
      <c r="E1068" t="s">
        <v>3002</v>
      </c>
      <c r="F1068" s="71" t="s">
        <v>2992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3009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2841</v>
      </c>
      <c r="M1068" s="81">
        <v>45757.718622685185</v>
      </c>
      <c r="N1068" s="81">
        <v>45768</v>
      </c>
      <c r="O1068" s="81">
        <v>45768</v>
      </c>
      <c r="P1068" s="82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2" t="s">
        <v>3007</v>
      </c>
      <c r="S1068" s="71"/>
    </row>
    <row r="1069" spans="1:19" hidden="1">
      <c r="A1069" s="74" t="s">
        <v>3006</v>
      </c>
      <c r="B1069" s="71" t="str">
        <f>IFERROR(VLOOKUP(Proc[[#This Row],[App]],Table2[],3,0),"open")</f>
        <v>ok</v>
      </c>
      <c r="C1069" s="74" t="s">
        <v>369</v>
      </c>
      <c r="D1069" t="s">
        <v>3003</v>
      </c>
      <c r="E1069" t="s">
        <v>3002</v>
      </c>
      <c r="F1069" s="71" t="s">
        <v>2992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3009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2841</v>
      </c>
      <c r="M1069" s="81">
        <v>45757.718622685185</v>
      </c>
      <c r="N1069" s="81">
        <v>45768</v>
      </c>
      <c r="O1069" s="81">
        <v>45768</v>
      </c>
      <c r="P1069" s="82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2" t="s">
        <v>3007</v>
      </c>
      <c r="S1069" s="71"/>
    </row>
    <row r="1070" spans="1:19" hidden="1">
      <c r="A1070" s="74" t="s">
        <v>3006</v>
      </c>
      <c r="B1070" s="71" t="str">
        <f>IFERROR(VLOOKUP(Proc[[#This Row],[App]],Table2[],3,0),"open")</f>
        <v>ok</v>
      </c>
      <c r="C1070" s="74" t="s">
        <v>369</v>
      </c>
      <c r="D1070" t="s">
        <v>3004</v>
      </c>
      <c r="E1070" t="s">
        <v>3002</v>
      </c>
      <c r="F1070" s="71" t="s">
        <v>2992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3009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2841</v>
      </c>
      <c r="M1070" s="81">
        <v>45757.718622685185</v>
      </c>
      <c r="N1070" s="81">
        <v>45768</v>
      </c>
      <c r="O1070" s="81">
        <v>45768</v>
      </c>
      <c r="P1070" s="82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2" t="s">
        <v>3007</v>
      </c>
      <c r="S1070" s="71"/>
    </row>
    <row r="1071" spans="1:19" hidden="1">
      <c r="A1071" s="74" t="s">
        <v>3006</v>
      </c>
      <c r="B1071" s="71" t="str">
        <f>IFERROR(VLOOKUP(Proc[[#This Row],[App]],Table2[],3,0),"open")</f>
        <v>ok</v>
      </c>
      <c r="C1071" s="74" t="s">
        <v>369</v>
      </c>
      <c r="D1071" t="s">
        <v>3005</v>
      </c>
      <c r="E1071" t="s">
        <v>3002</v>
      </c>
      <c r="F1071" s="71" t="s">
        <v>2989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3009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2841</v>
      </c>
      <c r="M1071" s="81">
        <v>45757.718622685185</v>
      </c>
      <c r="N1071" s="81">
        <v>45768</v>
      </c>
      <c r="O1071" s="81">
        <v>45768</v>
      </c>
      <c r="P1071" s="82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2" t="s">
        <v>3007</v>
      </c>
      <c r="S1071" s="71"/>
    </row>
    <row r="1072" spans="1:19" hidden="1">
      <c r="A1072" t="s">
        <v>3010</v>
      </c>
      <c r="B1072" s="71" t="str">
        <f>IFERROR(VLOOKUP(Proc[[#This Row],[App]],Table2[],3,0),"open")</f>
        <v>ok</v>
      </c>
      <c r="C1072" s="74" t="s">
        <v>369</v>
      </c>
      <c r="D1072" t="s">
        <v>3011</v>
      </c>
      <c r="E1072" t="s">
        <v>2986</v>
      </c>
      <c r="F1072" s="71" t="s">
        <v>3063</v>
      </c>
      <c r="G1072" t="s">
        <v>400</v>
      </c>
      <c r="H1072" s="71" t="str">
        <f>IF(Proc[[#This Row],[type]]="LFF (MDG-F)",MID(Proc[[#This Row],[Obj]],13,10),"")</f>
        <v/>
      </c>
      <c r="J1072" s="71" t="b">
        <f>Proc[[#This Row],[Requested]]=Proc[[#This Row],[CurrentParent]]</f>
        <v>0</v>
      </c>
      <c r="K1072" s="71" t="str">
        <f>IF(Proc[[#This Row],[Author]]="Marcela Urrego",VLOOKUP(LEFT(Proc[[#This Row],[Requested]],1),Table3[#All],2,0),VLOOKUP(Proc[[#This Row],[Author]],Table4[],2,0))</f>
        <v>LS</v>
      </c>
      <c r="L1072" s="71" t="s">
        <v>2841</v>
      </c>
      <c r="M1072" s="81">
        <v>45765.420370370368</v>
      </c>
      <c r="N1072" s="81">
        <v>45769</v>
      </c>
      <c r="O1072" s="81">
        <v>45769</v>
      </c>
      <c r="P1072" s="82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2" t="s">
        <v>508</v>
      </c>
      <c r="S1072" s="71"/>
    </row>
    <row r="1073" spans="1:19" hidden="1">
      <c r="A1073" s="74" t="s">
        <v>3010</v>
      </c>
      <c r="B1073" s="71" t="str">
        <f>IFERROR(VLOOKUP(Proc[[#This Row],[App]],Table2[],3,0),"open")</f>
        <v>ok</v>
      </c>
      <c r="C1073" s="74" t="s">
        <v>369</v>
      </c>
      <c r="D1073" t="s">
        <v>3012</v>
      </c>
      <c r="E1073" t="s">
        <v>2986</v>
      </c>
      <c r="F1073" s="71" t="s">
        <v>3063</v>
      </c>
      <c r="G1073" s="74" t="s">
        <v>400</v>
      </c>
      <c r="H1073" s="71" t="str">
        <f>IF(Proc[[#This Row],[type]]="LFF (MDG-F)",MID(Proc[[#This Row],[Obj]],13,10),"")</f>
        <v/>
      </c>
      <c r="J1073" s="71" t="b">
        <f>Proc[[#This Row],[Requested]]=Proc[[#This Row],[CurrentParent]]</f>
        <v>0</v>
      </c>
      <c r="K1073" s="71" t="str">
        <f>IF(Proc[[#This Row],[Author]]="Marcela Urrego",VLOOKUP(LEFT(Proc[[#This Row],[Requested]],1),Table3[#All],2,0),VLOOKUP(Proc[[#This Row],[Author]],Table4[],2,0))</f>
        <v>LS</v>
      </c>
      <c r="L1073" s="71" t="s">
        <v>2841</v>
      </c>
      <c r="M1073" s="81">
        <v>45765.420370370368</v>
      </c>
      <c r="N1073" s="81">
        <v>45769</v>
      </c>
      <c r="O1073" s="81">
        <v>45769</v>
      </c>
      <c r="P1073" s="82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2" t="s">
        <v>508</v>
      </c>
      <c r="S1073" s="71"/>
    </row>
    <row r="1074" spans="1:19" hidden="1">
      <c r="A1074" s="74" t="s">
        <v>3010</v>
      </c>
      <c r="B1074" s="71" t="str">
        <f>IFERROR(VLOOKUP(Proc[[#This Row],[App]],Table2[],3,0),"open")</f>
        <v>ok</v>
      </c>
      <c r="C1074" s="74" t="s">
        <v>369</v>
      </c>
      <c r="D1074" t="s">
        <v>3013</v>
      </c>
      <c r="E1074" t="s">
        <v>3069</v>
      </c>
      <c r="F1074" s="71" t="s">
        <v>2986</v>
      </c>
      <c r="G1074" s="74" t="s">
        <v>400</v>
      </c>
      <c r="H1074" s="71" t="str">
        <f>IF(Proc[[#This Row],[type]]="LFF (MDG-F)",MID(Proc[[#This Row],[Obj]],13,10),"")</f>
        <v/>
      </c>
      <c r="J1074" s="71" t="b">
        <f>Proc[[#This Row],[Requested]]=Proc[[#This Row],[CurrentParent]]</f>
        <v>0</v>
      </c>
      <c r="K1074" s="71" t="str">
        <f>IF(Proc[[#This Row],[Author]]="Marcela Urrego",VLOOKUP(LEFT(Proc[[#This Row],[Requested]],1),Table3[#All],2,0),VLOOKUP(Proc[[#This Row],[Author]],Table4[],2,0))</f>
        <v>LS</v>
      </c>
      <c r="L1074" s="71" t="s">
        <v>2841</v>
      </c>
      <c r="M1074" s="81">
        <v>45765.420370370368</v>
      </c>
      <c r="N1074" s="81">
        <v>45769</v>
      </c>
      <c r="O1074" s="81">
        <v>45769</v>
      </c>
      <c r="P1074" s="82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2" t="s">
        <v>508</v>
      </c>
      <c r="S1074" s="71"/>
    </row>
    <row r="1075" spans="1:19" hidden="1">
      <c r="A1075" s="74" t="s">
        <v>3010</v>
      </c>
      <c r="B1075" s="71" t="str">
        <f>IFERROR(VLOOKUP(Proc[[#This Row],[App]],Table2[],3,0),"open")</f>
        <v>ok</v>
      </c>
      <c r="C1075" s="74" t="s">
        <v>369</v>
      </c>
      <c r="D1075" t="s">
        <v>3014</v>
      </c>
      <c r="E1075" t="s">
        <v>2986</v>
      </c>
      <c r="F1075" s="71" t="s">
        <v>3063</v>
      </c>
      <c r="G1075" s="74" t="s">
        <v>400</v>
      </c>
      <c r="H1075" s="71" t="str">
        <f>IF(Proc[[#This Row],[type]]="LFF (MDG-F)",MID(Proc[[#This Row],[Obj]],13,10),"")</f>
        <v/>
      </c>
      <c r="J1075" s="71" t="b">
        <f>Proc[[#This Row],[Requested]]=Proc[[#This Row],[CurrentParent]]</f>
        <v>0</v>
      </c>
      <c r="K1075" s="71" t="str">
        <f>IF(Proc[[#This Row],[Author]]="Marcela Urrego",VLOOKUP(LEFT(Proc[[#This Row],[Requested]],1),Table3[#All],2,0),VLOOKUP(Proc[[#This Row],[Author]],Table4[],2,0))</f>
        <v>LS</v>
      </c>
      <c r="L1075" s="71" t="s">
        <v>2841</v>
      </c>
      <c r="M1075" s="81">
        <v>45765.420370370368</v>
      </c>
      <c r="N1075" s="81">
        <v>45769</v>
      </c>
      <c r="O1075" s="81">
        <v>45769</v>
      </c>
      <c r="P1075" s="82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2" t="s">
        <v>508</v>
      </c>
      <c r="S1075" s="71"/>
    </row>
    <row r="1076" spans="1:19" hidden="1">
      <c r="A1076" s="74" t="s">
        <v>3010</v>
      </c>
      <c r="B1076" s="71" t="str">
        <f>IFERROR(VLOOKUP(Proc[[#This Row],[App]],Table2[],3,0),"open")</f>
        <v>ok</v>
      </c>
      <c r="C1076" s="74" t="s">
        <v>369</v>
      </c>
      <c r="D1076" t="s">
        <v>3015</v>
      </c>
      <c r="E1076" t="s">
        <v>2986</v>
      </c>
      <c r="F1076" s="71" t="s">
        <v>3063</v>
      </c>
      <c r="G1076" s="74" t="s">
        <v>400</v>
      </c>
      <c r="H1076" s="71" t="str">
        <f>IF(Proc[[#This Row],[type]]="LFF (MDG-F)",MID(Proc[[#This Row],[Obj]],13,10),"")</f>
        <v/>
      </c>
      <c r="J1076" s="71" t="b">
        <f>Proc[[#This Row],[Requested]]=Proc[[#This Row],[CurrentParent]]</f>
        <v>0</v>
      </c>
      <c r="K1076" s="71" t="str">
        <f>IF(Proc[[#This Row],[Author]]="Marcela Urrego",VLOOKUP(LEFT(Proc[[#This Row],[Requested]],1),Table3[#All],2,0),VLOOKUP(Proc[[#This Row],[Author]],Table4[],2,0))</f>
        <v>LS</v>
      </c>
      <c r="L1076" s="71" t="s">
        <v>2841</v>
      </c>
      <c r="M1076" s="81">
        <v>45765.420370370368</v>
      </c>
      <c r="N1076" s="81">
        <v>45769</v>
      </c>
      <c r="O1076" s="81">
        <v>45769</v>
      </c>
      <c r="P1076" s="82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2" t="s">
        <v>508</v>
      </c>
      <c r="S1076" s="71"/>
    </row>
    <row r="1077" spans="1:19" hidden="1">
      <c r="A1077" s="74" t="s">
        <v>3010</v>
      </c>
      <c r="B1077" s="71" t="str">
        <f>IFERROR(VLOOKUP(Proc[[#This Row],[App]],Table2[],3,0),"open")</f>
        <v>ok</v>
      </c>
      <c r="C1077" s="74" t="s">
        <v>369</v>
      </c>
      <c r="D1077" t="s">
        <v>3016</v>
      </c>
      <c r="E1077" t="s">
        <v>2986</v>
      </c>
      <c r="F1077" s="71" t="s">
        <v>3063</v>
      </c>
      <c r="G1077" s="74" t="s">
        <v>400</v>
      </c>
      <c r="H1077" s="71" t="str">
        <f>IF(Proc[[#This Row],[type]]="LFF (MDG-F)",MID(Proc[[#This Row],[Obj]],13,10),"")</f>
        <v/>
      </c>
      <c r="J1077" s="71" t="b">
        <f>Proc[[#This Row],[Requested]]=Proc[[#This Row],[CurrentParent]]</f>
        <v>0</v>
      </c>
      <c r="K1077" s="71" t="str">
        <f>IF(Proc[[#This Row],[Author]]="Marcela Urrego",VLOOKUP(LEFT(Proc[[#This Row],[Requested]],1),Table3[#All],2,0),VLOOKUP(Proc[[#This Row],[Author]],Table4[],2,0))</f>
        <v>LS</v>
      </c>
      <c r="L1077" s="71" t="s">
        <v>2841</v>
      </c>
      <c r="M1077" s="81">
        <v>45765.420370370368</v>
      </c>
      <c r="N1077" s="81">
        <v>45769</v>
      </c>
      <c r="O1077" s="81">
        <v>45769</v>
      </c>
      <c r="P1077" s="82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2" t="s">
        <v>508</v>
      </c>
      <c r="S1077" s="71"/>
    </row>
    <row r="1078" spans="1:19" hidden="1">
      <c r="A1078" s="74" t="s">
        <v>3010</v>
      </c>
      <c r="B1078" s="71" t="str">
        <f>IFERROR(VLOOKUP(Proc[[#This Row],[App]],Table2[],3,0),"open")</f>
        <v>ok</v>
      </c>
      <c r="C1078" s="74" t="s">
        <v>369</v>
      </c>
      <c r="D1078" t="s">
        <v>3058</v>
      </c>
      <c r="E1078" t="s">
        <v>3070</v>
      </c>
      <c r="F1078" s="71" t="s">
        <v>522</v>
      </c>
      <c r="G1078" s="74" t="s">
        <v>406</v>
      </c>
      <c r="H1078" s="71" t="str">
        <f>IF(Proc[[#This Row],[type]]="LFF (MDG-F)",MID(Proc[[#This Row],[Obj]],13,10),"")</f>
        <v>KE50C0FF11</v>
      </c>
      <c r="I1078" t="s">
        <v>3118</v>
      </c>
      <c r="J1078" s="71" t="b">
        <f>Proc[[#This Row],[Requested]]=Proc[[#This Row],[CurrentParent]]</f>
        <v>0</v>
      </c>
      <c r="K1078" s="71" t="str">
        <f>IF(Proc[[#This Row],[Author]]="Marcela Urrego",VLOOKUP(LEFT(Proc[[#This Row],[Requested]],1),Table3[#All],2,0),VLOOKUP(Proc[[#This Row],[Author]],Table4[],2,0))</f>
        <v>LS</v>
      </c>
      <c r="L1078" s="71" t="s">
        <v>2841</v>
      </c>
      <c r="M1078" s="81">
        <v>45765.420370370368</v>
      </c>
      <c r="N1078" s="81">
        <v>45769</v>
      </c>
      <c r="O1078" s="81">
        <v>45769</v>
      </c>
      <c r="P1078" s="82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2" t="s">
        <v>508</v>
      </c>
      <c r="S1078" s="71"/>
    </row>
    <row r="1079" spans="1:19" hidden="1">
      <c r="A1079" s="74" t="s">
        <v>3010</v>
      </c>
      <c r="B1079" s="71" t="str">
        <f>IFERROR(VLOOKUP(Proc[[#This Row],[App]],Table2[],3,0),"open")</f>
        <v>ok</v>
      </c>
      <c r="C1079" s="74" t="s">
        <v>369</v>
      </c>
      <c r="D1079" t="s">
        <v>3059</v>
      </c>
      <c r="E1079" t="s">
        <v>3070</v>
      </c>
      <c r="F1079" s="71" t="s">
        <v>522</v>
      </c>
      <c r="G1079" s="74" t="s">
        <v>406</v>
      </c>
      <c r="H1079" s="71" t="str">
        <f>IF(Proc[[#This Row],[type]]="LFF (MDG-F)",MID(Proc[[#This Row],[Obj]],13,10),"")</f>
        <v>KE50C0IM11</v>
      </c>
      <c r="I1079" s="74" t="s">
        <v>3118</v>
      </c>
      <c r="J1079" s="71" t="b">
        <f>Proc[[#This Row],[Requested]]=Proc[[#This Row],[CurrentParent]]</f>
        <v>0</v>
      </c>
      <c r="K1079" s="71" t="str">
        <f>IF(Proc[[#This Row],[Author]]="Marcela Urrego",VLOOKUP(LEFT(Proc[[#This Row],[Requested]],1),Table3[#All],2,0),VLOOKUP(Proc[[#This Row],[Author]],Table4[],2,0))</f>
        <v>LS</v>
      </c>
      <c r="L1079" s="71" t="s">
        <v>2841</v>
      </c>
      <c r="M1079" s="81">
        <v>45765.420370370368</v>
      </c>
      <c r="N1079" s="81">
        <v>45769</v>
      </c>
      <c r="O1079" s="81">
        <v>45769</v>
      </c>
      <c r="P1079" s="82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2" t="s">
        <v>508</v>
      </c>
      <c r="S1079" s="71"/>
    </row>
    <row r="1080" spans="1:19" hidden="1">
      <c r="A1080" s="74" t="s">
        <v>3010</v>
      </c>
      <c r="B1080" s="71" t="str">
        <f>IFERROR(VLOOKUP(Proc[[#This Row],[App]],Table2[],3,0),"open")</f>
        <v>ok</v>
      </c>
      <c r="C1080" s="74" t="s">
        <v>369</v>
      </c>
      <c r="D1080" t="s">
        <v>3060</v>
      </c>
      <c r="E1080" t="s">
        <v>2986</v>
      </c>
      <c r="F1080" s="71" t="s">
        <v>3064</v>
      </c>
      <c r="G1080" s="74" t="s">
        <v>406</v>
      </c>
      <c r="H1080" s="71" t="str">
        <f>IF(Proc[[#This Row],[type]]="LFF (MDG-F)",MID(Proc[[#This Row],[Obj]],13,10),"")</f>
        <v>2029C00004</v>
      </c>
      <c r="I1080" s="74" t="s">
        <v>3118</v>
      </c>
      <c r="J1080" s="71" t="b">
        <f>Proc[[#This Row],[Requested]]=Proc[[#This Row],[CurrentParent]]</f>
        <v>0</v>
      </c>
      <c r="K1080" s="71" t="str">
        <f>IF(Proc[[#This Row],[Author]]="Marcela Urrego",VLOOKUP(LEFT(Proc[[#This Row],[Requested]],1),Table3[#All],2,0),VLOOKUP(Proc[[#This Row],[Author]],Table4[],2,0))</f>
        <v>LS</v>
      </c>
      <c r="L1080" s="71" t="s">
        <v>2841</v>
      </c>
      <c r="M1080" s="81">
        <v>45765.420370370368</v>
      </c>
      <c r="N1080" s="81">
        <v>45769</v>
      </c>
      <c r="O1080" s="81">
        <v>45769</v>
      </c>
      <c r="P1080" s="82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2" t="s">
        <v>508</v>
      </c>
      <c r="S1080" s="71"/>
    </row>
    <row r="1081" spans="1:19" hidden="1">
      <c r="A1081" s="74" t="s">
        <v>3010</v>
      </c>
      <c r="B1081" s="71" t="str">
        <f>IFERROR(VLOOKUP(Proc[[#This Row],[App]],Table2[],3,0),"open")</f>
        <v>ok</v>
      </c>
      <c r="C1081" s="74" t="s">
        <v>369</v>
      </c>
      <c r="D1081" t="s">
        <v>3061</v>
      </c>
      <c r="E1081" t="s">
        <v>2986</v>
      </c>
      <c r="F1081" s="71" t="s">
        <v>3064</v>
      </c>
      <c r="G1081" s="74" t="s">
        <v>406</v>
      </c>
      <c r="H1081" s="71" t="str">
        <f>IF(Proc[[#This Row],[type]]="LFF (MDG-F)",MID(Proc[[#This Row],[Obj]],13,10),"")</f>
        <v>2031C00005</v>
      </c>
      <c r="I1081" s="74" t="s">
        <v>3118</v>
      </c>
      <c r="J1081" s="71" t="b">
        <f>Proc[[#This Row],[Requested]]=Proc[[#This Row],[CurrentParent]]</f>
        <v>0</v>
      </c>
      <c r="K1081" s="71" t="str">
        <f>IF(Proc[[#This Row],[Author]]="Marcela Urrego",VLOOKUP(LEFT(Proc[[#This Row],[Requested]],1),Table3[#All],2,0),VLOOKUP(Proc[[#This Row],[Author]],Table4[],2,0))</f>
        <v>LS</v>
      </c>
      <c r="L1081" s="71" t="s">
        <v>2841</v>
      </c>
      <c r="M1081" s="81">
        <v>45765.420370370368</v>
      </c>
      <c r="N1081" s="81">
        <v>45769</v>
      </c>
      <c r="O1081" s="81">
        <v>45769</v>
      </c>
      <c r="P1081" s="82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2" t="s">
        <v>508</v>
      </c>
      <c r="S1081" s="71"/>
    </row>
    <row r="1082" spans="1:19" hidden="1">
      <c r="A1082" s="74" t="s">
        <v>3010</v>
      </c>
      <c r="B1082" s="71" t="str">
        <f>IFERROR(VLOOKUP(Proc[[#This Row],[App]],Table2[],3,0),"open")</f>
        <v>ok</v>
      </c>
      <c r="C1082" s="74" t="s">
        <v>369</v>
      </c>
      <c r="D1082" t="s">
        <v>3062</v>
      </c>
      <c r="E1082" t="s">
        <v>2986</v>
      </c>
      <c r="F1082" s="71" t="s">
        <v>3064</v>
      </c>
      <c r="G1082" s="74" t="s">
        <v>406</v>
      </c>
      <c r="H1082" s="71" t="str">
        <f>IF(Proc[[#This Row],[type]]="LFF (MDG-F)",MID(Proc[[#This Row],[Obj]],13,10),"")</f>
        <v>2034C00012</v>
      </c>
      <c r="I1082" s="74" t="s">
        <v>3118</v>
      </c>
      <c r="J1082" s="71" t="b">
        <f>Proc[[#This Row],[Requested]]=Proc[[#This Row],[CurrentParent]]</f>
        <v>0</v>
      </c>
      <c r="K1082" s="71" t="str">
        <f>IF(Proc[[#This Row],[Author]]="Marcela Urrego",VLOOKUP(LEFT(Proc[[#This Row],[Requested]],1),Table3[#All],2,0),VLOOKUP(Proc[[#This Row],[Author]],Table4[],2,0))</f>
        <v>LS</v>
      </c>
      <c r="L1082" s="71" t="s">
        <v>2841</v>
      </c>
      <c r="M1082" s="81">
        <v>45765.420370370368</v>
      </c>
      <c r="N1082" s="81">
        <v>45769</v>
      </c>
      <c r="O1082" s="81">
        <v>45769</v>
      </c>
      <c r="P1082" s="82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2" t="s">
        <v>508</v>
      </c>
      <c r="S1082" s="71"/>
    </row>
    <row r="1083" spans="1:19" hidden="1">
      <c r="A1083" s="74" t="s">
        <v>3010</v>
      </c>
      <c r="B1083" s="71" t="str">
        <f>IFERROR(VLOOKUP(Proc[[#This Row],[App]],Table2[],3,0),"open")</f>
        <v>ok</v>
      </c>
      <c r="C1083" s="74" t="s">
        <v>369</v>
      </c>
      <c r="D1083" t="s">
        <v>3017</v>
      </c>
      <c r="E1083" t="s">
        <v>3071</v>
      </c>
      <c r="F1083" s="71" t="s">
        <v>3065</v>
      </c>
      <c r="G1083" s="74" t="s">
        <v>400</v>
      </c>
      <c r="H1083" s="71" t="str">
        <f>IF(Proc[[#This Row],[type]]="LFF (MDG-F)",MID(Proc[[#This Row],[Obj]],13,10),"")</f>
        <v/>
      </c>
      <c r="J1083" s="71" t="b">
        <f>Proc[[#This Row],[Requested]]=Proc[[#This Row],[CurrentParent]]</f>
        <v>0</v>
      </c>
      <c r="K1083" s="71" t="str">
        <f>IF(Proc[[#This Row],[Author]]="Marcela Urrego",VLOOKUP(LEFT(Proc[[#This Row],[Requested]],1),Table3[#All],2,0),VLOOKUP(Proc[[#This Row],[Author]],Table4[],2,0))</f>
        <v>LS</v>
      </c>
      <c r="L1083" s="71" t="s">
        <v>2841</v>
      </c>
      <c r="M1083" s="81">
        <v>45765.420370370368</v>
      </c>
      <c r="N1083" s="81">
        <v>45769</v>
      </c>
      <c r="O1083" s="81">
        <v>45769</v>
      </c>
      <c r="P1083" s="82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2" t="s">
        <v>508</v>
      </c>
      <c r="S1083" s="71"/>
    </row>
    <row r="1084" spans="1:19" hidden="1">
      <c r="A1084" s="74" t="s">
        <v>3010</v>
      </c>
      <c r="B1084" s="71" t="str">
        <f>IFERROR(VLOOKUP(Proc[[#This Row],[App]],Table2[],3,0),"open")</f>
        <v>ok</v>
      </c>
      <c r="C1084" s="74" t="s">
        <v>369</v>
      </c>
      <c r="D1084" t="s">
        <v>3018</v>
      </c>
      <c r="E1084" t="s">
        <v>3071</v>
      </c>
      <c r="F1084" s="71" t="s">
        <v>3065</v>
      </c>
      <c r="G1084" s="74" t="s">
        <v>400</v>
      </c>
      <c r="H1084" s="71" t="str">
        <f>IF(Proc[[#This Row],[type]]="LFF (MDG-F)",MID(Proc[[#This Row],[Obj]],13,10),"")</f>
        <v/>
      </c>
      <c r="J1084" s="71" t="b">
        <f>Proc[[#This Row],[Requested]]=Proc[[#This Row],[CurrentParent]]</f>
        <v>0</v>
      </c>
      <c r="K1084" s="71" t="str">
        <f>IF(Proc[[#This Row],[Author]]="Marcela Urrego",VLOOKUP(LEFT(Proc[[#This Row],[Requested]],1),Table3[#All],2,0),VLOOKUP(Proc[[#This Row],[Author]],Table4[],2,0))</f>
        <v>LS</v>
      </c>
      <c r="L1084" s="71" t="s">
        <v>2841</v>
      </c>
      <c r="M1084" s="81">
        <v>45765.420370370368</v>
      </c>
      <c r="N1084" s="81">
        <v>45769</v>
      </c>
      <c r="O1084" s="81">
        <v>45769</v>
      </c>
      <c r="P1084" s="82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2" t="s">
        <v>508</v>
      </c>
      <c r="S1084" s="71"/>
    </row>
    <row r="1085" spans="1:19" hidden="1">
      <c r="A1085" s="74" t="s">
        <v>3010</v>
      </c>
      <c r="B1085" s="71" t="str">
        <f>IFERROR(VLOOKUP(Proc[[#This Row],[App]],Table2[],3,0),"open")</f>
        <v>ok</v>
      </c>
      <c r="C1085" s="74" t="s">
        <v>369</v>
      </c>
      <c r="D1085" t="s">
        <v>3019</v>
      </c>
      <c r="E1085" t="s">
        <v>3071</v>
      </c>
      <c r="F1085" s="71" t="s">
        <v>3065</v>
      </c>
      <c r="G1085" s="74" t="s">
        <v>400</v>
      </c>
      <c r="H1085" s="71" t="str">
        <f>IF(Proc[[#This Row],[type]]="LFF (MDG-F)",MID(Proc[[#This Row],[Obj]],13,10),"")</f>
        <v/>
      </c>
      <c r="J1085" s="71" t="b">
        <f>Proc[[#This Row],[Requested]]=Proc[[#This Row],[CurrentParent]]</f>
        <v>0</v>
      </c>
      <c r="K1085" s="71" t="str">
        <f>IF(Proc[[#This Row],[Author]]="Marcela Urrego",VLOOKUP(LEFT(Proc[[#This Row],[Requested]],1),Table3[#All],2,0),VLOOKUP(Proc[[#This Row],[Author]],Table4[],2,0))</f>
        <v>LS</v>
      </c>
      <c r="L1085" s="71" t="s">
        <v>2841</v>
      </c>
      <c r="M1085" s="81">
        <v>45765.420370370368</v>
      </c>
      <c r="N1085" s="81">
        <v>45769</v>
      </c>
      <c r="O1085" s="81">
        <v>45769</v>
      </c>
      <c r="P1085" s="82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2" t="s">
        <v>508</v>
      </c>
      <c r="S1085" s="71"/>
    </row>
    <row r="1086" spans="1:19" hidden="1">
      <c r="A1086" s="74" t="s">
        <v>3010</v>
      </c>
      <c r="B1086" s="71" t="str">
        <f>IFERROR(VLOOKUP(Proc[[#This Row],[App]],Table2[],3,0),"open")</f>
        <v>ok</v>
      </c>
      <c r="C1086" s="74" t="s">
        <v>369</v>
      </c>
      <c r="D1086" t="s">
        <v>3020</v>
      </c>
      <c r="E1086" t="s">
        <v>3071</v>
      </c>
      <c r="F1086" s="71" t="s">
        <v>3065</v>
      </c>
      <c r="G1086" s="74" t="s">
        <v>400</v>
      </c>
      <c r="H1086" s="71" t="str">
        <f>IF(Proc[[#This Row],[type]]="LFF (MDG-F)",MID(Proc[[#This Row],[Obj]],13,10),"")</f>
        <v/>
      </c>
      <c r="J1086" s="71" t="b">
        <f>Proc[[#This Row],[Requested]]=Proc[[#This Row],[CurrentParent]]</f>
        <v>0</v>
      </c>
      <c r="K1086" s="71" t="str">
        <f>IF(Proc[[#This Row],[Author]]="Marcela Urrego",VLOOKUP(LEFT(Proc[[#This Row],[Requested]],1),Table3[#All],2,0),VLOOKUP(Proc[[#This Row],[Author]],Table4[],2,0))</f>
        <v>LS</v>
      </c>
      <c r="L1086" s="71" t="s">
        <v>2841</v>
      </c>
      <c r="M1086" s="81">
        <v>45765.420370370368</v>
      </c>
      <c r="N1086" s="81">
        <v>45769</v>
      </c>
      <c r="O1086" s="81">
        <v>45769</v>
      </c>
      <c r="P1086" s="82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2" t="s">
        <v>508</v>
      </c>
      <c r="S1086" s="71"/>
    </row>
    <row r="1087" spans="1:19" hidden="1">
      <c r="A1087" s="74" t="s">
        <v>3010</v>
      </c>
      <c r="B1087" s="71" t="str">
        <f>IFERROR(VLOOKUP(Proc[[#This Row],[App]],Table2[],3,0),"open")</f>
        <v>ok</v>
      </c>
      <c r="C1087" s="74" t="s">
        <v>369</v>
      </c>
      <c r="D1087" t="s">
        <v>3021</v>
      </c>
      <c r="E1087" t="s">
        <v>3071</v>
      </c>
      <c r="F1087" s="71" t="s">
        <v>3065</v>
      </c>
      <c r="G1087" s="74" t="s">
        <v>400</v>
      </c>
      <c r="H1087" s="71" t="str">
        <f>IF(Proc[[#This Row],[type]]="LFF (MDG-F)",MID(Proc[[#This Row],[Obj]],13,10),"")</f>
        <v/>
      </c>
      <c r="J1087" s="71" t="b">
        <f>Proc[[#This Row],[Requested]]=Proc[[#This Row],[CurrentParent]]</f>
        <v>0</v>
      </c>
      <c r="K1087" s="71" t="str">
        <f>IF(Proc[[#This Row],[Author]]="Marcela Urrego",VLOOKUP(LEFT(Proc[[#This Row],[Requested]],1),Table3[#All],2,0),VLOOKUP(Proc[[#This Row],[Author]],Table4[],2,0))</f>
        <v>LS</v>
      </c>
      <c r="L1087" s="71" t="s">
        <v>2841</v>
      </c>
      <c r="M1087" s="81">
        <v>45765.420370370368</v>
      </c>
      <c r="N1087" s="81">
        <v>45769</v>
      </c>
      <c r="O1087" s="81">
        <v>45769</v>
      </c>
      <c r="P1087" s="82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2" t="s">
        <v>508</v>
      </c>
      <c r="S1087" s="71"/>
    </row>
    <row r="1088" spans="1:19" hidden="1">
      <c r="A1088" s="74" t="s">
        <v>3010</v>
      </c>
      <c r="B1088" s="71" t="str">
        <f>IFERROR(VLOOKUP(Proc[[#This Row],[App]],Table2[],3,0),"open")</f>
        <v>ok</v>
      </c>
      <c r="C1088" s="74" t="s">
        <v>369</v>
      </c>
      <c r="D1088" t="s">
        <v>3022</v>
      </c>
      <c r="E1088" t="s">
        <v>3071</v>
      </c>
      <c r="F1088" s="71" t="s">
        <v>3065</v>
      </c>
      <c r="G1088" s="74" t="s">
        <v>400</v>
      </c>
      <c r="H1088" s="71" t="str">
        <f>IF(Proc[[#This Row],[type]]="LFF (MDG-F)",MID(Proc[[#This Row],[Obj]],13,10),"")</f>
        <v/>
      </c>
      <c r="J1088" s="71" t="b">
        <f>Proc[[#This Row],[Requested]]=Proc[[#This Row],[CurrentParent]]</f>
        <v>0</v>
      </c>
      <c r="K1088" s="71" t="str">
        <f>IF(Proc[[#This Row],[Author]]="Marcela Urrego",VLOOKUP(LEFT(Proc[[#This Row],[Requested]],1),Table3[#All],2,0),VLOOKUP(Proc[[#This Row],[Author]],Table4[],2,0))</f>
        <v>LS</v>
      </c>
      <c r="L1088" s="71" t="s">
        <v>2841</v>
      </c>
      <c r="M1088" s="81">
        <v>45765.420370370368</v>
      </c>
      <c r="N1088" s="81">
        <v>45769</v>
      </c>
      <c r="O1088" s="81">
        <v>45769</v>
      </c>
      <c r="P1088" s="82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2" t="s">
        <v>508</v>
      </c>
      <c r="S1088" s="71"/>
    </row>
    <row r="1089" spans="1:19" hidden="1">
      <c r="A1089" s="74" t="s">
        <v>3010</v>
      </c>
      <c r="B1089" s="71" t="str">
        <f>IFERROR(VLOOKUP(Proc[[#This Row],[App]],Table2[],3,0),"open")</f>
        <v>ok</v>
      </c>
      <c r="C1089" s="74" t="s">
        <v>369</v>
      </c>
      <c r="D1089" t="s">
        <v>3023</v>
      </c>
      <c r="E1089" t="s">
        <v>3071</v>
      </c>
      <c r="F1089" s="71" t="s">
        <v>3065</v>
      </c>
      <c r="G1089" s="74" t="s">
        <v>400</v>
      </c>
      <c r="H1089" s="71" t="str">
        <f>IF(Proc[[#This Row],[type]]="LFF (MDG-F)",MID(Proc[[#This Row],[Obj]],13,10),"")</f>
        <v/>
      </c>
      <c r="J1089" s="71" t="b">
        <f>Proc[[#This Row],[Requested]]=Proc[[#This Row],[CurrentParent]]</f>
        <v>0</v>
      </c>
      <c r="K1089" s="71" t="str">
        <f>IF(Proc[[#This Row],[Author]]="Marcela Urrego",VLOOKUP(LEFT(Proc[[#This Row],[Requested]],1),Table3[#All],2,0),VLOOKUP(Proc[[#This Row],[Author]],Table4[],2,0))</f>
        <v>LS</v>
      </c>
      <c r="L1089" s="71" t="s">
        <v>2841</v>
      </c>
      <c r="M1089" s="81">
        <v>45765.420370370368</v>
      </c>
      <c r="N1089" s="81">
        <v>45769</v>
      </c>
      <c r="O1089" s="81">
        <v>45769</v>
      </c>
      <c r="P1089" s="82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2" t="s">
        <v>508</v>
      </c>
      <c r="S1089" s="71"/>
    </row>
    <row r="1090" spans="1:19" hidden="1">
      <c r="A1090" s="74" t="s">
        <v>3010</v>
      </c>
      <c r="B1090" s="71" t="str">
        <f>IFERROR(VLOOKUP(Proc[[#This Row],[App]],Table2[],3,0),"open")</f>
        <v>ok</v>
      </c>
      <c r="C1090" s="74" t="s">
        <v>369</v>
      </c>
      <c r="D1090" t="s">
        <v>3024</v>
      </c>
      <c r="E1090" t="s">
        <v>3071</v>
      </c>
      <c r="F1090" s="71" t="s">
        <v>3065</v>
      </c>
      <c r="G1090" s="74" t="s">
        <v>400</v>
      </c>
      <c r="H1090" s="71" t="str">
        <f>IF(Proc[[#This Row],[type]]="LFF (MDG-F)",MID(Proc[[#This Row],[Obj]],13,10),"")</f>
        <v/>
      </c>
      <c r="J1090" s="71" t="b">
        <f>Proc[[#This Row],[Requested]]=Proc[[#This Row],[CurrentParent]]</f>
        <v>0</v>
      </c>
      <c r="K1090" s="71" t="str">
        <f>IF(Proc[[#This Row],[Author]]="Marcela Urrego",VLOOKUP(LEFT(Proc[[#This Row],[Requested]],1),Table3[#All],2,0),VLOOKUP(Proc[[#This Row],[Author]],Table4[],2,0))</f>
        <v>LS</v>
      </c>
      <c r="L1090" s="71" t="s">
        <v>2841</v>
      </c>
      <c r="M1090" s="81">
        <v>45765.420370370368</v>
      </c>
      <c r="N1090" s="81">
        <v>45769</v>
      </c>
      <c r="O1090" s="81">
        <v>45769</v>
      </c>
      <c r="P1090" s="82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2" t="s">
        <v>508</v>
      </c>
      <c r="S1090" s="71"/>
    </row>
    <row r="1091" spans="1:19" hidden="1">
      <c r="A1091" s="74" t="s">
        <v>3010</v>
      </c>
      <c r="B1091" s="71" t="str">
        <f>IFERROR(VLOOKUP(Proc[[#This Row],[App]],Table2[],3,0),"open")</f>
        <v>ok</v>
      </c>
      <c r="C1091" s="74" t="s">
        <v>369</v>
      </c>
      <c r="D1091" t="s">
        <v>3025</v>
      </c>
      <c r="E1091" t="s">
        <v>3071</v>
      </c>
      <c r="F1091" s="71" t="s">
        <v>3065</v>
      </c>
      <c r="G1091" s="74" t="s">
        <v>400</v>
      </c>
      <c r="H1091" s="71" t="str">
        <f>IF(Proc[[#This Row],[type]]="LFF (MDG-F)",MID(Proc[[#This Row],[Obj]],13,10),"")</f>
        <v/>
      </c>
      <c r="J1091" s="71" t="b">
        <f>Proc[[#This Row],[Requested]]=Proc[[#This Row],[CurrentParent]]</f>
        <v>0</v>
      </c>
      <c r="K1091" s="71" t="str">
        <f>IF(Proc[[#This Row],[Author]]="Marcela Urrego",VLOOKUP(LEFT(Proc[[#This Row],[Requested]],1),Table3[#All],2,0),VLOOKUP(Proc[[#This Row],[Author]],Table4[],2,0))</f>
        <v>LS</v>
      </c>
      <c r="L1091" s="71" t="s">
        <v>2841</v>
      </c>
      <c r="M1091" s="81">
        <v>45765.420370370368</v>
      </c>
      <c r="N1091" s="81">
        <v>45769</v>
      </c>
      <c r="O1091" s="81">
        <v>45769</v>
      </c>
      <c r="P1091" s="82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2" t="s">
        <v>508</v>
      </c>
      <c r="S1091" s="71"/>
    </row>
    <row r="1092" spans="1:19" hidden="1">
      <c r="A1092" s="74" t="s">
        <v>3010</v>
      </c>
      <c r="B1092" s="71" t="str">
        <f>IFERROR(VLOOKUP(Proc[[#This Row],[App]],Table2[],3,0),"open")</f>
        <v>ok</v>
      </c>
      <c r="C1092" s="74" t="s">
        <v>369</v>
      </c>
      <c r="D1092" t="s">
        <v>3026</v>
      </c>
      <c r="E1092" t="s">
        <v>3071</v>
      </c>
      <c r="F1092" s="71" t="s">
        <v>3065</v>
      </c>
      <c r="G1092" s="74" t="s">
        <v>400</v>
      </c>
      <c r="H1092" s="71" t="str">
        <f>IF(Proc[[#This Row],[type]]="LFF (MDG-F)",MID(Proc[[#This Row],[Obj]],13,10),"")</f>
        <v/>
      </c>
      <c r="J1092" s="71" t="b">
        <f>Proc[[#This Row],[Requested]]=Proc[[#This Row],[CurrentParent]]</f>
        <v>0</v>
      </c>
      <c r="K1092" s="71" t="str">
        <f>IF(Proc[[#This Row],[Author]]="Marcela Urrego",VLOOKUP(LEFT(Proc[[#This Row],[Requested]],1),Table3[#All],2,0),VLOOKUP(Proc[[#This Row],[Author]],Table4[],2,0))</f>
        <v>LS</v>
      </c>
      <c r="L1092" s="71" t="s">
        <v>2841</v>
      </c>
      <c r="M1092" s="81">
        <v>45765.420370370368</v>
      </c>
      <c r="N1092" s="81">
        <v>45769</v>
      </c>
      <c r="O1092" s="81">
        <v>45769</v>
      </c>
      <c r="P1092" s="82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2" t="s">
        <v>508</v>
      </c>
      <c r="S1092" s="71"/>
    </row>
    <row r="1093" spans="1:19" hidden="1">
      <c r="A1093" s="74" t="s">
        <v>3010</v>
      </c>
      <c r="B1093" s="71" t="str">
        <f>IFERROR(VLOOKUP(Proc[[#This Row],[App]],Table2[],3,0),"open")</f>
        <v>ok</v>
      </c>
      <c r="C1093" s="74" t="s">
        <v>369</v>
      </c>
      <c r="D1093" t="s">
        <v>3027</v>
      </c>
      <c r="E1093" t="s">
        <v>3072</v>
      </c>
      <c r="F1093" s="71" t="s">
        <v>3066</v>
      </c>
      <c r="G1093" s="74" t="s">
        <v>400</v>
      </c>
      <c r="H1093" s="71" t="str">
        <f>IF(Proc[[#This Row],[type]]="LFF (MDG-F)",MID(Proc[[#This Row],[Obj]],13,10),"")</f>
        <v/>
      </c>
      <c r="J1093" s="71" t="b">
        <f>Proc[[#This Row],[Requested]]=Proc[[#This Row],[CurrentParent]]</f>
        <v>0</v>
      </c>
      <c r="K1093" s="71" t="str">
        <f>IF(Proc[[#This Row],[Author]]="Marcela Urrego",VLOOKUP(LEFT(Proc[[#This Row],[Requested]],1),Table3[#All],2,0),VLOOKUP(Proc[[#This Row],[Author]],Table4[],2,0))</f>
        <v>LS</v>
      </c>
      <c r="L1093" s="71" t="s">
        <v>2841</v>
      </c>
      <c r="M1093" s="81">
        <v>45765.420370370368</v>
      </c>
      <c r="N1093" s="81">
        <v>45769</v>
      </c>
      <c r="O1093" s="81">
        <v>45769</v>
      </c>
      <c r="P1093" s="82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2" t="s">
        <v>508</v>
      </c>
      <c r="S1093" s="71"/>
    </row>
    <row r="1094" spans="1:19" hidden="1">
      <c r="A1094" s="74" t="s">
        <v>3010</v>
      </c>
      <c r="B1094" s="71" t="str">
        <f>IFERROR(VLOOKUP(Proc[[#This Row],[App]],Table2[],3,0),"open")</f>
        <v>ok</v>
      </c>
      <c r="C1094" s="74" t="s">
        <v>369</v>
      </c>
      <c r="D1094" t="s">
        <v>3028</v>
      </c>
      <c r="E1094" t="s">
        <v>3073</v>
      </c>
      <c r="F1094" s="71" t="s">
        <v>3065</v>
      </c>
      <c r="G1094" s="74" t="s">
        <v>400</v>
      </c>
      <c r="H1094" s="71" t="str">
        <f>IF(Proc[[#This Row],[type]]="LFF (MDG-F)",MID(Proc[[#This Row],[Obj]],13,10),"")</f>
        <v/>
      </c>
      <c r="J1094" s="71" t="b">
        <f>Proc[[#This Row],[Requested]]=Proc[[#This Row],[CurrentParent]]</f>
        <v>0</v>
      </c>
      <c r="K1094" s="71" t="str">
        <f>IF(Proc[[#This Row],[Author]]="Marcela Urrego",VLOOKUP(LEFT(Proc[[#This Row],[Requested]],1),Table3[#All],2,0),VLOOKUP(Proc[[#This Row],[Author]],Table4[],2,0))</f>
        <v>LS</v>
      </c>
      <c r="L1094" s="71" t="s">
        <v>2841</v>
      </c>
      <c r="M1094" s="81">
        <v>45765.420370370368</v>
      </c>
      <c r="N1094" s="81">
        <v>45769</v>
      </c>
      <c r="O1094" s="81">
        <v>45769</v>
      </c>
      <c r="P1094" s="82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2" t="s">
        <v>508</v>
      </c>
      <c r="S1094" s="71"/>
    </row>
    <row r="1095" spans="1:19" hidden="1">
      <c r="A1095" s="74" t="s">
        <v>3010</v>
      </c>
      <c r="B1095" s="71" t="str">
        <f>IFERROR(VLOOKUP(Proc[[#This Row],[App]],Table2[],3,0),"open")</f>
        <v>ok</v>
      </c>
      <c r="C1095" s="74" t="s">
        <v>369</v>
      </c>
      <c r="D1095" t="s">
        <v>3029</v>
      </c>
      <c r="E1095" t="s">
        <v>3074</v>
      </c>
      <c r="F1095" s="71" t="s">
        <v>3065</v>
      </c>
      <c r="G1095" s="74" t="s">
        <v>400</v>
      </c>
      <c r="H1095" s="71" t="str">
        <f>IF(Proc[[#This Row],[type]]="LFF (MDG-F)",MID(Proc[[#This Row],[Obj]],13,10),"")</f>
        <v/>
      </c>
      <c r="J1095" s="71" t="b">
        <f>Proc[[#This Row],[Requested]]=Proc[[#This Row],[CurrentParent]]</f>
        <v>0</v>
      </c>
      <c r="K1095" s="71" t="str">
        <f>IF(Proc[[#This Row],[Author]]="Marcela Urrego",VLOOKUP(LEFT(Proc[[#This Row],[Requested]],1),Table3[#All],2,0),VLOOKUP(Proc[[#This Row],[Author]],Table4[],2,0))</f>
        <v>LS</v>
      </c>
      <c r="L1095" s="71" t="s">
        <v>2841</v>
      </c>
      <c r="M1095" s="81">
        <v>45765.420370370368</v>
      </c>
      <c r="N1095" s="81">
        <v>45769</v>
      </c>
      <c r="O1095" s="81">
        <v>45769</v>
      </c>
      <c r="P1095" s="82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2" t="s">
        <v>508</v>
      </c>
      <c r="S1095" s="71"/>
    </row>
    <row r="1096" spans="1:19" hidden="1">
      <c r="A1096" s="74" t="s">
        <v>3010</v>
      </c>
      <c r="B1096" s="71" t="str">
        <f>IFERROR(VLOOKUP(Proc[[#This Row],[App]],Table2[],3,0),"open")</f>
        <v>ok</v>
      </c>
      <c r="C1096" s="74" t="s">
        <v>369</v>
      </c>
      <c r="D1096" t="s">
        <v>3030</v>
      </c>
      <c r="E1096" t="s">
        <v>3071</v>
      </c>
      <c r="F1096" s="71" t="s">
        <v>3065</v>
      </c>
      <c r="G1096" s="74" t="s">
        <v>400</v>
      </c>
      <c r="H1096" s="71" t="str">
        <f>IF(Proc[[#This Row],[type]]="LFF (MDG-F)",MID(Proc[[#This Row],[Obj]],13,10),"")</f>
        <v/>
      </c>
      <c r="J1096" s="71" t="b">
        <f>Proc[[#This Row],[Requested]]=Proc[[#This Row],[CurrentParent]]</f>
        <v>0</v>
      </c>
      <c r="K1096" s="71" t="str">
        <f>IF(Proc[[#This Row],[Author]]="Marcela Urrego",VLOOKUP(LEFT(Proc[[#This Row],[Requested]],1),Table3[#All],2,0),VLOOKUP(Proc[[#This Row],[Author]],Table4[],2,0))</f>
        <v>LS</v>
      </c>
      <c r="L1096" s="71" t="s">
        <v>2841</v>
      </c>
      <c r="M1096" s="81">
        <v>45765.420370370368</v>
      </c>
      <c r="N1096" s="81">
        <v>45769</v>
      </c>
      <c r="O1096" s="81">
        <v>45769</v>
      </c>
      <c r="P1096" s="82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2" t="s">
        <v>508</v>
      </c>
      <c r="S1096" s="71"/>
    </row>
    <row r="1097" spans="1:19" hidden="1">
      <c r="A1097" s="74" t="s">
        <v>3010</v>
      </c>
      <c r="B1097" s="71" t="str">
        <f>IFERROR(VLOOKUP(Proc[[#This Row],[App]],Table2[],3,0),"open")</f>
        <v>ok</v>
      </c>
      <c r="C1097" s="74" t="s">
        <v>369</v>
      </c>
      <c r="D1097" t="s">
        <v>3031</v>
      </c>
      <c r="E1097" t="s">
        <v>2986</v>
      </c>
      <c r="F1097" s="71" t="s">
        <v>3067</v>
      </c>
      <c r="G1097" s="74" t="s">
        <v>400</v>
      </c>
      <c r="H1097" s="71" t="str">
        <f>IF(Proc[[#This Row],[type]]="LFF (MDG-F)",MID(Proc[[#This Row],[Obj]],13,10),"")</f>
        <v/>
      </c>
      <c r="J1097" s="71" t="b">
        <f>Proc[[#This Row],[Requested]]=Proc[[#This Row],[CurrentParent]]</f>
        <v>0</v>
      </c>
      <c r="K1097" s="71" t="str">
        <f>IF(Proc[[#This Row],[Author]]="Marcela Urrego",VLOOKUP(LEFT(Proc[[#This Row],[Requested]],1),Table3[#All],2,0),VLOOKUP(Proc[[#This Row],[Author]],Table4[],2,0))</f>
        <v>LS</v>
      </c>
      <c r="L1097" s="71" t="s">
        <v>2841</v>
      </c>
      <c r="M1097" s="81">
        <v>45765.420370370368</v>
      </c>
      <c r="N1097" s="81">
        <v>45769</v>
      </c>
      <c r="O1097" s="81">
        <v>45769</v>
      </c>
      <c r="P1097" s="82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2" t="s">
        <v>508</v>
      </c>
      <c r="S1097" s="71"/>
    </row>
    <row r="1098" spans="1:19" hidden="1">
      <c r="A1098" s="74" t="s">
        <v>3010</v>
      </c>
      <c r="B1098" s="71" t="str">
        <f>IFERROR(VLOOKUP(Proc[[#This Row],[App]],Table2[],3,0),"open")</f>
        <v>ok</v>
      </c>
      <c r="C1098" s="74" t="s">
        <v>369</v>
      </c>
      <c r="D1098" t="s">
        <v>3032</v>
      </c>
      <c r="E1098" t="s">
        <v>2986</v>
      </c>
      <c r="F1098" s="71" t="s">
        <v>3064</v>
      </c>
      <c r="G1098" s="74" t="s">
        <v>400</v>
      </c>
      <c r="H1098" s="71" t="str">
        <f>IF(Proc[[#This Row],[type]]="LFF (MDG-F)",MID(Proc[[#This Row],[Obj]],13,10),"")</f>
        <v/>
      </c>
      <c r="J1098" s="71" t="b">
        <f>Proc[[#This Row],[Requested]]=Proc[[#This Row],[CurrentParent]]</f>
        <v>0</v>
      </c>
      <c r="K1098" s="71" t="str">
        <f>IF(Proc[[#This Row],[Author]]="Marcela Urrego",VLOOKUP(LEFT(Proc[[#This Row],[Requested]],1),Table3[#All],2,0),VLOOKUP(Proc[[#This Row],[Author]],Table4[],2,0))</f>
        <v>LS</v>
      </c>
      <c r="L1098" s="71" t="s">
        <v>2841</v>
      </c>
      <c r="M1098" s="81">
        <v>45765.420370370368</v>
      </c>
      <c r="N1098" s="81">
        <v>45769</v>
      </c>
      <c r="O1098" s="81">
        <v>45769</v>
      </c>
      <c r="P1098" s="82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2" t="s">
        <v>508</v>
      </c>
      <c r="S1098" s="71"/>
    </row>
    <row r="1099" spans="1:19" hidden="1">
      <c r="A1099" s="74" t="s">
        <v>3010</v>
      </c>
      <c r="B1099" s="71" t="str">
        <f>IFERROR(VLOOKUP(Proc[[#This Row],[App]],Table2[],3,0),"open")</f>
        <v>ok</v>
      </c>
      <c r="C1099" s="74" t="s">
        <v>369</v>
      </c>
      <c r="D1099" t="s">
        <v>3033</v>
      </c>
      <c r="E1099" t="s">
        <v>2986</v>
      </c>
      <c r="F1099" s="71" t="s">
        <v>3067</v>
      </c>
      <c r="G1099" s="74" t="s">
        <v>400</v>
      </c>
      <c r="H1099" s="71" t="str">
        <f>IF(Proc[[#This Row],[type]]="LFF (MDG-F)",MID(Proc[[#This Row],[Obj]],13,10),"")</f>
        <v/>
      </c>
      <c r="J1099" s="71" t="b">
        <f>Proc[[#This Row],[Requested]]=Proc[[#This Row],[CurrentParent]]</f>
        <v>0</v>
      </c>
      <c r="K1099" s="71" t="str">
        <f>IF(Proc[[#This Row],[Author]]="Marcela Urrego",VLOOKUP(LEFT(Proc[[#This Row],[Requested]],1),Table3[#All],2,0),VLOOKUP(Proc[[#This Row],[Author]],Table4[],2,0))</f>
        <v>LS</v>
      </c>
      <c r="L1099" s="71" t="s">
        <v>2841</v>
      </c>
      <c r="M1099" s="81">
        <v>45765.420370370368</v>
      </c>
      <c r="N1099" s="81">
        <v>45769</v>
      </c>
      <c r="O1099" s="81">
        <v>45769</v>
      </c>
      <c r="P1099" s="82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2" t="s">
        <v>508</v>
      </c>
      <c r="S1099" s="71"/>
    </row>
    <row r="1100" spans="1:19" hidden="1">
      <c r="A1100" s="74" t="s">
        <v>3010</v>
      </c>
      <c r="B1100" s="71" t="str">
        <f>IFERROR(VLOOKUP(Proc[[#This Row],[App]],Table2[],3,0),"open")</f>
        <v>ok</v>
      </c>
      <c r="C1100" s="74" t="s">
        <v>369</v>
      </c>
      <c r="D1100" t="s">
        <v>3034</v>
      </c>
      <c r="E1100" t="s">
        <v>3075</v>
      </c>
      <c r="F1100" s="71" t="s">
        <v>3068</v>
      </c>
      <c r="G1100" s="74" t="s">
        <v>400</v>
      </c>
      <c r="H1100" s="71" t="str">
        <f>IF(Proc[[#This Row],[type]]="LFF (MDG-F)",MID(Proc[[#This Row],[Obj]],13,10),"")</f>
        <v/>
      </c>
      <c r="J1100" s="71" t="b">
        <f>Proc[[#This Row],[Requested]]=Proc[[#This Row],[CurrentParent]]</f>
        <v>0</v>
      </c>
      <c r="K1100" s="71" t="str">
        <f>IF(Proc[[#This Row],[Author]]="Marcela Urrego",VLOOKUP(LEFT(Proc[[#This Row],[Requested]],1),Table3[#All],2,0),VLOOKUP(Proc[[#This Row],[Author]],Table4[],2,0))</f>
        <v>LS</v>
      </c>
      <c r="L1100" s="71" t="s">
        <v>2841</v>
      </c>
      <c r="M1100" s="81">
        <v>45765.420370370368</v>
      </c>
      <c r="N1100" s="81">
        <v>45769</v>
      </c>
      <c r="O1100" s="81">
        <v>45769</v>
      </c>
      <c r="P1100" s="82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2" t="s">
        <v>508</v>
      </c>
      <c r="S1100" s="71"/>
    </row>
    <row r="1101" spans="1:19" hidden="1">
      <c r="A1101" s="74" t="s">
        <v>3010</v>
      </c>
      <c r="B1101" s="71" t="str">
        <f>IFERROR(VLOOKUP(Proc[[#This Row],[App]],Table2[],3,0),"open")</f>
        <v>ok</v>
      </c>
      <c r="C1101" s="74" t="s">
        <v>369</v>
      </c>
      <c r="D1101" t="s">
        <v>3035</v>
      </c>
      <c r="E1101" t="s">
        <v>3075</v>
      </c>
      <c r="F1101" s="71" t="s">
        <v>3068</v>
      </c>
      <c r="G1101" s="74" t="s">
        <v>400</v>
      </c>
      <c r="H1101" s="71" t="str">
        <f>IF(Proc[[#This Row],[type]]="LFF (MDG-F)",MID(Proc[[#This Row],[Obj]],13,10),"")</f>
        <v/>
      </c>
      <c r="J1101" s="71" t="b">
        <f>Proc[[#This Row],[Requested]]=Proc[[#This Row],[CurrentParent]]</f>
        <v>0</v>
      </c>
      <c r="K1101" s="71" t="str">
        <f>IF(Proc[[#This Row],[Author]]="Marcela Urrego",VLOOKUP(LEFT(Proc[[#This Row],[Requested]],1),Table3[#All],2,0),VLOOKUP(Proc[[#This Row],[Author]],Table4[],2,0))</f>
        <v>LS</v>
      </c>
      <c r="L1101" s="71" t="s">
        <v>2841</v>
      </c>
      <c r="M1101" s="81">
        <v>45765.420370370368</v>
      </c>
      <c r="N1101" s="81">
        <v>45769</v>
      </c>
      <c r="O1101" s="81">
        <v>45769</v>
      </c>
      <c r="P1101" s="82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2" t="s">
        <v>508</v>
      </c>
      <c r="S1101" s="71"/>
    </row>
    <row r="1102" spans="1:19" hidden="1">
      <c r="A1102" s="74" t="s">
        <v>3010</v>
      </c>
      <c r="B1102" s="71" t="str">
        <f>IFERROR(VLOOKUP(Proc[[#This Row],[App]],Table2[],3,0),"open")</f>
        <v>ok</v>
      </c>
      <c r="C1102" s="74" t="s">
        <v>369</v>
      </c>
      <c r="D1102" t="s">
        <v>3036</v>
      </c>
      <c r="E1102" t="s">
        <v>2986</v>
      </c>
      <c r="F1102" s="71" t="s">
        <v>3064</v>
      </c>
      <c r="G1102" s="74" t="s">
        <v>400</v>
      </c>
      <c r="H1102" s="71" t="str">
        <f>IF(Proc[[#This Row],[type]]="LFF (MDG-F)",MID(Proc[[#This Row],[Obj]],13,10),"")</f>
        <v/>
      </c>
      <c r="J1102" s="71" t="b">
        <f>Proc[[#This Row],[Requested]]=Proc[[#This Row],[CurrentParent]]</f>
        <v>0</v>
      </c>
      <c r="K1102" s="71" t="str">
        <f>IF(Proc[[#This Row],[Author]]="Marcela Urrego",VLOOKUP(LEFT(Proc[[#This Row],[Requested]],1),Table3[#All],2,0),VLOOKUP(Proc[[#This Row],[Author]],Table4[],2,0))</f>
        <v>LS</v>
      </c>
      <c r="L1102" s="71" t="s">
        <v>2841</v>
      </c>
      <c r="M1102" s="81">
        <v>45765.420370370368</v>
      </c>
      <c r="N1102" s="81">
        <v>45769</v>
      </c>
      <c r="O1102" s="81">
        <v>45769</v>
      </c>
      <c r="P1102" s="82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2" t="s">
        <v>508</v>
      </c>
      <c r="S1102" s="71"/>
    </row>
    <row r="1103" spans="1:19" hidden="1">
      <c r="A1103" s="74" t="s">
        <v>3010</v>
      </c>
      <c r="B1103" s="71" t="str">
        <f>IFERROR(VLOOKUP(Proc[[#This Row],[App]],Table2[],3,0),"open")</f>
        <v>ok</v>
      </c>
      <c r="C1103" s="74" t="s">
        <v>369</v>
      </c>
      <c r="D1103" t="s">
        <v>3037</v>
      </c>
      <c r="E1103" t="s">
        <v>3076</v>
      </c>
      <c r="F1103" s="71" t="s">
        <v>2986</v>
      </c>
      <c r="G1103" s="74" t="s">
        <v>400</v>
      </c>
      <c r="H1103" s="71" t="str">
        <f>IF(Proc[[#This Row],[type]]="LFF (MDG-F)",MID(Proc[[#This Row],[Obj]],13,10),"")</f>
        <v/>
      </c>
      <c r="J1103" s="71" t="b">
        <f>Proc[[#This Row],[Requested]]=Proc[[#This Row],[CurrentParent]]</f>
        <v>0</v>
      </c>
      <c r="K1103" s="71" t="str">
        <f>IF(Proc[[#This Row],[Author]]="Marcela Urrego",VLOOKUP(LEFT(Proc[[#This Row],[Requested]],1),Table3[#All],2,0),VLOOKUP(Proc[[#This Row],[Author]],Table4[],2,0))</f>
        <v>LS</v>
      </c>
      <c r="L1103" s="71" t="s">
        <v>2841</v>
      </c>
      <c r="M1103" s="81">
        <v>45765.420370370368</v>
      </c>
      <c r="N1103" s="81">
        <v>45769</v>
      </c>
      <c r="O1103" s="81">
        <v>45769</v>
      </c>
      <c r="P1103" s="82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2" t="s">
        <v>508</v>
      </c>
      <c r="S1103" s="71"/>
    </row>
    <row r="1104" spans="1:19" hidden="1">
      <c r="A1104" s="74" t="s">
        <v>3010</v>
      </c>
      <c r="B1104" s="71" t="str">
        <f>IFERROR(VLOOKUP(Proc[[#This Row],[App]],Table2[],3,0),"open")</f>
        <v>ok</v>
      </c>
      <c r="C1104" s="74" t="s">
        <v>369</v>
      </c>
      <c r="D1104" t="s">
        <v>3038</v>
      </c>
      <c r="E1104" t="s">
        <v>3077</v>
      </c>
      <c r="F1104" s="71" t="s">
        <v>3064</v>
      </c>
      <c r="G1104" s="74" t="s">
        <v>400</v>
      </c>
      <c r="H1104" s="71" t="str">
        <f>IF(Proc[[#This Row],[type]]="LFF (MDG-F)",MID(Proc[[#This Row],[Obj]],13,10),"")</f>
        <v/>
      </c>
      <c r="J1104" s="71" t="b">
        <f>Proc[[#This Row],[Requested]]=Proc[[#This Row],[CurrentParent]]</f>
        <v>0</v>
      </c>
      <c r="K1104" s="71" t="str">
        <f>IF(Proc[[#This Row],[Author]]="Marcela Urrego",VLOOKUP(LEFT(Proc[[#This Row],[Requested]],1),Table3[#All],2,0),VLOOKUP(Proc[[#This Row],[Author]],Table4[],2,0))</f>
        <v>LS</v>
      </c>
      <c r="L1104" s="71" t="s">
        <v>2841</v>
      </c>
      <c r="M1104" s="81">
        <v>45765.420370370368</v>
      </c>
      <c r="N1104" s="81">
        <v>45769</v>
      </c>
      <c r="O1104" s="81">
        <v>45769</v>
      </c>
      <c r="P1104" s="82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2" t="s">
        <v>508</v>
      </c>
      <c r="S1104" s="71"/>
    </row>
    <row r="1105" spans="1:19" hidden="1">
      <c r="A1105" s="74" t="s">
        <v>3010</v>
      </c>
      <c r="B1105" s="71" t="str">
        <f>IFERROR(VLOOKUP(Proc[[#This Row],[App]],Table2[],3,0),"open")</f>
        <v>ok</v>
      </c>
      <c r="C1105" s="74" t="s">
        <v>369</v>
      </c>
      <c r="D1105" t="s">
        <v>3039</v>
      </c>
      <c r="E1105" t="s">
        <v>3078</v>
      </c>
      <c r="F1105" s="71" t="s">
        <v>3064</v>
      </c>
      <c r="G1105" s="74" t="s">
        <v>400</v>
      </c>
      <c r="H1105" s="71" t="str">
        <f>IF(Proc[[#This Row],[type]]="LFF (MDG-F)",MID(Proc[[#This Row],[Obj]],13,10),"")</f>
        <v/>
      </c>
      <c r="J1105" s="71" t="b">
        <f>Proc[[#This Row],[Requested]]=Proc[[#This Row],[CurrentParent]]</f>
        <v>0</v>
      </c>
      <c r="K1105" s="71" t="str">
        <f>IF(Proc[[#This Row],[Author]]="Marcela Urrego",VLOOKUP(LEFT(Proc[[#This Row],[Requested]],1),Table3[#All],2,0),VLOOKUP(Proc[[#This Row],[Author]],Table4[],2,0))</f>
        <v>LS</v>
      </c>
      <c r="L1105" s="71" t="s">
        <v>2841</v>
      </c>
      <c r="M1105" s="81">
        <v>45765.420370370368</v>
      </c>
      <c r="N1105" s="81">
        <v>45769</v>
      </c>
      <c r="O1105" s="81">
        <v>45769</v>
      </c>
      <c r="P1105" s="82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2" t="s">
        <v>508</v>
      </c>
      <c r="S1105" s="71"/>
    </row>
    <row r="1106" spans="1:19" hidden="1">
      <c r="A1106" s="74" t="s">
        <v>3010</v>
      </c>
      <c r="B1106" s="71" t="str">
        <f>IFERROR(VLOOKUP(Proc[[#This Row],[App]],Table2[],3,0),"open")</f>
        <v>ok</v>
      </c>
      <c r="C1106" s="74" t="s">
        <v>369</v>
      </c>
      <c r="D1106" t="s">
        <v>3040</v>
      </c>
      <c r="E1106" t="s">
        <v>3075</v>
      </c>
      <c r="F1106" s="71" t="s">
        <v>3068</v>
      </c>
      <c r="G1106" s="74" t="s">
        <v>400</v>
      </c>
      <c r="H1106" s="71" t="str">
        <f>IF(Proc[[#This Row],[type]]="LFF (MDG-F)",MID(Proc[[#This Row],[Obj]],13,10),"")</f>
        <v/>
      </c>
      <c r="J1106" s="71" t="b">
        <f>Proc[[#This Row],[Requested]]=Proc[[#This Row],[CurrentParent]]</f>
        <v>0</v>
      </c>
      <c r="K1106" s="71" t="str">
        <f>IF(Proc[[#This Row],[Author]]="Marcela Urrego",VLOOKUP(LEFT(Proc[[#This Row],[Requested]],1),Table3[#All],2,0),VLOOKUP(Proc[[#This Row],[Author]],Table4[],2,0))</f>
        <v>LS</v>
      </c>
      <c r="L1106" s="71" t="s">
        <v>2841</v>
      </c>
      <c r="M1106" s="81">
        <v>45765.420370370368</v>
      </c>
      <c r="N1106" s="81">
        <v>45769</v>
      </c>
      <c r="O1106" s="81">
        <v>45769</v>
      </c>
      <c r="P1106" s="82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2" t="s">
        <v>508</v>
      </c>
      <c r="S1106" s="71"/>
    </row>
    <row r="1107" spans="1:19" hidden="1">
      <c r="A1107" s="74" t="s">
        <v>3010</v>
      </c>
      <c r="B1107" s="71" t="str">
        <f>IFERROR(VLOOKUP(Proc[[#This Row],[App]],Table2[],3,0),"open")</f>
        <v>ok</v>
      </c>
      <c r="C1107" s="74" t="s">
        <v>369</v>
      </c>
      <c r="D1107" t="s">
        <v>3041</v>
      </c>
      <c r="E1107" t="s">
        <v>3075</v>
      </c>
      <c r="F1107" s="71" t="s">
        <v>3068</v>
      </c>
      <c r="G1107" s="74" t="s">
        <v>400</v>
      </c>
      <c r="H1107" s="71" t="str">
        <f>IF(Proc[[#This Row],[type]]="LFF (MDG-F)",MID(Proc[[#This Row],[Obj]],13,10),"")</f>
        <v/>
      </c>
      <c r="J1107" s="71" t="b">
        <f>Proc[[#This Row],[Requested]]=Proc[[#This Row],[CurrentParent]]</f>
        <v>0</v>
      </c>
      <c r="K1107" s="71" t="str">
        <f>IF(Proc[[#This Row],[Author]]="Marcela Urrego",VLOOKUP(LEFT(Proc[[#This Row],[Requested]],1),Table3[#All],2,0),VLOOKUP(Proc[[#This Row],[Author]],Table4[],2,0))</f>
        <v>LS</v>
      </c>
      <c r="L1107" s="71" t="s">
        <v>2841</v>
      </c>
      <c r="M1107" s="81">
        <v>45765.420370370368</v>
      </c>
      <c r="N1107" s="81">
        <v>45769</v>
      </c>
      <c r="O1107" s="81">
        <v>45769</v>
      </c>
      <c r="P1107" s="82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2" t="s">
        <v>508</v>
      </c>
      <c r="S1107" s="71"/>
    </row>
    <row r="1108" spans="1:19" hidden="1">
      <c r="A1108" s="74" t="s">
        <v>3010</v>
      </c>
      <c r="B1108" s="71" t="str">
        <f>IFERROR(VLOOKUP(Proc[[#This Row],[App]],Table2[],3,0),"open")</f>
        <v>ok</v>
      </c>
      <c r="C1108" s="74" t="s">
        <v>369</v>
      </c>
      <c r="D1108" t="s">
        <v>3042</v>
      </c>
      <c r="E1108" t="s">
        <v>3075</v>
      </c>
      <c r="F1108" s="71" t="s">
        <v>3068</v>
      </c>
      <c r="G1108" s="74" t="s">
        <v>400</v>
      </c>
      <c r="H1108" s="71" t="str">
        <f>IF(Proc[[#This Row],[type]]="LFF (MDG-F)",MID(Proc[[#This Row],[Obj]],13,10),"")</f>
        <v/>
      </c>
      <c r="J1108" s="71" t="b">
        <f>Proc[[#This Row],[Requested]]=Proc[[#This Row],[CurrentParent]]</f>
        <v>0</v>
      </c>
      <c r="K1108" s="71" t="str">
        <f>IF(Proc[[#This Row],[Author]]="Marcela Urrego",VLOOKUP(LEFT(Proc[[#This Row],[Requested]],1),Table3[#All],2,0),VLOOKUP(Proc[[#This Row],[Author]],Table4[],2,0))</f>
        <v>LS</v>
      </c>
      <c r="L1108" s="71" t="s">
        <v>2841</v>
      </c>
      <c r="M1108" s="81">
        <v>45765.420370370368</v>
      </c>
      <c r="N1108" s="81">
        <v>45769</v>
      </c>
      <c r="O1108" s="81">
        <v>45769</v>
      </c>
      <c r="P1108" s="82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2" t="s">
        <v>508</v>
      </c>
      <c r="S1108" s="71"/>
    </row>
    <row r="1109" spans="1:19" hidden="1">
      <c r="A1109" s="74" t="s">
        <v>3010</v>
      </c>
      <c r="B1109" s="71" t="str">
        <f>IFERROR(VLOOKUP(Proc[[#This Row],[App]],Table2[],3,0),"open")</f>
        <v>ok</v>
      </c>
      <c r="C1109" s="74" t="s">
        <v>369</v>
      </c>
      <c r="D1109" t="s">
        <v>3043</v>
      </c>
      <c r="E1109" t="s">
        <v>3075</v>
      </c>
      <c r="F1109" s="71" t="s">
        <v>3068</v>
      </c>
      <c r="G1109" s="74" t="s">
        <v>400</v>
      </c>
      <c r="H1109" s="71" t="str">
        <f>IF(Proc[[#This Row],[type]]="LFF (MDG-F)",MID(Proc[[#This Row],[Obj]],13,10),"")</f>
        <v/>
      </c>
      <c r="J1109" s="71" t="b">
        <f>Proc[[#This Row],[Requested]]=Proc[[#This Row],[CurrentParent]]</f>
        <v>0</v>
      </c>
      <c r="K1109" s="71" t="str">
        <f>IF(Proc[[#This Row],[Author]]="Marcela Urrego",VLOOKUP(LEFT(Proc[[#This Row],[Requested]],1),Table3[#All],2,0),VLOOKUP(Proc[[#This Row],[Author]],Table4[],2,0))</f>
        <v>LS</v>
      </c>
      <c r="L1109" s="71" t="s">
        <v>2841</v>
      </c>
      <c r="M1109" s="81">
        <v>45765.420370370368</v>
      </c>
      <c r="N1109" s="81">
        <v>45769</v>
      </c>
      <c r="O1109" s="81">
        <v>45769</v>
      </c>
      <c r="P1109" s="82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2" t="s">
        <v>508</v>
      </c>
      <c r="S1109" s="71"/>
    </row>
    <row r="1110" spans="1:19" hidden="1">
      <c r="A1110" s="74" t="s">
        <v>3010</v>
      </c>
      <c r="B1110" s="71" t="str">
        <f>IFERROR(VLOOKUP(Proc[[#This Row],[App]],Table2[],3,0),"open")</f>
        <v>ok</v>
      </c>
      <c r="C1110" s="74" t="s">
        <v>369</v>
      </c>
      <c r="D1110" t="s">
        <v>3044</v>
      </c>
      <c r="E1110" t="s">
        <v>3076</v>
      </c>
      <c r="F1110" s="71" t="s">
        <v>3067</v>
      </c>
      <c r="G1110" s="74" t="s">
        <v>400</v>
      </c>
      <c r="H1110" s="71" t="str">
        <f>IF(Proc[[#This Row],[type]]="LFF (MDG-F)",MID(Proc[[#This Row],[Obj]],13,10),"")</f>
        <v/>
      </c>
      <c r="J1110" s="71" t="b">
        <f>Proc[[#This Row],[Requested]]=Proc[[#This Row],[CurrentParent]]</f>
        <v>0</v>
      </c>
      <c r="K1110" s="71" t="str">
        <f>IF(Proc[[#This Row],[Author]]="Marcela Urrego",VLOOKUP(LEFT(Proc[[#This Row],[Requested]],1),Table3[#All],2,0),VLOOKUP(Proc[[#This Row],[Author]],Table4[],2,0))</f>
        <v>LS</v>
      </c>
      <c r="L1110" s="71" t="s">
        <v>2841</v>
      </c>
      <c r="M1110" s="81">
        <v>45765.420370370368</v>
      </c>
      <c r="N1110" s="81">
        <v>45769</v>
      </c>
      <c r="O1110" s="81">
        <v>45769</v>
      </c>
      <c r="P1110" s="82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2" t="s">
        <v>508</v>
      </c>
      <c r="S1110" s="71"/>
    </row>
    <row r="1111" spans="1:19" hidden="1">
      <c r="A1111" s="74" t="s">
        <v>3010</v>
      </c>
      <c r="B1111" s="71" t="str">
        <f>IFERROR(VLOOKUP(Proc[[#This Row],[App]],Table2[],3,0),"open")</f>
        <v>ok</v>
      </c>
      <c r="C1111" s="74" t="s">
        <v>369</v>
      </c>
      <c r="D1111" t="s">
        <v>3045</v>
      </c>
      <c r="E1111" t="s">
        <v>3077</v>
      </c>
      <c r="F1111" s="71" t="s">
        <v>3064</v>
      </c>
      <c r="G1111" s="74" t="s">
        <v>400</v>
      </c>
      <c r="H1111" s="71" t="str">
        <f>IF(Proc[[#This Row],[type]]="LFF (MDG-F)",MID(Proc[[#This Row],[Obj]],13,10),"")</f>
        <v/>
      </c>
      <c r="J1111" s="71" t="b">
        <f>Proc[[#This Row],[Requested]]=Proc[[#This Row],[CurrentParent]]</f>
        <v>0</v>
      </c>
      <c r="K1111" s="71" t="str">
        <f>IF(Proc[[#This Row],[Author]]="Marcela Urrego",VLOOKUP(LEFT(Proc[[#This Row],[Requested]],1),Table3[#All],2,0),VLOOKUP(Proc[[#This Row],[Author]],Table4[],2,0))</f>
        <v>LS</v>
      </c>
      <c r="L1111" s="71" t="s">
        <v>2841</v>
      </c>
      <c r="M1111" s="81">
        <v>45765.420370370368</v>
      </c>
      <c r="N1111" s="81">
        <v>45769</v>
      </c>
      <c r="O1111" s="81">
        <v>45769</v>
      </c>
      <c r="P1111" s="82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2" t="s">
        <v>508</v>
      </c>
      <c r="S1111" s="71"/>
    </row>
    <row r="1112" spans="1:19" hidden="1">
      <c r="A1112" s="74" t="s">
        <v>3010</v>
      </c>
      <c r="B1112" s="71" t="str">
        <f>IFERROR(VLOOKUP(Proc[[#This Row],[App]],Table2[],3,0),"open")</f>
        <v>ok</v>
      </c>
      <c r="C1112" s="74" t="s">
        <v>369</v>
      </c>
      <c r="D1112" t="s">
        <v>3046</v>
      </c>
      <c r="E1112" t="s">
        <v>3079</v>
      </c>
      <c r="F1112" s="71" t="s">
        <v>3067</v>
      </c>
      <c r="G1112" s="74" t="s">
        <v>400</v>
      </c>
      <c r="H1112" s="71" t="str">
        <f>IF(Proc[[#This Row],[type]]="LFF (MDG-F)",MID(Proc[[#This Row],[Obj]],13,10),"")</f>
        <v/>
      </c>
      <c r="J1112" s="71" t="b">
        <f>Proc[[#This Row],[Requested]]=Proc[[#This Row],[CurrentParent]]</f>
        <v>0</v>
      </c>
      <c r="K1112" s="71" t="str">
        <f>IF(Proc[[#This Row],[Author]]="Marcela Urrego",VLOOKUP(LEFT(Proc[[#This Row],[Requested]],1),Table3[#All],2,0),VLOOKUP(Proc[[#This Row],[Author]],Table4[],2,0))</f>
        <v>LS</v>
      </c>
      <c r="L1112" s="71" t="s">
        <v>2841</v>
      </c>
      <c r="M1112" s="81">
        <v>45765.420370370368</v>
      </c>
      <c r="N1112" s="81">
        <v>45769</v>
      </c>
      <c r="O1112" s="81">
        <v>45769</v>
      </c>
      <c r="P1112" s="82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2" t="s">
        <v>508</v>
      </c>
      <c r="S1112" s="71"/>
    </row>
    <row r="1113" spans="1:19" hidden="1">
      <c r="A1113" s="74" t="s">
        <v>3010</v>
      </c>
      <c r="B1113" s="71" t="str">
        <f>IFERROR(VLOOKUP(Proc[[#This Row],[App]],Table2[],3,0),"open")</f>
        <v>ok</v>
      </c>
      <c r="C1113" s="74" t="s">
        <v>369</v>
      </c>
      <c r="D1113" t="s">
        <v>3047</v>
      </c>
      <c r="E1113" t="s">
        <v>3080</v>
      </c>
      <c r="F1113" s="71" t="s">
        <v>2986</v>
      </c>
      <c r="G1113" s="74" t="s">
        <v>400</v>
      </c>
      <c r="H1113" s="71" t="str">
        <f>IF(Proc[[#This Row],[type]]="LFF (MDG-F)",MID(Proc[[#This Row],[Obj]],13,10),"")</f>
        <v/>
      </c>
      <c r="J1113" s="71" t="b">
        <f>Proc[[#This Row],[Requested]]=Proc[[#This Row],[CurrentParent]]</f>
        <v>0</v>
      </c>
      <c r="K1113" s="71" t="str">
        <f>IF(Proc[[#This Row],[Author]]="Marcela Urrego",VLOOKUP(LEFT(Proc[[#This Row],[Requested]],1),Table3[#All],2,0),VLOOKUP(Proc[[#This Row],[Author]],Table4[],2,0))</f>
        <v>LS</v>
      </c>
      <c r="L1113" s="71" t="s">
        <v>2841</v>
      </c>
      <c r="M1113" s="81">
        <v>45765.420370370368</v>
      </c>
      <c r="N1113" s="81">
        <v>45769</v>
      </c>
      <c r="O1113" s="81">
        <v>45769</v>
      </c>
      <c r="P1113" s="82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2" t="s">
        <v>508</v>
      </c>
      <c r="S1113" s="71"/>
    </row>
    <row r="1114" spans="1:19" hidden="1">
      <c r="A1114" s="74" t="s">
        <v>3010</v>
      </c>
      <c r="B1114" s="71" t="str">
        <f>IFERROR(VLOOKUP(Proc[[#This Row],[App]],Table2[],3,0),"open")</f>
        <v>ok</v>
      </c>
      <c r="C1114" s="74" t="s">
        <v>369</v>
      </c>
      <c r="D1114" t="s">
        <v>3048</v>
      </c>
      <c r="E1114" t="s">
        <v>2986</v>
      </c>
      <c r="F1114" s="71" t="s">
        <v>3064</v>
      </c>
      <c r="G1114" s="74" t="s">
        <v>400</v>
      </c>
      <c r="H1114" s="71" t="str">
        <f>IF(Proc[[#This Row],[type]]="LFF (MDG-F)",MID(Proc[[#This Row],[Obj]],13,10),"")</f>
        <v/>
      </c>
      <c r="J1114" s="71" t="b">
        <f>Proc[[#This Row],[Requested]]=Proc[[#This Row],[CurrentParent]]</f>
        <v>0</v>
      </c>
      <c r="K1114" s="71" t="str">
        <f>IF(Proc[[#This Row],[Author]]="Marcela Urrego",VLOOKUP(LEFT(Proc[[#This Row],[Requested]],1),Table3[#All],2,0),VLOOKUP(Proc[[#This Row],[Author]],Table4[],2,0))</f>
        <v>LS</v>
      </c>
      <c r="L1114" s="71" t="s">
        <v>2841</v>
      </c>
      <c r="M1114" s="81">
        <v>45765.420370370368</v>
      </c>
      <c r="N1114" s="81">
        <v>45769</v>
      </c>
      <c r="O1114" s="81">
        <v>45769</v>
      </c>
      <c r="P1114" s="82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2" t="s">
        <v>508</v>
      </c>
      <c r="S1114" s="71"/>
    </row>
    <row r="1115" spans="1:19" hidden="1">
      <c r="A1115" s="74" t="s">
        <v>3010</v>
      </c>
      <c r="B1115" s="71" t="str">
        <f>IFERROR(VLOOKUP(Proc[[#This Row],[App]],Table2[],3,0),"open")</f>
        <v>ok</v>
      </c>
      <c r="C1115" s="74" t="s">
        <v>369</v>
      </c>
      <c r="D1115" t="s">
        <v>3049</v>
      </c>
      <c r="E1115" t="s">
        <v>3077</v>
      </c>
      <c r="F1115" s="71" t="s">
        <v>3064</v>
      </c>
      <c r="G1115" s="74" t="s">
        <v>400</v>
      </c>
      <c r="H1115" s="71" t="str">
        <f>IF(Proc[[#This Row],[type]]="LFF (MDG-F)",MID(Proc[[#This Row],[Obj]],13,10),"")</f>
        <v/>
      </c>
      <c r="J1115" s="71" t="b">
        <f>Proc[[#This Row],[Requested]]=Proc[[#This Row],[CurrentParent]]</f>
        <v>0</v>
      </c>
      <c r="K1115" s="71" t="str">
        <f>IF(Proc[[#This Row],[Author]]="Marcela Urrego",VLOOKUP(LEFT(Proc[[#This Row],[Requested]],1),Table3[#All],2,0),VLOOKUP(Proc[[#This Row],[Author]],Table4[],2,0))</f>
        <v>LS</v>
      </c>
      <c r="L1115" s="71" t="s">
        <v>2841</v>
      </c>
      <c r="M1115" s="81">
        <v>45765.420370370368</v>
      </c>
      <c r="N1115" s="81">
        <v>45769</v>
      </c>
      <c r="O1115" s="81">
        <v>45769</v>
      </c>
      <c r="P1115" s="82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2" t="s">
        <v>508</v>
      </c>
      <c r="S1115" s="71"/>
    </row>
    <row r="1116" spans="1:19" hidden="1">
      <c r="A1116" s="74" t="s">
        <v>3010</v>
      </c>
      <c r="B1116" s="71" t="str">
        <f>IFERROR(VLOOKUP(Proc[[#This Row],[App]],Table2[],3,0),"open")</f>
        <v>ok</v>
      </c>
      <c r="C1116" s="74" t="s">
        <v>369</v>
      </c>
      <c r="D1116" t="s">
        <v>3050</v>
      </c>
      <c r="E1116" t="s">
        <v>3077</v>
      </c>
      <c r="F1116" s="71" t="s">
        <v>3064</v>
      </c>
      <c r="G1116" s="74" t="s">
        <v>400</v>
      </c>
      <c r="H1116" s="71" t="str">
        <f>IF(Proc[[#This Row],[type]]="LFF (MDG-F)",MID(Proc[[#This Row],[Obj]],13,10),"")</f>
        <v/>
      </c>
      <c r="J1116" s="71" t="b">
        <f>Proc[[#This Row],[Requested]]=Proc[[#This Row],[CurrentParent]]</f>
        <v>0</v>
      </c>
      <c r="K1116" s="71" t="str">
        <f>IF(Proc[[#This Row],[Author]]="Marcela Urrego",VLOOKUP(LEFT(Proc[[#This Row],[Requested]],1),Table3[#All],2,0),VLOOKUP(Proc[[#This Row],[Author]],Table4[],2,0))</f>
        <v>LS</v>
      </c>
      <c r="L1116" s="71" t="s">
        <v>2841</v>
      </c>
      <c r="M1116" s="81">
        <v>45765.420370370368</v>
      </c>
      <c r="N1116" s="81">
        <v>45769</v>
      </c>
      <c r="O1116" s="81">
        <v>45769</v>
      </c>
      <c r="P1116" s="82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2" t="s">
        <v>508</v>
      </c>
      <c r="S1116" s="71"/>
    </row>
    <row r="1117" spans="1:19" hidden="1">
      <c r="A1117" s="74" t="s">
        <v>3010</v>
      </c>
      <c r="B1117" s="71" t="str">
        <f>IFERROR(VLOOKUP(Proc[[#This Row],[App]],Table2[],3,0),"open")</f>
        <v>ok</v>
      </c>
      <c r="C1117" s="74" t="s">
        <v>369</v>
      </c>
      <c r="D1117" t="s">
        <v>3051</v>
      </c>
      <c r="E1117" t="s">
        <v>2986</v>
      </c>
      <c r="F1117" s="71" t="s">
        <v>3064</v>
      </c>
      <c r="G1117" s="74" t="s">
        <v>400</v>
      </c>
      <c r="H1117" s="71" t="str">
        <f>IF(Proc[[#This Row],[type]]="LFF (MDG-F)",MID(Proc[[#This Row],[Obj]],13,10),"")</f>
        <v/>
      </c>
      <c r="J1117" s="71" t="b">
        <f>Proc[[#This Row],[Requested]]=Proc[[#This Row],[CurrentParent]]</f>
        <v>0</v>
      </c>
      <c r="K1117" s="71" t="str">
        <f>IF(Proc[[#This Row],[Author]]="Marcela Urrego",VLOOKUP(LEFT(Proc[[#This Row],[Requested]],1),Table3[#All],2,0),VLOOKUP(Proc[[#This Row],[Author]],Table4[],2,0))</f>
        <v>LS</v>
      </c>
      <c r="L1117" s="71" t="s">
        <v>2841</v>
      </c>
      <c r="M1117" s="81">
        <v>45765.420370370368</v>
      </c>
      <c r="N1117" s="81">
        <v>45769</v>
      </c>
      <c r="O1117" s="81">
        <v>45769</v>
      </c>
      <c r="P1117" s="82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2" t="s">
        <v>508</v>
      </c>
      <c r="S1117" s="71"/>
    </row>
    <row r="1118" spans="1:19" hidden="1">
      <c r="A1118" s="74" t="s">
        <v>3010</v>
      </c>
      <c r="B1118" s="71" t="str">
        <f>IFERROR(VLOOKUP(Proc[[#This Row],[App]],Table2[],3,0),"open")</f>
        <v>ok</v>
      </c>
      <c r="C1118" s="74" t="s">
        <v>369</v>
      </c>
      <c r="D1118" t="s">
        <v>3052</v>
      </c>
      <c r="E1118" t="s">
        <v>2986</v>
      </c>
      <c r="F1118" s="71" t="s">
        <v>3064</v>
      </c>
      <c r="G1118" s="74" t="s">
        <v>400</v>
      </c>
      <c r="H1118" s="71" t="str">
        <f>IF(Proc[[#This Row],[type]]="LFF (MDG-F)",MID(Proc[[#This Row],[Obj]],13,10),"")</f>
        <v/>
      </c>
      <c r="J1118" s="71" t="b">
        <f>Proc[[#This Row],[Requested]]=Proc[[#This Row],[CurrentParent]]</f>
        <v>0</v>
      </c>
      <c r="K1118" s="71" t="str">
        <f>IF(Proc[[#This Row],[Author]]="Marcela Urrego",VLOOKUP(LEFT(Proc[[#This Row],[Requested]],1),Table3[#All],2,0),VLOOKUP(Proc[[#This Row],[Author]],Table4[],2,0))</f>
        <v>LS</v>
      </c>
      <c r="L1118" s="71" t="s">
        <v>2841</v>
      </c>
      <c r="M1118" s="81">
        <v>45765.420370370368</v>
      </c>
      <c r="N1118" s="81">
        <v>45769</v>
      </c>
      <c r="O1118" s="81">
        <v>45769</v>
      </c>
      <c r="P1118" s="82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2" t="s">
        <v>508</v>
      </c>
      <c r="S1118" s="71"/>
    </row>
    <row r="1119" spans="1:19" hidden="1">
      <c r="A1119" s="74" t="s">
        <v>3010</v>
      </c>
      <c r="B1119" s="71" t="str">
        <f>IFERROR(VLOOKUP(Proc[[#This Row],[App]],Table2[],3,0),"open")</f>
        <v>ok</v>
      </c>
      <c r="C1119" s="74" t="s">
        <v>369</v>
      </c>
      <c r="D1119" t="s">
        <v>3053</v>
      </c>
      <c r="E1119" t="s">
        <v>3078</v>
      </c>
      <c r="F1119" s="71" t="s">
        <v>2986</v>
      </c>
      <c r="G1119" s="74" t="s">
        <v>400</v>
      </c>
      <c r="H1119" s="71" t="str">
        <f>IF(Proc[[#This Row],[type]]="LFF (MDG-F)",MID(Proc[[#This Row],[Obj]],13,10),"")</f>
        <v/>
      </c>
      <c r="J1119" s="71" t="b">
        <f>Proc[[#This Row],[Requested]]=Proc[[#This Row],[CurrentParent]]</f>
        <v>0</v>
      </c>
      <c r="K1119" s="71" t="str">
        <f>IF(Proc[[#This Row],[Author]]="Marcela Urrego",VLOOKUP(LEFT(Proc[[#This Row],[Requested]],1),Table3[#All],2,0),VLOOKUP(Proc[[#This Row],[Author]],Table4[],2,0))</f>
        <v>LS</v>
      </c>
      <c r="L1119" s="71" t="s">
        <v>2841</v>
      </c>
      <c r="M1119" s="81">
        <v>45765.420370370368</v>
      </c>
      <c r="N1119" s="81">
        <v>45769</v>
      </c>
      <c r="O1119" s="81">
        <v>45769</v>
      </c>
      <c r="P1119" s="82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2" t="s">
        <v>508</v>
      </c>
      <c r="S1119" s="71"/>
    </row>
    <row r="1120" spans="1:19" hidden="1">
      <c r="A1120" s="74" t="s">
        <v>3010</v>
      </c>
      <c r="B1120" s="71" t="str">
        <f>IFERROR(VLOOKUP(Proc[[#This Row],[App]],Table2[],3,0),"open")</f>
        <v>ok</v>
      </c>
      <c r="C1120" s="74" t="s">
        <v>369</v>
      </c>
      <c r="D1120" t="s">
        <v>3054</v>
      </c>
      <c r="E1120" t="s">
        <v>3078</v>
      </c>
      <c r="F1120" s="71" t="s">
        <v>2986</v>
      </c>
      <c r="G1120" s="74" t="s">
        <v>400</v>
      </c>
      <c r="H1120" s="71" t="str">
        <f>IF(Proc[[#This Row],[type]]="LFF (MDG-F)",MID(Proc[[#This Row],[Obj]],13,10),"")</f>
        <v/>
      </c>
      <c r="J1120" s="71" t="b">
        <f>Proc[[#This Row],[Requested]]=Proc[[#This Row],[CurrentParent]]</f>
        <v>0</v>
      </c>
      <c r="K1120" s="71" t="str">
        <f>IF(Proc[[#This Row],[Author]]="Marcela Urrego",VLOOKUP(LEFT(Proc[[#This Row],[Requested]],1),Table3[#All],2,0),VLOOKUP(Proc[[#This Row],[Author]],Table4[],2,0))</f>
        <v>LS</v>
      </c>
      <c r="L1120" s="71" t="s">
        <v>2841</v>
      </c>
      <c r="M1120" s="81">
        <v>45765.420370370368</v>
      </c>
      <c r="N1120" s="81">
        <v>45769</v>
      </c>
      <c r="O1120" s="81">
        <v>45769</v>
      </c>
      <c r="P1120" s="82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2" t="s">
        <v>508</v>
      </c>
      <c r="S1120" s="71"/>
    </row>
    <row r="1121" spans="1:19" hidden="1">
      <c r="A1121" s="74" t="s">
        <v>3010</v>
      </c>
      <c r="B1121" s="71" t="str">
        <f>IFERROR(VLOOKUP(Proc[[#This Row],[App]],Table2[],3,0),"open")</f>
        <v>ok</v>
      </c>
      <c r="C1121" s="74" t="s">
        <v>369</v>
      </c>
      <c r="D1121" t="s">
        <v>3055</v>
      </c>
      <c r="E1121" t="s">
        <v>3071</v>
      </c>
      <c r="F1121" s="71" t="s">
        <v>3065</v>
      </c>
      <c r="G1121" s="74" t="s">
        <v>400</v>
      </c>
      <c r="H1121" s="71" t="str">
        <f>IF(Proc[[#This Row],[type]]="LFF (MDG-F)",MID(Proc[[#This Row],[Obj]],13,10),"")</f>
        <v/>
      </c>
      <c r="J1121" s="71" t="b">
        <f>Proc[[#This Row],[Requested]]=Proc[[#This Row],[CurrentParent]]</f>
        <v>0</v>
      </c>
      <c r="K1121" s="71" t="str">
        <f>IF(Proc[[#This Row],[Author]]="Marcela Urrego",VLOOKUP(LEFT(Proc[[#This Row],[Requested]],1),Table3[#All],2,0),VLOOKUP(Proc[[#This Row],[Author]],Table4[],2,0))</f>
        <v>LS</v>
      </c>
      <c r="L1121" s="71" t="s">
        <v>2841</v>
      </c>
      <c r="M1121" s="81">
        <v>45765.420370370368</v>
      </c>
      <c r="N1121" s="81">
        <v>45769</v>
      </c>
      <c r="O1121" s="81">
        <v>45769</v>
      </c>
      <c r="P1121" s="82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2" t="s">
        <v>508</v>
      </c>
      <c r="S1121" s="71"/>
    </row>
    <row r="1122" spans="1:19" hidden="1">
      <c r="A1122" s="74" t="s">
        <v>3010</v>
      </c>
      <c r="B1122" s="71" t="str">
        <f>IFERROR(VLOOKUP(Proc[[#This Row],[App]],Table2[],3,0),"open")</f>
        <v>ok</v>
      </c>
      <c r="C1122" s="74" t="s">
        <v>369</v>
      </c>
      <c r="D1122" t="s">
        <v>3056</v>
      </c>
      <c r="E1122" t="s">
        <v>3073</v>
      </c>
      <c r="F1122" s="71" t="s">
        <v>3065</v>
      </c>
      <c r="G1122" s="74" t="s">
        <v>400</v>
      </c>
      <c r="H1122" s="71" t="str">
        <f>IF(Proc[[#This Row],[type]]="LFF (MDG-F)",MID(Proc[[#This Row],[Obj]],13,10),"")</f>
        <v/>
      </c>
      <c r="J1122" s="71" t="b">
        <f>Proc[[#This Row],[Requested]]=Proc[[#This Row],[CurrentParent]]</f>
        <v>0</v>
      </c>
      <c r="K1122" s="71" t="str">
        <f>IF(Proc[[#This Row],[Author]]="Marcela Urrego",VLOOKUP(LEFT(Proc[[#This Row],[Requested]],1),Table3[#All],2,0),VLOOKUP(Proc[[#This Row],[Author]],Table4[],2,0))</f>
        <v>LS</v>
      </c>
      <c r="L1122" s="71" t="s">
        <v>2841</v>
      </c>
      <c r="M1122" s="81">
        <v>45765.420370370368</v>
      </c>
      <c r="N1122" s="81">
        <v>45769</v>
      </c>
      <c r="O1122" s="81">
        <v>45769</v>
      </c>
      <c r="P1122" s="82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2" t="s">
        <v>508</v>
      </c>
      <c r="S1122" s="71"/>
    </row>
    <row r="1123" spans="1:19" hidden="1">
      <c r="A1123" s="74" t="s">
        <v>3010</v>
      </c>
      <c r="B1123" s="71" t="str">
        <f>IFERROR(VLOOKUP(Proc[[#This Row],[App]],Table2[],3,0),"open")</f>
        <v>ok</v>
      </c>
      <c r="C1123" s="74" t="s">
        <v>369</v>
      </c>
      <c r="D1123" t="s">
        <v>3057</v>
      </c>
      <c r="E1123" t="s">
        <v>3074</v>
      </c>
      <c r="F1123" s="71" t="s">
        <v>3065</v>
      </c>
      <c r="G1123" s="74" t="s">
        <v>400</v>
      </c>
      <c r="H1123" s="71" t="str">
        <f>IF(Proc[[#This Row],[type]]="LFF (MDG-F)",MID(Proc[[#This Row],[Obj]],13,10),"")</f>
        <v/>
      </c>
      <c r="J1123" s="71" t="b">
        <f>Proc[[#This Row],[Requested]]=Proc[[#This Row],[CurrentParent]]</f>
        <v>0</v>
      </c>
      <c r="K1123" s="71" t="str">
        <f>IF(Proc[[#This Row],[Author]]="Marcela Urrego",VLOOKUP(LEFT(Proc[[#This Row],[Requested]],1),Table3[#All],2,0),VLOOKUP(Proc[[#This Row],[Author]],Table4[],2,0))</f>
        <v>LS</v>
      </c>
      <c r="L1123" s="71" t="s">
        <v>2841</v>
      </c>
      <c r="M1123" s="81">
        <v>45765.420370370368</v>
      </c>
      <c r="N1123" s="81">
        <v>45769</v>
      </c>
      <c r="O1123" s="81">
        <v>45769</v>
      </c>
      <c r="P1123" s="82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2" t="s">
        <v>508</v>
      </c>
      <c r="S1123" s="71"/>
    </row>
    <row r="1124" spans="1:19" hidden="1">
      <c r="A1124" t="s">
        <v>3081</v>
      </c>
      <c r="B1124" s="71" t="str">
        <f>IFERROR(VLOOKUP(Proc[[#This Row],[App]],Table2[],3,0),"open")</f>
        <v>ok</v>
      </c>
      <c r="C1124" s="74" t="s">
        <v>369</v>
      </c>
      <c r="D1124" t="s">
        <v>3082</v>
      </c>
      <c r="E1124" t="s">
        <v>419</v>
      </c>
      <c r="F1124" s="71"/>
      <c r="G1124" s="74" t="s">
        <v>400</v>
      </c>
      <c r="H1124" s="71" t="str">
        <f>IF(Proc[[#This Row],[type]]="LFF (MDG-F)",MID(Proc[[#This Row],[Obj]],13,10),"")</f>
        <v/>
      </c>
      <c r="J1124" s="71" t="b">
        <f>Proc[[#This Row],[Requested]]=Proc[[#This Row],[CurrentParent]]</f>
        <v>0</v>
      </c>
      <c r="K1124" s="71" t="str">
        <f>IF(Proc[[#This Row],[Author]]="Marcela Urrego",VLOOKUP(LEFT(Proc[[#This Row],[Requested]],1),Table3[#All],2,0),VLOOKUP(Proc[[#This Row],[Author]],Table4[],2,0))</f>
        <v>EL</v>
      </c>
      <c r="L1124" s="71" t="s">
        <v>2841</v>
      </c>
      <c r="M1124" s="81">
        <v>45763.611655092594</v>
      </c>
      <c r="N1124" s="81">
        <v>45770</v>
      </c>
      <c r="O1124" s="81">
        <v>45770</v>
      </c>
      <c r="P1124" s="82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2" t="s">
        <v>1112</v>
      </c>
      <c r="S1124" s="71"/>
    </row>
    <row r="1125" spans="1:19" hidden="1">
      <c r="A1125" s="74" t="s">
        <v>3081</v>
      </c>
      <c r="B1125" s="71" t="str">
        <f>IFERROR(VLOOKUP(Proc[[#This Row],[App]],Table2[],3,0),"open")</f>
        <v>ok</v>
      </c>
      <c r="C1125" s="74" t="s">
        <v>369</v>
      </c>
      <c r="D1125" t="s">
        <v>3083</v>
      </c>
      <c r="E1125" t="s">
        <v>419</v>
      </c>
      <c r="F1125" s="71"/>
      <c r="G1125" s="74" t="s">
        <v>400</v>
      </c>
      <c r="H1125" s="71" t="str">
        <f>IF(Proc[[#This Row],[type]]="LFF (MDG-F)",MID(Proc[[#This Row],[Obj]],13,10),"")</f>
        <v/>
      </c>
      <c r="J1125" s="71" t="b">
        <f>Proc[[#This Row],[Requested]]=Proc[[#This Row],[CurrentParent]]</f>
        <v>0</v>
      </c>
      <c r="K1125" s="71" t="str">
        <f>IF(Proc[[#This Row],[Author]]="Marcela Urrego",VLOOKUP(LEFT(Proc[[#This Row],[Requested]],1),Table3[#All],2,0),VLOOKUP(Proc[[#This Row],[Author]],Table4[],2,0))</f>
        <v>EL</v>
      </c>
      <c r="L1125" s="71" t="s">
        <v>2841</v>
      </c>
      <c r="M1125" s="81">
        <v>45763.611655092594</v>
      </c>
      <c r="N1125" s="81">
        <v>45770</v>
      </c>
      <c r="O1125" s="81">
        <v>45770</v>
      </c>
      <c r="P1125" s="82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2" t="s">
        <v>1112</v>
      </c>
      <c r="S1125" s="71"/>
    </row>
    <row r="1126" spans="1:19" hidden="1">
      <c r="A1126" s="74" t="s">
        <v>3081</v>
      </c>
      <c r="B1126" s="71" t="str">
        <f>IFERROR(VLOOKUP(Proc[[#This Row],[App]],Table2[],3,0),"open")</f>
        <v>ok</v>
      </c>
      <c r="C1126" s="74" t="s">
        <v>369</v>
      </c>
      <c r="D1126" t="s">
        <v>3084</v>
      </c>
      <c r="E1126" t="s">
        <v>419</v>
      </c>
      <c r="F1126" s="71"/>
      <c r="G1126" s="74" t="s">
        <v>400</v>
      </c>
      <c r="H1126" s="71" t="str">
        <f>IF(Proc[[#This Row],[type]]="LFF (MDG-F)",MID(Proc[[#This Row],[Obj]],13,10),"")</f>
        <v/>
      </c>
      <c r="J1126" s="71" t="b">
        <f>Proc[[#This Row],[Requested]]=Proc[[#This Row],[CurrentParent]]</f>
        <v>0</v>
      </c>
      <c r="K1126" s="71" t="str">
        <f>IF(Proc[[#This Row],[Author]]="Marcela Urrego",VLOOKUP(LEFT(Proc[[#This Row],[Requested]],1),Table3[#All],2,0),VLOOKUP(Proc[[#This Row],[Author]],Table4[],2,0))</f>
        <v>EL</v>
      </c>
      <c r="L1126" s="71" t="s">
        <v>2841</v>
      </c>
      <c r="M1126" s="81">
        <v>45763.611655092594</v>
      </c>
      <c r="N1126" s="81">
        <v>45770</v>
      </c>
      <c r="O1126" s="81">
        <v>45770</v>
      </c>
      <c r="P1126" s="82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2" t="s">
        <v>1112</v>
      </c>
      <c r="S1126" s="71"/>
    </row>
    <row r="1127" spans="1:19" hidden="1">
      <c r="A1127" s="74" t="s">
        <v>3081</v>
      </c>
      <c r="B1127" s="71" t="str">
        <f>IFERROR(VLOOKUP(Proc[[#This Row],[App]],Table2[],3,0),"open")</f>
        <v>ok</v>
      </c>
      <c r="C1127" s="74" t="s">
        <v>369</v>
      </c>
      <c r="D1127" t="s">
        <v>3085</v>
      </c>
      <c r="E1127" t="s">
        <v>419</v>
      </c>
      <c r="F1127" s="71"/>
      <c r="G1127" s="74" t="s">
        <v>400</v>
      </c>
      <c r="H1127" s="71" t="str">
        <f>IF(Proc[[#This Row],[type]]="LFF (MDG-F)",MID(Proc[[#This Row],[Obj]],13,10),"")</f>
        <v/>
      </c>
      <c r="J1127" s="71" t="b">
        <f>Proc[[#This Row],[Requested]]=Proc[[#This Row],[CurrentParent]]</f>
        <v>0</v>
      </c>
      <c r="K1127" s="71" t="str">
        <f>IF(Proc[[#This Row],[Author]]="Marcela Urrego",VLOOKUP(LEFT(Proc[[#This Row],[Requested]],1),Table3[#All],2,0),VLOOKUP(Proc[[#This Row],[Author]],Table4[],2,0))</f>
        <v>EL</v>
      </c>
      <c r="L1127" s="71" t="s">
        <v>2841</v>
      </c>
      <c r="M1127" s="81">
        <v>45763.611655092594</v>
      </c>
      <c r="N1127" s="81">
        <v>45770</v>
      </c>
      <c r="O1127" s="81">
        <v>45770</v>
      </c>
      <c r="P1127" s="82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2" t="s">
        <v>1112</v>
      </c>
      <c r="S1127" s="71"/>
    </row>
    <row r="1128" spans="1:19" hidden="1">
      <c r="A1128" s="74" t="s">
        <v>3081</v>
      </c>
      <c r="B1128" s="71" t="str">
        <f>IFERROR(VLOOKUP(Proc[[#This Row],[App]],Table2[],3,0),"open")</f>
        <v>ok</v>
      </c>
      <c r="C1128" s="74" t="s">
        <v>377</v>
      </c>
      <c r="D1128" t="s">
        <v>3086</v>
      </c>
      <c r="E1128" t="s">
        <v>419</v>
      </c>
      <c r="F1128" s="71"/>
      <c r="G1128" s="74" t="s">
        <v>400</v>
      </c>
      <c r="H1128" s="71" t="str">
        <f>IF(Proc[[#This Row],[type]]="LFF (MDG-F)",MID(Proc[[#This Row],[Obj]],13,10),"")</f>
        <v/>
      </c>
      <c r="J1128" s="71" t="b">
        <f>Proc[[#This Row],[Requested]]=Proc[[#This Row],[CurrentParent]]</f>
        <v>0</v>
      </c>
      <c r="K1128" s="71" t="str">
        <f>IF(Proc[[#This Row],[Author]]="Marcela Urrego",VLOOKUP(LEFT(Proc[[#This Row],[Requested]],1),Table3[#All],2,0),VLOOKUP(Proc[[#This Row],[Author]],Table4[],2,0))</f>
        <v>EL</v>
      </c>
      <c r="L1128" s="71" t="s">
        <v>2841</v>
      </c>
      <c r="M1128" s="81">
        <v>45763.611655092594</v>
      </c>
      <c r="N1128" s="81"/>
      <c r="O1128" s="81">
        <v>45770</v>
      </c>
      <c r="P1128" s="82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2" t="s">
        <v>1112</v>
      </c>
      <c r="S1128" s="71"/>
    </row>
    <row r="1129" spans="1:19" hidden="1">
      <c r="A1129" s="74" t="s">
        <v>3081</v>
      </c>
      <c r="B1129" s="71" t="str">
        <f>IFERROR(VLOOKUP(Proc[[#This Row],[App]],Table2[],3,0),"open")</f>
        <v>ok</v>
      </c>
      <c r="C1129" s="74" t="s">
        <v>377</v>
      </c>
      <c r="D1129" t="s">
        <v>3087</v>
      </c>
      <c r="E1129" t="s">
        <v>419</v>
      </c>
      <c r="F1129" s="71"/>
      <c r="G1129" s="74" t="s">
        <v>400</v>
      </c>
      <c r="H1129" s="71" t="str">
        <f>IF(Proc[[#This Row],[type]]="LFF (MDG-F)",MID(Proc[[#This Row],[Obj]],13,10),"")</f>
        <v/>
      </c>
      <c r="J1129" s="71" t="b">
        <f>Proc[[#This Row],[Requested]]=Proc[[#This Row],[CurrentParent]]</f>
        <v>0</v>
      </c>
      <c r="K1129" s="71" t="str">
        <f>IF(Proc[[#This Row],[Author]]="Marcela Urrego",VLOOKUP(LEFT(Proc[[#This Row],[Requested]],1),Table3[#All],2,0),VLOOKUP(Proc[[#This Row],[Author]],Table4[],2,0))</f>
        <v>EL</v>
      </c>
      <c r="L1129" s="71" t="s">
        <v>2841</v>
      </c>
      <c r="M1129" s="81">
        <v>45763.611655092594</v>
      </c>
      <c r="N1129" s="81"/>
      <c r="O1129" s="81">
        <v>45770</v>
      </c>
      <c r="P1129" s="82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2" t="s">
        <v>1112</v>
      </c>
      <c r="S1129" s="71"/>
    </row>
    <row r="1130" spans="1:19" hidden="1">
      <c r="A1130" s="74" t="s">
        <v>3081</v>
      </c>
      <c r="B1130" s="71" t="str">
        <f>IFERROR(VLOOKUP(Proc[[#This Row],[App]],Table2[],3,0),"open")</f>
        <v>ok</v>
      </c>
      <c r="C1130" s="74" t="s">
        <v>377</v>
      </c>
      <c r="D1130" t="s">
        <v>3088</v>
      </c>
      <c r="E1130" t="s">
        <v>419</v>
      </c>
      <c r="F1130" s="71"/>
      <c r="G1130" s="74" t="s">
        <v>400</v>
      </c>
      <c r="H1130" s="71" t="str">
        <f>IF(Proc[[#This Row],[type]]="LFF (MDG-F)",MID(Proc[[#This Row],[Obj]],13,10),"")</f>
        <v/>
      </c>
      <c r="J1130" s="71" t="b">
        <f>Proc[[#This Row],[Requested]]=Proc[[#This Row],[CurrentParent]]</f>
        <v>0</v>
      </c>
      <c r="K1130" s="71" t="str">
        <f>IF(Proc[[#This Row],[Author]]="Marcela Urrego",VLOOKUP(LEFT(Proc[[#This Row],[Requested]],1),Table3[#All],2,0),VLOOKUP(Proc[[#This Row],[Author]],Table4[],2,0))</f>
        <v>EL</v>
      </c>
      <c r="L1130" s="71" t="s">
        <v>2841</v>
      </c>
      <c r="M1130" s="81">
        <v>45763.611655092594</v>
      </c>
      <c r="N1130" s="81"/>
      <c r="O1130" s="81">
        <v>45770</v>
      </c>
      <c r="P1130" s="82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2" t="s">
        <v>1112</v>
      </c>
      <c r="S1130" s="71"/>
    </row>
    <row r="1131" spans="1:19" hidden="1">
      <c r="A1131" s="74" t="s">
        <v>3081</v>
      </c>
      <c r="B1131" s="71" t="str">
        <f>IFERROR(VLOOKUP(Proc[[#This Row],[App]],Table2[],3,0),"open")</f>
        <v>ok</v>
      </c>
      <c r="C1131" s="74" t="s">
        <v>377</v>
      </c>
      <c r="D1131" t="s">
        <v>3089</v>
      </c>
      <c r="E1131" t="s">
        <v>419</v>
      </c>
      <c r="F1131" s="71"/>
      <c r="G1131" s="74" t="s">
        <v>400</v>
      </c>
      <c r="H1131" s="71" t="str">
        <f>IF(Proc[[#This Row],[type]]="LFF (MDG-F)",MID(Proc[[#This Row],[Obj]],13,10),"")</f>
        <v/>
      </c>
      <c r="J1131" s="71" t="b">
        <f>Proc[[#This Row],[Requested]]=Proc[[#This Row],[CurrentParent]]</f>
        <v>0</v>
      </c>
      <c r="K1131" s="71" t="str">
        <f>IF(Proc[[#This Row],[Author]]="Marcela Urrego",VLOOKUP(LEFT(Proc[[#This Row],[Requested]],1),Table3[#All],2,0),VLOOKUP(Proc[[#This Row],[Author]],Table4[],2,0))</f>
        <v>EL</v>
      </c>
      <c r="L1131" s="71" t="s">
        <v>2841</v>
      </c>
      <c r="M1131" s="81">
        <v>45763.611655092594</v>
      </c>
      <c r="N1131" s="81"/>
      <c r="O1131" s="81">
        <v>45770</v>
      </c>
      <c r="P1131" s="82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2" t="s">
        <v>1112</v>
      </c>
      <c r="S1131" s="71"/>
    </row>
    <row r="1132" spans="1:19" hidden="1">
      <c r="A1132" t="s">
        <v>3090</v>
      </c>
      <c r="B1132" s="71" t="str">
        <f>IFERROR(VLOOKUP(Proc[[#This Row],[App]],Table2[],3,0),"open")</f>
        <v>ok</v>
      </c>
      <c r="C1132" s="74" t="s">
        <v>369</v>
      </c>
      <c r="D1132" t="s">
        <v>3091</v>
      </c>
      <c r="E1132" t="s">
        <v>3092</v>
      </c>
      <c r="F1132" s="71" t="s">
        <v>2113</v>
      </c>
      <c r="G1132" t="s">
        <v>406</v>
      </c>
      <c r="H1132" s="71" t="str">
        <f>IF(Proc[[#This Row],[type]]="LFF (MDG-F)",MID(Proc[[#This Row],[Obj]],13,10),"")</f>
        <v>2123OF0027</v>
      </c>
      <c r="I1132" t="s">
        <v>3093</v>
      </c>
      <c r="J1132" s="71" t="b">
        <f>Proc[[#This Row],[Requested]]=Proc[[#This Row],[CurrentParent]]</f>
        <v>0</v>
      </c>
      <c r="K1132" s="71" t="str">
        <f>IF(Proc[[#This Row],[Author]]="Marcela Urrego",VLOOKUP(LEFT(Proc[[#This Row],[Requested]],1),Table3[#All],2,0),VLOOKUP(Proc[[#This Row],[Author]],Table4[],2,0))</f>
        <v>MGF</v>
      </c>
      <c r="L1132" s="71" t="s">
        <v>2841</v>
      </c>
      <c r="M1132" s="81">
        <v>45763.611655092594</v>
      </c>
      <c r="N1132" s="81">
        <v>45770</v>
      </c>
      <c r="O1132" s="81">
        <v>45770</v>
      </c>
      <c r="P1132" s="82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2" t="s">
        <v>538</v>
      </c>
      <c r="S1132" s="71"/>
    </row>
    <row r="1133" spans="1:19" hidden="1">
      <c r="A1133" t="s">
        <v>3096</v>
      </c>
      <c r="B1133" s="71" t="str">
        <f>IFERROR(VLOOKUP(Proc[[#This Row],[App]],Table2[],3,0),"open")</f>
        <v>ok</v>
      </c>
      <c r="C1133" s="74" t="s">
        <v>369</v>
      </c>
      <c r="D1133" t="s">
        <v>3094</v>
      </c>
      <c r="E1133" t="s">
        <v>2674</v>
      </c>
      <c r="F1133" s="71"/>
      <c r="G1133" s="74" t="s">
        <v>400</v>
      </c>
      <c r="H1133" s="71" t="str">
        <f>IF(Proc[[#This Row],[type]]="LFF (MDG-F)",MID(Proc[[#This Row],[Obj]],13,10),"")</f>
        <v/>
      </c>
      <c r="J1133" s="71" t="b">
        <f>Proc[[#This Row],[Requested]]=Proc[[#This Row],[CurrentParent]]</f>
        <v>0</v>
      </c>
      <c r="K1133" s="71" t="str">
        <f>IF(Proc[[#This Row],[Author]]="Marcela Urrego",VLOOKUP(LEFT(Proc[[#This Row],[Requested]],1),Table3[#All],2,0),VLOOKUP(Proc[[#This Row],[Author]],Table4[],2,0))</f>
        <v>MGF</v>
      </c>
      <c r="L1133" s="71" t="s">
        <v>2841</v>
      </c>
      <c r="M1133" s="81">
        <v>45763.415729166663</v>
      </c>
      <c r="N1133" s="81">
        <v>45770</v>
      </c>
      <c r="O1133" s="81">
        <v>45770</v>
      </c>
      <c r="P1133" s="82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2" t="s">
        <v>538</v>
      </c>
      <c r="S1133" s="71"/>
    </row>
    <row r="1134" spans="1:19" hidden="1">
      <c r="A1134" s="74" t="s">
        <v>3096</v>
      </c>
      <c r="B1134" s="71" t="str">
        <f>IFERROR(VLOOKUP(Proc[[#This Row],[App]],Table2[],3,0),"open")</f>
        <v>ok</v>
      </c>
      <c r="C1134" s="74" t="s">
        <v>369</v>
      </c>
      <c r="D1134" t="s">
        <v>3095</v>
      </c>
      <c r="E1134" t="s">
        <v>2674</v>
      </c>
      <c r="F1134" s="71"/>
      <c r="G1134" s="74" t="s">
        <v>400</v>
      </c>
      <c r="H1134" s="71" t="str">
        <f>IF(Proc[[#This Row],[type]]="LFF (MDG-F)",MID(Proc[[#This Row],[Obj]],13,10),"")</f>
        <v/>
      </c>
      <c r="J1134" s="71" t="b">
        <f>Proc[[#This Row],[Requested]]=Proc[[#This Row],[CurrentParent]]</f>
        <v>0</v>
      </c>
      <c r="K1134" s="71" t="str">
        <f>IF(Proc[[#This Row],[Author]]="Marcela Urrego",VLOOKUP(LEFT(Proc[[#This Row],[Requested]],1),Table3[#All],2,0),VLOOKUP(Proc[[#This Row],[Author]],Table4[],2,0))</f>
        <v>MGF</v>
      </c>
      <c r="L1134" s="71" t="s">
        <v>2841</v>
      </c>
      <c r="M1134" s="81">
        <v>45763.415729166663</v>
      </c>
      <c r="N1134" s="81">
        <v>45770</v>
      </c>
      <c r="O1134" s="81">
        <v>45770</v>
      </c>
      <c r="P1134" s="82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2" t="s">
        <v>538</v>
      </c>
      <c r="S1134" s="71"/>
    </row>
    <row r="1135" spans="1:19" hidden="1">
      <c r="A1135" t="s">
        <v>3097</v>
      </c>
      <c r="B1135" s="71" t="str">
        <f>IFERROR(VLOOKUP(Proc[[#This Row],[App]],Table2[],3,0),"open")</f>
        <v>ok</v>
      </c>
      <c r="C1135" s="74" t="s">
        <v>369</v>
      </c>
      <c r="D1135" s="74" t="s">
        <v>3098</v>
      </c>
      <c r="E1135" t="s">
        <v>3099</v>
      </c>
      <c r="F1135" s="71" t="s">
        <v>414</v>
      </c>
      <c r="G1135" s="74" t="s">
        <v>400</v>
      </c>
      <c r="H1135" s="71" t="str">
        <f>IF(Proc[[#This Row],[type]]="LFF (MDG-F)",MID(Proc[[#This Row],[Obj]],13,10),"")</f>
        <v/>
      </c>
      <c r="J1135" s="71" t="b">
        <f>Proc[[#This Row],[Requested]]=Proc[[#This Row],[CurrentParent]]</f>
        <v>0</v>
      </c>
      <c r="K1135" s="71" t="str">
        <f>IF(Proc[[#This Row],[Author]]="Marcela Urrego",VLOOKUP(LEFT(Proc[[#This Row],[Requested]],1),Table3[#All],2,0),VLOOKUP(Proc[[#This Row],[Author]],Table4[],2,0))</f>
        <v>MGF</v>
      </c>
      <c r="L1135" s="71" t="s">
        <v>2841</v>
      </c>
      <c r="M1135" s="81">
        <v>45762.764386574076</v>
      </c>
      <c r="N1135" s="81">
        <v>45770</v>
      </c>
      <c r="O1135" s="81">
        <v>45770</v>
      </c>
      <c r="P1135" s="82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2" t="s">
        <v>538</v>
      </c>
      <c r="S1135" s="71"/>
    </row>
    <row r="1136" spans="1:19" hidden="1">
      <c r="A1136" t="s">
        <v>3101</v>
      </c>
      <c r="B1136" s="71" t="str">
        <f>IFERROR(VLOOKUP(Proc[[#This Row],[App]],Table2[],3,0),"open")</f>
        <v>ok</v>
      </c>
      <c r="C1136" s="74" t="s">
        <v>369</v>
      </c>
      <c r="D1136" t="s">
        <v>3100</v>
      </c>
      <c r="E1136" t="s">
        <v>491</v>
      </c>
      <c r="F1136" s="71" t="s">
        <v>3102</v>
      </c>
      <c r="G1136" s="74" t="s">
        <v>400</v>
      </c>
      <c r="H1136" s="71" t="str">
        <f>IF(Proc[[#This Row],[type]]="LFF (MDG-F)",MID(Proc[[#This Row],[Obj]],13,10),"")</f>
        <v/>
      </c>
      <c r="J1136" s="71" t="b">
        <f>Proc[[#This Row],[Requested]]=Proc[[#This Row],[CurrentParent]]</f>
        <v>0</v>
      </c>
      <c r="K1136" s="71" t="str">
        <f>IF(Proc[[#This Row],[Author]]="Marcela Urrego",VLOOKUP(LEFT(Proc[[#This Row],[Requested]],1),Table3[#All],2,0),VLOOKUP(Proc[[#This Row],[Author]],Table4[],2,0))</f>
        <v>MGF</v>
      </c>
      <c r="L1136" s="71" t="s">
        <v>2841</v>
      </c>
      <c r="M1136" s="81">
        <v>45762.624085648145</v>
      </c>
      <c r="N1136" s="81">
        <v>45770</v>
      </c>
      <c r="O1136" s="81">
        <v>45770</v>
      </c>
      <c r="P1136" s="82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2" t="s">
        <v>538</v>
      </c>
      <c r="S1136" s="71"/>
    </row>
    <row r="1137" spans="1:19" hidden="1">
      <c r="A1137" t="s">
        <v>3103</v>
      </c>
      <c r="B1137" s="71" t="str">
        <f>IFERROR(VLOOKUP(Proc[[#This Row],[App]],Table2[],3,0),"open")</f>
        <v>ok</v>
      </c>
      <c r="C1137" s="74" t="s">
        <v>369</v>
      </c>
      <c r="D1137" t="s">
        <v>3104</v>
      </c>
      <c r="E1137" t="s">
        <v>2878</v>
      </c>
      <c r="F1137" s="71" t="s">
        <v>1316</v>
      </c>
      <c r="G1137" s="74" t="s">
        <v>400</v>
      </c>
      <c r="H1137" s="71" t="str">
        <f>IF(Proc[[#This Row],[type]]="LFF (MDG-F)",MID(Proc[[#This Row],[Obj]],13,10),"")</f>
        <v/>
      </c>
      <c r="J1137" s="71" t="b">
        <f>Proc[[#This Row],[Requested]]=Proc[[#This Row],[CurrentParent]]</f>
        <v>0</v>
      </c>
      <c r="K1137" s="71" t="str">
        <f>IF(Proc[[#This Row],[Author]]="Marcela Urrego",VLOOKUP(LEFT(Proc[[#This Row],[Requested]],1),Table3[#All],2,0),VLOOKUP(Proc[[#This Row],[Author]],Table4[],2,0))</f>
        <v>LS</v>
      </c>
      <c r="L1137" s="71" t="s">
        <v>2841</v>
      </c>
      <c r="M1137" s="81">
        <v>45768.444976851853</v>
      </c>
      <c r="N1137" s="81">
        <v>45770</v>
      </c>
      <c r="O1137" s="81">
        <v>45770</v>
      </c>
      <c r="P1137" s="82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2" t="s">
        <v>1003</v>
      </c>
      <c r="S1137" s="71"/>
    </row>
    <row r="1138" spans="1:19" hidden="1">
      <c r="A1138" s="74" t="s">
        <v>3103</v>
      </c>
      <c r="B1138" s="71" t="str">
        <f>IFERROR(VLOOKUP(Proc[[#This Row],[App]],Table2[],3,0),"open")</f>
        <v>ok</v>
      </c>
      <c r="C1138" s="74" t="s">
        <v>377</v>
      </c>
      <c r="D1138" t="s">
        <v>3105</v>
      </c>
      <c r="E1138" t="s">
        <v>3113</v>
      </c>
      <c r="F1138" s="71" t="s">
        <v>1316</v>
      </c>
      <c r="G1138" s="74" t="s">
        <v>406</v>
      </c>
      <c r="H1138" s="71" t="str">
        <f>IF(Proc[[#This Row],[type]]="LFF (MDG-F)",MID(Proc[[#This Row],[Obj]],13,10),"")</f>
        <v>2102TPSZ93</v>
      </c>
      <c r="I1138" t="s">
        <v>850</v>
      </c>
      <c r="J1138" s="71" t="b">
        <f>Proc[[#This Row],[Requested]]=Proc[[#This Row],[CurrentParent]]</f>
        <v>0</v>
      </c>
      <c r="K1138" s="71" t="str">
        <f>IF(Proc[[#This Row],[Author]]="Marcela Urrego",VLOOKUP(LEFT(Proc[[#This Row],[Requested]],1),Table3[#All],2,0),VLOOKUP(Proc[[#This Row],[Author]],Table4[],2,0))</f>
        <v>LS</v>
      </c>
      <c r="L1138" s="71" t="s">
        <v>2841</v>
      </c>
      <c r="M1138" s="81">
        <v>45768.444976851853</v>
      </c>
      <c r="N1138" s="81"/>
      <c r="O1138" s="81">
        <v>45770</v>
      </c>
      <c r="P1138" s="82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2" t="s">
        <v>1003</v>
      </c>
      <c r="S1138" s="71"/>
    </row>
    <row r="1139" spans="1:19" hidden="1">
      <c r="A1139" s="74" t="s">
        <v>3103</v>
      </c>
      <c r="B1139" s="71" t="str">
        <f>IFERROR(VLOOKUP(Proc[[#This Row],[App]],Table2[],3,0),"open")</f>
        <v>ok</v>
      </c>
      <c r="C1139" s="74" t="s">
        <v>369</v>
      </c>
      <c r="D1139" t="s">
        <v>3106</v>
      </c>
      <c r="E1139" t="s">
        <v>3114</v>
      </c>
      <c r="F1139" s="71" t="s">
        <v>1316</v>
      </c>
      <c r="G1139" s="74" t="s">
        <v>400</v>
      </c>
      <c r="H1139" s="71" t="str">
        <f>IF(Proc[[#This Row],[type]]="LFF (MDG-F)",MID(Proc[[#This Row],[Obj]],13,10),"")</f>
        <v/>
      </c>
      <c r="J1139" s="71" t="b">
        <f>Proc[[#This Row],[Requested]]=Proc[[#This Row],[CurrentParent]]</f>
        <v>0</v>
      </c>
      <c r="K1139" s="71" t="str">
        <f>IF(Proc[[#This Row],[Author]]="Marcela Urrego",VLOOKUP(LEFT(Proc[[#This Row],[Requested]],1),Table3[#All],2,0),VLOOKUP(Proc[[#This Row],[Author]],Table4[],2,0))</f>
        <v>LS</v>
      </c>
      <c r="L1139" s="71" t="s">
        <v>2841</v>
      </c>
      <c r="M1139" s="81">
        <v>45768.444976851853</v>
      </c>
      <c r="N1139" s="81">
        <v>45770</v>
      </c>
      <c r="O1139" s="81">
        <v>45770</v>
      </c>
      <c r="P1139" s="82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2" t="s">
        <v>1003</v>
      </c>
      <c r="S1139" s="71"/>
    </row>
    <row r="1140" spans="1:19" hidden="1">
      <c r="A1140" s="74" t="s">
        <v>3103</v>
      </c>
      <c r="B1140" s="71" t="str">
        <f>IFERROR(VLOOKUP(Proc[[#This Row],[App]],Table2[],3,0),"open")</f>
        <v>ok</v>
      </c>
      <c r="C1140" s="74" t="s">
        <v>369</v>
      </c>
      <c r="D1140" t="s">
        <v>3107</v>
      </c>
      <c r="E1140" t="s">
        <v>3115</v>
      </c>
      <c r="F1140" s="71" t="s">
        <v>1316</v>
      </c>
      <c r="G1140" s="74" t="s">
        <v>400</v>
      </c>
      <c r="H1140" s="71" t="str">
        <f>IF(Proc[[#This Row],[type]]="LFF (MDG-F)",MID(Proc[[#This Row],[Obj]],13,10),"")</f>
        <v/>
      </c>
      <c r="J1140" s="71" t="b">
        <f>Proc[[#This Row],[Requested]]=Proc[[#This Row],[CurrentParent]]</f>
        <v>0</v>
      </c>
      <c r="K1140" s="71" t="str">
        <f>IF(Proc[[#This Row],[Author]]="Marcela Urrego",VLOOKUP(LEFT(Proc[[#This Row],[Requested]],1),Table3[#All],2,0),VLOOKUP(Proc[[#This Row],[Author]],Table4[],2,0))</f>
        <v>LS</v>
      </c>
      <c r="L1140" s="71" t="s">
        <v>2841</v>
      </c>
      <c r="M1140" s="81">
        <v>45768.444976851853</v>
      </c>
      <c r="N1140" s="81">
        <v>45770</v>
      </c>
      <c r="O1140" s="81">
        <v>45770</v>
      </c>
      <c r="P1140" s="82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2" t="s">
        <v>1003</v>
      </c>
      <c r="S1140" s="71"/>
    </row>
    <row r="1141" spans="1:19" hidden="1">
      <c r="A1141" s="74" t="s">
        <v>3103</v>
      </c>
      <c r="B1141" s="71" t="str">
        <f>IFERROR(VLOOKUP(Proc[[#This Row],[App]],Table2[],3,0),"open")</f>
        <v>ok</v>
      </c>
      <c r="C1141" s="74" t="s">
        <v>369</v>
      </c>
      <c r="D1141" t="s">
        <v>3108</v>
      </c>
      <c r="E1141" t="s">
        <v>3115</v>
      </c>
      <c r="F1141" s="71" t="s">
        <v>1316</v>
      </c>
      <c r="G1141" s="74" t="s">
        <v>400</v>
      </c>
      <c r="H1141" s="71" t="str">
        <f>IF(Proc[[#This Row],[type]]="LFF (MDG-F)",MID(Proc[[#This Row],[Obj]],13,10),"")</f>
        <v/>
      </c>
      <c r="J1141" s="71" t="b">
        <f>Proc[[#This Row],[Requested]]=Proc[[#This Row],[CurrentParent]]</f>
        <v>0</v>
      </c>
      <c r="K1141" s="71" t="str">
        <f>IF(Proc[[#This Row],[Author]]="Marcela Urrego",VLOOKUP(LEFT(Proc[[#This Row],[Requested]],1),Table3[#All],2,0),VLOOKUP(Proc[[#This Row],[Author]],Table4[],2,0))</f>
        <v>LS</v>
      </c>
      <c r="L1141" s="71" t="s">
        <v>2841</v>
      </c>
      <c r="M1141" s="81">
        <v>45768.444976851853</v>
      </c>
      <c r="N1141" s="81">
        <v>45770</v>
      </c>
      <c r="O1141" s="81">
        <v>45770</v>
      </c>
      <c r="P1141" s="82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2" t="s">
        <v>1003</v>
      </c>
      <c r="S1141" s="71"/>
    </row>
    <row r="1142" spans="1:19" hidden="1">
      <c r="A1142" s="74" t="s">
        <v>3103</v>
      </c>
      <c r="B1142" s="71" t="str">
        <f>IFERROR(VLOOKUP(Proc[[#This Row],[App]],Table2[],3,0),"open")</f>
        <v>ok</v>
      </c>
      <c r="C1142" s="74" t="s">
        <v>369</v>
      </c>
      <c r="D1142" t="s">
        <v>3109</v>
      </c>
      <c r="E1142" t="s">
        <v>3116</v>
      </c>
      <c r="F1142" s="71" t="s">
        <v>1316</v>
      </c>
      <c r="G1142" s="74" t="s">
        <v>400</v>
      </c>
      <c r="H1142" s="71" t="str">
        <f>IF(Proc[[#This Row],[type]]="LFF (MDG-F)",MID(Proc[[#This Row],[Obj]],13,10),"")</f>
        <v/>
      </c>
      <c r="J1142" s="71" t="b">
        <f>Proc[[#This Row],[Requested]]=Proc[[#This Row],[CurrentParent]]</f>
        <v>0</v>
      </c>
      <c r="K1142" s="71" t="str">
        <f>IF(Proc[[#This Row],[Author]]="Marcela Urrego",VLOOKUP(LEFT(Proc[[#This Row],[Requested]],1),Table3[#All],2,0),VLOOKUP(Proc[[#This Row],[Author]],Table4[],2,0))</f>
        <v>LS</v>
      </c>
      <c r="L1142" s="71" t="s">
        <v>2841</v>
      </c>
      <c r="M1142" s="81">
        <v>45768.444976851853</v>
      </c>
      <c r="N1142" s="81">
        <v>45770</v>
      </c>
      <c r="O1142" s="81">
        <v>45770</v>
      </c>
      <c r="P1142" s="82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2" t="s">
        <v>1003</v>
      </c>
      <c r="S1142" s="71"/>
    </row>
    <row r="1143" spans="1:19" hidden="1">
      <c r="A1143" s="74" t="s">
        <v>3103</v>
      </c>
      <c r="B1143" s="71" t="str">
        <f>IFERROR(VLOOKUP(Proc[[#This Row],[App]],Table2[],3,0),"open")</f>
        <v>ok</v>
      </c>
      <c r="C1143" s="74" t="s">
        <v>369</v>
      </c>
      <c r="D1143" t="s">
        <v>3110</v>
      </c>
      <c r="E1143" t="s">
        <v>2618</v>
      </c>
      <c r="F1143" s="71" t="s">
        <v>1316</v>
      </c>
      <c r="G1143" s="74" t="s">
        <v>400</v>
      </c>
      <c r="H1143" s="71" t="str">
        <f>IF(Proc[[#This Row],[type]]="LFF (MDG-F)",MID(Proc[[#This Row],[Obj]],13,10),"")</f>
        <v/>
      </c>
      <c r="J1143" s="71" t="b">
        <f>Proc[[#This Row],[Requested]]=Proc[[#This Row],[CurrentParent]]</f>
        <v>0</v>
      </c>
      <c r="K1143" s="71" t="str">
        <f>IF(Proc[[#This Row],[Author]]="Marcela Urrego",VLOOKUP(LEFT(Proc[[#This Row],[Requested]],1),Table3[#All],2,0),VLOOKUP(Proc[[#This Row],[Author]],Table4[],2,0))</f>
        <v>LS</v>
      </c>
      <c r="L1143" s="71" t="s">
        <v>2841</v>
      </c>
      <c r="M1143" s="81">
        <v>45768.444976851853</v>
      </c>
      <c r="N1143" s="81">
        <v>45770</v>
      </c>
      <c r="O1143" s="81">
        <v>45770</v>
      </c>
      <c r="P1143" s="82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2" t="s">
        <v>1003</v>
      </c>
      <c r="S1143" s="71"/>
    </row>
    <row r="1144" spans="1:19" hidden="1">
      <c r="A1144" s="74" t="s">
        <v>3103</v>
      </c>
      <c r="B1144" s="71" t="str">
        <f>IFERROR(VLOOKUP(Proc[[#This Row],[App]],Table2[],3,0),"open")</f>
        <v>ok</v>
      </c>
      <c r="C1144" s="74" t="s">
        <v>369</v>
      </c>
      <c r="D1144" t="s">
        <v>3111</v>
      </c>
      <c r="E1144" t="s">
        <v>2618</v>
      </c>
      <c r="F1144" s="71" t="s">
        <v>1316</v>
      </c>
      <c r="G1144" s="74" t="s">
        <v>400</v>
      </c>
      <c r="H1144" s="71" t="str">
        <f>IF(Proc[[#This Row],[type]]="LFF (MDG-F)",MID(Proc[[#This Row],[Obj]],13,10),"")</f>
        <v/>
      </c>
      <c r="J1144" s="71" t="b">
        <f>Proc[[#This Row],[Requested]]=Proc[[#This Row],[CurrentParent]]</f>
        <v>0</v>
      </c>
      <c r="K1144" s="71" t="str">
        <f>IF(Proc[[#This Row],[Author]]="Marcela Urrego",VLOOKUP(LEFT(Proc[[#This Row],[Requested]],1),Table3[#All],2,0),VLOOKUP(Proc[[#This Row],[Author]],Table4[],2,0))</f>
        <v>LS</v>
      </c>
      <c r="L1144" s="71" t="s">
        <v>2841</v>
      </c>
      <c r="M1144" s="81">
        <v>45768.444976851853</v>
      </c>
      <c r="N1144" s="81">
        <v>45770</v>
      </c>
      <c r="O1144" s="81">
        <v>45770</v>
      </c>
      <c r="P1144" s="82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2" t="s">
        <v>1003</v>
      </c>
      <c r="S1144" s="71"/>
    </row>
    <row r="1145" spans="1:19" hidden="1">
      <c r="A1145" s="74" t="s">
        <v>3103</v>
      </c>
      <c r="B1145" s="71" t="str">
        <f>IFERROR(VLOOKUP(Proc[[#This Row],[App]],Table2[],3,0),"open")</f>
        <v>ok</v>
      </c>
      <c r="C1145" s="74" t="s">
        <v>369</v>
      </c>
      <c r="D1145" t="s">
        <v>3112</v>
      </c>
      <c r="E1145" t="s">
        <v>2618</v>
      </c>
      <c r="F1145" s="71" t="s">
        <v>1316</v>
      </c>
      <c r="G1145" s="74" t="s">
        <v>400</v>
      </c>
      <c r="H1145" s="71" t="str">
        <f>IF(Proc[[#This Row],[type]]="LFF (MDG-F)",MID(Proc[[#This Row],[Obj]],13,10),"")</f>
        <v/>
      </c>
      <c r="J1145" s="71" t="b">
        <f>Proc[[#This Row],[Requested]]=Proc[[#This Row],[CurrentParent]]</f>
        <v>0</v>
      </c>
      <c r="K1145" s="71" t="str">
        <f>IF(Proc[[#This Row],[Author]]="Marcela Urrego",VLOOKUP(LEFT(Proc[[#This Row],[Requested]],1),Table3[#All],2,0),VLOOKUP(Proc[[#This Row],[Author]],Table4[],2,0))</f>
        <v>LS</v>
      </c>
      <c r="L1145" s="71" t="s">
        <v>2841</v>
      </c>
      <c r="M1145" s="81">
        <v>45768.444976851853</v>
      </c>
      <c r="N1145" s="81">
        <v>45770</v>
      </c>
      <c r="O1145" s="81">
        <v>45770</v>
      </c>
      <c r="P1145" s="82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2" t="s">
        <v>1003</v>
      </c>
      <c r="S1145" s="71"/>
    </row>
    <row r="1146" spans="1:19" hidden="1">
      <c r="A1146" s="74" t="s">
        <v>3103</v>
      </c>
      <c r="B1146" s="71" t="str">
        <f>IFERROR(VLOOKUP(Proc[[#This Row],[App]],Table2[],3,0),"open")</f>
        <v>ok</v>
      </c>
      <c r="C1146" s="74" t="s">
        <v>369</v>
      </c>
      <c r="D1146" t="s">
        <v>3119</v>
      </c>
      <c r="E1146" t="s">
        <v>3117</v>
      </c>
      <c r="F1146" s="71" t="s">
        <v>1316</v>
      </c>
      <c r="G1146" s="74" t="s">
        <v>400</v>
      </c>
      <c r="H1146" s="71" t="str">
        <f>IF(Proc[[#This Row],[type]]="LFF (MDG-F)",MID(Proc[[#This Row],[Obj]],13,10),"")</f>
        <v/>
      </c>
      <c r="J1146" s="71" t="b">
        <f>Proc[[#This Row],[Requested]]=Proc[[#This Row],[CurrentParent]]</f>
        <v>0</v>
      </c>
      <c r="K1146" s="71" t="str">
        <f>IF(Proc[[#This Row],[Author]]="Marcela Urrego",VLOOKUP(LEFT(Proc[[#This Row],[Requested]],1),Table3[#All],2,0),VLOOKUP(Proc[[#This Row],[Author]],Table4[],2,0))</f>
        <v>LS</v>
      </c>
      <c r="L1146" s="71" t="s">
        <v>2841</v>
      </c>
      <c r="M1146" s="81">
        <v>45768.444976851853</v>
      </c>
      <c r="N1146" s="81">
        <v>45770</v>
      </c>
      <c r="O1146" s="81">
        <v>45770</v>
      </c>
      <c r="P1146" s="82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2" t="s">
        <v>1003</v>
      </c>
      <c r="S1146" s="71"/>
    </row>
    <row r="1147" spans="1:19" hidden="1">
      <c r="A1147" t="s">
        <v>3122</v>
      </c>
      <c r="B1147" s="71" t="str">
        <f>IFERROR(VLOOKUP(Proc[[#This Row],[App]],Table2[],3,0),"open")</f>
        <v>ok</v>
      </c>
      <c r="C1147" s="74" t="s">
        <v>369</v>
      </c>
      <c r="D1147" t="s">
        <v>3121</v>
      </c>
      <c r="E1147" t="s">
        <v>414</v>
      </c>
      <c r="F1147" s="71" t="s">
        <v>2836</v>
      </c>
      <c r="G1147" s="74" t="s">
        <v>400</v>
      </c>
      <c r="H1147" s="71" t="str">
        <f>IF(Proc[[#This Row],[type]]="LFF (MDG-F)",MID(Proc[[#This Row],[Obj]],13,10),"")</f>
        <v/>
      </c>
      <c r="J1147" s="71" t="b">
        <f>Proc[[#This Row],[Requested]]=Proc[[#This Row],[CurrentParent]]</f>
        <v>0</v>
      </c>
      <c r="K1147" s="71" t="str">
        <f>IF(Proc[[#This Row],[Author]]="Marcela Urrego",VLOOKUP(LEFT(Proc[[#This Row],[Requested]],1),Table3[#All],2,0),VLOOKUP(Proc[[#This Row],[Author]],Table4[],2,0))</f>
        <v>HC</v>
      </c>
      <c r="L1147" s="71" t="s">
        <v>2841</v>
      </c>
      <c r="M1147" s="81">
        <v>45769.308611111112</v>
      </c>
      <c r="N1147" s="81">
        <v>45770</v>
      </c>
      <c r="O1147" s="81">
        <v>45770</v>
      </c>
      <c r="P1147" s="82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2" t="s">
        <v>983</v>
      </c>
      <c r="S1147" s="71"/>
    </row>
    <row r="1148" spans="1:19">
      <c r="A1148" t="s">
        <v>3129</v>
      </c>
      <c r="B1148" s="71" t="str">
        <f>IFERROR(VLOOKUP(Proc[[#This Row],[App]],Table2[],3,0),"open")</f>
        <v>open</v>
      </c>
      <c r="C1148" t="s">
        <v>375</v>
      </c>
      <c r="D1148" t="s">
        <v>3123</v>
      </c>
      <c r="E1148" t="s">
        <v>3127</v>
      </c>
      <c r="F1148" s="71"/>
      <c r="G1148" t="s">
        <v>406</v>
      </c>
      <c r="H1148" s="71" t="str">
        <f>IF(Proc[[#This Row],[type]]="LFF (MDG-F)",MID(Proc[[#This Row],[Obj]],13,10),"")</f>
        <v>AE50R0GR11</v>
      </c>
      <c r="I1148" t="s">
        <v>3134</v>
      </c>
      <c r="J1148" s="71" t="b">
        <f>Proc[[#This Row],[Requested]]=Proc[[#This Row],[CurrentParent]]</f>
        <v>0</v>
      </c>
      <c r="K1148" s="71" t="str">
        <f>IF(Proc[[#This Row],[Author]]="Marcela Urrego",VLOOKUP(LEFT(Proc[[#This Row],[Requested]],1),Table3[#All],2,0),VLOOKUP(Proc[[#This Row],[Author]],Table4[],2,0))</f>
        <v>HC</v>
      </c>
      <c r="L1148" s="71" t="s">
        <v>2841</v>
      </c>
      <c r="M1148" s="81">
        <v>45770.381412037037</v>
      </c>
      <c r="N1148" s="81"/>
      <c r="O1148" s="81"/>
      <c r="P1148" s="82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0</v>
      </c>
      <c r="R1148" s="82" t="s">
        <v>416</v>
      </c>
      <c r="S1148" s="71"/>
    </row>
    <row r="1149" spans="1:19">
      <c r="A1149" s="74" t="s">
        <v>3129</v>
      </c>
      <c r="B1149" s="71" t="str">
        <f>IFERROR(VLOOKUP(Proc[[#This Row],[App]],Table2[],3,0),"open")</f>
        <v>open</v>
      </c>
      <c r="C1149" s="74" t="s">
        <v>370</v>
      </c>
      <c r="D1149" t="s">
        <v>3124</v>
      </c>
      <c r="E1149" t="s">
        <v>3128</v>
      </c>
      <c r="F1149" s="71"/>
      <c r="G1149" s="74" t="s">
        <v>400</v>
      </c>
      <c r="H1149" s="71" t="str">
        <f>IF(Proc[[#This Row],[type]]="LFF (MDG-F)",MID(Proc[[#This Row],[Obj]],13,10),"")</f>
        <v/>
      </c>
      <c r="J1149" s="71" t="b">
        <f>Proc[[#This Row],[Requested]]=Proc[[#This Row],[CurrentParent]]</f>
        <v>0</v>
      </c>
      <c r="K1149" s="71" t="str">
        <f>IF(Proc[[#This Row],[Author]]="Marcela Urrego",VLOOKUP(LEFT(Proc[[#This Row],[Requested]],1),Table3[#All],2,0),VLOOKUP(Proc[[#This Row],[Author]],Table4[],2,0))</f>
        <v>HC</v>
      </c>
      <c r="L1149" s="71" t="s">
        <v>2841</v>
      </c>
      <c r="M1149" s="81">
        <v>45770.381412037037</v>
      </c>
      <c r="N1149" s="81"/>
      <c r="O1149" s="81"/>
      <c r="P1149" s="82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0</v>
      </c>
      <c r="R1149" s="82" t="s">
        <v>416</v>
      </c>
      <c r="S1149" s="71"/>
    </row>
    <row r="1150" spans="1:19">
      <c r="A1150" s="74" t="s">
        <v>3129</v>
      </c>
      <c r="B1150" s="71" t="str">
        <f>IFERROR(VLOOKUP(Proc[[#This Row],[App]],Table2[],3,0),"open")</f>
        <v>open</v>
      </c>
      <c r="C1150" s="74" t="s">
        <v>370</v>
      </c>
      <c r="D1150" t="s">
        <v>3125</v>
      </c>
      <c r="E1150" t="s">
        <v>3128</v>
      </c>
      <c r="F1150" s="71"/>
      <c r="G1150" s="74" t="s">
        <v>400</v>
      </c>
      <c r="H1150" s="71" t="str">
        <f>IF(Proc[[#This Row],[type]]="LFF (MDG-F)",MID(Proc[[#This Row],[Obj]],13,10),"")</f>
        <v/>
      </c>
      <c r="J1150" s="71" t="b">
        <f>Proc[[#This Row],[Requested]]=Proc[[#This Row],[CurrentParent]]</f>
        <v>0</v>
      </c>
      <c r="K1150" s="71" t="str">
        <f>IF(Proc[[#This Row],[Author]]="Marcela Urrego",VLOOKUP(LEFT(Proc[[#This Row],[Requested]],1),Table3[#All],2,0),VLOOKUP(Proc[[#This Row],[Author]],Table4[],2,0))</f>
        <v>HC</v>
      </c>
      <c r="L1150" s="71" t="s">
        <v>2841</v>
      </c>
      <c r="M1150" s="81">
        <v>45770.381412037037</v>
      </c>
      <c r="N1150" s="81"/>
      <c r="O1150" s="81"/>
      <c r="P1150" s="82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0</v>
      </c>
      <c r="R1150" s="82" t="s">
        <v>416</v>
      </c>
      <c r="S1150" s="71"/>
    </row>
    <row r="1151" spans="1:19">
      <c r="A1151" s="74" t="s">
        <v>3129</v>
      </c>
      <c r="B1151" s="71" t="str">
        <f>IFERROR(VLOOKUP(Proc[[#This Row],[App]],Table2[],3,0),"open")</f>
        <v>open</v>
      </c>
      <c r="C1151" s="74" t="s">
        <v>370</v>
      </c>
      <c r="D1151" t="s">
        <v>3126</v>
      </c>
      <c r="E1151" t="s">
        <v>3128</v>
      </c>
      <c r="F1151" s="71"/>
      <c r="G1151" s="74" t="s">
        <v>400</v>
      </c>
      <c r="H1151" s="71" t="str">
        <f>IF(Proc[[#This Row],[type]]="LFF (MDG-F)",MID(Proc[[#This Row],[Obj]],13,10),"")</f>
        <v/>
      </c>
      <c r="J1151" s="71" t="b">
        <f>Proc[[#This Row],[Requested]]=Proc[[#This Row],[CurrentParent]]</f>
        <v>0</v>
      </c>
      <c r="K1151" s="71" t="str">
        <f>IF(Proc[[#This Row],[Author]]="Marcela Urrego",VLOOKUP(LEFT(Proc[[#This Row],[Requested]],1),Table3[#All],2,0),VLOOKUP(Proc[[#This Row],[Author]],Table4[],2,0))</f>
        <v>HC</v>
      </c>
      <c r="L1151" s="71" t="s">
        <v>2841</v>
      </c>
      <c r="M1151" s="81">
        <v>45770.381412037037</v>
      </c>
      <c r="N1151" s="81"/>
      <c r="O1151" s="81"/>
      <c r="P1151" s="82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0</v>
      </c>
      <c r="R1151" s="82" t="s">
        <v>416</v>
      </c>
      <c r="S1151" s="71"/>
    </row>
    <row r="1152" spans="1:19" hidden="1">
      <c r="A1152" t="s">
        <v>3133</v>
      </c>
      <c r="B1152" s="71" t="str">
        <f>IFERROR(VLOOKUP(Proc[[#This Row],[App]],Table2[],3,0),"open")</f>
        <v>open</v>
      </c>
      <c r="C1152" s="74" t="s">
        <v>369</v>
      </c>
      <c r="D1152" t="s">
        <v>3100</v>
      </c>
      <c r="E1152" t="s">
        <v>491</v>
      </c>
      <c r="F1152" s="71" t="s">
        <v>3102</v>
      </c>
      <c r="G1152" s="74" t="s">
        <v>400</v>
      </c>
      <c r="H1152" s="71" t="str">
        <f>IF(Proc[[#This Row],[type]]="LFF (MDG-F)",MID(Proc[[#This Row],[Obj]],13,10),"")</f>
        <v/>
      </c>
      <c r="I1152" t="s">
        <v>1250</v>
      </c>
      <c r="J1152" s="71" t="b">
        <f>Proc[[#This Row],[Requested]]=Proc[[#This Row],[CurrentParent]]</f>
        <v>0</v>
      </c>
      <c r="K1152" s="71" t="str">
        <f>IF(Proc[[#This Row],[Author]]="Marcela Urrego",VLOOKUP(LEFT(Proc[[#This Row],[Requested]],1),Table3[#All],2,0),VLOOKUP(Proc[[#This Row],[Author]],Table4[],2,0))</f>
        <v>MGF</v>
      </c>
      <c r="L1152" s="71" t="s">
        <v>2841</v>
      </c>
      <c r="M1152" s="81">
        <v>45769.638298611113</v>
      </c>
      <c r="N1152" s="81"/>
      <c r="O1152" s="81"/>
      <c r="P1152" s="82" t="str">
        <f ca="1">IF(Proc[[#This Row],[DaysAgeing]]&gt;5,"yep","on track")</f>
        <v>on track</v>
      </c>
      <c r="Q1152" s="3">
        <f ca="1">IF(Proc[[#This Row],[DateClosed]]="",ABS(NETWORKDAYS(Proc[[#This Row],[DateOpened]],TODAY()))-1,ABS(NETWORKDAYS(Proc[[#This Row],[DateOpened]],Proc[[#This Row],[DateClosed]]))-1)</f>
        <v>1</v>
      </c>
      <c r="R1152" s="82" t="s">
        <v>538</v>
      </c>
      <c r="S1152" s="71"/>
    </row>
    <row r="1153" spans="1:19">
      <c r="A1153" s="74" t="s">
        <v>3133</v>
      </c>
      <c r="B1153" s="71" t="str">
        <f>IFERROR(VLOOKUP(Proc[[#This Row],[App]],Table2[],3,0),"open")</f>
        <v>open</v>
      </c>
      <c r="C1153" s="74" t="s">
        <v>370</v>
      </c>
      <c r="D1153" t="s">
        <v>3130</v>
      </c>
      <c r="E1153" t="s">
        <v>2771</v>
      </c>
      <c r="F1153" s="71" t="s">
        <v>3132</v>
      </c>
      <c r="G1153" s="74" t="s">
        <v>400</v>
      </c>
      <c r="H1153" s="71" t="str">
        <f>IF(Proc[[#This Row],[type]]="LFF (MDG-F)",MID(Proc[[#This Row],[Obj]],13,10),"")</f>
        <v/>
      </c>
      <c r="J1153" s="71" t="b">
        <f>Proc[[#This Row],[Requested]]=Proc[[#This Row],[CurrentParent]]</f>
        <v>0</v>
      </c>
      <c r="K1153" s="71" t="str">
        <f>IF(Proc[[#This Row],[Author]]="Marcela Urrego",VLOOKUP(LEFT(Proc[[#This Row],[Requested]],1),Table3[#All],2,0),VLOOKUP(Proc[[#This Row],[Author]],Table4[],2,0))</f>
        <v>MGF</v>
      </c>
      <c r="L1153" s="71" t="s">
        <v>2841</v>
      </c>
      <c r="M1153" s="81">
        <v>45769.638298611113</v>
      </c>
      <c r="N1153" s="81"/>
      <c r="O1153" s="81"/>
      <c r="P1153" s="82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1</v>
      </c>
      <c r="R1153" s="82" t="s">
        <v>538</v>
      </c>
      <c r="S1153" s="71"/>
    </row>
    <row r="1154" spans="1:19">
      <c r="A1154" s="74" t="s">
        <v>3133</v>
      </c>
      <c r="B1154" s="71" t="str">
        <f>IFERROR(VLOOKUP(Proc[[#This Row],[App]],Table2[],3,0),"open")</f>
        <v>open</v>
      </c>
      <c r="C1154" s="74" t="s">
        <v>370</v>
      </c>
      <c r="D1154" t="s">
        <v>3131</v>
      </c>
      <c r="E1154" t="s">
        <v>2893</v>
      </c>
      <c r="F1154" s="71" t="s">
        <v>3132</v>
      </c>
      <c r="G1154" s="74" t="s">
        <v>400</v>
      </c>
      <c r="H1154" s="71" t="str">
        <f>IF(Proc[[#This Row],[type]]="LFF (MDG-F)",MID(Proc[[#This Row],[Obj]],13,10),"")</f>
        <v/>
      </c>
      <c r="J1154" s="71" t="b">
        <f>Proc[[#This Row],[Requested]]=Proc[[#This Row],[CurrentParent]]</f>
        <v>0</v>
      </c>
      <c r="K1154" s="71" t="str">
        <f>IF(Proc[[#This Row],[Author]]="Marcela Urrego",VLOOKUP(LEFT(Proc[[#This Row],[Requested]],1),Table3[#All],2,0),VLOOKUP(Proc[[#This Row],[Author]],Table4[],2,0))</f>
        <v>MGF</v>
      </c>
      <c r="L1154" s="71" t="s">
        <v>2841</v>
      </c>
      <c r="M1154" s="81">
        <v>45769.638298611113</v>
      </c>
      <c r="N1154" s="81"/>
      <c r="O1154" s="81"/>
      <c r="P1154" s="82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1</v>
      </c>
      <c r="R1154" s="82" t="s">
        <v>538</v>
      </c>
      <c r="S1154" s="71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G2:G1154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2954</v>
      </c>
      <c r="B121" t="s">
        <v>594</v>
      </c>
    </row>
    <row r="122" spans="1:2">
      <c r="A122" s="80" t="s">
        <v>2974</v>
      </c>
      <c r="B122" s="74" t="s">
        <v>595</v>
      </c>
    </row>
    <row r="123" spans="1:2">
      <c r="A123" s="80" t="s">
        <v>2977</v>
      </c>
      <c r="B123" s="74" t="s">
        <v>594</v>
      </c>
    </row>
    <row r="124" spans="1:2">
      <c r="A124" t="s">
        <v>3007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2025-04-23T09:48:36Z</dcterms:modified>
  <cp:category/>
  <cp:contentStatus/>
</cp:coreProperties>
</file>