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A29CD71E-3BEB-49C8-A07F-E48D06DD5E73}" xr6:coauthVersionLast="47" xr6:coauthVersionMax="47" xr10:uidLastSave="{00000000-0000-0000-0000-000000000000}"/>
  <bookViews>
    <workbookView xWindow="2685" yWindow="2685" windowWidth="29010" windowHeight="14385" activeTab="2" xr2:uid="{00000000-000D-0000-FFFF-FFFF00000000}"/>
  </bookViews>
  <sheets>
    <sheet name="pvt" sheetId="17" r:id="rId1"/>
    <sheet name="Okey" sheetId="10" r:id="rId2"/>
    <sheet name="STUCT1" sheetId="1" r:id="rId3"/>
    <sheet name="Sheet3" sheetId="30" r:id="rId4"/>
    <sheet name="Sheet2" sheetId="29" r:id="rId5"/>
    <sheet name="Sheet1" sheetId="28" r:id="rId6"/>
    <sheet name="Names" sheetId="5" r:id="rId7"/>
    <sheet name="NEW NODES" sheetId="6" r:id="rId8"/>
    <sheet name="People" sheetId="7" r:id="rId9"/>
    <sheet name="2023" sheetId="8" state="hidden" r:id="rId10"/>
    <sheet name="2024" sheetId="19" state="hidden" r:id="rId11"/>
    <sheet name="old" sheetId="27" state="hidden" r:id="rId12"/>
    <sheet name="Sectors" sheetId="9" r:id="rId13"/>
    <sheet name="KPI" sheetId="12" r:id="rId14"/>
  </sheets>
  <definedNames>
    <definedName name="_xlnm._FilterDatabase" localSheetId="9">'2023'!$A$1:$M$1</definedName>
    <definedName name="_xlnm._FilterDatabase" localSheetId="6">Names!$A$237:$G$388</definedName>
    <definedName name="_xlnm._FilterDatabase" localSheetId="8">People!$A$1:$B$1</definedName>
    <definedName name="_xlnm._FilterDatabase" localSheetId="2">STUCT1!#REF!</definedName>
  </definedNames>
  <calcPr calcId="181029"/>
  <pivotCaches>
    <pivotCache cacheId="0" r:id="rId1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598" i="1" l="1"/>
  <c r="A1599" i="1" s="1"/>
  <c r="H1598" i="1"/>
  <c r="H1599" i="1"/>
  <c r="A1597" i="1"/>
  <c r="H1597" i="1"/>
  <c r="A1591" i="1"/>
  <c r="A1592" i="1" s="1"/>
  <c r="A1593" i="1" s="1"/>
  <c r="A1594" i="1" s="1"/>
  <c r="A1595" i="1" s="1"/>
  <c r="A1596" i="1" s="1"/>
  <c r="H1591" i="1"/>
  <c r="H1592" i="1"/>
  <c r="H1593" i="1"/>
  <c r="H1594" i="1"/>
  <c r="H1595" i="1"/>
  <c r="H1596" i="1"/>
  <c r="A1559" i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D3" i="28"/>
  <c r="D4" i="28" s="1"/>
  <c r="D5" i="28" s="1"/>
  <c r="D6" i="28" s="1"/>
  <c r="D7" i="28" s="1"/>
  <c r="D8" i="28" s="1"/>
  <c r="D9" i="28" s="1"/>
  <c r="D10" i="28" s="1"/>
  <c r="D11" i="28" s="1"/>
  <c r="D12" i="28" s="1"/>
  <c r="D13" i="28" s="1"/>
  <c r="D14" i="28" s="1"/>
  <c r="D15" i="28" s="1"/>
  <c r="D16" i="28" s="1"/>
  <c r="D17" i="28" s="1"/>
  <c r="D18" i="28" s="1"/>
  <c r="D19" i="28" s="1"/>
  <c r="D20" i="28" s="1"/>
  <c r="D21" i="28" s="1"/>
  <c r="D22" i="28" s="1"/>
  <c r="D2" i="28"/>
  <c r="E1" i="28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</calcChain>
</file>

<file path=xl/sharedStrings.xml><?xml version="1.0" encoding="utf-8"?>
<sst xmlns="http://schemas.openxmlformats.org/spreadsheetml/2006/main" count="56268" uniqueCount="9854">
  <si>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</si>
  <si>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</si>
  <si>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</si>
  <si>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</si>
  <si>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</si>
  <si>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</si>
  <si>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</si>
  <si>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</si>
  <si>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</si>
  <si>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</si>
  <si>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</si>
  <si>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</si>
  <si>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</si>
  <si>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</si>
  <si>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</si>
  <si>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</si>
  <si>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</si>
  <si>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</si>
  <si>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</si>
  <si>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</si>
  <si>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</si>
  <si>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</si>
  <si>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</si>
  <si>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</si>
  <si>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</si>
  <si>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</si>
  <si>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</si>
  <si>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</si>
  <si>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</si>
  <si>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</si>
  <si>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</si>
  <si>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</si>
  <si>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</si>
  <si>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</si>
  <si>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</si>
  <si>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</si>
  <si>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</si>
  <si>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</si>
  <si>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</si>
  <si>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</si>
  <si>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</si>
  <si>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</si>
  <si>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</si>
  <si>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</si>
  <si>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</si>
  <si>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</si>
  <si>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</si>
  <si>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</si>
  <si>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</si>
  <si>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</si>
  <si>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</si>
  <si>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</si>
  <si>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</si>
  <si>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</si>
  <si>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</si>
  <si>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</si>
  <si>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</si>
  <si>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</si>
  <si>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</si>
  <si>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</si>
  <si>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</si>
  <si>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</si>
  <si>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</si>
  <si>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</si>
  <si>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</si>
  <si>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</si>
  <si>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</si>
  <si>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</si>
  <si>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</si>
  <si>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</si>
  <si>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</si>
  <si>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</si>
  <si>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</si>
  <si>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</si>
  <si>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</si>
  <si>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</si>
  <si>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</si>
  <si>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</si>
  <si>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</si>
  <si>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</si>
  <si>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</si>
  <si>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</si>
  <si>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</si>
  <si>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</si>
  <si>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</si>
  <si>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</si>
  <si>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</si>
  <si>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</si>
  <si>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</si>
  <si>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</si>
  <si>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</si>
  <si>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</si>
  <si>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</si>
  <si>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</si>
  <si>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</si>
  <si>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</si>
  <si>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</si>
  <si>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</si>
  <si>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</si>
  <si>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</si>
  <si>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</si>
  <si>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</si>
  <si>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</si>
  <si>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</si>
  <si>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</si>
  <si>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</si>
  <si>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</si>
  <si>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</si>
  <si>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</si>
  <si>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</si>
  <si>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</si>
  <si>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</si>
  <si>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</si>
  <si>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</si>
  <si>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</si>
  <si>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</si>
  <si>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</si>
  <si>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</si>
  <si>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</si>
  <si>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</si>
  <si>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</si>
  <si>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</si>
  <si>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</si>
  <si>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</si>
  <si>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</si>
  <si>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</si>
  <si>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</si>
  <si>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</si>
  <si>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</si>
  <si>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</si>
  <si>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</si>
  <si>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</si>
  <si>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</si>
  <si>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</si>
  <si>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</si>
  <si>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</si>
  <si>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</si>
  <si>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</si>
  <si>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</si>
  <si>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</si>
  <si>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</si>
  <si>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</si>
  <si>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</si>
  <si>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</si>
  <si>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</si>
  <si>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</si>
  <si>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</si>
  <si>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</si>
  <si>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</si>
  <si>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</si>
  <si>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</si>
  <si>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</si>
  <si>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</si>
  <si>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</si>
  <si>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</si>
  <si>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</si>
  <si>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</si>
  <si>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</si>
  <si>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</si>
  <si>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</si>
  <si>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</si>
  <si>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</si>
  <si>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</si>
  <si>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</si>
  <si>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</si>
  <si>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</si>
  <si>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</si>
  <si>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</si>
  <si>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</si>
  <si>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</si>
  <si>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</si>
  <si>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</si>
  <si>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</si>
  <si>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</si>
  <si>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</si>
  <si>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</si>
  <si>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</si>
  <si>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</si>
  <si>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</si>
  <si>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</si>
  <si>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</si>
  <si>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</si>
  <si>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</si>
  <si>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</si>
  <si>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</si>
  <si>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</si>
  <si>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</si>
  <si>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</si>
  <si>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</si>
  <si>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</si>
  <si>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</si>
  <si>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</si>
  <si>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</si>
  <si>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</si>
  <si>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</si>
  <si>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</si>
  <si>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</si>
  <si>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</si>
  <si>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</si>
  <si>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</si>
  <si>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</si>
  <si>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</si>
  <si>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</si>
  <si>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</si>
  <si>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</si>
  <si>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</si>
  <si>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</si>
  <si>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</si>
  <si>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</si>
  <si>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</si>
  <si>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</si>
  <si>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</si>
  <si>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</si>
  <si>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</si>
  <si>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</si>
  <si>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</si>
  <si>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</si>
  <si>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</si>
  <si>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</si>
  <si>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</si>
  <si>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</si>
  <si>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</si>
  <si>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</si>
  <si>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</si>
  <si>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</si>
  <si>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</si>
  <si>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</si>
  <si>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</si>
  <si>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</si>
  <si>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</si>
  <si>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</si>
  <si>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</si>
  <si>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</si>
  <si>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</si>
  <si>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</si>
  <si>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</si>
  <si>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</si>
  <si>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</si>
  <si>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</si>
  <si>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</si>
  <si>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</si>
  <si>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</si>
  <si>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</si>
  <si>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</si>
  <si>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</si>
  <si>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</si>
  <si>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</si>
  <si>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</si>
  <si>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</si>
  <si>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</si>
  <si>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</si>
  <si>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</si>
  <si>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</si>
  <si>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</si>
  <si>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</si>
  <si>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</si>
  <si>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</si>
  <si>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</si>
  <si>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</si>
  <si>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</si>
  <si>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</si>
  <si>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</si>
  <si>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</si>
  <si>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</si>
  <si>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</si>
  <si>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</si>
  <si>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</si>
  <si>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</si>
  <si>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</si>
  <si>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</si>
  <si>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</si>
  <si>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</si>
  <si>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</si>
  <si>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</si>
  <si>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</si>
  <si>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</si>
  <si>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</si>
  <si>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</si>
  <si>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</si>
  <si>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</si>
  <si>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</si>
  <si>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</si>
  <si>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</si>
  <si>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</si>
  <si>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</si>
  <si>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</si>
  <si>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</si>
  <si>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</si>
  <si>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</si>
  <si>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</si>
  <si>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</si>
  <si>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</si>
  <si>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</si>
  <si>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</si>
  <si>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</si>
  <si>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</si>
  <si>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</si>
  <si>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</si>
  <si>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</si>
  <si>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</si>
  <si>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</si>
  <si>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</si>
  <si>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</si>
  <si>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</si>
  <si>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</si>
  <si>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</si>
  <si>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</si>
  <si>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</si>
  <si>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</si>
  <si>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</si>
  <si>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</si>
  <si>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</si>
  <si>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</si>
  <si>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</si>
  <si>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</si>
  <si>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</si>
  <si>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</si>
  <si>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</si>
  <si>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</si>
  <si>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</si>
  <si>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</si>
  <si>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</si>
  <si>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</si>
  <si>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</si>
  <si>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</si>
  <si>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</si>
  <si>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</si>
  <si>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</si>
  <si>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</si>
  <si>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</si>
  <si>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</si>
  <si>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</si>
  <si>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</si>
  <si>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</si>
  <si>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</si>
  <si>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</si>
  <si>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</si>
  <si>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</si>
  <si>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</si>
  <si>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</si>
  <si>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</si>
  <si>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</si>
  <si>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</si>
  <si>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</si>
  <si>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</si>
  <si>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</si>
  <si>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</si>
  <si>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</si>
  <si>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</si>
  <si>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</si>
  <si>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</si>
  <si>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</si>
  <si>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</si>
  <si>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</si>
  <si>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</si>
  <si>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</si>
  <si>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</si>
  <si>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</si>
  <si>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</si>
  <si>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</si>
  <si>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</si>
  <si>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</si>
  <si>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</si>
  <si>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</si>
  <si>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</si>
  <si>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</si>
  <si>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</si>
  <si>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</si>
  <si>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</si>
  <si>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</si>
  <si>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</si>
  <si>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</si>
  <si>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</si>
  <si>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</si>
  <si>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</si>
  <si>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</si>
  <si>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</si>
  <si>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</si>
  <si>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</si>
  <si>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</si>
  <si>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</si>
  <si>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</si>
  <si>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</si>
  <si>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</si>
  <si>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</si>
  <si>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</si>
  <si>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</si>
  <si>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</si>
  <si>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</si>
  <si>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</si>
  <si>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</si>
  <si>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</si>
  <si>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</si>
  <si>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</si>
  <si>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</si>
  <si>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</si>
  <si>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</si>
  <si>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</si>
  <si>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</si>
  <si>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</si>
  <si>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</si>
  <si>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</si>
  <si>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</si>
  <si>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</si>
  <si>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</si>
  <si>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</si>
  <si>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</si>
  <si>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</si>
  <si>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</si>
  <si>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</si>
  <si>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</si>
  <si>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</si>
  <si>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</si>
  <si>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</si>
  <si>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</si>
  <si>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</si>
  <si>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</si>
  <si>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</si>
  <si>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</si>
  <si>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</si>
  <si>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</si>
  <si>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</si>
  <si>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</si>
  <si>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</si>
  <si>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</si>
  <si>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</si>
  <si>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</si>
  <si>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</si>
  <si>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</si>
  <si>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</si>
  <si>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</si>
  <si>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</si>
  <si>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</si>
  <si>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</si>
  <si>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</si>
  <si>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</si>
  <si>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</si>
  <si>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</si>
  <si>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</si>
  <si>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</si>
  <si>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</si>
  <si>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</si>
  <si>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</si>
  <si>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</si>
  <si>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</si>
  <si>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</si>
  <si>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</si>
  <si>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</si>
  <si>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</si>
  <si>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</si>
  <si>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</si>
  <si>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</si>
  <si>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</si>
  <si>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</si>
  <si>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</si>
  <si>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</si>
  <si>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</si>
  <si>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</si>
  <si>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</si>
  <si>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</si>
  <si>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</si>
  <si>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</si>
  <si>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</si>
  <si>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</si>
  <si>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</si>
  <si>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</si>
  <si>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</si>
  <si>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</si>
  <si>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</si>
  <si>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</si>
  <si>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</si>
  <si>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</si>
  <si>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</si>
  <si>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</si>
  <si>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</si>
  <si>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</si>
  <si>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</si>
  <si>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</si>
  <si>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</si>
  <si>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</si>
  <si>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</si>
  <si>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</si>
  <si>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</si>
  <si>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</si>
  <si>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</si>
  <si>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</si>
  <si>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</si>
  <si>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</si>
  <si>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</si>
  <si>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</si>
  <si>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</si>
  <si>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</si>
  <si>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</si>
  <si>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</si>
  <si>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</si>
  <si>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</si>
  <si>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</si>
  <si>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</si>
  <si>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</si>
  <si>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</si>
  <si>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</si>
  <si>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</si>
  <si>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</si>
  <si>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</si>
  <si>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</si>
  <si>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</si>
  <si>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</si>
  <si>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</si>
  <si>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</si>
  <si>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</si>
  <si>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</si>
  <si>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</si>
  <si>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</si>
  <si>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</si>
  <si>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</si>
  <si>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</si>
  <si>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</si>
  <si>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</si>
  <si>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</si>
  <si>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</si>
  <si>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</si>
  <si>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</si>
  <si>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</si>
  <si>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</si>
  <si>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</si>
  <si>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</si>
  <si>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</si>
  <si>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</si>
  <si>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</si>
  <si>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</si>
  <si>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</si>
  <si>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</si>
  <si>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</si>
  <si>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</si>
  <si>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</si>
  <si>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</si>
  <si>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</si>
  <si>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</si>
  <si>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</si>
  <si>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</si>
  <si>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</si>
  <si>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</si>
  <si>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</si>
  <si>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</si>
  <si>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</si>
  <si>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</si>
  <si>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</si>
  <si>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</si>
  <si>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</si>
  <si>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</si>
  <si>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</si>
  <si>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</si>
  <si>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</si>
  <si>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</si>
  <si>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</si>
  <si>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</si>
  <si>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</si>
  <si>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</si>
  <si>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</si>
  <si>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</si>
  <si>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</si>
  <si>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</si>
  <si>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</si>
  <si>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</si>
  <si>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</si>
  <si>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</si>
  <si>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</si>
  <si>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</si>
  <si>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</si>
  <si>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</si>
  <si>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</si>
  <si>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</si>
  <si>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</si>
  <si>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</si>
  <si>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</si>
  <si>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</si>
  <si>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</si>
  <si>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</si>
  <si>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</si>
  <si>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</si>
  <si>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</si>
  <si>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</si>
  <si>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</si>
  <si>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</si>
  <si>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</si>
  <si>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</si>
  <si>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</si>
  <si>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</si>
  <si>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</si>
  <si>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</si>
  <si>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</si>
  <si>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</si>
  <si>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</si>
  <si>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</si>
  <si>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</si>
  <si>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</si>
  <si>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</si>
  <si>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</si>
  <si>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</si>
  <si>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</si>
  <si>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</si>
  <si>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</si>
  <si>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</si>
  <si>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</si>
  <si>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</si>
  <si>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</si>
  <si>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</si>
  <si>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</si>
  <si>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</si>
  <si>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</si>
  <si>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</si>
  <si>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</si>
  <si>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</si>
  <si>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</si>
  <si>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</si>
  <si>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</si>
  <si>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</si>
  <si>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</si>
  <si>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</si>
  <si>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</si>
  <si>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</si>
  <si>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</si>
  <si>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</si>
  <si>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</si>
  <si>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</si>
  <si>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</si>
  <si>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</si>
  <si>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</si>
  <si>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</si>
  <si>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</si>
  <si>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</si>
  <si>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</si>
  <si>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</si>
  <si>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</si>
  <si>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</si>
  <si>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</si>
  <si>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</si>
  <si>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</si>
  <si>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</si>
  <si>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</si>
  <si>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</si>
  <si>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</si>
  <si>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</si>
  <si>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</si>
  <si>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</si>
  <si>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</si>
  <si>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</si>
  <si>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</si>
  <si>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</si>
  <si>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</si>
  <si>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</si>
  <si>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</si>
  <si>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</si>
  <si>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</si>
  <si>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</si>
  <si>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</si>
  <si>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</si>
  <si>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</si>
  <si>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</si>
  <si>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</si>
  <si>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</si>
  <si>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</si>
  <si>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</si>
  <si>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</si>
  <si>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</si>
  <si>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</si>
  <si>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</si>
  <si>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</si>
  <si>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</si>
  <si>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</si>
  <si>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</si>
  <si>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</si>
  <si>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</si>
  <si>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</si>
  <si>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</si>
  <si>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</si>
  <si>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</si>
  <si>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</si>
  <si>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</si>
  <si>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</si>
  <si>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</si>
  <si>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</si>
  <si>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</si>
  <si>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</si>
  <si>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</si>
  <si>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</si>
  <si>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</si>
  <si>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</si>
  <si>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</si>
  <si>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</si>
  <si>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</si>
  <si>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</si>
  <si>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</si>
  <si>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</si>
  <si>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</si>
  <si>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</si>
  <si>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</si>
  <si>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</si>
  <si>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</si>
  <si>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</si>
  <si>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</si>
  <si>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</si>
  <si>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</si>
  <si>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</si>
  <si>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</si>
  <si>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</si>
  <si>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</si>
  <si>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</si>
  <si>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</si>
  <si>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</si>
  <si>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</si>
  <si>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</si>
  <si>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</si>
  <si>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</si>
  <si>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</si>
  <si>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</si>
  <si>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</si>
  <si>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</si>
  <si>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</si>
  <si>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</si>
  <si>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</si>
  <si>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</si>
  <si>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</si>
  <si>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</si>
  <si>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</si>
  <si>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</si>
  <si>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</si>
  <si>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</si>
  <si>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</si>
  <si>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</si>
  <si>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</si>
  <si>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</si>
  <si>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</si>
  <si>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</si>
  <si>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</si>
  <si>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</si>
  <si>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</si>
  <si>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</si>
  <si>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</si>
  <si>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</si>
  <si>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</si>
  <si>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</si>
  <si>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</si>
  <si>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</si>
  <si>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</si>
  <si>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</si>
  <si>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</si>
  <si>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</si>
  <si>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</si>
  <si>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</si>
  <si>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</si>
  <si>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</si>
  <si>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</si>
  <si>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</si>
  <si>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</si>
  <si>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</si>
  <si>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</si>
  <si>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</si>
  <si>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</si>
  <si>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</si>
  <si>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</si>
  <si>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</si>
  <si>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</si>
  <si>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</si>
  <si>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</si>
  <si>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</si>
  <si>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</si>
  <si>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</si>
  <si>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</si>
  <si>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</si>
  <si>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</si>
  <si>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</si>
  <si>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</si>
  <si>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</si>
  <si>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</si>
  <si>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</si>
  <si>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</si>
  <si>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</si>
  <si>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</si>
  <si>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</si>
  <si>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</si>
  <si>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</si>
  <si>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</si>
  <si>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</si>
  <si>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</si>
  <si>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</si>
  <si>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</si>
  <si>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</si>
  <si>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</si>
  <si>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</si>
  <si>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</si>
  <si>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</si>
  <si>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</si>
  <si>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</si>
  <si>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</si>
  <si>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</si>
  <si>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</si>
  <si>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</si>
  <si>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</si>
  <si>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</si>
  <si>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</si>
  <si>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</si>
  <si>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</si>
  <si>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</si>
  <si>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</si>
  <si>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</si>
  <si>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</si>
  <si>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</si>
  <si>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</si>
  <si>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</si>
  <si>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</si>
  <si>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</si>
  <si>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</si>
  <si>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</si>
  <si>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</si>
  <si>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</si>
  <si>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</si>
  <si>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</si>
  <si>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</si>
  <si>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</si>
  <si>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</si>
  <si>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</si>
  <si>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</si>
  <si>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</si>
  <si>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</si>
  <si>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</si>
  <si>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</si>
  <si>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</si>
  <si>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</si>
  <si>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</si>
  <si>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</si>
  <si>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</si>
  <si>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</si>
  <si>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</si>
  <si>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</si>
  <si>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</si>
  <si>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</si>
  <si>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</si>
  <si>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</si>
  <si>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</si>
  <si>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</si>
  <si>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</si>
  <si>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</si>
  <si>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</si>
  <si>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</si>
  <si>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</si>
  <si>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</si>
  <si>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</si>
  <si>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</si>
  <si>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</si>
  <si>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</si>
  <si>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</si>
  <si>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</si>
  <si>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</si>
  <si>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</si>
  <si>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</si>
  <si>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</si>
  <si>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</si>
  <si>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</si>
  <si>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</si>
  <si>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</si>
  <si>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</si>
  <si>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</si>
  <si>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</si>
  <si>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</si>
  <si>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</si>
  <si>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</si>
  <si>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</si>
  <si>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</si>
  <si>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</si>
  <si>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</si>
  <si>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</si>
  <si>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</si>
  <si>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</si>
  <si>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</si>
  <si>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</si>
  <si>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</si>
  <si>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</si>
  <si>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</si>
  <si>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</si>
  <si>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</si>
  <si>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</si>
  <si>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</si>
  <si>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</si>
  <si>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</si>
  <si>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</si>
  <si>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</si>
  <si>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</si>
  <si>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</si>
  <si>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</si>
  <si>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</si>
  <si>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</si>
  <si>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</si>
  <si>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</si>
  <si>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</si>
  <si>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</si>
  <si>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</si>
  <si>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</si>
  <si>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</si>
  <si>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</si>
  <si>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</si>
  <si>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</si>
  <si>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</si>
  <si>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</si>
  <si>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</si>
  <si>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</si>
  <si>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</si>
  <si>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</si>
  <si>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</si>
  <si>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</si>
  <si>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</si>
  <si>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</si>
  <si>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</si>
  <si>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</si>
  <si>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</si>
  <si>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</si>
  <si>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</si>
  <si>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</si>
  <si>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</si>
  <si>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</si>
  <si>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</si>
  <si>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</si>
  <si>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</si>
  <si>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</si>
  <si>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</si>
  <si>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</si>
  <si>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</si>
  <si>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</si>
  <si>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</si>
  <si>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</si>
  <si>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</si>
  <si>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</si>
  <si>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</si>
  <si>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</si>
  <si>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</si>
  <si>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</si>
  <si>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</si>
  <si>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</si>
  <si>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</si>
  <si>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</si>
  <si>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</si>
  <si>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</si>
  <si>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</si>
  <si>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</si>
  <si>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</si>
  <si>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</si>
  <si>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</si>
  <si>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</si>
  <si>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</si>
  <si>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</si>
  <si>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</si>
  <si>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</si>
  <si>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</si>
  <si>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</si>
  <si>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</si>
  <si>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</si>
  <si>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</si>
  <si>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</si>
  <si>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</si>
  <si>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</si>
  <si>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</si>
  <si>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</si>
  <si>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</si>
  <si>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</si>
  <si>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</si>
  <si>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</si>
  <si>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</si>
  <si>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</si>
  <si>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</si>
  <si>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</si>
  <si>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</si>
  <si>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</si>
  <si>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</si>
  <si>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</si>
  <si>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</si>
  <si>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</si>
  <si>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</si>
  <si>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</si>
  <si>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</si>
  <si>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</si>
  <si>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</si>
  <si>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</si>
  <si>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</si>
  <si>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</si>
  <si>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</si>
  <si>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</si>
  <si>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</si>
  <si>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</si>
  <si>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</si>
  <si>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</si>
  <si>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</si>
  <si>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</si>
  <si>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</si>
  <si>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</si>
  <si>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</si>
  <si>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</si>
  <si>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</si>
  <si>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</si>
  <si>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</si>
  <si>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</si>
  <si>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</si>
  <si>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</si>
  <si>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</si>
  <si>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</si>
  <si>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</si>
  <si>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</si>
  <si>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</si>
  <si>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</si>
  <si>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</si>
  <si>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</si>
  <si>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</si>
  <si>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</si>
  <si>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</si>
  <si>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</si>
  <si>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</si>
  <si>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</si>
  <si>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</si>
  <si>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</si>
  <si>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</si>
  <si>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</si>
  <si>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</si>
  <si>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</si>
  <si>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</si>
  <si>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</si>
  <si>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</si>
  <si>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</si>
  <si>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</si>
  <si>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</si>
  <si>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</si>
  <si>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</si>
  <si>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</si>
  <si>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</si>
  <si>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</si>
  <si>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</si>
  <si>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</si>
  <si>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</si>
  <si>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</si>
  <si>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</si>
  <si>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</si>
  <si>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</si>
  <si>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</si>
  <si>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</si>
  <si>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</si>
  <si>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</si>
  <si>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</si>
  <si>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</si>
  <si>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</si>
  <si>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</si>
  <si>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</si>
  <si>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</si>
  <si>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</si>
  <si>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</si>
  <si>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</si>
  <si>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</si>
  <si>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</si>
  <si>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</si>
  <si>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</si>
  <si>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</si>
  <si>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</si>
  <si>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</si>
  <si>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</si>
  <si>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</si>
  <si>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</si>
  <si>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</si>
  <si>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</si>
  <si>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</si>
  <si>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</si>
  <si>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</si>
  <si>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</si>
  <si>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</si>
  <si>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</si>
  <si>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</si>
  <si>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</si>
  <si>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</si>
  <si>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</si>
  <si>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</si>
  <si>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</si>
  <si>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</si>
  <si>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</si>
  <si>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</si>
  <si>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</si>
  <si>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</si>
  <si>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</si>
  <si>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</si>
  <si>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</si>
  <si>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</si>
  <si>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</si>
  <si>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</si>
  <si>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</si>
  <si>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</si>
  <si>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</si>
  <si>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</si>
  <si>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</si>
  <si>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</si>
  <si>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</si>
  <si>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</si>
  <si>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</si>
  <si>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</si>
  <si>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</si>
  <si>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</si>
  <si>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</si>
  <si>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</si>
  <si>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</si>
  <si>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</si>
  <si>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</si>
  <si>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</si>
  <si>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</si>
  <si>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</si>
  <si>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</si>
  <si>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</si>
  <si>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</si>
  <si>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</si>
  <si>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</si>
  <si>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</si>
  <si>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</si>
  <si>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</si>
  <si>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</si>
  <si>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</si>
  <si>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</si>
  <si>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</si>
  <si>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</si>
  <si>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</si>
  <si>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</si>
  <si>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</si>
  <si>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</si>
  <si>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</si>
  <si>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</si>
  <si>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</si>
  <si>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</si>
  <si>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</si>
  <si>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</si>
  <si>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</si>
  <si>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</si>
  <si>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</si>
  <si>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</si>
  <si>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</si>
  <si>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</si>
  <si>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</si>
  <si>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</si>
  <si>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</si>
  <si>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</si>
  <si>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</si>
  <si>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</si>
  <si>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</si>
  <si>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</si>
  <si>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</si>
  <si>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</si>
  <si>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</si>
  <si>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</si>
  <si>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</si>
  <si>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</si>
  <si>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</si>
  <si>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</si>
  <si>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</si>
  <si>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</si>
  <si>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</si>
  <si>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</si>
  <si>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</si>
  <si>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</si>
  <si>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</si>
  <si>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</si>
  <si>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</si>
  <si>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</si>
  <si>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</si>
  <si>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</si>
  <si>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</si>
  <si>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</si>
  <si>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</si>
  <si>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</si>
  <si>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</si>
  <si>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</si>
  <si>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</si>
  <si>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</si>
  <si>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</si>
  <si>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</si>
  <si>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</si>
  <si>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</si>
  <si>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</si>
  <si>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</si>
  <si>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</si>
  <si>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</si>
  <si>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</si>
  <si>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</si>
  <si>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</si>
  <si>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</si>
  <si>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</si>
  <si>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</si>
  <si>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</si>
  <si>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</si>
  <si>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</si>
  <si>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</si>
  <si>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</si>
  <si>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</si>
  <si>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</si>
  <si>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</si>
  <si>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</si>
  <si>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</si>
  <si>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</si>
  <si>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</si>
  <si>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</si>
  <si>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</si>
  <si>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</si>
  <si>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</si>
  <si>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</si>
  <si>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</si>
  <si>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</si>
  <si>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</si>
  <si>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</si>
  <si>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</si>
  <si>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</si>
  <si>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</si>
  <si>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</si>
  <si>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</si>
  <si>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</si>
  <si>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</si>
  <si>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</si>
  <si>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</si>
  <si>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</si>
  <si>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</si>
  <si>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</si>
  <si>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</si>
  <si>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</si>
  <si>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</si>
  <si>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</si>
  <si>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</si>
  <si>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</si>
  <si>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</si>
  <si>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</si>
  <si>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</si>
  <si>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</si>
  <si>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</si>
  <si>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</si>
  <si>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</si>
  <si>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</si>
  <si>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</si>
  <si>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</si>
  <si>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</si>
  <si>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</si>
  <si>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</si>
  <si>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</si>
  <si>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</si>
  <si>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</si>
  <si>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</si>
  <si>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</si>
  <si>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</si>
  <si>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</si>
  <si>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</si>
  <si>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</si>
  <si>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</si>
  <si>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</si>
  <si>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</si>
  <si>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</si>
  <si>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</si>
  <si>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</si>
  <si>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</si>
  <si>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</si>
  <si>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</si>
  <si>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</si>
  <si>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</si>
  <si>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</si>
  <si>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</si>
  <si>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</si>
  <si>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</si>
  <si>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</si>
  <si>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</si>
  <si>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</si>
  <si>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</si>
  <si>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</si>
  <si>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</si>
  <si>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</si>
  <si>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</si>
  <si>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</si>
  <si>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</si>
  <si>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</si>
  <si>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</si>
  <si>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</si>
  <si>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</si>
  <si>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</si>
  <si>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</si>
  <si>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</si>
  <si>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</si>
  <si>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</si>
  <si>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</si>
  <si>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</si>
  <si>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</si>
  <si>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</si>
  <si>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</si>
  <si>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</si>
  <si>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</si>
  <si>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</si>
  <si>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</si>
  <si>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</si>
  <si>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</si>
  <si>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</si>
  <si>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</si>
  <si>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</si>
  <si>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</si>
  <si>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</si>
  <si>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</si>
  <si>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</si>
  <si>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</si>
  <si>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</si>
  <si>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</si>
  <si>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</si>
  <si>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</si>
  <si>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</si>
  <si>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</si>
  <si>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</si>
  <si>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</si>
  <si>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</si>
  <si>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</si>
  <si>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</si>
  <si>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</si>
  <si>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</si>
  <si>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</si>
  <si>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</si>
  <si>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</si>
  <si>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</si>
  <si>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</si>
  <si>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</si>
  <si>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</si>
  <si>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</si>
  <si>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</si>
  <si>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</si>
  <si>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</si>
  <si>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</si>
  <si>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</si>
  <si>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</si>
  <si>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</si>
  <si>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</si>
  <si>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</si>
  <si>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</si>
  <si>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</si>
  <si>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</si>
  <si>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</si>
  <si>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</si>
  <si>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</si>
  <si>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</si>
  <si>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</si>
  <si>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</si>
  <si>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</si>
  <si>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</si>
  <si>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</si>
  <si>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</si>
  <si>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</si>
  <si>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</si>
  <si>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</si>
  <si>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</si>
  <si>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</si>
  <si>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</si>
  <si>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</si>
  <si>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</si>
  <si>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</si>
  <si>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</si>
  <si>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</si>
  <si>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</si>
  <si>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</si>
  <si>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</si>
  <si>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</si>
  <si>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</si>
  <si>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</si>
  <si>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</si>
  <si>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</si>
  <si>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</si>
  <si>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</si>
  <si>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</si>
  <si>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</si>
  <si>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</si>
  <si>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</si>
  <si>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</si>
  <si>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</si>
  <si>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</si>
  <si>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</si>
  <si>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</si>
  <si>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</si>
  <si>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</si>
  <si>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</si>
  <si>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</si>
  <si>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</si>
  <si>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</si>
  <si>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</si>
  <si>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</si>
  <si>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</si>
  <si>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</si>
  <si>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</si>
  <si>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</si>
  <si>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</si>
  <si>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</si>
  <si>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</si>
  <si>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</si>
  <si>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</si>
  <si>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</si>
  <si>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</si>
  <si>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</si>
  <si>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</si>
  <si>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</si>
  <si>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</si>
  <si>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</si>
  <si>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</si>
  <si>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</si>
  <si>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</si>
  <si>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</si>
  <si>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</si>
  <si>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</si>
  <si>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</si>
  <si>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</si>
  <si>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</si>
  <si>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</si>
  <si>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</si>
  <si>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</si>
  <si>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</si>
  <si>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</si>
  <si>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</si>
  <si>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</si>
  <si>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</si>
  <si>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</si>
  <si>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</si>
  <si>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</si>
  <si>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</si>
  <si>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</si>
  <si>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</si>
  <si>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</si>
  <si>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</si>
  <si>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</si>
  <si>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</si>
  <si>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</si>
  <si>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</si>
  <si>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</si>
  <si>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</si>
  <si>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</si>
  <si>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</si>
  <si>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</si>
  <si>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</si>
  <si>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</si>
  <si>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</si>
  <si>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</si>
  <si>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</si>
  <si>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</si>
  <si>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</si>
  <si>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</si>
  <si>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</si>
  <si>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</si>
  <si>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</si>
  <si>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</si>
  <si>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</si>
  <si>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</si>
  <si>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</si>
  <si>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</si>
  <si>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</si>
  <si>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</si>
  <si>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</si>
  <si>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</si>
  <si>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</si>
  <si>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</si>
  <si>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</si>
  <si>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</si>
  <si>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</si>
  <si>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</si>
  <si>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</si>
  <si>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</si>
  <si>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</si>
  <si>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</si>
  <si>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</si>
  <si>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</si>
  <si>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</si>
  <si>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</si>
  <si>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</si>
  <si>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</si>
  <si>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</si>
  <si>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</si>
  <si>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</si>
  <si>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</si>
  <si>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</si>
  <si>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</si>
  <si>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</si>
  <si>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</si>
  <si>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</si>
  <si>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</si>
  <si>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</si>
  <si>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</si>
  <si>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</si>
  <si>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</si>
  <si>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</si>
  <si>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</si>
  <si>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</si>
  <si>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</si>
  <si>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</si>
  <si>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</si>
  <si>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</si>
  <si>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</si>
  <si>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</si>
  <si>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</si>
  <si>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</si>
  <si>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</si>
  <si>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</si>
  <si>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</si>
  <si>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</si>
  <si>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</si>
  <si>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</si>
  <si>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</si>
  <si>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</si>
  <si>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</si>
  <si>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</si>
  <si>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</si>
  <si>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</si>
  <si>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</si>
  <si>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</si>
  <si>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</si>
  <si>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</si>
  <si>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</si>
  <si>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</si>
  <si>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</si>
  <si>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</si>
  <si>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</si>
  <si>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</si>
  <si>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</si>
  <si>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</si>
  <si>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</si>
  <si>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</si>
  <si>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</si>
  <si>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</si>
  <si>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</si>
  <si>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</si>
  <si>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</si>
  <si>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</si>
  <si>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</si>
  <si>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</si>
  <si>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</si>
  <si>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</si>
  <si>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</si>
  <si>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</si>
  <si>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</si>
  <si>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</si>
  <si>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</si>
  <si>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</si>
  <si>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</si>
  <si>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</si>
  <si>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</si>
  <si>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</si>
  <si>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</si>
  <si>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</si>
  <si>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</si>
  <si>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</si>
  <si>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</si>
  <si>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</si>
  <si>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</si>
  <si>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</si>
  <si>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</si>
  <si>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</si>
  <si>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</si>
  <si>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</si>
  <si>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</si>
  <si>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</si>
  <si>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</si>
  <si>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</si>
  <si>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</si>
  <si>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</si>
  <si>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</si>
  <si>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</si>
  <si>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</si>
  <si>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</si>
  <si>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</si>
  <si>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</si>
  <si>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</si>
  <si>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</si>
  <si>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</si>
  <si>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</si>
  <si>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</si>
  <si>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</si>
  <si>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</si>
  <si>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</si>
  <si>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</si>
  <si>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</si>
  <si>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</si>
  <si>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</si>
  <si>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</si>
  <si>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</si>
  <si>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</si>
  <si>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</si>
  <si>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</si>
  <si>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</si>
  <si>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</si>
  <si>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</si>
  <si>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</si>
  <si>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</si>
  <si>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</si>
  <si>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</si>
  <si>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</si>
  <si>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</si>
  <si>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</si>
  <si>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</si>
  <si>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</si>
  <si>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</si>
  <si>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</si>
  <si>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</si>
  <si>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</si>
  <si>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</si>
  <si>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</si>
  <si>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</si>
  <si>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</si>
  <si>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</si>
  <si>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</si>
  <si>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</si>
  <si>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</si>
  <si>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</si>
  <si>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</si>
  <si>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</si>
  <si>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</si>
  <si>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</si>
  <si>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</si>
  <si>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</si>
  <si>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</si>
  <si>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</si>
  <si>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</si>
  <si>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</si>
  <si>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</si>
  <si>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</si>
  <si>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</si>
  <si>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</si>
  <si>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</si>
  <si>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</si>
  <si>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</si>
  <si>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</si>
  <si>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</si>
  <si>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</si>
  <si>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</si>
  <si>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</si>
  <si>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</si>
  <si>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</si>
  <si>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</si>
  <si>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</si>
  <si>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</si>
  <si>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</si>
  <si>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</si>
  <si>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</si>
  <si>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</si>
  <si>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</si>
  <si>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</si>
  <si>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</si>
  <si>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</si>
  <si>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</si>
  <si>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</si>
  <si>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</si>
  <si>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</si>
  <si>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</si>
  <si>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</si>
  <si>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</si>
  <si>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</si>
  <si>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</si>
  <si>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</si>
  <si>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</si>
  <si>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</si>
  <si>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</si>
  <si>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</si>
  <si>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</si>
  <si>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</si>
  <si>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</si>
  <si>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</si>
  <si>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</si>
  <si>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</si>
  <si>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</si>
  <si>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</si>
  <si>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</si>
  <si>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</si>
  <si>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</si>
  <si>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</si>
  <si>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</si>
  <si>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</si>
  <si>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</si>
  <si>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</si>
  <si>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</si>
  <si>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</si>
  <si>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</si>
  <si>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</si>
  <si>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</si>
  <si>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</si>
  <si>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</si>
  <si>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</si>
  <si>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</si>
  <si>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</si>
  <si>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</si>
  <si>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</si>
  <si>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</si>
  <si>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</si>
  <si>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</si>
  <si>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</si>
  <si>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</si>
  <si>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</si>
  <si>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</si>
  <si>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</si>
  <si>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</si>
  <si>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</si>
  <si>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</si>
  <si>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</si>
  <si>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</si>
  <si>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</si>
  <si>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</si>
  <si>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</si>
  <si>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</si>
  <si>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</si>
  <si>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</si>
  <si>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</si>
  <si>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</si>
  <si>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</si>
  <si>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</si>
  <si>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</si>
  <si>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</si>
  <si>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</si>
  <si>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</si>
  <si>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</si>
  <si>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</si>
  <si>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</si>
  <si>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</si>
  <si>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</si>
  <si>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</si>
  <si>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</si>
  <si>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</si>
  <si>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</si>
  <si>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</si>
  <si>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</si>
  <si>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</si>
  <si>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</si>
  <si>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</si>
  <si>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</si>
  <si>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</si>
  <si>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</si>
  <si>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</si>
  <si>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</si>
  <si>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</si>
  <si>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</si>
  <si>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</si>
  <si>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</si>
  <si>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</si>
  <si>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</si>
  <si>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</si>
  <si>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</si>
  <si>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</si>
  <si>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</si>
  <si>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</si>
  <si>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</si>
  <si>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</si>
  <si>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</si>
  <si>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</si>
  <si>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</si>
  <si>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</si>
  <si>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</si>
  <si>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</si>
  <si>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</si>
  <si>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</si>
  <si>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</si>
  <si>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</si>
  <si>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</si>
  <si>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</si>
  <si>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</si>
  <si>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</si>
  <si>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</si>
  <si>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</si>
  <si>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</si>
  <si>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</si>
  <si>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</si>
  <si>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</si>
  <si>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</si>
  <si>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</si>
  <si>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</si>
  <si>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</si>
  <si>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</si>
  <si>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</si>
  <si>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</si>
  <si>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</si>
  <si>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</si>
  <si>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</si>
  <si>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</si>
  <si>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</si>
  <si>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</si>
  <si>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</si>
  <si>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</si>
  <si>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</si>
  <si>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</si>
  <si>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</si>
  <si>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</si>
  <si>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</si>
  <si>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</si>
  <si>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</si>
  <si>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</si>
  <si>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</si>
  <si>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</si>
  <si>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</si>
  <si>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</si>
  <si>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</si>
  <si>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</si>
  <si>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</si>
  <si>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</si>
  <si>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</si>
  <si>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</si>
  <si>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</si>
  <si>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</si>
  <si>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</si>
  <si>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</si>
  <si>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</si>
  <si>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</si>
  <si>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</si>
  <si>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</si>
  <si>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</si>
  <si>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</si>
  <si>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</si>
  <si>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</si>
  <si>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</si>
  <si>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</si>
  <si>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</si>
  <si>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</si>
  <si>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</si>
  <si>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</si>
  <si>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</si>
  <si>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</si>
  <si>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</si>
  <si>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</si>
  <si>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</si>
  <si>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</si>
  <si>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</si>
  <si>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</si>
  <si>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</si>
  <si>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</si>
  <si>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</si>
  <si>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</si>
  <si>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</si>
  <si>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</si>
  <si>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</si>
  <si>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</si>
  <si>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</si>
  <si>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</si>
  <si>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</si>
  <si>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</si>
  <si>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</si>
  <si>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</si>
  <si>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</si>
  <si>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</si>
  <si>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</si>
  <si>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</si>
  <si>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</si>
  <si>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</si>
  <si>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</si>
  <si>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</si>
  <si>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</si>
  <si>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</si>
  <si>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</si>
  <si>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</si>
  <si>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</si>
  <si>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</si>
  <si>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</si>
  <si>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</si>
  <si>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</si>
  <si>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</si>
  <si>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</si>
  <si>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</si>
  <si>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</si>
  <si>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</si>
  <si>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</si>
  <si>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</si>
  <si>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</si>
  <si>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</si>
  <si>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</si>
  <si>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</si>
  <si>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</si>
  <si>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</si>
  <si>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</si>
  <si>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</si>
  <si>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</si>
  <si>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</si>
  <si>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</si>
  <si>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</si>
  <si>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</si>
  <si>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</si>
  <si>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</si>
  <si>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</si>
  <si>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</si>
  <si>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</si>
  <si>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</si>
  <si>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</si>
  <si>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</si>
  <si>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</si>
  <si>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</si>
  <si>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</si>
  <si>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</si>
  <si>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</si>
  <si>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</si>
  <si>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</si>
  <si>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</si>
  <si>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</si>
  <si>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</si>
  <si>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</si>
  <si>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</si>
  <si>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</si>
  <si>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</si>
  <si>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</si>
  <si>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</si>
  <si>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</si>
  <si>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</si>
  <si>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</si>
  <si>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</si>
  <si>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</si>
  <si>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</si>
  <si>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</si>
  <si>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</si>
  <si>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</si>
  <si>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</si>
  <si>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</si>
  <si>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</si>
  <si>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</si>
  <si>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</si>
  <si>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</si>
  <si>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</si>
  <si>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</si>
  <si>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</si>
  <si>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</si>
  <si>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</si>
  <si>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</si>
  <si>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</si>
  <si>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</si>
  <si>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</si>
  <si>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</si>
  <si>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</si>
  <si>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</si>
  <si>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</si>
  <si>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</si>
  <si>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</si>
  <si>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</si>
  <si>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</si>
  <si>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</si>
  <si>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</si>
  <si>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</si>
  <si>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</si>
  <si>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</si>
  <si>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</si>
  <si>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</si>
  <si>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</si>
  <si>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</si>
  <si>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</si>
  <si>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</si>
  <si>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</si>
  <si>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</si>
  <si>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</si>
  <si>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</si>
  <si>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</si>
  <si>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</si>
  <si>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</si>
  <si>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</si>
  <si>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</si>
  <si>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</si>
  <si>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</si>
  <si>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</si>
  <si>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</si>
  <si>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</si>
  <si>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</si>
  <si>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</si>
  <si>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</si>
  <si>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</si>
  <si>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</si>
  <si>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</si>
  <si>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</si>
  <si>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</si>
  <si>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</si>
  <si>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</si>
  <si>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</si>
  <si>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</si>
  <si>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</si>
  <si>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</si>
  <si>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</si>
  <si>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</si>
  <si>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</si>
  <si>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</si>
  <si>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</si>
  <si>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</si>
  <si>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</si>
  <si>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</si>
  <si>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</si>
  <si>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</si>
  <si>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</si>
  <si>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</si>
  <si>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</si>
  <si>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</si>
  <si>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</si>
  <si>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</si>
  <si>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</si>
  <si>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</si>
  <si>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</si>
  <si>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</si>
  <si>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</si>
  <si>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</si>
  <si>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</si>
  <si>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</si>
  <si>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</si>
  <si>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</si>
  <si>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</si>
  <si>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</si>
  <si>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</si>
  <si>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</si>
  <si>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</si>
  <si>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</si>
  <si>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</si>
  <si>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</si>
  <si>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</si>
  <si>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</si>
  <si>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</si>
  <si>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</si>
  <si>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</si>
  <si>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</si>
  <si>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</si>
  <si>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</si>
  <si>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</si>
  <si>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</si>
  <si>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</si>
  <si>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</si>
  <si>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</si>
  <si>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</si>
  <si>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</si>
  <si>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</si>
  <si>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</si>
  <si>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</si>
  <si>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</si>
  <si>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</si>
  <si>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</si>
  <si>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</si>
  <si>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</si>
  <si>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</si>
  <si>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</si>
  <si>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</si>
  <si>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</si>
  <si>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</si>
  <si>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</si>
  <si>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</si>
  <si>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</si>
  <si>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</si>
  <si>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</si>
  <si>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</si>
  <si>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</si>
  <si>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</si>
  <si>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</si>
  <si>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</si>
  <si>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</si>
  <si>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</si>
  <si>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</si>
  <si>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</si>
  <si>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</si>
  <si>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</si>
  <si>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</si>
  <si>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</si>
  <si>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</si>
  <si>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</si>
  <si>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</si>
  <si>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</si>
  <si>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</si>
  <si>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</si>
  <si>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</si>
  <si>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</si>
  <si>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</si>
  <si>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</si>
  <si>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</si>
  <si>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</si>
  <si>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</si>
  <si>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</si>
  <si>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</si>
  <si>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</si>
  <si>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</si>
  <si>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</si>
  <si>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</si>
  <si>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</si>
  <si>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</si>
  <si>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</si>
  <si>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</si>
  <si>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</si>
  <si>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</si>
  <si>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</si>
  <si>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</si>
  <si>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</si>
  <si>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</si>
  <si>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</si>
  <si>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</si>
  <si>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</si>
  <si>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</si>
  <si>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</si>
  <si>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</si>
  <si>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</si>
  <si>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</si>
  <si>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</si>
  <si>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</si>
  <si>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</si>
  <si>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</si>
  <si>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</si>
  <si>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</si>
  <si>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</si>
  <si>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</si>
  <si>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</si>
  <si>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</si>
  <si>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</si>
  <si>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</si>
  <si>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</si>
  <si>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</si>
  <si>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</si>
  <si>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</si>
  <si>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</si>
  <si>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</si>
  <si>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</si>
  <si>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</si>
  <si>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</si>
  <si>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</si>
  <si>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</si>
  <si>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</si>
  <si>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</si>
  <si>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</si>
  <si>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</si>
  <si>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</si>
  <si>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</si>
  <si>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</si>
  <si>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</si>
  <si>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</si>
  <si>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</si>
  <si>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</si>
  <si>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</si>
  <si>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</si>
  <si>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</si>
  <si>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</si>
  <si>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</si>
  <si>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</si>
  <si>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</si>
  <si>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</si>
  <si>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</si>
  <si>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</si>
  <si>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</si>
  <si>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</si>
  <si>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</si>
  <si>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</si>
  <si>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</si>
  <si>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</si>
  <si>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</si>
  <si>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</si>
  <si>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</si>
  <si>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</si>
  <si>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</si>
  <si>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</si>
  <si>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</si>
  <si>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</si>
  <si>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</si>
  <si>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</si>
  <si>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</si>
  <si>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</si>
  <si>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</si>
  <si>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</si>
  <si>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</si>
  <si>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</si>
  <si>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</si>
  <si>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</si>
  <si>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</si>
  <si>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</si>
  <si>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</si>
  <si>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</si>
  <si>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</si>
  <si>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</si>
  <si>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</si>
  <si>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</si>
  <si>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</si>
  <si>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</si>
  <si>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</si>
  <si>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</si>
  <si>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</si>
  <si>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</si>
  <si>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</si>
  <si>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</si>
  <si>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</si>
  <si>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</si>
  <si>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</si>
  <si>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</si>
  <si>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</si>
  <si>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</si>
  <si>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</si>
  <si>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</si>
  <si>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</si>
  <si>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</si>
  <si>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</si>
  <si>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</si>
  <si>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</si>
  <si>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</si>
  <si>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</si>
  <si>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</si>
  <si>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</si>
  <si>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</si>
  <si>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</si>
  <si>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</si>
  <si>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</si>
  <si>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</si>
  <si>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</si>
  <si>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</si>
  <si>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</si>
  <si>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</si>
  <si>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</si>
  <si>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</si>
  <si>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</si>
  <si>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</si>
  <si>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</si>
  <si>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</si>
  <si>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</si>
  <si>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</si>
  <si>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</si>
  <si>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</si>
  <si>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</si>
  <si>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</si>
  <si>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</si>
  <si>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</si>
  <si>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</si>
  <si>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</si>
  <si>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</si>
  <si>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</si>
  <si>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</si>
  <si>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</si>
  <si>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</si>
  <si>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</si>
  <si>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</si>
  <si>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</si>
  <si>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</si>
  <si>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</si>
  <si>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</si>
  <si>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</si>
  <si>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</si>
  <si>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</si>
  <si>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</si>
  <si>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</si>
  <si>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</si>
  <si>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</si>
  <si>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</si>
  <si>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</si>
  <si>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</si>
  <si>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</si>
  <si>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</si>
  <si>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</si>
  <si>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</si>
  <si>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</si>
  <si>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</si>
  <si>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</si>
  <si>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</si>
  <si>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</si>
  <si>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</si>
  <si>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</si>
  <si>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</si>
  <si>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</si>
  <si>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</si>
  <si>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</si>
  <si>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</si>
  <si>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</si>
  <si>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</si>
  <si>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</si>
  <si>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</si>
  <si>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</si>
  <si>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</si>
  <si>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</si>
  <si>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</si>
  <si>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</si>
  <si>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</si>
  <si>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</si>
  <si>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</si>
  <si>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</si>
  <si>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</si>
  <si>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</si>
  <si>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</si>
  <si>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</si>
  <si>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</si>
  <si>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</si>
  <si>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</si>
  <si>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</si>
  <si>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</si>
  <si>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</si>
  <si>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</si>
  <si>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</si>
  <si>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</si>
  <si>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</si>
  <si>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</si>
  <si>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</si>
  <si>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</si>
  <si>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</si>
  <si>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</si>
  <si>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</si>
  <si>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</si>
  <si>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</si>
  <si>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</si>
  <si>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</si>
  <si>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</si>
  <si>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</si>
  <si>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</si>
  <si>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</si>
  <si>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</si>
  <si>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</si>
  <si>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</si>
  <si>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</si>
  <si>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</si>
  <si>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</si>
  <si>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</si>
  <si>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</si>
  <si>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</si>
  <si>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</si>
  <si>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</si>
  <si>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</si>
  <si>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</si>
  <si>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</si>
  <si>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</si>
  <si>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</si>
  <si>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</si>
  <si>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</si>
  <si>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</si>
  <si>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</si>
  <si>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</si>
  <si>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</si>
  <si>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</si>
  <si>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</si>
  <si>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</si>
  <si>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</si>
  <si>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</si>
  <si>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</si>
  <si>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</si>
  <si>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</si>
  <si>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</si>
  <si>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</si>
  <si>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</si>
  <si>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</si>
  <si>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</si>
  <si>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</si>
  <si>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</si>
  <si>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</si>
  <si>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</si>
  <si>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</si>
  <si>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</si>
  <si>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</si>
  <si>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</si>
  <si>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</si>
  <si>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</si>
  <si>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</si>
  <si>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</si>
  <si>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</si>
  <si>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</si>
  <si>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</si>
  <si>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</si>
  <si>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</si>
  <si>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</si>
  <si>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</si>
  <si>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</si>
  <si>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</si>
  <si>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</si>
  <si>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</si>
  <si>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</si>
  <si>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</si>
  <si>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</si>
  <si>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</si>
  <si>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</si>
  <si>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</si>
  <si>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</si>
  <si>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</si>
  <si>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</si>
  <si>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</si>
  <si>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</si>
  <si>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</si>
  <si>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</si>
  <si>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</si>
  <si>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</si>
  <si>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</si>
  <si>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</si>
  <si>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</si>
  <si>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</si>
  <si>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</si>
  <si>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</si>
  <si>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</si>
  <si>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</si>
  <si>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</si>
  <si>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</si>
  <si>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</si>
  <si>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</si>
  <si>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</si>
  <si>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</si>
  <si>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</si>
  <si>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</si>
  <si>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</si>
  <si>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</si>
  <si>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</si>
  <si>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</si>
  <si>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</si>
  <si>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</si>
  <si>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</si>
  <si>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</si>
  <si>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</si>
  <si>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</si>
  <si>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</si>
  <si>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</si>
  <si>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</si>
  <si>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</si>
  <si>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</si>
  <si>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</si>
  <si>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</si>
  <si>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</si>
  <si>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</si>
  <si>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</si>
  <si>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</si>
  <si>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</si>
  <si>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</si>
  <si>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</si>
  <si>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</si>
  <si>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</si>
  <si>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</si>
  <si>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</si>
  <si>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</si>
  <si>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</si>
  <si>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</si>
  <si>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</si>
  <si>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</si>
  <si>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</si>
  <si>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</si>
  <si>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</si>
  <si>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</si>
  <si>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</si>
  <si>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</si>
  <si>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</si>
  <si>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</si>
  <si>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</si>
  <si>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</si>
  <si>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</si>
  <si>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</si>
  <si>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</si>
  <si>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</si>
  <si>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</si>
  <si>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</si>
  <si>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</si>
  <si>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</si>
  <si>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</si>
  <si>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</si>
  <si>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</si>
  <si>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</si>
  <si>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</si>
  <si>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</si>
  <si>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</si>
  <si>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</si>
  <si>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</si>
  <si>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</si>
  <si>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</si>
  <si>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</si>
  <si>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</si>
  <si>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</si>
  <si>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</si>
  <si>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</si>
  <si>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</si>
  <si>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</si>
  <si>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</si>
  <si>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</si>
  <si>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</si>
  <si>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</si>
  <si>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</si>
  <si>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</si>
  <si>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</si>
  <si>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</si>
  <si>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</si>
  <si>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</si>
  <si>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</si>
  <si>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</si>
  <si>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</si>
  <si>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</si>
  <si>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</si>
  <si>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</si>
  <si>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</si>
  <si>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</si>
  <si>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</si>
  <si>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</si>
  <si>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</si>
  <si>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</si>
  <si>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</si>
  <si>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</si>
  <si>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</si>
  <si>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</si>
  <si>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</si>
  <si>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</si>
  <si>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</si>
  <si>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</si>
  <si>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</si>
  <si>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</si>
  <si>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</si>
  <si>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</si>
  <si>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</si>
  <si>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</si>
  <si>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</si>
  <si>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</si>
  <si>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</si>
  <si>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</si>
  <si>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</si>
  <si>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</si>
  <si>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</si>
  <si>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</si>
  <si>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</si>
  <si>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</si>
  <si>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</si>
  <si>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</si>
  <si>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</si>
  <si>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</si>
  <si>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</si>
  <si>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</si>
  <si>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</si>
  <si>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</si>
  <si>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</si>
  <si>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</si>
  <si>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</si>
  <si>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</si>
  <si>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</si>
  <si>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</si>
  <si>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</si>
  <si>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</si>
  <si>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</si>
  <si>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</si>
  <si>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</si>
  <si>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</si>
  <si>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</si>
  <si>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</si>
  <si>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</si>
  <si>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</si>
  <si>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</si>
  <si>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</si>
  <si>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</si>
  <si>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</si>
  <si>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</si>
  <si>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</si>
  <si>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</si>
  <si>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</si>
  <si>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</si>
  <si>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</si>
  <si>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</si>
  <si>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</si>
  <si>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</si>
  <si>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</si>
  <si>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</si>
  <si>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</si>
  <si>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</si>
  <si>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</si>
  <si>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</si>
  <si>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</si>
  <si>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</si>
  <si>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</si>
  <si>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</si>
  <si>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</si>
  <si>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</si>
  <si>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</si>
  <si>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</si>
  <si>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</si>
  <si>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</si>
  <si>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</si>
  <si>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</si>
  <si>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</si>
  <si>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</si>
  <si>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</si>
  <si>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</si>
  <si>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</si>
  <si>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</si>
  <si>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</si>
  <si>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</si>
  <si>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</si>
  <si>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</si>
  <si>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</si>
  <si>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</si>
  <si>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</si>
  <si>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</si>
  <si>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</si>
  <si>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</si>
  <si>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</si>
  <si>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</si>
  <si>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</si>
  <si>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</si>
  <si>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</si>
  <si>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</si>
  <si>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</si>
  <si>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</si>
  <si>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</si>
  <si>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</si>
  <si>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</si>
  <si>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</si>
  <si>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</si>
  <si>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</si>
  <si>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</si>
  <si>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</si>
  <si>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</si>
  <si>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</si>
  <si>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</si>
  <si>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</si>
  <si>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</si>
  <si>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</si>
  <si>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</si>
  <si>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</si>
  <si>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</si>
  <si>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</si>
  <si>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</si>
  <si>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</si>
  <si>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</si>
  <si>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</si>
  <si>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</si>
  <si>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</si>
  <si>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</si>
  <si>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</si>
  <si>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</si>
  <si>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</si>
  <si>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</si>
  <si>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</si>
  <si>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</si>
  <si>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</si>
  <si>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</si>
  <si>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</si>
  <si>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</si>
  <si>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</si>
  <si>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</si>
  <si>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</si>
  <si>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</si>
  <si>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</si>
  <si>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</si>
  <si>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</si>
  <si>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</si>
  <si>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</si>
  <si>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</si>
  <si>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</si>
  <si>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</si>
  <si>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</si>
  <si>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</si>
  <si>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</si>
  <si>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</si>
  <si>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</si>
  <si>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</si>
  <si>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</si>
  <si>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</si>
  <si>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</si>
  <si>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</si>
  <si>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</si>
  <si>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</si>
  <si>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</si>
  <si>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</si>
  <si>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</si>
  <si>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</si>
  <si>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</si>
  <si>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</si>
  <si>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</si>
  <si>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</si>
  <si>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</si>
  <si>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</si>
  <si>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</si>
  <si>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</si>
  <si>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</si>
  <si>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</si>
  <si>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</si>
  <si>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</si>
  <si>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</si>
  <si>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</si>
  <si>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</si>
  <si>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</si>
  <si>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</si>
  <si>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</si>
  <si>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</si>
  <si>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</si>
  <si>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</si>
  <si>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</si>
  <si>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</si>
  <si>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</si>
  <si>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</si>
  <si>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</si>
  <si>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</si>
  <si>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</si>
  <si>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</si>
  <si>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</si>
  <si>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</si>
  <si>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</si>
  <si>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</si>
  <si>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</si>
  <si>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</si>
  <si>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</si>
  <si>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</si>
  <si>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</si>
  <si>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</si>
  <si>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</si>
  <si>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</si>
  <si>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</si>
  <si>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</si>
  <si>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</si>
  <si>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</si>
  <si>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</si>
  <si>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</si>
  <si>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</si>
  <si>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</si>
  <si>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</si>
  <si>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</si>
  <si>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</si>
  <si>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</si>
  <si>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</si>
  <si>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</si>
  <si>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</si>
  <si>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</si>
  <si>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</si>
  <si>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</si>
  <si>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</si>
  <si>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</si>
  <si>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</si>
  <si>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</si>
  <si>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</si>
  <si>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</si>
  <si>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</si>
  <si>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</si>
  <si>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</si>
  <si>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</si>
  <si>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</si>
  <si>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</si>
  <si>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</si>
  <si>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</si>
  <si>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</si>
  <si>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</si>
  <si>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</si>
  <si>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</si>
  <si>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</si>
  <si>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</si>
  <si>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</si>
  <si>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</si>
  <si>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</si>
  <si>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</si>
  <si>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</si>
  <si>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</si>
  <si>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</si>
  <si>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</si>
  <si>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</si>
  <si>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</si>
  <si>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</si>
  <si>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</si>
  <si>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</si>
  <si>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</si>
  <si>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</si>
  <si>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</si>
  <si>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</si>
  <si>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</si>
  <si>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</si>
  <si>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</si>
  <si>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</si>
  <si>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</si>
  <si>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</si>
  <si>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</si>
  <si>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</si>
  <si>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</si>
  <si>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</si>
  <si>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</si>
  <si>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</si>
  <si>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</si>
  <si>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</si>
  <si>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</si>
  <si>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</si>
  <si>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</si>
  <si>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</si>
  <si>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</si>
  <si>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</si>
  <si>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</si>
  <si>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</si>
  <si>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</si>
  <si>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</si>
  <si>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</si>
  <si>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</si>
  <si>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</si>
  <si>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</si>
  <si>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</si>
  <si>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</si>
  <si>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</si>
  <si>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</si>
  <si>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</si>
  <si>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</si>
  <si>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</si>
  <si>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</si>
  <si>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</si>
  <si>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</si>
  <si>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</si>
  <si>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</si>
  <si>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</si>
  <si>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</si>
  <si>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</si>
  <si>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</si>
  <si>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</si>
  <si>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</si>
  <si>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</si>
  <si>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</si>
  <si>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</si>
  <si>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</si>
  <si>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</si>
  <si>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</si>
  <si>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</si>
  <si>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</si>
  <si>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</si>
  <si>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</si>
  <si>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</si>
  <si>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</si>
  <si>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</si>
  <si>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</si>
  <si>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</si>
  <si>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</si>
  <si>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</si>
  <si>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</si>
  <si>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</si>
  <si>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</si>
  <si>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</si>
  <si>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</si>
  <si>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</si>
  <si>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</si>
  <si>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</si>
  <si>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</si>
  <si>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</si>
  <si>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</si>
  <si>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</si>
  <si>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</si>
  <si>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</si>
  <si>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</si>
  <si>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</si>
  <si>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</si>
  <si>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</si>
  <si>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</si>
  <si>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</si>
  <si>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</si>
  <si>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</si>
  <si>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</si>
  <si>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</si>
  <si>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</si>
  <si>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</si>
  <si>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</si>
  <si>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</si>
  <si>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</si>
  <si>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</si>
  <si>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</si>
  <si>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</si>
  <si>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</si>
  <si>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</si>
  <si>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</si>
  <si>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</si>
  <si>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</si>
  <si>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</si>
  <si>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</si>
  <si>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</si>
  <si>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</si>
  <si>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</si>
  <si>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</si>
  <si>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</si>
  <si>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</si>
  <si>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</si>
  <si>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</si>
  <si>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</si>
  <si>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</si>
  <si>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</si>
  <si>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</si>
  <si>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</si>
  <si>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</si>
  <si>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</si>
  <si>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</si>
  <si>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</si>
  <si>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</si>
  <si>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</si>
  <si>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</si>
  <si>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</si>
  <si>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</si>
  <si>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</si>
  <si>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</si>
  <si>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</si>
  <si>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</si>
  <si>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</si>
  <si>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</si>
  <si>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</si>
  <si>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</si>
  <si>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</si>
  <si>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</si>
  <si>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</si>
  <si>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</si>
  <si>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</si>
  <si>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</si>
  <si>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</si>
  <si>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</si>
  <si>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</si>
  <si>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</si>
  <si>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</si>
  <si>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</si>
  <si>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</si>
  <si>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</si>
  <si>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</si>
  <si>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</si>
  <si>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</si>
  <si>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</si>
  <si>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</si>
  <si>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</si>
  <si>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</si>
  <si>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</si>
  <si>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</si>
  <si>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</si>
  <si>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</si>
  <si>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</si>
  <si>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</si>
  <si>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</si>
  <si>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</si>
  <si>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</si>
  <si>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</si>
  <si>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</si>
  <si>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</si>
  <si>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</si>
  <si>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</si>
  <si>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</si>
  <si>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</si>
  <si>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</si>
  <si>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</si>
  <si>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</si>
  <si>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</si>
  <si>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</si>
  <si>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</si>
  <si>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</si>
  <si>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</si>
  <si>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</si>
  <si>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</si>
  <si>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</si>
  <si>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</si>
  <si>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</si>
  <si>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</si>
  <si>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</si>
  <si>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</si>
  <si>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</si>
  <si>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</si>
  <si>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</si>
  <si>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</si>
  <si>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</si>
  <si>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</si>
  <si>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</si>
  <si>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</si>
  <si>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</si>
  <si>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</si>
  <si>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</si>
  <si>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</si>
  <si>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</si>
  <si>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</si>
  <si>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</si>
  <si>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</si>
  <si>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</si>
  <si>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</si>
  <si>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</si>
  <si>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</si>
  <si>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</si>
  <si>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</si>
  <si>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</si>
  <si>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</si>
  <si>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</si>
  <si>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</si>
  <si>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</si>
  <si>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</si>
  <si>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</si>
  <si>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</si>
  <si>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</si>
  <si>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</si>
  <si>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</si>
  <si>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</si>
  <si>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</si>
  <si>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</si>
  <si>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</si>
  <si>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</si>
  <si>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</si>
  <si>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</si>
  <si>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</si>
  <si>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</si>
  <si>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</si>
  <si>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</si>
  <si>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</si>
  <si>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</si>
  <si>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</si>
  <si>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</si>
  <si>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</si>
  <si>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</si>
  <si>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</si>
  <si>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</si>
  <si>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</si>
  <si>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</si>
  <si>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</si>
  <si>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</si>
  <si>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</si>
  <si>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</si>
  <si>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</si>
  <si>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</si>
  <si>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</si>
  <si>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</si>
  <si>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</si>
  <si>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</si>
  <si>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</si>
  <si>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</si>
  <si>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</si>
  <si>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</si>
  <si>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</si>
  <si>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</si>
  <si>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</si>
  <si>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</si>
  <si>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</si>
  <si>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</si>
  <si>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</si>
  <si>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</si>
  <si>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</si>
  <si>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</si>
  <si>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</si>
  <si>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</si>
  <si>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</si>
  <si>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</si>
  <si>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</si>
  <si>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</si>
  <si>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</si>
  <si>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</si>
  <si>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</si>
  <si>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</si>
  <si>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</si>
  <si>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</si>
  <si>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</si>
  <si>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</si>
  <si>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</si>
  <si>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</si>
  <si>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</si>
  <si>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</si>
  <si>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</si>
  <si>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</si>
  <si>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</si>
  <si>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</si>
  <si>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</si>
  <si>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</si>
  <si>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</si>
  <si>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</si>
  <si>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</si>
  <si>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</si>
  <si>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</si>
  <si>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</si>
  <si>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</si>
  <si>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</si>
  <si>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</si>
  <si>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</si>
  <si>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</si>
  <si>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</si>
  <si>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</si>
  <si>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</si>
  <si>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</si>
  <si>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</si>
  <si>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</si>
  <si>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</si>
  <si>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</si>
  <si>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</si>
  <si>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</si>
  <si>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</si>
  <si>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</si>
  <si>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</si>
  <si>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</si>
  <si>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</si>
  <si>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</si>
  <si>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</si>
  <si>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</si>
  <si>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</si>
  <si>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</si>
  <si>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</si>
  <si>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</si>
  <si>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</si>
  <si>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</si>
  <si>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</si>
  <si>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</si>
  <si>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</si>
  <si>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</si>
  <si>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</si>
  <si>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</si>
  <si>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</si>
  <si>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</si>
  <si>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</si>
  <si>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</si>
  <si>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</si>
  <si>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</si>
  <si>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</si>
  <si>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</si>
  <si>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</si>
  <si>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</si>
  <si>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</si>
  <si>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</si>
  <si>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</si>
  <si>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</si>
  <si>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</si>
  <si>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</si>
  <si>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</si>
  <si>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</si>
  <si>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</si>
  <si>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</si>
  <si>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</si>
  <si>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</si>
  <si>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</si>
  <si>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</si>
  <si>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</si>
  <si>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</si>
  <si>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</si>
  <si>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</si>
  <si>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</si>
  <si>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</si>
  <si>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</si>
  <si>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</si>
  <si>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</si>
  <si>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</si>
  <si>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</si>
  <si>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</si>
  <si>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</si>
  <si>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</si>
  <si>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</si>
  <si>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</si>
  <si>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</si>
  <si>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</si>
  <si>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</si>
  <si>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</si>
  <si>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</si>
  <si>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</si>
  <si>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</si>
  <si>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</si>
  <si>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</si>
  <si>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</si>
  <si>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</si>
  <si>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</si>
  <si>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</si>
  <si>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</si>
  <si>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</si>
  <si>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</si>
  <si>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</si>
  <si>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</si>
  <si>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</si>
  <si>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</si>
  <si>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</si>
  <si>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</si>
  <si>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</si>
  <si>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</si>
  <si>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</si>
  <si>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</si>
  <si>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</si>
  <si>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</si>
  <si>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</si>
  <si>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</si>
  <si>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</si>
  <si>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</si>
  <si>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</si>
  <si>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</si>
  <si>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</si>
  <si>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</si>
  <si>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</si>
  <si>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</si>
  <si>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</si>
  <si>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</si>
  <si>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</si>
  <si>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</si>
  <si>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</si>
  <si>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</si>
  <si>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</si>
  <si>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</si>
  <si>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</si>
  <si>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</si>
  <si>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</si>
  <si>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</si>
  <si>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</si>
  <si>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</si>
  <si>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</si>
  <si>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</si>
  <si>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</si>
  <si>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</si>
  <si>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</si>
  <si>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</si>
  <si>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</si>
  <si>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</si>
  <si>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</si>
  <si>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</si>
  <si>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</si>
  <si>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</si>
  <si>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</si>
  <si>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</si>
  <si>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</si>
  <si>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</si>
  <si>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</si>
  <si>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</si>
  <si>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</si>
  <si>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</si>
  <si>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</si>
  <si>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</si>
  <si>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</si>
  <si>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</si>
  <si>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</si>
  <si>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</si>
  <si>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</si>
  <si>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</si>
  <si>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</si>
  <si>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</si>
  <si>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</si>
  <si>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</si>
  <si>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</si>
  <si>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</si>
  <si>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</si>
  <si>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</si>
  <si>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</si>
  <si>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</si>
  <si>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</si>
  <si>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</si>
  <si>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</si>
  <si>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</si>
  <si>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</si>
  <si>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</si>
  <si>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</si>
  <si>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</si>
  <si>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</si>
  <si>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</si>
  <si>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</si>
  <si>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</si>
  <si>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</si>
  <si>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</si>
  <si>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</si>
  <si>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</si>
  <si>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</si>
  <si>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</si>
  <si>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</si>
  <si>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</si>
  <si>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</si>
  <si>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</si>
  <si>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</si>
  <si>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</si>
  <si>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</si>
  <si>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</si>
  <si>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</si>
  <si>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</si>
  <si>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</si>
  <si>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</si>
  <si>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</si>
  <si>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</si>
  <si>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</si>
  <si>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</si>
  <si>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</si>
  <si>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</si>
  <si>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</si>
  <si>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</si>
  <si>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</si>
  <si>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</si>
  <si>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</si>
  <si>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</si>
  <si>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</si>
  <si>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</si>
  <si>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</si>
  <si>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</si>
  <si>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</si>
  <si>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</si>
  <si>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</si>
  <si>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</si>
  <si>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</si>
  <si>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</si>
  <si>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</si>
  <si>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</si>
  <si>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</si>
  <si>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</si>
  <si>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</si>
  <si>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</si>
  <si>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</si>
  <si>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</si>
  <si>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</si>
  <si>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</si>
  <si>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</si>
  <si>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</si>
  <si>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</si>
  <si>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</si>
  <si>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</si>
  <si>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</si>
  <si>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</si>
  <si>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</si>
  <si>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</si>
  <si>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</si>
  <si>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</si>
  <si>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</si>
  <si>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</si>
  <si>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</si>
  <si>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</si>
  <si>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</si>
  <si>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</si>
  <si>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</si>
  <si>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</si>
  <si>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</si>
  <si>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</si>
  <si>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</si>
  <si>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</si>
  <si>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</si>
  <si>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</si>
  <si>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</si>
  <si>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</si>
  <si>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</si>
  <si>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</si>
  <si>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</si>
  <si>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</si>
  <si>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</si>
  <si>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</si>
  <si>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</si>
  <si>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</si>
  <si>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</si>
  <si>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</si>
  <si>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</si>
  <si>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</si>
  <si>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</si>
  <si>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</si>
  <si>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</si>
  <si>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</si>
  <si>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</si>
  <si>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</si>
  <si>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</si>
  <si>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</si>
  <si>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</si>
  <si>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</si>
  <si>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</si>
  <si>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</si>
  <si>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</si>
  <si>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</si>
  <si>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</si>
  <si>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</si>
  <si>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</si>
  <si>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</si>
  <si>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</si>
  <si>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</si>
  <si>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</si>
  <si>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</si>
  <si>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</si>
  <si>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</si>
  <si>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</si>
  <si>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</si>
  <si>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</si>
  <si>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</si>
  <si>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</si>
  <si>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</si>
  <si>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</si>
  <si>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</si>
  <si>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</si>
  <si>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</si>
  <si>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</si>
  <si>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</si>
  <si>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</si>
  <si>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</si>
  <si>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</si>
  <si>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</si>
  <si>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</si>
  <si>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</si>
  <si>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</si>
  <si>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</si>
  <si>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</si>
  <si>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</si>
  <si>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</si>
  <si>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</si>
  <si>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</si>
  <si>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</si>
  <si>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</si>
  <si>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</si>
  <si>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</si>
  <si>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</si>
  <si>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</si>
  <si>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</si>
  <si>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</si>
  <si>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</si>
  <si>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</si>
  <si>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</si>
  <si>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</si>
  <si>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</si>
  <si>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</si>
  <si>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</si>
  <si>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</si>
  <si>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</si>
  <si>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</si>
  <si>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</si>
  <si>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</si>
  <si>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</si>
  <si>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</si>
  <si>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</si>
  <si>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</si>
  <si>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</si>
  <si>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</si>
  <si>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</si>
  <si>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</si>
  <si>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</si>
  <si>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</si>
  <si>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</si>
  <si>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</si>
  <si>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</si>
  <si>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</si>
  <si>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</si>
  <si>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</si>
  <si>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</si>
  <si>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</si>
  <si>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</si>
  <si>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</si>
  <si>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</si>
  <si>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</si>
  <si>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</si>
  <si>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</si>
  <si>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</si>
  <si>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</si>
  <si>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</si>
  <si>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</si>
  <si>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</si>
  <si>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</si>
  <si>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</si>
  <si>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</si>
  <si>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</si>
  <si>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</si>
  <si>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</si>
  <si>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</si>
  <si>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</si>
  <si>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</si>
  <si>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</si>
  <si>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</si>
  <si>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</si>
  <si>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</si>
  <si>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</si>
  <si>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</si>
  <si>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</si>
  <si>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</si>
  <si>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</si>
  <si>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</si>
  <si>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</si>
  <si>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</si>
  <si>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</si>
  <si>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</si>
  <si>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</si>
  <si>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</si>
  <si>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</si>
  <si>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</si>
  <si>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</si>
  <si>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</si>
  <si>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</si>
  <si>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</si>
  <si>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</si>
  <si>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</si>
  <si>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</si>
  <si>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</si>
  <si>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</si>
  <si>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</si>
  <si>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</si>
  <si>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</si>
  <si>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</si>
  <si>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</si>
  <si>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</si>
  <si>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</si>
  <si>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</si>
  <si>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</si>
  <si>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</si>
  <si>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</si>
  <si>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</si>
  <si>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</si>
  <si>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</si>
  <si>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</si>
  <si>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</si>
  <si>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</si>
  <si>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</si>
  <si>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</si>
  <si>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</si>
  <si>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</si>
  <si>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</si>
  <si>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</si>
  <si>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</si>
  <si>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</si>
  <si>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</si>
  <si>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</si>
  <si>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</si>
  <si>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</si>
  <si>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</si>
  <si>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</si>
  <si>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</si>
  <si>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</si>
  <si>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</si>
  <si>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</si>
  <si>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</si>
  <si>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</si>
  <si>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</si>
  <si>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</si>
  <si>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</si>
  <si>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</si>
  <si>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</si>
  <si>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</si>
  <si>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</si>
  <si>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</si>
  <si>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</si>
  <si>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</si>
  <si>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</si>
  <si>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</si>
  <si>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</si>
  <si>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</si>
  <si>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</si>
  <si>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</si>
  <si>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</si>
  <si>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</si>
  <si>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</si>
  <si>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</si>
  <si>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</si>
  <si>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</si>
  <si>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</si>
  <si>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</si>
  <si>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</si>
  <si>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</si>
  <si>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</si>
  <si>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</si>
  <si>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</si>
  <si>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</si>
  <si>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</si>
  <si>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</si>
  <si>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</si>
  <si>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</si>
  <si>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</si>
  <si>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</si>
  <si>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</si>
  <si>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</si>
  <si>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</si>
  <si>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</si>
  <si>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</si>
  <si>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</si>
  <si>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</si>
  <si>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</si>
  <si>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</si>
  <si>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</si>
  <si>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</si>
  <si>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</si>
  <si>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</si>
  <si>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</si>
  <si>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</si>
  <si>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</si>
  <si>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</si>
  <si>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</si>
  <si>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</si>
  <si>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</si>
  <si>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</si>
  <si>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</si>
  <si>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</si>
  <si>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</si>
  <si>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</si>
  <si>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</si>
  <si>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</si>
  <si>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</si>
  <si>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</si>
  <si>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</si>
  <si>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</si>
  <si>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</si>
  <si>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</si>
  <si>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</si>
  <si>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</si>
  <si>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</si>
  <si>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</si>
  <si>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</si>
  <si>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</si>
  <si>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</si>
  <si>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</si>
  <si>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</si>
  <si>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</si>
  <si>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</si>
  <si>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</si>
  <si>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</si>
  <si>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</si>
  <si>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</si>
  <si>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</si>
  <si>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</si>
  <si>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</si>
  <si>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</si>
  <si>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</si>
  <si>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</si>
  <si>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</si>
  <si>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</si>
  <si>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</si>
  <si>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</si>
  <si>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</si>
  <si>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</si>
  <si>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</si>
  <si>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</si>
  <si>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</si>
  <si>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</si>
  <si>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</si>
  <si>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</si>
  <si>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</si>
  <si>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</si>
  <si>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</si>
  <si>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</si>
  <si>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</si>
  <si>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</si>
  <si>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</si>
  <si>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</si>
  <si>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</si>
  <si>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</si>
  <si>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</si>
  <si>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</si>
  <si>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</si>
  <si>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</si>
  <si>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</si>
  <si>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</si>
  <si>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</si>
  <si>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</si>
  <si>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</si>
  <si>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</si>
  <si>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</si>
  <si>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</si>
  <si>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</si>
  <si>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</si>
  <si>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</si>
  <si>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</si>
  <si>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</si>
  <si>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</si>
  <si>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</si>
  <si>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</si>
  <si>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</si>
  <si>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</si>
  <si>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</si>
  <si>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</si>
  <si>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</si>
  <si>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</si>
  <si>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</si>
  <si>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</si>
  <si>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</si>
  <si>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</si>
  <si>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</si>
  <si>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</si>
  <si>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</si>
  <si>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</si>
  <si>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</si>
  <si>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</si>
  <si>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</si>
  <si>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</si>
  <si>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</si>
  <si>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</si>
  <si>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</si>
  <si>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</si>
  <si>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</si>
  <si>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</si>
  <si>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</si>
  <si>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</si>
  <si>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</si>
  <si>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</si>
  <si>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</si>
  <si>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</si>
  <si>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</si>
  <si>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</si>
  <si>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</si>
  <si>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</si>
  <si>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</si>
  <si>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</si>
  <si>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</si>
  <si>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</si>
  <si>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</si>
  <si>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</si>
  <si>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</si>
  <si>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</si>
  <si>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</si>
  <si>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</si>
  <si>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</si>
  <si>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</si>
  <si>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</si>
  <si>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</si>
  <si>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</si>
  <si>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</si>
  <si>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</si>
  <si>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</si>
  <si>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</si>
  <si>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</si>
  <si>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</si>
  <si>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</si>
  <si>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</si>
  <si>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</si>
  <si>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</si>
  <si>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</si>
  <si>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</si>
  <si>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</si>
  <si>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</si>
  <si>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</si>
  <si>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</si>
  <si>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</si>
  <si>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</si>
  <si>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</si>
  <si>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</si>
  <si>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</si>
  <si>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</si>
  <si>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</si>
  <si>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</si>
  <si>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</si>
  <si>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</si>
  <si>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</si>
  <si>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</si>
  <si>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</si>
  <si>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</si>
  <si>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</si>
  <si>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</si>
  <si>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</si>
  <si>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</si>
  <si>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</si>
  <si>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</si>
  <si>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</si>
  <si>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</si>
  <si>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</si>
  <si>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</si>
  <si>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</si>
  <si>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</si>
  <si>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</si>
  <si>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</si>
  <si>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</si>
  <si>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</si>
  <si>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</si>
  <si>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</si>
  <si>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</si>
  <si>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</si>
  <si>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</si>
  <si>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</si>
  <si>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</si>
  <si>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</si>
  <si>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</si>
  <si>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</si>
  <si>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</si>
  <si>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</si>
  <si>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</si>
  <si>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</si>
  <si>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</si>
  <si>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</si>
  <si>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</si>
  <si>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</si>
  <si>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</si>
  <si>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</si>
  <si>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</si>
  <si>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</si>
  <si>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</si>
  <si>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</si>
  <si>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</si>
  <si>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</si>
  <si>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</si>
  <si>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</si>
  <si>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</si>
  <si>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</si>
  <si>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</si>
  <si>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</si>
  <si>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</si>
  <si>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</si>
  <si>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</si>
  <si>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</si>
  <si>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</si>
  <si>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</si>
  <si>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</si>
  <si>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</si>
  <si>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</si>
  <si>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</si>
  <si>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</si>
  <si>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</si>
  <si>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</si>
  <si>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</si>
  <si>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</si>
  <si>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</si>
  <si>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</si>
  <si>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</si>
  <si>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</si>
  <si>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</si>
  <si>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</si>
  <si>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</si>
  <si>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</si>
  <si>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</si>
  <si>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</si>
  <si>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</si>
  <si>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</si>
  <si>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</si>
  <si>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</si>
  <si>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</si>
  <si>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</si>
  <si>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</si>
  <si>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</si>
  <si>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</si>
  <si>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</si>
  <si>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</si>
  <si>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</si>
  <si>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</si>
  <si>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</si>
  <si>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</si>
  <si>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</si>
  <si>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</si>
  <si>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</si>
  <si>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</si>
  <si>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</si>
  <si>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</si>
  <si>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</si>
  <si>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</si>
  <si>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</si>
  <si>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</si>
  <si>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</si>
  <si>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</si>
  <si>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</si>
  <si>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</si>
  <si>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</si>
  <si>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</si>
  <si>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</si>
  <si>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</si>
  <si>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</si>
  <si>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</si>
  <si>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</si>
  <si>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</si>
  <si>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</si>
  <si>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</si>
  <si>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</si>
  <si>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</si>
  <si>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</si>
  <si>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</si>
  <si>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</si>
  <si>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</si>
  <si>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</si>
  <si>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</si>
  <si>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</si>
  <si>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</si>
  <si>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</si>
  <si>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</si>
  <si>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</si>
  <si>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</si>
  <si>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</si>
  <si>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</si>
  <si>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</si>
  <si>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</si>
  <si>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</si>
  <si>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</si>
  <si>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</si>
  <si>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</si>
  <si>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</si>
  <si>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</si>
  <si>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</si>
  <si>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</si>
  <si>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</si>
  <si>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</si>
  <si>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</si>
  <si>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</si>
  <si>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</si>
  <si>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</si>
  <si>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</si>
  <si>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</si>
  <si>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</si>
  <si>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</si>
  <si>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</si>
  <si>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</si>
  <si>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</si>
  <si>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</si>
  <si>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</si>
  <si>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</si>
  <si>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</si>
  <si>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</si>
  <si>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</si>
  <si>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</si>
  <si>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</si>
  <si>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</si>
  <si>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</si>
  <si>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</si>
  <si>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</si>
  <si>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</si>
  <si>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</si>
  <si>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</si>
  <si>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</si>
  <si>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</si>
  <si>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</si>
  <si>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</si>
  <si>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</si>
  <si>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</si>
  <si>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</si>
  <si>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</si>
  <si>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</si>
  <si>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</si>
  <si>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</si>
  <si>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</si>
  <si>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</si>
  <si>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</si>
  <si>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</si>
  <si>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</si>
  <si>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</si>
  <si>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</si>
  <si>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</si>
  <si>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</si>
  <si>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</si>
  <si>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</si>
  <si>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</si>
  <si>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</si>
  <si>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</si>
  <si>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</si>
  <si>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</si>
  <si>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</si>
  <si>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</si>
  <si>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</si>
  <si>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</si>
  <si>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</si>
  <si>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</si>
  <si>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</si>
  <si>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</si>
  <si>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</si>
  <si>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</si>
  <si>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</si>
  <si>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</si>
  <si>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</si>
  <si>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</si>
  <si>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</si>
  <si>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</si>
  <si>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</si>
  <si>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</si>
  <si>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</si>
  <si>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</si>
  <si>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</si>
  <si>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</si>
  <si>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</si>
  <si>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</si>
  <si>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</si>
  <si>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</si>
  <si>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</si>
  <si>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</si>
  <si>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</si>
  <si>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</si>
  <si>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</si>
  <si>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</si>
  <si>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</si>
  <si>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</si>
  <si>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</si>
  <si>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</si>
  <si>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</si>
  <si>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</si>
  <si>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</si>
  <si>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</si>
  <si>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</si>
  <si>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</si>
  <si>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</si>
  <si>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</si>
  <si>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</si>
  <si>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</si>
  <si>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</si>
  <si>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</si>
  <si>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</si>
  <si>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</si>
  <si>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</si>
  <si>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</si>
  <si>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</si>
  <si>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</si>
  <si>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</si>
  <si>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</si>
  <si>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</si>
  <si>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</si>
  <si>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</si>
  <si>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</si>
  <si>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</si>
  <si>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</si>
  <si>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</si>
  <si>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</si>
  <si>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</si>
  <si>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</si>
  <si>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</si>
  <si>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</si>
  <si>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</si>
  <si>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</si>
  <si>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</si>
  <si>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</si>
  <si>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</si>
  <si>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</si>
  <si>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</si>
  <si>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</si>
  <si>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</si>
  <si>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</si>
  <si>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</si>
  <si>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</si>
  <si>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</si>
  <si>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</si>
  <si>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</si>
  <si>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</si>
  <si>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</si>
  <si>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</si>
  <si>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</si>
  <si>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</si>
  <si>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</si>
  <si>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</si>
  <si>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</si>
  <si>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</si>
  <si>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</si>
  <si>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</si>
  <si>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</si>
  <si>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</si>
  <si>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</si>
  <si>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</si>
  <si>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</si>
  <si>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</si>
  <si>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</si>
  <si>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</si>
  <si>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</si>
  <si>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</si>
  <si>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</si>
  <si>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</si>
  <si>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</si>
  <si>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</si>
  <si>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</si>
  <si>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</si>
  <si>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</si>
  <si>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</si>
  <si>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</si>
  <si>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</si>
  <si>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</si>
  <si>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</si>
  <si>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</si>
  <si>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</si>
  <si>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</si>
  <si>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</si>
  <si>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</si>
  <si>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</si>
  <si>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</si>
  <si>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</si>
  <si>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</si>
  <si>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</si>
  <si>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</si>
  <si>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</si>
  <si>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</si>
  <si>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</si>
  <si>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</si>
  <si>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</si>
  <si>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</si>
  <si>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</si>
  <si>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</si>
  <si>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</si>
  <si>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</si>
  <si>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</si>
  <si>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</si>
  <si>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</si>
  <si>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</si>
  <si>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</si>
  <si>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</si>
  <si>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</si>
  <si>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</si>
  <si>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</si>
  <si>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</si>
  <si>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</si>
  <si>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</si>
  <si>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</si>
  <si>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</si>
  <si>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</si>
  <si>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</si>
  <si>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</si>
  <si>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</si>
  <si>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</si>
  <si>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</si>
  <si>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</si>
  <si>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</si>
  <si>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</si>
  <si>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</si>
  <si>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</si>
  <si>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</si>
  <si>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</si>
  <si>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</si>
  <si>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</si>
  <si>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</si>
  <si>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</si>
  <si>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</si>
  <si>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</si>
  <si>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</si>
  <si>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</si>
  <si>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</si>
  <si>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</si>
  <si>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</si>
  <si>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</si>
  <si>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</si>
  <si>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</si>
  <si>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</si>
  <si>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</si>
  <si>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</si>
  <si>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</si>
  <si>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</si>
  <si>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</si>
  <si>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</si>
  <si>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</si>
  <si>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</si>
  <si>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</si>
  <si>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</si>
  <si>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</si>
  <si>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</si>
  <si>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</si>
  <si>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</si>
  <si>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</si>
  <si>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</si>
  <si>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</si>
  <si>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</si>
  <si>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</si>
  <si>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</si>
  <si>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</si>
  <si>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</si>
  <si>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</si>
  <si>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</si>
  <si>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</si>
  <si>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</si>
  <si>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</si>
  <si>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</si>
  <si>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</si>
  <si>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</si>
  <si>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</si>
  <si>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</si>
  <si>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</si>
  <si>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</si>
  <si>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</si>
  <si>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</si>
  <si>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</si>
  <si>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</si>
  <si>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</si>
  <si>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</si>
  <si>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</si>
  <si>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</si>
  <si>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</si>
  <si>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</si>
  <si>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</si>
  <si>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</si>
  <si>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</si>
  <si>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</si>
  <si>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</si>
  <si>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</si>
  <si>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</si>
  <si>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</si>
  <si>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</si>
  <si>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</si>
  <si>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</si>
  <si>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</si>
  <si>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</si>
  <si>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</si>
  <si>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</si>
  <si>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</si>
  <si>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</si>
  <si>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</si>
  <si>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</si>
  <si>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</si>
  <si>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</si>
  <si>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</si>
  <si>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</si>
  <si>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</si>
  <si>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</si>
  <si>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</si>
  <si>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</si>
  <si>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</si>
  <si>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</si>
  <si>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</si>
  <si>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</si>
  <si>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</si>
  <si>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</si>
  <si>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</si>
  <si>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</si>
  <si>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</si>
  <si>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</si>
  <si>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</si>
  <si>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</si>
  <si>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</si>
  <si>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</si>
  <si>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</si>
  <si>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</si>
  <si>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</si>
  <si>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</si>
  <si>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</si>
  <si>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</si>
  <si>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</si>
  <si>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</si>
  <si>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</si>
  <si>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</si>
  <si>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</si>
  <si>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</si>
  <si>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</si>
  <si>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</si>
  <si>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</si>
  <si>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</si>
  <si>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</si>
  <si>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</si>
  <si>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</si>
  <si>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</si>
  <si>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</si>
  <si>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</si>
  <si>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</si>
  <si>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</si>
  <si>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</si>
  <si>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</si>
  <si>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</si>
  <si>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</si>
  <si>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</si>
  <si>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</si>
  <si>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</si>
  <si>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</si>
  <si>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</si>
  <si>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</si>
  <si>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</si>
  <si>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</si>
  <si>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</si>
  <si>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</si>
  <si>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</si>
  <si>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</si>
  <si>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</si>
  <si>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</si>
  <si>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</si>
  <si>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</si>
  <si>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</si>
  <si>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</si>
  <si>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</si>
  <si>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</si>
  <si>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</si>
  <si>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</si>
  <si>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</si>
  <si>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</si>
  <si>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</si>
  <si>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</si>
  <si>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</si>
  <si>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</si>
  <si>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</si>
  <si>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</si>
  <si>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</si>
  <si>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</si>
  <si>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</si>
  <si>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</si>
  <si>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</si>
  <si>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</si>
  <si>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</si>
  <si>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</si>
  <si>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</si>
  <si>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</si>
  <si>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</si>
  <si>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</si>
  <si>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</si>
  <si>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</si>
  <si>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</si>
  <si>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</si>
  <si>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</si>
  <si>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</si>
  <si>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</si>
  <si>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</si>
  <si>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</si>
  <si>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</si>
  <si>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</si>
  <si>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</si>
  <si>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</si>
  <si>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</si>
  <si>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</si>
  <si>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</si>
  <si>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</si>
  <si>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</si>
  <si>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</si>
  <si>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</si>
  <si>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</si>
  <si>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</si>
  <si>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</si>
  <si>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</si>
  <si>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</si>
  <si>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</si>
  <si>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</si>
  <si>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</si>
  <si>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</si>
  <si>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</si>
  <si>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</si>
  <si>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</si>
  <si>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</si>
  <si>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</si>
  <si>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</si>
  <si>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</si>
  <si>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</si>
  <si>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</si>
  <si>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</si>
  <si>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</si>
  <si>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</si>
  <si>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</si>
  <si>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</si>
  <si>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</si>
  <si>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</si>
  <si>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</si>
  <si>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</si>
  <si>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</si>
  <si>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</si>
  <si>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</si>
  <si>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</si>
  <si>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</si>
  <si>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</si>
  <si>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</si>
  <si>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</si>
  <si>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</si>
  <si>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</si>
  <si>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</si>
  <si>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</si>
  <si>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</si>
  <si>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</si>
  <si>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</si>
  <si>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</si>
  <si>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</si>
  <si>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</si>
  <si>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</si>
  <si>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</si>
  <si>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</si>
  <si>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</si>
  <si>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</si>
  <si>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</si>
  <si>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</si>
  <si>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</si>
  <si>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</si>
  <si>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</si>
  <si>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</si>
  <si>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</si>
  <si>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</si>
  <si>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</si>
  <si>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</si>
  <si>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</si>
  <si>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</si>
  <si>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</si>
  <si>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</si>
  <si>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</si>
  <si>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</si>
  <si>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</si>
  <si>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</si>
  <si>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</si>
  <si>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</si>
  <si>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</si>
  <si>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</si>
  <si>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</si>
  <si>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</si>
  <si>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</si>
  <si>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</si>
  <si>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</si>
  <si>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</si>
  <si>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</si>
  <si>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</si>
  <si>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</si>
  <si>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</si>
  <si>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</si>
  <si>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</si>
  <si>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</si>
  <si>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</si>
  <si>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</si>
  <si>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</si>
  <si>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</si>
  <si>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</si>
  <si>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</si>
  <si>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</si>
  <si>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</si>
  <si>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</si>
  <si>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</si>
  <si>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</si>
  <si>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</si>
  <si>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</si>
  <si>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</si>
  <si>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</si>
  <si>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</si>
  <si>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</si>
  <si>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</si>
  <si>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</si>
  <si>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</si>
  <si>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</si>
  <si>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</si>
  <si>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</si>
  <si>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</si>
  <si>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</si>
  <si>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</si>
  <si>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</si>
  <si>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</si>
  <si>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</si>
  <si>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</si>
  <si>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</si>
  <si>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</si>
  <si>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</si>
  <si>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</si>
  <si>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</si>
  <si>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</si>
  <si>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</si>
  <si>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</si>
  <si>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</si>
  <si>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</si>
  <si>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</si>
  <si>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</si>
  <si>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</si>
  <si>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</si>
  <si>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</si>
  <si>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</si>
  <si>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</si>
  <si>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</si>
  <si>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</si>
  <si>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</si>
  <si>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</si>
  <si>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</si>
  <si>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</si>
  <si>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</si>
  <si>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</si>
  <si>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</si>
  <si>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</si>
  <si>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</si>
  <si>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</si>
  <si>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</si>
  <si>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</si>
  <si>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</si>
  <si>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</si>
  <si>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</si>
  <si>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</si>
  <si>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</si>
  <si>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</si>
  <si>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</si>
  <si>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</si>
  <si>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</si>
  <si>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</si>
  <si>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</si>
  <si>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</si>
  <si>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</si>
  <si>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</si>
  <si>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</si>
  <si>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</si>
  <si>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</si>
  <si>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</si>
  <si>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</si>
  <si>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</si>
  <si>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</si>
  <si>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</si>
  <si>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</si>
  <si>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</si>
  <si>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</si>
  <si>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</si>
  <si>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</si>
  <si>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</si>
  <si>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</si>
  <si>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</si>
  <si>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</si>
  <si>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</si>
  <si>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</si>
  <si>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</si>
  <si>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</si>
  <si>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</si>
  <si>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</si>
  <si>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</si>
  <si>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</si>
  <si>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</si>
  <si>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</si>
  <si>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</si>
  <si>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</si>
  <si>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</si>
  <si>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</si>
  <si>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</si>
  <si>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</si>
  <si>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</si>
  <si>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</si>
  <si>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</si>
  <si>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</si>
  <si>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</si>
  <si>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</si>
  <si>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</si>
  <si>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</si>
  <si>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</si>
  <si>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</si>
  <si>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</si>
  <si>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</si>
  <si>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</si>
  <si>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</si>
  <si>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</si>
  <si>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</si>
  <si>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</si>
  <si>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</si>
  <si>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</si>
  <si>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</si>
  <si>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</si>
  <si>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</si>
  <si>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</si>
  <si>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</si>
  <si>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</si>
  <si>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</si>
  <si>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</si>
  <si>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</si>
  <si>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</si>
  <si>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</si>
  <si>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</si>
  <si>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</si>
  <si>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</si>
  <si>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</si>
  <si>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</si>
  <si>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</si>
  <si>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</si>
  <si>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</si>
  <si>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</si>
  <si>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</si>
  <si>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</si>
  <si>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</si>
  <si>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</si>
  <si>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</si>
  <si>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</si>
  <si>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</si>
  <si>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</si>
  <si>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</si>
  <si>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</si>
  <si>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</si>
  <si>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</si>
  <si>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</si>
  <si>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</si>
  <si>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</si>
  <si>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</si>
  <si>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</si>
  <si>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</si>
  <si>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</si>
  <si>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</si>
  <si>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</si>
  <si>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</si>
  <si>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</si>
  <si>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</si>
  <si>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</si>
  <si>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</si>
  <si>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</si>
  <si>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</si>
  <si>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</si>
  <si>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</si>
  <si>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</si>
  <si>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</si>
  <si>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</si>
  <si>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</si>
  <si>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</si>
  <si>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</si>
  <si>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</si>
  <si>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</si>
  <si>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</si>
  <si>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</si>
  <si>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</si>
  <si>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</si>
  <si>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</si>
  <si>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</si>
  <si>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</si>
  <si>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</si>
  <si>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</si>
  <si>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</si>
  <si>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</si>
  <si>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</si>
  <si>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</si>
  <si>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</si>
  <si>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</si>
  <si>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</si>
  <si>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</si>
  <si>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</si>
  <si>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</si>
  <si>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</si>
  <si>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</si>
  <si>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</si>
  <si>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</si>
  <si>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</si>
  <si>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</si>
  <si>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</si>
  <si>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</si>
  <si>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</si>
  <si>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</si>
  <si>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</si>
  <si>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</si>
  <si>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</si>
  <si>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</si>
  <si>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</si>
  <si>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</si>
  <si>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</si>
  <si>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</si>
  <si>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</si>
  <si>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</si>
  <si>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</si>
  <si>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</si>
  <si>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</si>
  <si>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</si>
  <si>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</si>
  <si>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</si>
  <si>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</si>
  <si>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</si>
  <si>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</si>
  <si>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</si>
  <si>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</si>
  <si>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</si>
  <si>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</si>
  <si>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</si>
  <si>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</si>
  <si>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</si>
  <si>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</si>
  <si>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</si>
  <si>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</si>
  <si>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</si>
  <si>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</si>
  <si>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</si>
  <si>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</si>
  <si>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</si>
  <si>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</si>
  <si>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</si>
  <si>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</si>
  <si>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</si>
  <si>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</si>
  <si>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</si>
  <si>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</si>
  <si>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</si>
  <si>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</si>
  <si>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</si>
  <si>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</si>
  <si>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</si>
  <si>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</si>
  <si>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</si>
  <si>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</si>
  <si>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</si>
  <si>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</si>
  <si>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</si>
  <si>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</si>
  <si>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</si>
  <si>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</si>
  <si>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</si>
  <si>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</si>
  <si>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</si>
  <si>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</si>
  <si>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</si>
  <si>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</si>
  <si>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</si>
  <si>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</si>
  <si>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</si>
  <si>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</si>
  <si>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</si>
  <si>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</si>
  <si>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</si>
  <si>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</si>
  <si>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</si>
  <si>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</si>
  <si>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</si>
  <si>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</si>
  <si>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</si>
  <si>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</si>
  <si>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</si>
  <si>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</si>
  <si>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</si>
  <si>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</si>
  <si>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</si>
  <si>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</si>
  <si>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</si>
  <si>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</si>
  <si>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</si>
  <si>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</si>
  <si>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</si>
  <si>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</si>
  <si>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</si>
  <si>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</si>
  <si>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</si>
  <si>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</si>
  <si>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</si>
  <si>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</si>
  <si>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</si>
  <si>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</si>
  <si>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</si>
  <si>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</si>
  <si>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</si>
  <si>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</si>
  <si>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</si>
  <si>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</si>
  <si>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</si>
  <si>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</si>
  <si>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</si>
  <si>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</si>
  <si>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</si>
  <si>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</si>
  <si>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</si>
  <si>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</si>
  <si>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</si>
  <si>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</si>
  <si>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</si>
  <si>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</si>
  <si>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</si>
  <si>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</si>
  <si>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</si>
  <si>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</si>
  <si>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</si>
  <si>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</si>
  <si>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</si>
  <si>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</si>
  <si>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</si>
  <si>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</si>
  <si>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</si>
  <si>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</si>
  <si>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</si>
  <si>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</si>
  <si>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</si>
  <si>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</si>
  <si>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</si>
  <si>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</si>
  <si>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</si>
  <si>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</si>
  <si>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</si>
  <si>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</si>
  <si>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</si>
  <si>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</si>
  <si>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</si>
  <si>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</si>
  <si>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</si>
  <si>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</si>
  <si>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</si>
  <si>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</si>
  <si>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</si>
  <si>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</si>
  <si>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</si>
  <si>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</si>
  <si>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</si>
  <si>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</si>
  <si>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</si>
  <si>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</si>
  <si>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</si>
  <si>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</si>
  <si>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</si>
  <si>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</si>
  <si>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</si>
  <si>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</si>
  <si>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</si>
  <si>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</si>
  <si>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</si>
  <si>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</si>
  <si>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</si>
  <si>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</si>
  <si>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</si>
  <si>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</si>
  <si>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</si>
  <si>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</si>
  <si>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</si>
  <si>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</si>
  <si>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</si>
  <si>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</si>
  <si>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</si>
  <si>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</si>
  <si>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</si>
  <si>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</si>
  <si>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</si>
  <si>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</si>
  <si>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</si>
  <si>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</si>
  <si>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</si>
  <si>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</si>
  <si>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</si>
  <si>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</si>
  <si>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</si>
  <si>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</si>
  <si>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</si>
  <si>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</si>
  <si>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</si>
  <si>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</si>
  <si>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</si>
  <si>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</si>
  <si>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</si>
  <si>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</si>
  <si>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</si>
  <si>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</si>
  <si>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</si>
  <si>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</si>
  <si>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</si>
  <si>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</si>
  <si>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</si>
  <si>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</si>
  <si>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</si>
  <si>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</si>
  <si>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</si>
  <si>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</si>
  <si>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</si>
  <si>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</si>
  <si>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</si>
  <si>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</si>
  <si>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</si>
  <si>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</si>
  <si>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</si>
  <si>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</si>
  <si>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</si>
  <si>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</si>
  <si>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</si>
  <si>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</si>
  <si>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</si>
  <si>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</si>
  <si>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</si>
  <si>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</si>
  <si>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</si>
  <si>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</si>
  <si>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</si>
  <si>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</si>
  <si>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</si>
  <si>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</si>
  <si>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</si>
  <si>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</si>
  <si>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</si>
  <si>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</si>
  <si>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</si>
  <si>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</si>
  <si>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</si>
  <si>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</si>
  <si>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</si>
  <si>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</si>
  <si>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</si>
  <si>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</si>
  <si>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</si>
  <si>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</si>
  <si>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</si>
  <si>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</si>
  <si>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</si>
  <si>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</si>
  <si>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</si>
  <si>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</si>
  <si>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</si>
  <si>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</si>
  <si>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</si>
  <si>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</si>
  <si>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</si>
  <si>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</si>
  <si>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</si>
  <si>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</si>
  <si>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</si>
  <si>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</si>
  <si>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</si>
  <si>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</si>
  <si>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</si>
  <si>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</si>
  <si>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</si>
  <si>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</si>
  <si>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</si>
  <si>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</si>
  <si>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</si>
  <si>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</si>
  <si>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</si>
  <si>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</si>
  <si>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</si>
  <si>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</si>
  <si>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</si>
  <si>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</si>
  <si>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</si>
  <si>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</si>
  <si>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</si>
  <si>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</si>
  <si>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</si>
  <si>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</si>
  <si>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</si>
  <si>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</si>
  <si>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</si>
  <si>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</si>
  <si>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</si>
  <si>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</si>
  <si>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</si>
  <si>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</si>
  <si>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</si>
  <si>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</si>
  <si>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</si>
  <si>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</si>
  <si>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</si>
  <si>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</si>
  <si>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</si>
  <si>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</si>
  <si>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</si>
  <si>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</si>
  <si>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</si>
  <si>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</si>
  <si>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</si>
  <si>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</si>
  <si>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</si>
  <si>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</si>
  <si>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</si>
  <si>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</si>
  <si>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</si>
  <si>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</si>
  <si>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</si>
  <si>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</si>
  <si>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</si>
  <si>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</si>
  <si>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</si>
  <si>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</si>
  <si>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</si>
  <si>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</si>
  <si>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</si>
  <si>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</si>
  <si>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</si>
  <si>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</si>
  <si>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</si>
  <si>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</si>
  <si>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</si>
  <si>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</si>
  <si>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</si>
  <si>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</si>
  <si>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</si>
  <si>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</si>
  <si>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</si>
  <si>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</si>
  <si>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</si>
  <si>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</si>
  <si>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</si>
  <si>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</si>
  <si>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</si>
  <si>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</si>
  <si>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</si>
  <si>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</si>
  <si>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</si>
  <si>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</si>
  <si>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</si>
  <si>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</si>
  <si>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</si>
  <si>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</si>
  <si>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</si>
  <si>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</si>
  <si>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</si>
  <si>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</si>
  <si>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</si>
  <si>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</si>
  <si>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</si>
  <si>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</si>
  <si>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</si>
  <si>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</si>
  <si>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</si>
  <si>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</si>
  <si>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</si>
  <si>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</si>
  <si>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</si>
  <si>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</si>
  <si>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</si>
  <si>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</si>
  <si>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</si>
  <si>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</si>
  <si>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</si>
  <si>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</si>
  <si>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</si>
  <si>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</si>
  <si>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</si>
  <si>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</si>
  <si>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</si>
  <si>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</si>
  <si>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</si>
  <si>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</si>
  <si>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</si>
  <si>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</si>
  <si>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</si>
  <si>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</si>
  <si>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</si>
  <si>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</si>
  <si>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</si>
  <si>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</si>
  <si>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</si>
  <si>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</si>
  <si>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</si>
  <si>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</si>
  <si>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</si>
  <si>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</si>
  <si>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</si>
  <si>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</si>
  <si>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</si>
  <si>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</si>
  <si>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</si>
  <si>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</si>
  <si>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</si>
  <si>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</si>
  <si>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</si>
  <si>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</si>
  <si>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</si>
  <si>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</si>
  <si>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</si>
  <si>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</si>
  <si>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</si>
  <si>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</si>
  <si>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</si>
  <si>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</si>
  <si>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</si>
  <si>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</si>
  <si>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</si>
  <si>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</si>
  <si>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</si>
  <si>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</si>
  <si>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</si>
  <si>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</si>
  <si>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</si>
  <si>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</si>
  <si>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</si>
  <si>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</si>
  <si>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</si>
  <si>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</si>
  <si>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</si>
  <si>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</si>
  <si>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</si>
  <si>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</si>
  <si>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</si>
  <si>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</si>
  <si>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</si>
  <si>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</si>
  <si>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</si>
  <si>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</si>
  <si>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</si>
  <si>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</si>
  <si>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</si>
  <si>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</si>
  <si>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</si>
  <si>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</si>
  <si>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</si>
  <si>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</si>
  <si>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</si>
  <si>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</si>
  <si>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</si>
  <si>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</si>
  <si>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</si>
  <si>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</si>
  <si>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</si>
  <si>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</si>
  <si>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</si>
  <si>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</si>
  <si>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</si>
  <si>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</si>
  <si>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</si>
  <si>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</si>
  <si>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</si>
  <si>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</si>
  <si>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</si>
  <si>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</si>
  <si>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</si>
  <si>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</si>
  <si>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</si>
  <si>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</si>
  <si>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</si>
  <si>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</si>
  <si>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</si>
  <si>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</si>
  <si>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</si>
  <si>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</si>
  <si>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</si>
  <si>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</si>
  <si>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</si>
  <si>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</si>
  <si>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</si>
  <si>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</si>
  <si>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</si>
  <si>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</si>
  <si>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</si>
  <si>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</si>
  <si>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</si>
  <si>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</si>
  <si>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</si>
  <si>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</si>
  <si>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</si>
  <si>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</si>
  <si>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</si>
  <si>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</si>
  <si>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</si>
  <si>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</si>
  <si>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</si>
  <si>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</si>
  <si>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</si>
  <si>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</si>
  <si>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</si>
  <si>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</si>
  <si>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</si>
  <si>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</si>
  <si>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</si>
  <si>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</si>
  <si>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</si>
  <si>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</si>
  <si>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</si>
  <si>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</si>
  <si>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</si>
  <si>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</si>
  <si>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</si>
  <si>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</si>
  <si>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</si>
  <si>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</si>
  <si>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</si>
  <si>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</si>
  <si>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</si>
  <si>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</si>
  <si>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</si>
  <si>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</si>
  <si>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</si>
  <si>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</si>
  <si>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</si>
  <si>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</si>
  <si>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</si>
  <si>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</si>
  <si>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</si>
  <si>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</si>
  <si>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</si>
  <si>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</si>
  <si>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</si>
  <si>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</si>
  <si>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</si>
  <si>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</si>
  <si>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</si>
  <si>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</si>
  <si>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</si>
  <si>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</si>
  <si>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</si>
  <si>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</si>
  <si>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</si>
  <si>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</si>
  <si>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</si>
  <si>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</si>
  <si>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</si>
  <si>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</si>
  <si>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</si>
  <si>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</si>
  <si>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</si>
  <si>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</si>
  <si>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</si>
  <si>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</si>
  <si>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</si>
  <si>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</si>
  <si>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</si>
  <si>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</si>
  <si>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</si>
  <si>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</si>
  <si>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</si>
  <si>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</si>
  <si>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</si>
  <si>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</si>
  <si>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</si>
  <si>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</si>
  <si>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</si>
  <si>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</si>
  <si>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</si>
  <si>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</si>
  <si>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</si>
  <si>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</si>
  <si>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</si>
  <si>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</si>
  <si>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</si>
  <si>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</si>
  <si>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</si>
  <si>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</si>
  <si>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</si>
  <si>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</si>
  <si>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</si>
  <si>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</si>
  <si>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</si>
  <si>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</si>
  <si>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</si>
  <si>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</si>
  <si>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</si>
  <si>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</si>
  <si>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</si>
  <si>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</si>
  <si>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</si>
  <si>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</si>
  <si>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</si>
  <si>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</si>
  <si>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</si>
  <si>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</si>
  <si>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</si>
  <si>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</si>
  <si>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</si>
  <si>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</si>
  <si>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</si>
  <si>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</si>
  <si>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</si>
  <si>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</si>
  <si>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</si>
  <si>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</si>
  <si>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</si>
  <si>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</si>
  <si>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</si>
  <si>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</si>
  <si>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</si>
  <si>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</si>
  <si>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</si>
  <si>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</si>
  <si>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</si>
  <si>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</si>
  <si>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</si>
  <si>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</si>
  <si>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</si>
  <si>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</si>
  <si>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</si>
  <si>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</si>
  <si>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</si>
  <si>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</si>
  <si>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</si>
  <si>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</si>
  <si>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</si>
  <si>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</si>
  <si>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</si>
  <si>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</si>
  <si>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</si>
  <si>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</si>
  <si>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</si>
  <si>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</si>
  <si>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</si>
  <si>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</si>
  <si>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</si>
  <si>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</si>
  <si>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</si>
  <si>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</si>
  <si>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</si>
  <si>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</si>
  <si>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</si>
  <si>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</si>
  <si>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</si>
  <si>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</si>
  <si>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</si>
  <si>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</si>
  <si>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</si>
  <si>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</si>
  <si>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</si>
  <si>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</si>
  <si>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</si>
  <si>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</si>
  <si>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</si>
  <si>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</si>
  <si>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</si>
  <si>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</si>
  <si>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</si>
  <si>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</si>
  <si>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</si>
  <si>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</si>
  <si>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</si>
  <si>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</si>
  <si>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</si>
  <si>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</si>
  <si>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</si>
  <si>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</si>
  <si>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</si>
  <si>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</si>
  <si>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</si>
  <si>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</si>
  <si>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</si>
  <si>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</si>
  <si>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</si>
  <si>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</si>
  <si>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</si>
  <si>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</si>
  <si>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</si>
  <si>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</si>
  <si>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</si>
  <si>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</si>
  <si>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</si>
  <si>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</si>
  <si>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</si>
  <si>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</si>
  <si>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</si>
  <si>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</si>
  <si>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</si>
  <si>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</si>
  <si>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</si>
  <si>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</si>
  <si>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</si>
  <si>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</si>
  <si>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</si>
  <si>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</si>
  <si>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</si>
  <si>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</si>
  <si>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</si>
  <si>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</si>
  <si>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</si>
  <si>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</si>
  <si>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</si>
  <si>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</si>
  <si>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</si>
  <si>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</si>
  <si>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</si>
  <si>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</si>
  <si>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</si>
  <si>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</si>
  <si>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</si>
  <si>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</si>
  <si>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</si>
  <si>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</si>
  <si>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</si>
  <si>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</si>
  <si>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</si>
  <si>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</si>
  <si>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</si>
  <si>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</si>
  <si>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</si>
  <si>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</si>
  <si>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</si>
  <si>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</si>
  <si>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</si>
  <si>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</si>
  <si>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</si>
  <si>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</si>
  <si>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</si>
  <si>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</si>
  <si>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</si>
  <si>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</si>
  <si>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</si>
  <si>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</si>
  <si>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</si>
  <si>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</si>
  <si>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</si>
  <si>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</si>
  <si>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</si>
  <si>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</si>
  <si>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</si>
  <si>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</si>
  <si>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</si>
  <si>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</si>
  <si>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</si>
  <si>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</si>
  <si>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</si>
  <si>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</si>
  <si>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</si>
  <si>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</si>
  <si>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</si>
  <si>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</si>
  <si>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</si>
  <si>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</si>
  <si>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</si>
  <si>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</si>
  <si>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</si>
  <si>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</si>
  <si>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</si>
  <si>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</si>
  <si>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</si>
  <si>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</si>
  <si>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</si>
  <si>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</si>
  <si>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</si>
  <si>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</si>
  <si>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</si>
  <si>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</si>
  <si>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</si>
  <si>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</si>
  <si>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</si>
  <si>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</si>
  <si>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</si>
  <si>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</si>
  <si>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</si>
  <si>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</si>
  <si>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</si>
  <si>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</si>
  <si>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</si>
  <si>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</si>
  <si>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</si>
  <si>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</si>
  <si>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</si>
  <si>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</si>
  <si>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</si>
  <si>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</si>
  <si>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</si>
  <si>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</si>
  <si>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</si>
  <si>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</si>
  <si>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</si>
  <si>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</si>
  <si>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</si>
  <si>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</si>
  <si>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</si>
  <si>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</si>
  <si>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</si>
  <si>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</si>
  <si>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</si>
  <si>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</si>
  <si>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</si>
  <si>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</si>
  <si>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</si>
  <si>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</si>
  <si>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</si>
  <si>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</si>
  <si>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</si>
  <si>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</si>
  <si>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</si>
  <si>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</si>
  <si>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</si>
  <si>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</si>
  <si>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</si>
  <si>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</si>
  <si>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</si>
  <si>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</si>
  <si>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</si>
  <si>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</si>
  <si>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</si>
  <si>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</si>
  <si>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</si>
  <si>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</si>
  <si>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</si>
  <si>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</si>
  <si>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</si>
  <si>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</si>
  <si>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</si>
  <si>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</si>
  <si>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</si>
  <si>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</si>
  <si>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</si>
  <si>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</si>
  <si>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</si>
  <si>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</si>
  <si>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</si>
  <si>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</si>
  <si>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</si>
  <si>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</si>
  <si>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</si>
  <si>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</si>
  <si>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</si>
  <si>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</si>
  <si>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</si>
  <si>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</si>
  <si>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</si>
  <si>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</si>
  <si>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</si>
  <si>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</si>
  <si>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</si>
  <si>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</si>
  <si>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</si>
  <si>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</si>
  <si>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</si>
  <si>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</si>
  <si>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</si>
  <si>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</si>
  <si>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</si>
  <si>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</si>
  <si>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</si>
  <si>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</si>
  <si>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</si>
  <si>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</si>
  <si>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</si>
  <si>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</si>
  <si>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</si>
  <si>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</si>
  <si>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</si>
  <si>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</si>
  <si>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</si>
  <si>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</si>
  <si>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</si>
  <si>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</si>
  <si>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</si>
  <si>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</si>
  <si>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</si>
  <si>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</si>
  <si>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</si>
  <si>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</si>
  <si>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</si>
  <si>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</si>
  <si>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</si>
  <si>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</si>
  <si>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</si>
  <si>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</si>
  <si>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</si>
  <si>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</si>
  <si>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</si>
  <si>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</si>
  <si>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</si>
  <si>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</si>
  <si>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</si>
  <si>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</si>
  <si>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</si>
  <si>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</si>
  <si>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</si>
  <si>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</si>
  <si>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</si>
  <si>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</si>
  <si>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</si>
  <si>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</si>
  <si>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</si>
  <si>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</si>
  <si>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</si>
  <si>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</si>
  <si>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</si>
  <si>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</si>
  <si>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</si>
  <si>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</si>
  <si>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</si>
  <si>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</si>
  <si>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</si>
  <si>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</si>
  <si>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</si>
  <si>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</si>
  <si>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</si>
  <si>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</si>
  <si>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</si>
  <si>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</si>
  <si>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</si>
  <si>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</si>
  <si>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</si>
  <si>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</si>
  <si>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</si>
  <si>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</si>
  <si>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</si>
  <si>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</si>
  <si>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</si>
  <si>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</si>
  <si>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</si>
  <si>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</si>
  <si>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</si>
  <si>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</si>
  <si>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</si>
  <si>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</si>
  <si>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</si>
  <si>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</si>
  <si>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</si>
  <si>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</si>
  <si>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</si>
  <si>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</si>
  <si>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</si>
  <si>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</si>
  <si>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</si>
  <si>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</si>
  <si>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</si>
  <si>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</si>
  <si>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</si>
  <si>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</si>
  <si>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</si>
  <si>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</si>
  <si>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</si>
  <si>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</si>
  <si>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</si>
  <si>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</si>
  <si>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</si>
  <si>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</si>
  <si>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</si>
  <si>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</si>
  <si>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</si>
  <si>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</si>
  <si>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</si>
  <si>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</si>
  <si>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</si>
  <si>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</si>
  <si>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</si>
  <si>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</si>
  <si>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</si>
  <si>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</si>
  <si>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</si>
  <si>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</si>
  <si>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</si>
  <si>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</si>
  <si>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</si>
  <si>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</si>
  <si>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</si>
  <si>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</si>
  <si>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</si>
  <si>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</si>
  <si>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</si>
  <si>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</si>
  <si>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</si>
  <si>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</si>
  <si>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</si>
  <si>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</si>
  <si>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</si>
  <si>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</si>
  <si>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</si>
  <si>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</si>
  <si>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</si>
  <si>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</si>
  <si>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</si>
  <si>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</si>
  <si>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</si>
  <si>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</si>
  <si>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</si>
  <si>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</si>
  <si>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</si>
  <si>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</si>
  <si>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</si>
  <si>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</si>
  <si>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</si>
  <si>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</si>
  <si>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</si>
  <si>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</si>
  <si>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</si>
  <si>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</si>
  <si>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</si>
  <si>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</si>
  <si>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</si>
  <si>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</si>
  <si>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</si>
  <si>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</si>
  <si>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</si>
  <si>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</si>
  <si>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</si>
  <si>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</si>
  <si>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</si>
  <si>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</si>
  <si>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</si>
  <si>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</si>
  <si>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</si>
  <si>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</si>
  <si>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</si>
  <si>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</si>
  <si>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</si>
  <si>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</si>
  <si>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</si>
  <si>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</si>
  <si>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</si>
  <si>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</si>
  <si>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</si>
  <si>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</si>
  <si>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</si>
  <si>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</si>
  <si>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</si>
  <si>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</si>
  <si>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</si>
  <si>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</si>
  <si>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</si>
  <si>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</si>
  <si>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</si>
  <si>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</si>
  <si>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</si>
  <si>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</si>
  <si>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</si>
  <si>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</si>
  <si>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</si>
  <si>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</si>
  <si>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</si>
  <si>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</si>
  <si>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</si>
  <si>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</si>
  <si>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</si>
  <si>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</si>
  <si>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</si>
  <si>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</si>
  <si>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</si>
  <si>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</si>
  <si>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</si>
  <si>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</si>
  <si>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</si>
  <si>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</si>
  <si>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</si>
  <si>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</si>
  <si>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</si>
  <si>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</si>
  <si>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</si>
  <si>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</si>
  <si>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</si>
  <si>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</si>
  <si>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</si>
  <si>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</si>
  <si>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</si>
  <si>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</si>
  <si>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</si>
  <si>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</si>
  <si>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</si>
  <si>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</si>
  <si>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</si>
  <si>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</si>
  <si>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</si>
  <si>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</si>
  <si>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</si>
  <si>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</si>
  <si>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</si>
  <si>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</si>
  <si>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</si>
  <si>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</si>
  <si>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</si>
  <si>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</si>
  <si>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</si>
  <si>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</si>
  <si>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</si>
  <si>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</si>
  <si>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</si>
  <si>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</si>
  <si>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</si>
  <si>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</si>
  <si>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</si>
  <si>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</si>
  <si>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</si>
  <si>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</si>
  <si>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</si>
  <si>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</si>
  <si>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</si>
  <si>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</si>
  <si>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</si>
  <si>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</si>
  <si>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</si>
  <si>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</si>
  <si>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</si>
  <si>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</si>
  <si>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</si>
  <si>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</si>
  <si>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</si>
  <si>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</si>
  <si>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</si>
  <si>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</si>
  <si>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</si>
  <si>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</si>
  <si>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</si>
  <si>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</si>
  <si>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</si>
  <si>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</si>
  <si>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</si>
  <si>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</si>
  <si>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</si>
  <si>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</si>
  <si>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</si>
  <si>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</si>
  <si>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</si>
  <si>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</si>
  <si>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</si>
  <si>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</si>
  <si>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</si>
  <si>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</si>
  <si>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</si>
  <si>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</si>
  <si>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</si>
  <si>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</si>
  <si>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</si>
  <si>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</si>
  <si>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</si>
  <si>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</si>
  <si>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</si>
  <si>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</si>
  <si>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</si>
  <si>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</si>
  <si>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</si>
  <si>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</si>
  <si>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</si>
  <si>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</si>
  <si>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</si>
  <si>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</si>
  <si>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</si>
  <si>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</si>
  <si>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</si>
  <si>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</si>
  <si>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</si>
  <si>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</si>
  <si>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</si>
  <si>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</si>
  <si>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</si>
  <si>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</si>
  <si>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</si>
  <si>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</si>
  <si>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</si>
  <si>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</si>
  <si>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</si>
  <si>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</si>
  <si>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</si>
  <si>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</si>
  <si>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</si>
  <si>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</si>
  <si>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</si>
  <si>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</si>
  <si>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</si>
  <si>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</si>
  <si>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</si>
  <si>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</si>
  <si>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</si>
  <si>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</si>
  <si>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</si>
  <si>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</si>
  <si>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</si>
  <si>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</si>
  <si>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</si>
  <si>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</si>
  <si>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</si>
  <si>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</si>
  <si>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</si>
  <si>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</si>
  <si>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</si>
  <si>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</si>
  <si>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</si>
  <si>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</si>
  <si>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</si>
  <si>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</si>
  <si>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</si>
  <si>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</si>
  <si>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</si>
  <si>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</si>
  <si>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</si>
  <si>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</si>
  <si>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</si>
  <si>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</si>
  <si>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</si>
  <si>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</si>
  <si>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</si>
  <si>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</si>
  <si>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</si>
  <si>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</si>
  <si>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</si>
  <si>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</si>
  <si>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</si>
  <si>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</si>
  <si>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</si>
  <si>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</si>
  <si>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</si>
  <si>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</si>
  <si>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</si>
  <si>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</si>
  <si>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</si>
  <si>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</si>
  <si>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</si>
  <si>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</si>
  <si>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</si>
  <si>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</si>
  <si>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</si>
  <si>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</si>
  <si>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</si>
  <si>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</si>
  <si>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</si>
  <si>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</si>
  <si>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</si>
  <si>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</si>
  <si>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</si>
  <si>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</si>
  <si>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</si>
  <si>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</si>
  <si>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</si>
  <si>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</si>
  <si>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</si>
  <si>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</si>
  <si>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</si>
  <si>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</si>
  <si>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</si>
  <si>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</si>
  <si>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</si>
  <si>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</si>
  <si>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</si>
  <si>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</si>
  <si>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</si>
  <si>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</si>
  <si>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</si>
  <si>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</si>
  <si>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</si>
  <si>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</si>
  <si>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</si>
  <si>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</si>
  <si>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</si>
  <si>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</si>
  <si>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</si>
  <si>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</si>
  <si>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</si>
  <si>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</si>
  <si>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</si>
  <si>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</si>
  <si>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</si>
  <si>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</si>
  <si>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</si>
  <si>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</si>
  <si>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</si>
  <si>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</si>
  <si>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</si>
  <si>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</si>
  <si>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</si>
  <si>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</si>
  <si>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</si>
  <si>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</si>
  <si>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</si>
  <si>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</si>
  <si>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</si>
  <si>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</si>
  <si>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</si>
  <si>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</si>
  <si>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</si>
  <si>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</si>
  <si>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</si>
  <si>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</si>
  <si>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</si>
  <si>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</si>
  <si>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</si>
  <si>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</si>
  <si>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</si>
  <si>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</si>
  <si>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</si>
  <si>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</si>
  <si>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</si>
  <si>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</si>
  <si>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</si>
  <si>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</si>
  <si>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</si>
  <si>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</si>
  <si>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</si>
  <si>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</si>
  <si>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</si>
  <si>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</si>
  <si>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</si>
  <si>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</si>
  <si>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</si>
  <si>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</si>
  <si>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</si>
  <si>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</si>
  <si>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</si>
  <si>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</si>
  <si>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</si>
  <si>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</si>
  <si>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</si>
  <si>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</si>
  <si>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</si>
  <si>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</si>
  <si>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</si>
  <si>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</si>
  <si>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</si>
  <si>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</si>
  <si>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</si>
  <si>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</si>
  <si>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</si>
  <si>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</si>
  <si>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</si>
  <si>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</si>
  <si>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</si>
  <si>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</si>
  <si>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</si>
  <si>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</si>
  <si>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</si>
  <si>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</si>
  <si>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</si>
  <si>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</si>
  <si>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</si>
  <si>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</si>
  <si>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</si>
  <si>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</si>
  <si>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</si>
  <si>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</si>
  <si>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</si>
  <si>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</si>
  <si>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</si>
  <si>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</si>
  <si>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</si>
  <si>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</si>
  <si>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</si>
  <si>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</si>
  <si>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</si>
  <si>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</si>
  <si>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</si>
  <si>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</si>
  <si>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</si>
  <si>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</si>
  <si>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</si>
  <si>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</si>
  <si>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</si>
  <si>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</si>
  <si>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</si>
  <si>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</si>
  <si>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</si>
  <si>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</si>
  <si>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</si>
  <si>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</si>
  <si>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</si>
  <si>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</si>
  <si>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</si>
  <si>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</si>
  <si>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</si>
  <si>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</si>
  <si>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</si>
  <si>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</si>
  <si>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</si>
  <si>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</si>
  <si>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</si>
  <si>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</si>
  <si>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</si>
  <si>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</si>
  <si>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</si>
  <si>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</si>
  <si>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</si>
  <si>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</si>
  <si>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</si>
  <si>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</si>
  <si>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</si>
  <si>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</si>
  <si>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</si>
  <si>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</si>
  <si>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</si>
  <si>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</si>
  <si>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</si>
  <si>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</si>
  <si>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</si>
  <si>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</si>
  <si>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</si>
  <si>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</si>
  <si>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</si>
  <si>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</si>
  <si>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</si>
  <si>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</si>
  <si>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</si>
  <si>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</si>
  <si>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</si>
  <si>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</si>
  <si>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</si>
  <si>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</si>
  <si>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</si>
  <si>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</si>
  <si>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</si>
  <si>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</si>
  <si>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</si>
  <si>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</si>
  <si>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</si>
  <si>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</si>
  <si>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</si>
  <si>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</si>
  <si>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</si>
  <si>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</si>
  <si>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</si>
  <si>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</si>
  <si>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</si>
  <si>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</si>
  <si>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</si>
  <si>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</si>
  <si>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</si>
  <si>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</si>
  <si>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</si>
  <si>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</si>
  <si>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</si>
  <si>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</si>
  <si>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</si>
  <si>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</si>
  <si>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</si>
  <si>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</si>
  <si>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</si>
  <si>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</si>
  <si>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</si>
  <si>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</si>
  <si>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</si>
  <si>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</si>
  <si>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</si>
  <si>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</si>
  <si>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</si>
  <si>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</si>
  <si>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</si>
  <si>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</si>
  <si>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</si>
  <si>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</si>
  <si>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</si>
  <si>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</si>
  <si>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</si>
  <si>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</si>
  <si>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</si>
  <si>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</si>
  <si>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</si>
  <si>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</si>
  <si>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</si>
  <si>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</si>
  <si>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</si>
  <si>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</si>
  <si>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</si>
  <si>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</si>
  <si>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</si>
  <si>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</si>
  <si>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</si>
  <si>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</si>
  <si>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</si>
  <si>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</si>
  <si>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</si>
  <si>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</si>
  <si>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</si>
  <si>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</si>
  <si>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</si>
  <si>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</si>
  <si>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</si>
  <si>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</si>
  <si>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</si>
  <si>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</si>
  <si>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</si>
  <si>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</si>
  <si>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</si>
  <si>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</si>
  <si>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</si>
  <si>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</si>
  <si>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</si>
  <si>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</si>
  <si>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</si>
  <si>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</si>
  <si>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</si>
  <si>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</si>
  <si>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</si>
  <si>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</si>
  <si>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</si>
  <si>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</si>
  <si>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</si>
  <si>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</si>
  <si>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</si>
  <si>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</si>
  <si>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</si>
  <si>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</si>
  <si>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</si>
  <si>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</si>
  <si>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</si>
  <si>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</si>
  <si>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</si>
  <si>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</si>
  <si>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</si>
  <si>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</si>
  <si>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</si>
  <si>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</si>
  <si>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</si>
  <si>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</si>
  <si>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</si>
  <si>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</si>
  <si>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</si>
  <si>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</si>
  <si>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</si>
  <si>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</si>
  <si>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</si>
  <si>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</si>
  <si>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</si>
  <si>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</si>
  <si>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</si>
  <si>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</si>
  <si>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</si>
  <si>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</si>
  <si>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</si>
  <si>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</si>
  <si>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</si>
  <si>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</si>
  <si>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</si>
  <si>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</si>
  <si>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</si>
  <si>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</si>
  <si>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</si>
  <si>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</si>
  <si>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</si>
  <si>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</si>
  <si>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</si>
  <si>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</si>
  <si>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</si>
  <si>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</si>
  <si>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</si>
  <si>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</si>
  <si>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</si>
  <si>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</si>
  <si>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</si>
  <si>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</si>
  <si>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</si>
  <si>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</si>
  <si>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</si>
  <si>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</si>
  <si>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</si>
  <si>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</si>
  <si>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</si>
  <si>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</si>
  <si>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</si>
  <si>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</si>
  <si>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</si>
  <si>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</si>
  <si>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</si>
  <si>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</si>
  <si>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</si>
  <si>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</si>
  <si>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</si>
  <si>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</si>
  <si>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</si>
  <si>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</si>
  <si>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</si>
  <si>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</si>
  <si>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</si>
  <si>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</si>
  <si>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</si>
  <si>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</si>
  <si>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</si>
  <si>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</si>
  <si>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</si>
  <si>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</si>
  <si>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</si>
  <si>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</si>
  <si>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</si>
  <si>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</si>
  <si>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</si>
  <si>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</si>
  <si>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</si>
  <si>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</si>
  <si>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</si>
  <si>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</si>
  <si>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</si>
  <si>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</si>
  <si>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</si>
  <si>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</si>
  <si>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</si>
  <si>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</si>
  <si>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</si>
  <si>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</si>
  <si>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</si>
  <si>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</si>
  <si>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</si>
  <si>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</si>
  <si>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</si>
  <si>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</si>
  <si>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</si>
  <si>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</si>
  <si>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</si>
  <si>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</si>
  <si>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</si>
  <si>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</si>
  <si>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</si>
  <si>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</si>
  <si>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</si>
  <si>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</si>
  <si>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</si>
  <si>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</si>
  <si>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</si>
  <si>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</si>
  <si>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</si>
  <si>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</si>
  <si>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</si>
  <si>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</si>
  <si>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</si>
  <si>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</si>
  <si>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</si>
  <si>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</si>
  <si>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</si>
  <si>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</si>
  <si>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</si>
  <si>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</si>
  <si>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</si>
  <si>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</si>
  <si>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</si>
  <si>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</si>
  <si>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</si>
  <si>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</si>
  <si>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</si>
  <si>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</si>
  <si>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</si>
  <si>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</si>
  <si>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</si>
  <si>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</si>
  <si>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</si>
  <si>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</si>
  <si>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</si>
  <si>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</si>
  <si>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</si>
  <si>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</si>
  <si>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</si>
  <si>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</si>
  <si>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</si>
  <si>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</si>
  <si>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</si>
  <si>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</si>
  <si>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</si>
  <si>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</si>
  <si>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</si>
  <si>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</si>
  <si>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</si>
  <si>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</si>
  <si>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</si>
  <si>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</si>
  <si>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</si>
  <si>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</si>
  <si>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</si>
  <si>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</si>
  <si>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</si>
  <si>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</si>
  <si>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</si>
  <si>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</si>
  <si>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</si>
  <si>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</si>
  <si>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</si>
  <si>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</si>
  <si>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</si>
  <si>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</si>
  <si>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</si>
  <si>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</si>
  <si>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</si>
  <si>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</si>
  <si>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</si>
  <si>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</si>
  <si>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</si>
  <si>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</si>
  <si>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</si>
  <si>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</si>
  <si>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</si>
  <si>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</si>
  <si>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</si>
  <si>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</si>
  <si>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</si>
  <si>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</si>
  <si>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</si>
  <si>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</si>
  <si>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</si>
  <si>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</si>
  <si>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</si>
  <si>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</si>
  <si>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</si>
  <si>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</si>
  <si>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</si>
  <si>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</si>
  <si>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</si>
  <si>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</si>
  <si>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</si>
  <si>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</si>
  <si>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</si>
  <si>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</si>
  <si>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</si>
  <si>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</si>
  <si>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</si>
  <si>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</si>
  <si>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</si>
  <si>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</si>
  <si>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</si>
  <si>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</si>
  <si>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</si>
  <si>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</si>
  <si>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</si>
  <si>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</si>
  <si>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</si>
  <si>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</si>
  <si>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</si>
  <si>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</si>
  <si>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</si>
  <si>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</si>
  <si>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</si>
  <si>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</si>
  <si>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</si>
  <si>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</si>
  <si>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</si>
  <si>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</si>
  <si>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</si>
  <si>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</si>
  <si>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</si>
  <si>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</si>
  <si>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</si>
  <si>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</si>
  <si>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</si>
  <si>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</si>
  <si>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</si>
  <si>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</si>
  <si>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</si>
  <si>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</si>
  <si>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</si>
  <si>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</si>
  <si>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</si>
  <si>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</si>
  <si>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</si>
  <si>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</si>
  <si>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</si>
  <si>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</si>
  <si>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</si>
  <si>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</si>
  <si>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</si>
  <si>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</si>
  <si>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</si>
  <si>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</si>
  <si>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</si>
  <si>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</si>
  <si>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</si>
  <si>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</si>
  <si>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</si>
  <si>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</si>
  <si>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</si>
  <si>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</si>
  <si>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</si>
  <si>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</si>
  <si>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</si>
  <si>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</si>
  <si>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</si>
  <si>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</si>
  <si>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</si>
  <si>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</si>
  <si>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</si>
  <si>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</si>
  <si>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</si>
  <si>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</si>
  <si>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</si>
  <si>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</si>
  <si>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</si>
  <si>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</si>
  <si>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</si>
  <si>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</si>
  <si>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</si>
  <si>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</si>
  <si>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</si>
  <si>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</si>
  <si>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</si>
  <si>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</si>
  <si>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</si>
  <si>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</si>
  <si>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</si>
  <si>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</si>
  <si>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</si>
  <si>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</si>
  <si>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</si>
  <si>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</si>
  <si>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</si>
  <si>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</si>
  <si>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</si>
  <si>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</si>
  <si>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</si>
  <si>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</si>
  <si>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</si>
  <si>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</si>
  <si>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</si>
  <si>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</si>
  <si>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</si>
  <si>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</si>
  <si>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</si>
  <si>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</si>
  <si>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</si>
  <si>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</si>
  <si>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</si>
  <si>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</si>
  <si>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</si>
  <si>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</si>
  <si>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</si>
  <si>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</si>
  <si>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</si>
  <si>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</si>
  <si>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</si>
  <si>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</si>
  <si>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</si>
  <si>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</si>
  <si>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</si>
  <si>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</si>
  <si>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</si>
  <si>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</si>
  <si>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</si>
  <si>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</si>
  <si>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</si>
  <si>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</si>
  <si>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</si>
  <si>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</si>
  <si>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</si>
  <si>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</si>
  <si>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</si>
  <si>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</si>
  <si>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</si>
  <si>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</si>
  <si>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</si>
  <si>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</si>
  <si>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</si>
  <si>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</si>
  <si>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</si>
  <si>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</si>
  <si>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</si>
  <si>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</si>
  <si>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</si>
  <si>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</si>
  <si>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</si>
  <si>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</si>
  <si>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</si>
  <si>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</si>
  <si>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</si>
  <si>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</si>
  <si>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</si>
  <si>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</si>
  <si>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</si>
  <si>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</si>
  <si>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</si>
  <si>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</si>
  <si>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</si>
  <si>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</si>
  <si>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</si>
  <si>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</si>
  <si>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</si>
  <si>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</si>
  <si>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</si>
  <si>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</si>
  <si>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</si>
  <si>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</si>
  <si>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</si>
  <si>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</si>
  <si>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</si>
  <si>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</si>
  <si>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</si>
  <si>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</si>
  <si>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</si>
  <si>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</si>
  <si>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</si>
  <si>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</si>
  <si>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</si>
  <si>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</si>
  <si>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</si>
  <si>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</si>
  <si>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</si>
  <si>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</si>
  <si>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</si>
  <si>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</si>
  <si>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</si>
  <si>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</si>
  <si>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</si>
  <si>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</si>
  <si>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</si>
  <si>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</si>
  <si>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</si>
  <si>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</si>
  <si>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</si>
  <si>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</si>
  <si>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</si>
  <si>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</si>
  <si>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</si>
  <si>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</si>
  <si>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</si>
  <si>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</si>
  <si>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</si>
  <si>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</si>
  <si>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</si>
  <si>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</si>
  <si>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</si>
  <si>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</si>
  <si>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</si>
  <si>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</si>
  <si>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</si>
  <si>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</si>
  <si>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</si>
  <si>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</si>
  <si>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</si>
  <si>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</si>
  <si>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</si>
  <si>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</si>
  <si>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</si>
  <si>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</si>
  <si>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</si>
  <si>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</si>
  <si>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</si>
  <si>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</si>
  <si>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</si>
  <si>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</si>
  <si>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</si>
  <si>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</si>
  <si>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</si>
  <si>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</si>
  <si>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</si>
  <si>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</si>
  <si>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</si>
  <si>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</si>
  <si>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</si>
  <si>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</si>
  <si>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</si>
  <si>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</si>
  <si>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</si>
  <si>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</si>
  <si>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</si>
  <si>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</si>
  <si>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</si>
  <si>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</si>
  <si>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</si>
  <si>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</si>
  <si>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</si>
  <si>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</si>
  <si>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</si>
  <si>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</si>
  <si>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</si>
  <si>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</si>
  <si>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</si>
  <si>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</si>
  <si>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</si>
  <si>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</si>
  <si>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</si>
  <si>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</si>
  <si>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</si>
  <si>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</si>
  <si>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</si>
  <si>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</si>
  <si>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</si>
  <si>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</si>
  <si>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</si>
  <si>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</si>
  <si>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</si>
  <si>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</si>
  <si>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</si>
  <si>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</si>
  <si>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</si>
  <si>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</si>
  <si>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</si>
  <si>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</si>
  <si>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</si>
  <si>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</si>
  <si>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</si>
  <si>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</si>
  <si>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</si>
  <si>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</si>
  <si>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</si>
  <si>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</si>
  <si>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</si>
  <si>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</si>
  <si>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</si>
  <si>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</si>
  <si>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</si>
  <si>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</si>
  <si>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</si>
  <si>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</si>
  <si>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</si>
  <si>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</si>
  <si>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</si>
  <si>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</si>
  <si>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</si>
  <si>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</si>
  <si>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</si>
  <si>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</si>
  <si>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</si>
  <si>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</si>
  <si>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</si>
  <si>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</si>
  <si>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</si>
  <si>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</si>
  <si>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</si>
  <si>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</si>
  <si>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</si>
  <si>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</si>
  <si>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</si>
  <si>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</si>
  <si>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</si>
  <si>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</si>
  <si>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</si>
  <si>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</si>
  <si>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</si>
  <si>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</si>
  <si>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</si>
  <si>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</si>
  <si>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</si>
  <si>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</si>
  <si>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</si>
  <si>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</si>
  <si>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</si>
  <si>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</si>
  <si>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</si>
  <si>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</si>
  <si>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</si>
  <si>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</si>
  <si>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</si>
  <si>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</si>
  <si>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</si>
  <si>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</si>
  <si>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</si>
  <si>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</si>
  <si>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</si>
  <si>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</si>
  <si>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</si>
  <si>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</si>
  <si>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</si>
  <si>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</si>
  <si>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</si>
  <si>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</si>
  <si>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</si>
  <si>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</si>
  <si>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</si>
  <si>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</si>
  <si>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</si>
  <si>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</si>
  <si>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</si>
  <si>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</si>
  <si>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</si>
  <si>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</si>
  <si>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</si>
  <si>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</si>
  <si>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</si>
  <si>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</si>
  <si>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</si>
  <si>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</si>
  <si>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</si>
  <si>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</si>
  <si>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</si>
  <si>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</si>
  <si>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</si>
  <si>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</si>
  <si>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</si>
  <si>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</si>
  <si>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</si>
  <si>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</si>
  <si>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</si>
  <si>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</si>
  <si>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</si>
  <si>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</si>
  <si>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</si>
  <si>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</si>
  <si>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</si>
  <si>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</si>
  <si>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</si>
  <si>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</si>
  <si>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</si>
  <si>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</si>
  <si>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</si>
  <si>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</si>
  <si>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</si>
  <si>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</si>
  <si>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</si>
  <si>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</si>
  <si>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</si>
  <si>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</si>
  <si>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</si>
  <si>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</si>
  <si>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</si>
  <si>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</si>
  <si>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</si>
  <si>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</si>
  <si>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</si>
  <si>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</si>
  <si>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</si>
  <si>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</si>
  <si>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</si>
  <si>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</si>
  <si>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</si>
  <si>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</si>
  <si>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</si>
  <si>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</si>
  <si>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</si>
  <si>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</si>
  <si>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</si>
  <si>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</si>
  <si>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</si>
  <si>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</si>
  <si>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</si>
  <si>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</si>
  <si>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</si>
  <si>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</si>
  <si>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</si>
  <si>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</si>
  <si>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</si>
  <si>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</si>
  <si>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</si>
  <si>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</si>
  <si>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</si>
  <si>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</si>
  <si>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</si>
  <si>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</si>
  <si>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</si>
  <si>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</si>
  <si>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</si>
  <si>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</si>
  <si>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</si>
  <si>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</si>
  <si>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</si>
  <si>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</si>
  <si>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</si>
  <si>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</si>
  <si>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</si>
  <si>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</si>
  <si>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</si>
  <si>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</si>
  <si>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</si>
  <si>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</si>
  <si>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</si>
  <si>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</si>
  <si>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</si>
  <si>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</si>
  <si>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</si>
  <si>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</si>
  <si>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</si>
  <si>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</si>
  <si>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</si>
  <si>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</si>
  <si>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</si>
  <si>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</si>
  <si>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</si>
  <si>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</si>
  <si>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</si>
  <si>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</si>
  <si>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</si>
  <si>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</si>
  <si>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</si>
  <si>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</si>
  <si>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</si>
  <si>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</si>
  <si>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</si>
  <si>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</si>
  <si>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</si>
  <si>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</si>
  <si>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</si>
  <si>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</si>
  <si>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</si>
  <si>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</si>
  <si>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</si>
  <si>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</si>
  <si>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</si>
  <si>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</si>
  <si>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</si>
  <si>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</si>
  <si>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</si>
  <si>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</si>
  <si>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</si>
  <si>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</si>
  <si>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</si>
  <si>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</si>
  <si>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</si>
  <si>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</si>
  <si>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</si>
  <si>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</si>
  <si>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</si>
  <si>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</si>
  <si>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</si>
  <si>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</si>
  <si>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</si>
  <si>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</si>
  <si>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</si>
  <si>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</si>
  <si>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</si>
  <si>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</si>
  <si>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</si>
  <si>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</si>
  <si>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</si>
  <si>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</si>
  <si>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</si>
  <si>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</si>
  <si>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</si>
  <si>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</si>
  <si>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</si>
  <si>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</si>
  <si>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</si>
  <si>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</si>
  <si>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</si>
  <si>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</si>
  <si>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</si>
  <si>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</si>
  <si>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</si>
  <si>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</si>
  <si>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</si>
  <si>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</si>
  <si>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</si>
  <si>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</si>
  <si>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</si>
  <si>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</si>
  <si>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</si>
  <si>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</si>
  <si>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</si>
  <si>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</si>
  <si>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</si>
  <si>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</si>
  <si>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</si>
  <si>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</si>
  <si>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</si>
  <si>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</si>
  <si>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</si>
  <si>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</si>
  <si>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</si>
  <si>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</si>
  <si>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</si>
  <si>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</si>
  <si>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</si>
  <si>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</si>
  <si>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</si>
  <si>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</si>
  <si>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</si>
  <si>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</si>
  <si>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</si>
  <si>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</si>
  <si>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</si>
  <si>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</si>
  <si>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</si>
  <si>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</si>
  <si>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</si>
  <si>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</si>
  <si>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</si>
  <si>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</si>
  <si>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</si>
  <si>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</si>
  <si>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</si>
  <si>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</si>
  <si>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</si>
  <si>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</si>
  <si>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</si>
  <si>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</si>
  <si>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</si>
  <si>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</si>
  <si>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</si>
  <si>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</si>
  <si>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</si>
  <si>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</si>
  <si>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</si>
  <si>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</si>
  <si>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</si>
  <si>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</si>
  <si>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</si>
  <si>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</si>
  <si>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</si>
  <si>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</si>
  <si>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</si>
  <si>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</si>
  <si>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</si>
  <si>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</si>
  <si>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</si>
  <si>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</si>
  <si>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</si>
  <si>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</si>
  <si>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</si>
  <si>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</si>
  <si>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</si>
  <si>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</si>
  <si>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</si>
  <si>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</si>
  <si>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</si>
  <si>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</si>
  <si>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</si>
  <si>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</si>
  <si>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</si>
  <si>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</si>
  <si>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</si>
  <si>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</si>
  <si>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</si>
  <si>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</si>
  <si>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</si>
  <si>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</si>
  <si>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</si>
  <si>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</si>
  <si>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</si>
  <si>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</si>
  <si>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</si>
  <si>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</si>
  <si>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</si>
  <si>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</si>
  <si>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</si>
  <si>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</si>
  <si>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</si>
  <si>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</si>
  <si>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</si>
  <si>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</si>
  <si>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</si>
  <si>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</si>
  <si>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</si>
  <si>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</si>
  <si>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</si>
  <si>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</si>
  <si>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</si>
  <si>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</si>
  <si>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</si>
  <si>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</si>
  <si>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</si>
  <si>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</si>
  <si>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</si>
  <si>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</si>
  <si>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</si>
  <si>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</si>
  <si>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</si>
  <si>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</si>
  <si>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</si>
  <si>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</si>
  <si>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</si>
  <si>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</si>
  <si>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</si>
  <si>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</si>
  <si>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</si>
  <si>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</si>
  <si>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</si>
  <si>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</si>
  <si>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</si>
  <si>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</si>
  <si>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</si>
  <si>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</si>
  <si>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</si>
  <si>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</si>
  <si>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</si>
  <si>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</si>
  <si>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</si>
  <si>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</si>
  <si>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</si>
  <si>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</si>
  <si>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</si>
  <si>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</si>
  <si>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</si>
  <si>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</si>
  <si>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</si>
  <si>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</si>
  <si>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</si>
  <si>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</si>
  <si>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</si>
  <si>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</si>
  <si>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</si>
  <si>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</si>
  <si>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</si>
  <si>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</si>
  <si>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</si>
  <si>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</si>
  <si>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</si>
  <si>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</si>
  <si>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</si>
  <si>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</si>
  <si>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</si>
  <si>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</si>
  <si>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</si>
  <si>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</si>
  <si>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</si>
  <si>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</si>
  <si>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</si>
  <si>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</si>
  <si>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</si>
  <si>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</si>
  <si>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</si>
  <si>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</si>
  <si>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</si>
  <si>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</si>
  <si>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</si>
  <si>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</si>
  <si>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</si>
  <si>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</si>
  <si>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</si>
  <si>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</si>
  <si>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</si>
  <si>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</si>
  <si>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</si>
  <si>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</si>
  <si>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</si>
  <si>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</si>
  <si>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</si>
  <si>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</si>
  <si>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</si>
  <si>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</si>
  <si>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</si>
  <si>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</si>
  <si>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</si>
  <si>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</si>
  <si>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</si>
  <si>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</si>
  <si>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</si>
  <si>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</si>
  <si>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</si>
  <si>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</si>
  <si>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</si>
  <si>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</si>
  <si>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</si>
  <si>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</si>
  <si>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</si>
  <si>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</si>
  <si>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</si>
  <si>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</si>
  <si>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</si>
  <si>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</si>
  <si>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</si>
  <si>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</si>
  <si>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</si>
  <si>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</si>
  <si>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</si>
  <si>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</si>
  <si>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</si>
  <si>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</si>
  <si>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</si>
  <si>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</si>
  <si>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</si>
  <si>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</si>
  <si>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</si>
  <si>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</si>
  <si>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</si>
  <si>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</si>
  <si>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</si>
  <si>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</si>
  <si>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</si>
  <si>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</si>
  <si>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</si>
  <si>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</si>
  <si>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</si>
  <si>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</si>
  <si>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</si>
  <si>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</si>
  <si>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</si>
  <si>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</si>
  <si>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</si>
  <si>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</si>
  <si>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</si>
  <si>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</si>
  <si>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</si>
  <si>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</si>
  <si>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</si>
  <si>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</si>
  <si>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</si>
  <si>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</si>
  <si>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</si>
  <si>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</si>
  <si>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</si>
  <si>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</si>
  <si>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</si>
  <si>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</si>
  <si>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</si>
  <si>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</si>
  <si>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</si>
  <si>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</si>
  <si>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</si>
  <si>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</si>
  <si>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</si>
  <si>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</si>
  <si>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</si>
  <si>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</si>
  <si>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</si>
  <si>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</si>
  <si>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</si>
  <si>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</si>
  <si>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</si>
  <si>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</si>
  <si>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</si>
  <si>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</si>
  <si>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</si>
  <si>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</si>
  <si>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</si>
  <si>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</si>
  <si>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</si>
  <si>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</si>
  <si>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</si>
  <si>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</si>
  <si>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</si>
  <si>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</si>
  <si>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</si>
  <si>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</si>
  <si>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</si>
  <si>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</si>
  <si>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</si>
  <si>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</si>
  <si>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</si>
  <si>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</si>
  <si>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</si>
  <si>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</si>
  <si>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</si>
  <si>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</si>
  <si>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</si>
  <si>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</si>
  <si>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</si>
  <si>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</si>
  <si>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</si>
  <si>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</si>
  <si>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</si>
  <si>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</si>
  <si>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</si>
  <si>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</si>
  <si>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</si>
  <si>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</si>
  <si>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</si>
  <si>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</si>
  <si>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</si>
  <si>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</si>
  <si>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</si>
  <si>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</si>
  <si>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</si>
  <si>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</si>
  <si>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</si>
  <si>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</si>
  <si>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</si>
  <si>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</si>
  <si>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</si>
  <si>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</si>
  <si>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</si>
  <si>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</si>
  <si>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</si>
  <si>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</si>
  <si>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</si>
  <si>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</si>
  <si>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</si>
  <si>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</si>
  <si>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</si>
  <si>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</si>
  <si>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</si>
  <si>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</si>
  <si>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</si>
  <si>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</si>
  <si>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</si>
  <si>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</si>
  <si>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</si>
  <si>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</si>
  <si>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</si>
  <si>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</si>
  <si>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</si>
  <si>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</si>
  <si>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</si>
  <si>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</si>
  <si>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</si>
  <si>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</si>
  <si>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</si>
  <si>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</si>
  <si>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</si>
  <si>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</si>
  <si>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</si>
  <si>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</si>
  <si>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</si>
  <si>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</si>
  <si>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</si>
  <si>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</si>
  <si>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</si>
  <si>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</si>
  <si>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</si>
  <si>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</si>
  <si>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</si>
  <si>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</si>
  <si>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</si>
  <si>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</si>
  <si>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</si>
  <si>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</si>
  <si>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</si>
  <si>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</si>
  <si>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</si>
  <si>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</si>
  <si>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</si>
  <si>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</si>
  <si>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</si>
  <si>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</si>
  <si>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</si>
  <si>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</si>
  <si>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</si>
  <si>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</si>
  <si>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</si>
  <si>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</si>
  <si>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</si>
  <si>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</si>
  <si>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</si>
  <si>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</si>
  <si>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</si>
  <si>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</si>
  <si>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</si>
  <si>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</si>
  <si>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</si>
  <si>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</si>
  <si>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</si>
  <si>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</si>
  <si>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</si>
  <si>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</si>
  <si>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</si>
  <si>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</si>
  <si>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</si>
  <si>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</si>
  <si>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</si>
  <si>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</si>
  <si>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</si>
  <si>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</si>
  <si>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</si>
  <si>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</si>
  <si>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</si>
  <si>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</si>
  <si>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</si>
  <si>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</si>
  <si>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</si>
  <si>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</si>
  <si>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</si>
  <si>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</si>
  <si>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</si>
  <si>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</si>
  <si>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</si>
  <si>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</si>
  <si>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</si>
  <si>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</si>
  <si>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</si>
  <si>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</si>
  <si>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</si>
  <si>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</si>
  <si>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</si>
  <si>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</si>
  <si>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</si>
  <si>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</si>
  <si>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</si>
  <si>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</si>
  <si>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</si>
  <si>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</si>
  <si>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</si>
  <si>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</si>
  <si>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</si>
  <si>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</si>
  <si>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</si>
  <si>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</si>
  <si>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</si>
  <si>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</si>
  <si>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</si>
  <si>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</si>
  <si>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</si>
  <si>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</si>
  <si>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</si>
  <si>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</si>
  <si>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</si>
  <si>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</si>
  <si>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</si>
  <si>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</si>
  <si>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</si>
  <si>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</si>
  <si>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</si>
  <si>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</si>
  <si>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</si>
  <si>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</si>
  <si>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</si>
  <si>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</si>
  <si>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</si>
  <si>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</si>
  <si>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</si>
  <si>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</si>
  <si>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</si>
  <si>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</si>
  <si>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</si>
  <si>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</si>
  <si>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</si>
  <si>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</si>
  <si>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</si>
  <si>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</si>
  <si>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</si>
  <si>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</si>
  <si>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</si>
  <si>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</si>
  <si>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</si>
  <si>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</si>
  <si>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</si>
  <si>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</si>
  <si>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</si>
  <si>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</si>
  <si>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</si>
  <si>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</si>
  <si>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</si>
  <si>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</si>
  <si>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</si>
  <si>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</si>
  <si>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</si>
  <si>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</si>
  <si>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</si>
  <si>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</si>
  <si>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</si>
  <si>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</si>
  <si>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</si>
  <si>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</si>
  <si>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</si>
  <si>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</si>
  <si>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</si>
  <si>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</si>
  <si>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</si>
  <si>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</si>
  <si>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</si>
  <si>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</si>
  <si>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</si>
  <si>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</si>
  <si>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</si>
  <si>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</si>
  <si>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</si>
  <si>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</si>
  <si>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</si>
  <si>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</si>
  <si>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</si>
  <si>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</si>
  <si>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</si>
  <si>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</si>
  <si>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</si>
  <si>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</si>
  <si>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</si>
  <si>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</si>
  <si>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</si>
  <si>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</si>
  <si>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</si>
  <si>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</si>
  <si>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</si>
  <si>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</si>
  <si>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</si>
  <si>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</si>
  <si>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</si>
  <si>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</si>
  <si>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</si>
  <si>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</si>
  <si>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</si>
  <si>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</si>
  <si>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</si>
  <si>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</si>
  <si>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</si>
  <si>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</si>
  <si>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</si>
  <si>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</si>
  <si>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</si>
  <si>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</si>
  <si>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</si>
  <si>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</si>
  <si>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</si>
  <si>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</si>
  <si>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</si>
  <si>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</si>
  <si>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</si>
  <si>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</si>
  <si>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</si>
  <si>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</si>
  <si>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</si>
  <si>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</si>
  <si>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</si>
  <si>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</si>
  <si>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</si>
  <si>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</si>
  <si>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</si>
  <si>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</si>
  <si>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</si>
  <si>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</si>
  <si>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</si>
  <si>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</si>
  <si>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</si>
  <si>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</si>
  <si>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</si>
  <si>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</si>
  <si>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</si>
  <si>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</si>
  <si>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</si>
  <si>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</si>
  <si>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</si>
  <si>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</si>
  <si>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</si>
  <si>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</si>
  <si>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</si>
  <si>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</si>
  <si>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</si>
  <si>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</si>
  <si>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</si>
  <si>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</si>
  <si>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</si>
  <si>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</si>
  <si>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</si>
  <si>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</si>
  <si>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</si>
  <si>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</si>
  <si>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</si>
  <si>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</si>
  <si>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</si>
  <si>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</si>
  <si>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</si>
  <si>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</si>
  <si>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</si>
  <si>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</si>
  <si>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</si>
  <si>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</si>
  <si>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</si>
  <si>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</si>
  <si>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</si>
  <si>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</si>
  <si>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</si>
  <si>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</si>
  <si>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</si>
  <si>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</si>
  <si>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</si>
  <si>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</si>
  <si>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</si>
  <si>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</si>
  <si>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</si>
  <si>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</si>
  <si>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</si>
  <si>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</si>
  <si>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</si>
  <si>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</si>
  <si>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</si>
  <si>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</si>
  <si>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</si>
  <si>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</si>
  <si>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</si>
  <si>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</si>
  <si>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</si>
  <si>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</si>
  <si>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</si>
  <si>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</si>
  <si>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</si>
  <si>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</si>
  <si>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</si>
  <si>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</si>
  <si>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</si>
  <si>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</si>
  <si>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</si>
  <si>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</si>
  <si>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</si>
  <si>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</si>
  <si>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</si>
  <si>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</si>
  <si>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</si>
  <si>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</si>
  <si>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</si>
  <si>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</si>
  <si>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</si>
  <si>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</si>
  <si>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</si>
  <si>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</si>
  <si>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</si>
  <si>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</si>
  <si>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</si>
  <si>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</si>
  <si>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</si>
  <si>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</si>
  <si>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</si>
  <si>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</si>
  <si>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</si>
  <si>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</si>
  <si>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</si>
  <si>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</si>
  <si>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</si>
  <si>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</si>
  <si>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</si>
  <si>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</si>
  <si>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</si>
  <si>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</si>
  <si>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</si>
  <si>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</si>
  <si>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</si>
  <si>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</si>
  <si>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</si>
  <si>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</si>
  <si>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</si>
  <si>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</si>
  <si>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</si>
  <si>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</si>
  <si>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</si>
  <si>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</si>
  <si>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</si>
  <si>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</si>
  <si>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</si>
  <si>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</si>
  <si>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</si>
  <si>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</si>
  <si>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</si>
  <si>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</si>
  <si>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</si>
  <si>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</si>
  <si>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</si>
  <si>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</si>
  <si>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</si>
  <si>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</si>
  <si>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</si>
  <si>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</si>
  <si>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</si>
  <si>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</si>
  <si>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</si>
  <si>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</si>
  <si>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</si>
  <si>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</si>
  <si>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</si>
  <si>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</si>
  <si>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</si>
  <si>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</si>
  <si>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</si>
  <si>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</si>
  <si>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</si>
  <si>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</si>
  <si>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</si>
  <si>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</si>
  <si>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</si>
  <si>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</si>
  <si>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</si>
  <si>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</si>
  <si>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</si>
  <si>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</si>
  <si>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</si>
  <si>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</si>
  <si>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</si>
  <si>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</si>
  <si>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</si>
  <si>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</si>
  <si>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</si>
  <si>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</si>
  <si>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</si>
  <si>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</si>
  <si>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</si>
  <si>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</si>
  <si>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</si>
  <si>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</si>
  <si>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</si>
  <si>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</si>
  <si>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</si>
  <si>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</si>
  <si>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</si>
  <si>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</si>
  <si>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</si>
  <si>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</si>
  <si>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</si>
  <si>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</si>
  <si>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</si>
  <si>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</si>
  <si>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</si>
  <si>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</si>
  <si>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</si>
  <si>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</si>
  <si>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</si>
  <si>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</si>
  <si>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</si>
  <si>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</si>
  <si>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</si>
  <si>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</si>
  <si>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</si>
  <si>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</si>
  <si>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</si>
  <si>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</si>
  <si>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</si>
  <si>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</si>
  <si>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</si>
  <si>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</si>
  <si>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</si>
  <si>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</si>
  <si>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</si>
  <si>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</si>
  <si>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</si>
  <si>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</si>
  <si>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</si>
  <si>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</si>
  <si>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</si>
  <si>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</si>
  <si>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</si>
  <si>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</si>
  <si>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</si>
  <si>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</si>
  <si>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</si>
  <si>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</si>
  <si>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</si>
  <si>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</si>
  <si>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</si>
  <si>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</si>
  <si>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</si>
  <si>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</si>
  <si>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</si>
  <si>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</si>
  <si>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</si>
  <si>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</si>
  <si>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</si>
  <si>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</si>
  <si>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</si>
  <si>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</si>
  <si>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</si>
  <si>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</si>
  <si>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</si>
  <si>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</si>
  <si>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</si>
  <si>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</si>
  <si>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</si>
  <si>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</si>
  <si>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</si>
  <si>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</si>
  <si>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</si>
  <si>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</si>
  <si>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</si>
  <si>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</si>
  <si>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</si>
  <si>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</si>
  <si>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</si>
  <si>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</si>
  <si>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</si>
  <si>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</si>
  <si>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</si>
  <si>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</si>
  <si>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</si>
  <si>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</si>
  <si>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</si>
  <si>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</si>
  <si>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</si>
  <si>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</si>
  <si>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</si>
  <si>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</si>
  <si>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</si>
  <si>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</si>
  <si>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</si>
  <si>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</si>
  <si>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</si>
  <si>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</si>
  <si>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</si>
  <si>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</si>
  <si>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</si>
  <si>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</si>
  <si>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</si>
  <si>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</si>
  <si>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</si>
  <si>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</si>
  <si>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</si>
  <si>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</si>
  <si>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</si>
  <si>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</si>
  <si>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</si>
  <si>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</si>
  <si>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</si>
  <si>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</si>
  <si>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</si>
  <si>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</si>
  <si>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</si>
  <si>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</si>
  <si>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</si>
  <si>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</si>
  <si>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</si>
  <si>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</si>
  <si>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</si>
  <si>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</si>
  <si>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</si>
  <si>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</si>
  <si>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</si>
  <si>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</si>
  <si>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</si>
  <si>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</si>
  <si>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</si>
  <si>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</si>
  <si>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</si>
  <si>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</si>
  <si>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</si>
  <si>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</si>
  <si>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</si>
  <si>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</si>
  <si>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</si>
  <si>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</si>
  <si>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</si>
  <si>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</si>
  <si>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</si>
  <si>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</si>
  <si>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</si>
  <si>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</si>
  <si>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</si>
  <si>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</si>
  <si>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</si>
  <si>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</si>
  <si>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</si>
  <si>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</si>
  <si>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</si>
  <si>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</si>
  <si>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</si>
  <si>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</si>
  <si>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</si>
  <si>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</si>
  <si>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</si>
  <si>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</si>
  <si>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</si>
  <si>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</si>
  <si>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</si>
  <si>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</si>
  <si>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</si>
  <si>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</si>
  <si>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</si>
  <si>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</si>
  <si>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</si>
  <si>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</si>
  <si>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</si>
  <si>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</si>
  <si>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</si>
  <si>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</si>
  <si>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</si>
  <si>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</si>
  <si>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</si>
  <si>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</si>
  <si>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</si>
  <si>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</si>
  <si>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</si>
  <si>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</si>
  <si>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</si>
  <si>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</si>
  <si>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</si>
  <si>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</si>
  <si>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</si>
  <si>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</si>
  <si>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</si>
  <si>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</si>
  <si>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</si>
  <si>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</si>
  <si>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</si>
  <si>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</si>
  <si>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</si>
  <si>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</si>
  <si>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</si>
  <si>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</si>
  <si>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</si>
  <si>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</si>
  <si>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</si>
  <si>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</si>
  <si>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</si>
  <si>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</si>
  <si>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</si>
  <si>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</si>
  <si>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</si>
  <si>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</si>
  <si>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</si>
  <si>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</si>
  <si>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</si>
  <si>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</si>
  <si>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</si>
  <si>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</si>
  <si>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</si>
  <si>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</si>
  <si>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</si>
  <si>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</si>
  <si>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</si>
  <si>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</si>
  <si>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</si>
  <si>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</si>
  <si>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</si>
  <si>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</si>
  <si>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</si>
  <si>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</si>
  <si>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</si>
  <si>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</si>
  <si>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</si>
  <si>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</si>
  <si>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</si>
  <si>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</si>
  <si>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</si>
  <si>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</si>
  <si>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</si>
  <si>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</si>
  <si>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</si>
  <si>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</si>
  <si>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</si>
  <si>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</si>
  <si>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</si>
  <si>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</si>
  <si>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</si>
  <si>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</si>
  <si>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</si>
  <si>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</si>
  <si>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</si>
  <si>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</si>
  <si>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</si>
  <si>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</si>
  <si>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</si>
  <si>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</si>
  <si>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</si>
  <si>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</si>
  <si>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</si>
  <si>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</si>
  <si>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</si>
  <si>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</si>
  <si>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</si>
  <si>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</si>
  <si>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</si>
  <si>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</si>
  <si>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</si>
  <si>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</si>
  <si>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</si>
  <si>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</si>
  <si>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</si>
  <si>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</si>
  <si>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</si>
  <si>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</si>
  <si>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</si>
  <si>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</si>
  <si>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</si>
  <si>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</si>
  <si>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</si>
  <si>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</si>
  <si>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</si>
  <si>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</si>
  <si>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</si>
  <si>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</si>
  <si>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</si>
  <si>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</si>
  <si>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</si>
  <si>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</si>
  <si>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</si>
  <si>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</si>
  <si>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</si>
  <si>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</si>
  <si>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</si>
  <si>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</si>
  <si>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</si>
  <si>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</si>
  <si>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</si>
  <si>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</si>
  <si>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</si>
  <si>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</si>
  <si>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</si>
  <si>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</si>
  <si>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</si>
  <si>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</si>
  <si>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</si>
  <si>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</si>
  <si>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</si>
  <si>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</si>
  <si>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</si>
  <si>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</si>
  <si>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</si>
  <si>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</si>
  <si>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</si>
  <si>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</si>
  <si>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</si>
  <si>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</si>
  <si>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</si>
  <si>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</si>
  <si>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</si>
  <si>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</si>
  <si>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</si>
  <si>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</si>
  <si>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</si>
  <si>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</si>
  <si>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</si>
  <si>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</si>
  <si>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</si>
  <si>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</si>
  <si>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</si>
  <si>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</si>
  <si>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</si>
  <si>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</si>
  <si>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</si>
  <si>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</si>
  <si>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</si>
  <si>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</si>
  <si>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</si>
  <si>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</si>
  <si>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</si>
  <si>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</si>
  <si>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</si>
  <si>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</si>
  <si>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</si>
  <si>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</si>
  <si>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</si>
  <si>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</si>
  <si>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</si>
  <si>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</si>
  <si>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</si>
  <si>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</si>
  <si>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</si>
  <si>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</si>
  <si>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</si>
  <si>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</si>
  <si>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</si>
  <si>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</si>
  <si>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</si>
  <si>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</si>
  <si>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</si>
  <si>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</si>
  <si>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</si>
  <si>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</si>
  <si>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</si>
  <si>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</si>
  <si>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</si>
  <si>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</si>
  <si>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</si>
  <si>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</si>
  <si>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</si>
  <si>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</si>
  <si>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</si>
  <si>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</si>
  <si>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</si>
  <si>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</si>
  <si>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</si>
  <si>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</si>
  <si>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</si>
  <si>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</si>
  <si>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</si>
  <si>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</si>
  <si>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</si>
  <si>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</si>
  <si>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</si>
  <si>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</si>
  <si>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</si>
  <si>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</si>
  <si>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</si>
  <si>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</si>
  <si>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</si>
  <si>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</si>
  <si>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</si>
  <si>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</si>
  <si>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</si>
  <si>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</si>
  <si>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</si>
  <si>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</si>
  <si>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</si>
  <si>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</si>
  <si>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</si>
  <si>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</si>
  <si>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</si>
  <si>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</si>
  <si>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</si>
  <si>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</si>
  <si>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</si>
  <si>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</si>
  <si>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</si>
  <si>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</si>
  <si>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</si>
  <si>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</si>
  <si>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</si>
  <si>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</si>
  <si>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</si>
  <si>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</si>
  <si>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</si>
  <si>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</si>
  <si>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</si>
  <si>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</si>
  <si>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</si>
  <si>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</si>
  <si>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</si>
  <si>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</si>
  <si>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</si>
  <si>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</si>
  <si>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</si>
  <si>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</si>
  <si>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</si>
  <si>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</si>
  <si>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</si>
  <si>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</si>
  <si>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</si>
  <si>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</si>
  <si>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</si>
  <si>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</si>
  <si>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</si>
  <si>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</si>
  <si>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</si>
  <si>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</si>
  <si>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</si>
  <si>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</si>
  <si>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</si>
  <si>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</si>
  <si>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</si>
  <si>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</si>
  <si>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</si>
  <si>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</si>
  <si>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</si>
  <si>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</si>
  <si>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</si>
  <si>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</si>
  <si>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</si>
  <si>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</si>
  <si>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</si>
  <si>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</si>
  <si>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</si>
  <si>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</si>
  <si>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</si>
  <si>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</si>
  <si>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</si>
  <si>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</si>
  <si>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</si>
  <si>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</si>
  <si>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</si>
  <si>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</si>
  <si>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</si>
  <si>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</si>
  <si>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</si>
  <si>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</si>
  <si>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</si>
  <si>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</si>
  <si>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</si>
  <si>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</si>
  <si>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</si>
  <si>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</si>
  <si>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</si>
  <si>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</si>
  <si>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</si>
  <si>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</si>
  <si>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</si>
  <si>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</si>
  <si>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</si>
  <si>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</si>
  <si>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</si>
  <si>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</si>
  <si>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</si>
  <si>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</si>
  <si>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</si>
  <si>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</si>
  <si>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</si>
  <si>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</si>
  <si>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</si>
  <si>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</si>
  <si>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</si>
  <si>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</si>
  <si>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</si>
  <si>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</si>
  <si>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</si>
  <si>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</si>
  <si>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</si>
  <si>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</si>
  <si>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</si>
  <si>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</si>
  <si>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</si>
  <si>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</si>
  <si>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</si>
  <si>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</si>
  <si>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</si>
  <si>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</si>
  <si>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</si>
  <si>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</si>
  <si>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</si>
  <si>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</si>
  <si>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</si>
  <si>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</si>
  <si>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</si>
  <si>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</si>
  <si>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</si>
  <si>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</si>
  <si>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</si>
  <si>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</si>
  <si>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</si>
  <si>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</si>
  <si>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</si>
  <si>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</si>
  <si>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</si>
  <si>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</si>
  <si>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</si>
  <si>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</si>
  <si>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</si>
  <si>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</si>
  <si>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</si>
  <si>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</si>
  <si>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</si>
  <si>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</si>
  <si>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</si>
  <si>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</si>
  <si>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</si>
  <si>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</si>
  <si>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</si>
  <si>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</si>
  <si>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</si>
  <si>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</si>
  <si>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</si>
  <si>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</si>
  <si>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</si>
  <si>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</si>
  <si>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</si>
  <si>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</si>
  <si>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</si>
  <si>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</si>
  <si>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</si>
  <si>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</si>
  <si>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</si>
  <si>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</si>
  <si>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</si>
  <si>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</si>
  <si>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</si>
  <si>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</si>
  <si>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</si>
  <si>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</si>
  <si>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</si>
  <si>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</si>
  <si>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</si>
  <si>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</si>
  <si>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</si>
  <si>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</si>
  <si>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</si>
  <si>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</si>
  <si>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</si>
  <si>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</si>
  <si>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</si>
  <si>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</si>
  <si>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</si>
  <si>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</si>
  <si>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</si>
  <si>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</si>
  <si>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</si>
  <si>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</si>
  <si>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</si>
  <si>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</si>
  <si>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</si>
  <si>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</si>
  <si>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</si>
  <si>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</si>
  <si>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</si>
  <si>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</si>
  <si>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</si>
  <si>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</si>
  <si>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</si>
  <si>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</si>
  <si>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</si>
  <si>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</si>
  <si>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</si>
  <si>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</si>
  <si>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</si>
  <si>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</si>
  <si>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</si>
  <si>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</si>
  <si>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</si>
  <si>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</si>
  <si>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</si>
  <si>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</si>
  <si>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</si>
  <si>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</si>
  <si>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</si>
  <si>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</si>
  <si>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</si>
  <si>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</si>
  <si>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</si>
  <si>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</si>
  <si>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</si>
  <si>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</si>
  <si>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</si>
  <si>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</si>
  <si>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</si>
  <si>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</si>
  <si>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</si>
  <si>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</si>
  <si>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</si>
  <si>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</si>
  <si>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</si>
  <si>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</si>
  <si>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</si>
  <si>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</si>
  <si>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</si>
  <si>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</si>
  <si>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</si>
  <si>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</si>
  <si>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</si>
  <si>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</si>
  <si>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</si>
  <si>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</si>
  <si>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</si>
  <si>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</si>
  <si>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</si>
  <si>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</si>
  <si>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</si>
  <si>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</si>
  <si>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</si>
  <si>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</si>
  <si>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</si>
  <si>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</si>
  <si>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</si>
  <si>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</si>
  <si>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</si>
  <si>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</si>
  <si>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</si>
  <si>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</si>
  <si>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</si>
  <si>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</si>
  <si>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</si>
  <si>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</si>
  <si>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</si>
  <si>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</si>
  <si>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</si>
  <si>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</si>
  <si>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</si>
  <si>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</si>
  <si>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</si>
  <si>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</si>
  <si>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</si>
  <si>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</si>
  <si>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</si>
  <si>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</si>
  <si>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</si>
  <si>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</si>
  <si>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</si>
  <si>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</si>
  <si>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</si>
  <si>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</si>
  <si>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</si>
  <si>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</si>
  <si>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</si>
  <si>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</si>
  <si>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</si>
  <si>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</si>
  <si>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</si>
  <si>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</si>
  <si>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</si>
  <si>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</si>
  <si>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</si>
  <si>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</si>
  <si>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</si>
  <si>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</si>
  <si>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</si>
  <si>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</si>
  <si>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</si>
  <si>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</si>
  <si>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</si>
  <si>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</si>
  <si>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</si>
  <si>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</si>
  <si>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</si>
  <si>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</si>
  <si>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</si>
  <si>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</si>
  <si>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</si>
  <si>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</si>
  <si>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</si>
  <si>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</si>
  <si>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</si>
  <si>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</si>
  <si>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</si>
  <si>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</si>
  <si>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</si>
  <si>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</si>
  <si>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</si>
  <si>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</si>
  <si>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</si>
  <si>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</si>
  <si>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</si>
  <si>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</si>
  <si>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</si>
  <si>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</si>
  <si>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</si>
  <si>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</si>
  <si>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</si>
  <si>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</si>
  <si>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</si>
  <si>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</si>
  <si>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</si>
  <si>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</si>
  <si>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</si>
  <si>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</si>
  <si>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</si>
  <si>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</si>
  <si>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</si>
  <si>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</si>
  <si>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</si>
  <si>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</si>
  <si>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</si>
  <si>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</si>
  <si>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</si>
  <si>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</si>
  <si>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</si>
  <si>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</si>
  <si>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</si>
  <si>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</si>
  <si>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</si>
  <si>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</si>
  <si>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</si>
  <si>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</si>
  <si>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</si>
  <si>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</si>
  <si>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</si>
  <si>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</si>
  <si>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</si>
  <si>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</si>
  <si>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</si>
  <si>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</si>
  <si>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</si>
  <si>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</si>
  <si>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</si>
  <si>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</si>
  <si>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</si>
  <si>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</si>
  <si>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</si>
  <si>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</si>
  <si>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</si>
  <si>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</si>
  <si>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</si>
  <si>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</si>
  <si>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</si>
  <si>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</si>
  <si>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</si>
  <si>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</si>
  <si>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</si>
  <si>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</si>
  <si>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</si>
  <si>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</si>
  <si>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</si>
  <si>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</si>
  <si>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</si>
  <si>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</si>
  <si>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</si>
  <si>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</si>
  <si>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</si>
  <si>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</si>
  <si>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</si>
  <si>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</si>
  <si>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</si>
  <si>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</si>
  <si>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</si>
  <si>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</si>
  <si>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</si>
  <si>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</si>
  <si>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</si>
  <si>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</si>
  <si>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</si>
  <si>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</si>
  <si>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</si>
  <si>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</si>
  <si>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</si>
  <si>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</si>
  <si>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</si>
  <si>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</si>
  <si>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</si>
  <si>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</si>
  <si>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</si>
  <si>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</si>
  <si>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</si>
  <si>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</si>
  <si>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</si>
  <si>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</si>
  <si>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</si>
  <si>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</si>
  <si>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</si>
  <si>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</si>
  <si>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</si>
  <si>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</si>
  <si>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</si>
  <si>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</si>
  <si>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</si>
  <si>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</si>
  <si>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</si>
  <si>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</si>
  <si>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</si>
  <si>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</si>
  <si>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</si>
  <si>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</si>
  <si>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</si>
  <si>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</si>
  <si>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</si>
  <si>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</si>
  <si>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</si>
  <si>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</si>
  <si>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</si>
  <si>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</si>
  <si>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</si>
  <si>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</si>
  <si>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</si>
  <si>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</si>
  <si>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</si>
  <si>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</si>
  <si>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</si>
  <si>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</si>
  <si>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</si>
  <si>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</si>
  <si>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</si>
  <si>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</si>
  <si>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</si>
  <si>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</si>
  <si>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</si>
  <si>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</si>
  <si>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</si>
  <si>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</si>
  <si>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</si>
  <si>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</si>
  <si>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</si>
  <si>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</si>
  <si>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</si>
  <si>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</si>
  <si>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</si>
  <si>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</si>
  <si>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</si>
  <si>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</si>
  <si>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</si>
  <si>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</si>
  <si>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</si>
  <si>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</si>
  <si>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</si>
  <si>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</si>
  <si>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</si>
  <si>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</si>
  <si>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</si>
  <si>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</si>
  <si>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</si>
  <si>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</si>
  <si>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</si>
  <si>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</si>
  <si>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</si>
  <si>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</si>
  <si>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</si>
  <si>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</si>
  <si>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</si>
  <si>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</si>
  <si>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</si>
  <si>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</si>
  <si>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</si>
  <si>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</si>
  <si>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</si>
  <si>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</si>
  <si>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</si>
  <si>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</si>
  <si>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</si>
  <si>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</si>
  <si>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</si>
  <si>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</si>
  <si>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</si>
  <si>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</si>
  <si>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</si>
  <si>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</si>
  <si>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</si>
  <si>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</si>
  <si>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</si>
  <si>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</si>
  <si>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</si>
  <si>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</si>
  <si>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</si>
  <si>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</si>
  <si>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</si>
  <si>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</si>
  <si>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</si>
  <si>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</si>
  <si>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</si>
  <si>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</si>
  <si>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</si>
  <si>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</si>
  <si>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</si>
  <si>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</si>
  <si>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</si>
  <si>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</si>
  <si>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</si>
  <si>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</si>
  <si>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</si>
  <si>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</si>
  <si>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</si>
  <si>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</si>
  <si>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</si>
  <si>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</si>
  <si>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</si>
  <si>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</si>
  <si>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</si>
  <si>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</si>
  <si>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</si>
  <si>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</si>
  <si>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</si>
  <si>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</si>
  <si>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</si>
  <si>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</si>
  <si>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</si>
  <si>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</si>
  <si>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</si>
  <si>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</si>
  <si>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</si>
  <si>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</si>
  <si>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</si>
  <si>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</si>
  <si>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</si>
  <si>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</si>
  <si>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</si>
  <si>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</si>
  <si>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</si>
  <si>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</si>
  <si>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</si>
  <si>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</si>
  <si>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</si>
  <si>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</si>
  <si>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</si>
  <si>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</si>
  <si>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</si>
  <si>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</si>
  <si>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</si>
  <si>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</si>
  <si>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</si>
  <si>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</si>
  <si>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</si>
  <si>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</si>
  <si>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</si>
  <si>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</si>
  <si>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</si>
  <si>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</si>
  <si>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</si>
  <si>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</si>
  <si>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</si>
  <si>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</si>
  <si>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</si>
  <si>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</si>
  <si>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</si>
  <si>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</si>
  <si>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</si>
  <si>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</si>
  <si>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</si>
  <si>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</si>
  <si>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</si>
  <si>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</si>
  <si>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</si>
  <si>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</si>
  <si>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</si>
  <si>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</si>
  <si>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</si>
  <si>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</si>
  <si>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</si>
  <si>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</si>
  <si>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</si>
  <si>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</si>
  <si>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</si>
  <si>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</si>
  <si>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</si>
  <si>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</si>
  <si>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</si>
  <si>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</si>
  <si>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</si>
  <si>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</si>
  <si>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</si>
  <si>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</si>
  <si>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</si>
  <si>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</si>
  <si>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</si>
  <si>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</si>
  <si>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</si>
  <si>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</si>
  <si>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</si>
  <si>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</si>
  <si>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</si>
  <si>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</si>
  <si>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</si>
  <si>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</si>
  <si>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</si>
  <si>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</si>
  <si>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</si>
  <si>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</si>
  <si>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</si>
  <si>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</si>
  <si>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</si>
  <si>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</si>
  <si>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</si>
  <si>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</si>
  <si>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</si>
  <si>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</si>
  <si>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</si>
  <si>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</si>
  <si>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</si>
  <si>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</si>
  <si>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</si>
  <si>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</si>
  <si>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</si>
  <si>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</si>
  <si>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</si>
  <si>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</si>
  <si>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</si>
  <si>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</si>
  <si>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</si>
  <si>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</si>
  <si>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</si>
  <si>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</si>
  <si>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</si>
  <si>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</si>
  <si>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</si>
  <si>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</si>
  <si>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</si>
  <si>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</si>
  <si>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</si>
  <si>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</si>
  <si>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</si>
  <si>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</si>
  <si>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</si>
  <si>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</si>
  <si>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</si>
  <si>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</si>
  <si>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</si>
  <si>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</si>
  <si>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</si>
  <si>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</si>
  <si>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</si>
  <si>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</si>
  <si>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</si>
  <si>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</si>
  <si>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</si>
  <si>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</si>
  <si>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</si>
  <si>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</si>
  <si>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</si>
  <si>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</si>
  <si>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</si>
  <si>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</si>
  <si>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</si>
  <si>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</si>
  <si>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</si>
  <si>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</si>
  <si>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</si>
  <si>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</si>
  <si>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</si>
  <si>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</si>
  <si>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</si>
  <si>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</si>
  <si>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</si>
  <si>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</si>
  <si>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</si>
  <si>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</si>
  <si>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</si>
  <si>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</si>
  <si>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</si>
  <si>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</si>
  <si>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</si>
  <si>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</si>
  <si>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</si>
  <si>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</si>
  <si>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</si>
  <si>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</si>
  <si>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</si>
  <si>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</si>
  <si>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</si>
  <si>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</si>
  <si>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</si>
  <si>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</si>
  <si>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</si>
  <si>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</si>
  <si>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</si>
  <si>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</si>
  <si>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</si>
  <si>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</si>
  <si>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</si>
  <si>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</si>
  <si>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</si>
  <si>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</si>
  <si>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</si>
  <si>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</si>
  <si>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</si>
  <si>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</si>
  <si>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</si>
  <si>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</si>
  <si>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</si>
  <si>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</si>
  <si>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</si>
  <si>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</si>
  <si>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</si>
  <si>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</si>
  <si>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</si>
  <si>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</si>
  <si>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</si>
  <si>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</si>
  <si>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</si>
  <si>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</si>
  <si>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</si>
  <si>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</si>
  <si>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</si>
  <si>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</si>
  <si>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</si>
  <si>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</si>
  <si>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</si>
  <si>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</si>
  <si>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</si>
  <si>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</si>
  <si>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</si>
  <si>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</si>
  <si>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</si>
  <si>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</si>
  <si>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</si>
  <si>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</si>
  <si>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</si>
  <si>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</si>
  <si>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</si>
  <si>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</si>
  <si>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</si>
  <si>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</si>
  <si>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</si>
  <si>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</si>
  <si>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</si>
  <si>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</si>
  <si>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</si>
  <si>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</si>
  <si>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</si>
  <si>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</si>
  <si>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</si>
  <si>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</si>
  <si>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</si>
  <si>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</si>
  <si>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</si>
  <si>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</si>
  <si>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</si>
  <si>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</si>
  <si>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</si>
  <si>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</si>
  <si>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</si>
  <si>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</si>
  <si>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</si>
  <si>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</si>
  <si>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</si>
  <si>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</si>
  <si>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</si>
  <si>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</si>
  <si>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</si>
  <si>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</si>
  <si>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</si>
  <si>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</si>
  <si>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</si>
  <si>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</si>
  <si>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</si>
  <si>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</si>
  <si>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</si>
  <si>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</si>
  <si>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</si>
  <si>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</si>
  <si>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</si>
  <si>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</si>
  <si>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</si>
  <si>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</si>
  <si>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</si>
  <si>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</si>
  <si>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</si>
  <si>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</si>
  <si>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</si>
  <si>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</si>
  <si>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</si>
  <si>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</si>
  <si>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</si>
  <si>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</si>
  <si>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</si>
  <si>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</si>
  <si>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</si>
  <si>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</si>
  <si>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</si>
  <si>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</si>
  <si>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</si>
  <si>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</si>
  <si>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</si>
  <si>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</si>
  <si>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</si>
  <si>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</si>
  <si>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</si>
  <si>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</si>
  <si>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</si>
  <si>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</si>
  <si>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</si>
  <si>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</si>
  <si>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</si>
  <si>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</si>
  <si>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</si>
  <si>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</si>
  <si>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</si>
  <si>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</si>
  <si>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</si>
  <si>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</si>
  <si>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</si>
  <si>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</si>
  <si>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</si>
  <si>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</si>
  <si>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</si>
  <si>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</si>
  <si>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</si>
  <si>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</si>
  <si>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</si>
  <si>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</si>
  <si>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</si>
  <si>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</si>
  <si>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</si>
  <si>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</si>
  <si>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</si>
  <si>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</si>
  <si>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</si>
  <si>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</si>
  <si>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</si>
  <si>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</si>
  <si>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</si>
  <si>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</si>
  <si>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</si>
  <si>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</si>
  <si>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</si>
  <si>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</si>
  <si>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</si>
  <si>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</si>
  <si>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</si>
  <si>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</si>
  <si>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</si>
  <si>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</si>
  <si>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</si>
  <si>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</si>
  <si>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</si>
  <si>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</si>
  <si>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</si>
  <si>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</si>
  <si>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</si>
  <si>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</si>
  <si>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</si>
  <si>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</si>
  <si>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</si>
  <si>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</si>
  <si>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</si>
  <si>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</si>
  <si>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</si>
  <si>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</si>
  <si>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</si>
  <si>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</si>
  <si>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</si>
  <si>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</si>
  <si>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</si>
  <si>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</si>
  <si>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</si>
  <si>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</si>
  <si>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</si>
  <si>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</si>
  <si>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</si>
  <si>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</si>
  <si>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</si>
  <si>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</si>
  <si>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</si>
  <si>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</si>
  <si>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</si>
  <si>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</si>
  <si>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</si>
  <si>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</si>
  <si>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</si>
  <si>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</si>
  <si>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</si>
  <si>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</si>
  <si>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</si>
  <si>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</si>
  <si>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</si>
  <si>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</si>
  <si>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</si>
  <si>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</si>
  <si>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</si>
  <si>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</si>
  <si>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</si>
  <si>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</si>
  <si>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</si>
  <si>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</si>
  <si>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</si>
  <si>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</si>
  <si>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</si>
  <si>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</si>
  <si>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</si>
  <si>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</si>
  <si>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</si>
  <si>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</si>
  <si>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</si>
  <si>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</si>
  <si>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</si>
  <si>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</si>
  <si>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</si>
  <si>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</si>
  <si>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</si>
  <si>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</si>
  <si>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</si>
  <si>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</si>
  <si>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</si>
  <si>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</si>
  <si>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</si>
  <si>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</si>
  <si>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</si>
  <si>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</si>
  <si>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</si>
  <si>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</si>
  <si>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</si>
  <si>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</si>
  <si>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</si>
  <si>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</si>
  <si>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</si>
  <si>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</si>
  <si>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</si>
  <si>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</si>
  <si>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</si>
  <si>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</si>
  <si>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</si>
  <si>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</si>
  <si>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</si>
  <si>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</si>
  <si>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</si>
  <si>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</si>
  <si>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</si>
  <si>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</si>
  <si>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</si>
  <si>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</si>
  <si>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</si>
  <si>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</si>
  <si>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</si>
  <si>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</si>
  <si>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</si>
  <si>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</si>
  <si>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</si>
  <si>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</si>
  <si>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</si>
  <si>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</si>
  <si>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</si>
  <si>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</si>
  <si>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</si>
  <si>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</si>
  <si>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</si>
  <si>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</si>
  <si>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</si>
  <si>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</si>
  <si>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</si>
  <si>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</si>
  <si>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</si>
  <si>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</si>
  <si>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</si>
  <si>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</si>
  <si>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</si>
  <si>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</si>
  <si>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</si>
  <si>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</si>
  <si>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</si>
  <si>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</si>
  <si>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</si>
  <si>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</si>
  <si>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</si>
  <si>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</si>
  <si>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</si>
  <si>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</si>
  <si>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</si>
  <si>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</si>
  <si>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</si>
  <si>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</si>
  <si>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</si>
  <si>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</si>
  <si>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</si>
  <si>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</si>
  <si>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</si>
  <si>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</si>
  <si>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</si>
  <si>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</si>
  <si>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</si>
  <si>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</si>
  <si>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</si>
  <si>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</si>
  <si>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</si>
  <si>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</si>
  <si>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</si>
  <si>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</si>
  <si>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</si>
  <si>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</si>
  <si>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</si>
  <si>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</si>
  <si>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</si>
  <si>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</si>
  <si>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</si>
  <si>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</si>
  <si>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</si>
  <si>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</si>
  <si>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</si>
  <si>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</si>
  <si>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</si>
  <si>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</si>
  <si>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</si>
  <si>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</si>
  <si>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</si>
  <si>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</si>
  <si>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</si>
  <si>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</si>
  <si>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</si>
  <si>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</si>
  <si>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</si>
  <si>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</si>
  <si>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</si>
  <si>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</si>
  <si>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</si>
  <si>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</si>
  <si>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</si>
  <si>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</si>
  <si>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</si>
  <si>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</si>
  <si>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</si>
  <si>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</si>
  <si>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</si>
  <si>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</si>
  <si>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</si>
  <si>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</si>
  <si>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</si>
  <si>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</si>
  <si>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</si>
  <si>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</si>
  <si>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</si>
  <si>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</si>
  <si>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</si>
  <si>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</si>
  <si>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</si>
  <si>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</si>
  <si>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</si>
  <si>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</si>
  <si>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</si>
  <si>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</si>
  <si>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</si>
  <si>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</si>
  <si>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</si>
  <si>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</si>
  <si>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</si>
  <si>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</si>
  <si>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</si>
  <si>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</si>
  <si>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</si>
  <si>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</si>
  <si>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</si>
  <si>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</si>
  <si>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</si>
  <si>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</si>
  <si>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</si>
  <si>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</si>
  <si>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</si>
  <si>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</si>
  <si>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</si>
  <si>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</si>
  <si>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</si>
  <si>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</si>
  <si>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</si>
  <si>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</si>
  <si>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</si>
  <si>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</si>
  <si>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</si>
  <si>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</si>
  <si>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</si>
  <si>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</si>
  <si>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</si>
  <si>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</si>
  <si>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</si>
  <si>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</si>
  <si>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</si>
  <si>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</si>
  <si>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</si>
  <si>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</si>
  <si>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</si>
  <si>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</si>
  <si>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</si>
  <si>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</si>
  <si>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</si>
  <si>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</si>
  <si>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</si>
  <si>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</si>
  <si>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</si>
  <si>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</si>
  <si>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</si>
  <si>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</si>
  <si>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</si>
  <si>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</si>
  <si>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</si>
  <si>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</si>
  <si>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</si>
  <si>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</si>
  <si>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</si>
  <si>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</si>
  <si>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</si>
  <si>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</si>
  <si>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</si>
  <si>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</si>
  <si>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</si>
  <si>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</si>
  <si>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</si>
  <si>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</si>
  <si>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</si>
  <si>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</si>
  <si>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</si>
  <si>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</si>
  <si>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</si>
  <si>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</si>
  <si>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</si>
  <si>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</si>
  <si>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</si>
  <si>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</si>
  <si>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</si>
  <si>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</si>
  <si>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</si>
  <si>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</si>
  <si>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</si>
  <si>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</si>
  <si>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</si>
  <si>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</si>
  <si>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</si>
  <si>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</si>
  <si>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</si>
  <si>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</si>
  <si>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</si>
  <si>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</si>
  <si>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</si>
  <si>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</si>
  <si>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</si>
  <si>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</si>
  <si>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</si>
  <si>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</si>
  <si>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</si>
  <si>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</si>
  <si>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</si>
  <si>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</si>
  <si>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</si>
  <si>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</si>
  <si>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</si>
  <si>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</si>
  <si>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</si>
  <si>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</si>
  <si>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</si>
  <si>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</si>
  <si>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</si>
  <si>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</si>
  <si>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</si>
  <si>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</si>
  <si>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</si>
  <si>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</si>
  <si>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</si>
  <si>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</si>
  <si>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</si>
  <si>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</si>
  <si>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</si>
  <si>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</si>
  <si>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</si>
  <si>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</si>
  <si>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</si>
  <si>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</si>
  <si>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</si>
  <si>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</si>
  <si>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</si>
  <si>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</si>
  <si>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</si>
  <si>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</si>
  <si>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</si>
  <si>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</si>
  <si>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</si>
  <si>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</si>
  <si>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</si>
  <si>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</si>
  <si>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</si>
  <si>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</si>
  <si>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</si>
  <si>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</si>
  <si>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</si>
  <si>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</si>
  <si>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</si>
  <si>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</si>
  <si>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</si>
  <si>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</si>
  <si>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</si>
  <si>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</si>
  <si>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</si>
  <si>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</si>
  <si>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</si>
  <si>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</si>
  <si>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</si>
  <si>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</si>
  <si>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</si>
  <si>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</si>
  <si>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</si>
  <si>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</si>
  <si>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</si>
  <si>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</si>
  <si>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</si>
  <si>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</si>
  <si>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</si>
  <si>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</si>
  <si>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</si>
  <si>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</si>
  <si>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</si>
  <si>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</si>
  <si>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</si>
  <si>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</si>
  <si>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</si>
  <si>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</si>
  <si>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</si>
  <si>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</si>
  <si>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</si>
  <si>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</si>
  <si>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</si>
  <si>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</si>
  <si>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</si>
  <si>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</si>
  <si>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</si>
  <si>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</si>
  <si>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</si>
  <si>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</si>
  <si>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</si>
  <si>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</si>
  <si>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</si>
  <si>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</si>
  <si>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</si>
  <si>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</si>
  <si>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</si>
  <si>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</si>
  <si>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</si>
  <si>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</si>
  <si>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</si>
  <si>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</si>
  <si>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</si>
  <si>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</si>
  <si>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</si>
  <si>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</si>
  <si>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</si>
  <si>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</si>
  <si>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</si>
  <si>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</si>
  <si>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</si>
  <si>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</si>
  <si>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</si>
  <si>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</si>
  <si>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</si>
  <si>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</si>
  <si>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</si>
  <si>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</si>
  <si>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</si>
  <si>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</si>
  <si>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</si>
  <si>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</si>
  <si>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</si>
  <si>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</si>
  <si>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</si>
  <si>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</si>
  <si>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</si>
  <si>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</si>
  <si>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</si>
  <si>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</si>
  <si>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</si>
  <si>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</si>
  <si>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</si>
  <si>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</si>
  <si>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</si>
  <si>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</si>
  <si>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</si>
  <si>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</si>
  <si>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</si>
  <si>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</si>
  <si>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</si>
  <si>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</si>
  <si>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</si>
  <si>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</si>
  <si>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</si>
  <si>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</si>
  <si>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</si>
  <si>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</si>
  <si>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</si>
  <si>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</si>
  <si>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</si>
  <si>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</si>
  <si>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</si>
  <si>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</si>
  <si>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</si>
  <si>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</si>
  <si>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</si>
  <si>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</si>
  <si>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</si>
  <si>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</si>
  <si>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</si>
  <si>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</si>
  <si>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</si>
  <si>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</si>
  <si>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</si>
  <si>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</si>
  <si>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</si>
  <si>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</si>
  <si>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</si>
  <si>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</si>
  <si>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</si>
  <si>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</si>
  <si>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</si>
  <si>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</si>
  <si>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</si>
  <si>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</si>
  <si>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</si>
  <si>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</si>
  <si>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</si>
  <si>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</si>
  <si>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</si>
  <si>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</si>
  <si>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</si>
  <si>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</si>
  <si>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</si>
  <si>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</si>
  <si>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</si>
  <si>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</si>
  <si>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</si>
  <si>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</si>
  <si>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</si>
  <si>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</si>
  <si>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</si>
  <si>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</si>
  <si>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</si>
  <si>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</si>
  <si>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</si>
  <si>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</si>
  <si>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</si>
  <si>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</si>
  <si>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</si>
  <si>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</si>
  <si>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</si>
  <si>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</si>
  <si>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</si>
  <si>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</si>
  <si>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</si>
  <si>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</si>
  <si>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</si>
  <si>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</si>
  <si>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</si>
  <si>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</si>
  <si>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</si>
  <si>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</si>
  <si>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</si>
  <si>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</si>
  <si>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</si>
  <si>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</si>
  <si>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</si>
  <si>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</si>
  <si>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</si>
  <si>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</si>
  <si>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</si>
  <si>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</si>
  <si>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</si>
  <si>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</si>
  <si>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</si>
  <si>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</si>
  <si>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</si>
  <si>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</si>
  <si>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</si>
  <si>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</si>
  <si>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</si>
  <si>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</si>
  <si>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</si>
  <si>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</si>
  <si>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</si>
  <si>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</si>
  <si>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</si>
  <si>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</si>
  <si>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</si>
  <si>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</si>
  <si>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</si>
  <si>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</si>
  <si>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</si>
  <si>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</si>
  <si>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</si>
  <si>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</si>
  <si>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</si>
  <si>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</si>
  <si>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</si>
  <si>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</si>
  <si>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</si>
  <si>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</si>
  <si>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</si>
  <si>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</si>
  <si>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</si>
  <si>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</si>
  <si>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</si>
  <si>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</si>
  <si>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</si>
  <si>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</si>
  <si>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</si>
  <si>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</si>
  <si>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</si>
  <si>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</si>
  <si>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</si>
  <si>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</si>
  <si>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</si>
  <si>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</si>
  <si>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</si>
  <si>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</si>
  <si>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</si>
  <si>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</si>
  <si>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</si>
  <si>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</si>
  <si>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</si>
  <si>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</si>
  <si>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</si>
  <si>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</si>
  <si>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</si>
  <si>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</si>
  <si>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</si>
  <si>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</si>
  <si>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</si>
  <si>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</si>
  <si>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</si>
  <si>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</si>
  <si>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</si>
  <si>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</si>
  <si>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</si>
  <si>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</si>
  <si>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</si>
  <si>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</si>
  <si>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</si>
  <si>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</si>
  <si>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</si>
  <si>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</si>
  <si>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</si>
  <si>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</si>
  <si>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</si>
  <si>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</si>
  <si>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</si>
  <si>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</si>
  <si>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</si>
  <si>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</si>
  <si>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</si>
  <si>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</si>
  <si>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</si>
  <si>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</si>
  <si>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</si>
  <si>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</si>
  <si>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</si>
  <si>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</si>
  <si>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</si>
  <si>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</si>
  <si>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</si>
  <si>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</si>
  <si>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</si>
  <si>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</si>
  <si>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</si>
  <si>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</si>
  <si>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</si>
  <si>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</si>
  <si>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</si>
  <si>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</si>
  <si>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</si>
  <si>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</si>
  <si>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</si>
  <si>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</si>
  <si>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</si>
  <si>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</si>
  <si>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</si>
  <si>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</si>
  <si>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</si>
  <si>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</si>
  <si>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</si>
  <si>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</si>
  <si>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</si>
  <si>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</si>
  <si>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</si>
  <si>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</si>
  <si>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</si>
  <si>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</si>
  <si>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</si>
  <si>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</si>
  <si>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</si>
  <si>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</si>
  <si>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</si>
  <si>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</si>
  <si>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</si>
  <si>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</si>
  <si>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</si>
  <si>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</si>
  <si>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</si>
  <si>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</si>
  <si>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</si>
  <si>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</si>
  <si>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</si>
  <si>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</si>
  <si>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</si>
  <si>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</si>
  <si>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</si>
  <si>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</si>
  <si>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</si>
  <si>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</si>
  <si>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</si>
  <si>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</si>
  <si>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</si>
  <si>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</si>
  <si>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</si>
  <si>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</si>
  <si>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</si>
  <si>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</si>
  <si>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</si>
  <si>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</si>
  <si>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</si>
  <si>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</si>
  <si>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</si>
  <si>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</si>
  <si>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</si>
  <si>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</si>
  <si>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</si>
  <si>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</si>
  <si>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</si>
  <si>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</si>
  <si>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</si>
  <si>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</si>
  <si>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</si>
  <si>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</si>
  <si>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</si>
  <si>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</si>
  <si>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</si>
  <si>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</si>
  <si>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</si>
  <si>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</si>
  <si>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</si>
  <si>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</si>
  <si>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</si>
  <si>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</si>
  <si>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</si>
  <si>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</si>
  <si>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</si>
  <si>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</si>
  <si>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</si>
  <si>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</si>
  <si>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</si>
  <si>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</si>
  <si>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</si>
  <si>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</si>
  <si>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</si>
  <si>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</si>
  <si>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</si>
  <si>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</si>
  <si>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</si>
  <si>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</si>
  <si>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</si>
  <si>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</si>
  <si>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</si>
  <si>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</si>
  <si>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</si>
  <si>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</si>
  <si>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</si>
  <si>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</si>
  <si>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</si>
  <si>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</si>
  <si>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</si>
  <si>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</si>
  <si>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</si>
  <si>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</si>
  <si>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</si>
  <si>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</si>
  <si>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</si>
  <si>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</si>
  <si>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</si>
  <si>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</si>
  <si>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</si>
  <si>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</si>
  <si>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</si>
  <si>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</si>
  <si>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</si>
  <si>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</si>
  <si>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</si>
  <si>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</si>
  <si>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</si>
  <si>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</si>
  <si>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</si>
  <si>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</si>
  <si>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</si>
  <si>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</si>
  <si>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</si>
  <si>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</si>
  <si>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</si>
  <si>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</si>
  <si>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</si>
  <si>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</si>
  <si>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</si>
  <si>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</si>
  <si>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</si>
  <si>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</si>
  <si>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</si>
  <si>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</si>
  <si>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</si>
  <si>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</si>
  <si>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</si>
  <si>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</si>
  <si>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</si>
  <si>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</si>
  <si>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</si>
  <si>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</si>
  <si>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</si>
  <si>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</si>
  <si>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</si>
  <si>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</si>
  <si>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</si>
  <si>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</si>
  <si>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</si>
  <si>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</si>
  <si>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</si>
  <si>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</si>
  <si>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</si>
  <si>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</si>
  <si>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</si>
  <si>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</si>
  <si>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</si>
  <si>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</si>
  <si>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</si>
  <si>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</si>
  <si>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</si>
  <si>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</si>
  <si>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</si>
  <si>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</si>
  <si>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</si>
  <si>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</si>
  <si>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</si>
  <si>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</si>
  <si>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</si>
  <si>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</si>
  <si>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</si>
  <si>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</si>
  <si>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</si>
  <si>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</si>
  <si>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</si>
  <si>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</si>
  <si>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</si>
  <si>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</si>
  <si>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</si>
  <si>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</si>
  <si>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</si>
  <si>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</si>
  <si>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</si>
  <si>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</si>
  <si>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</si>
  <si>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</si>
  <si>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</si>
  <si>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</si>
  <si>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</si>
  <si>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</si>
  <si>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</si>
  <si>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</si>
  <si>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</si>
  <si>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</si>
  <si>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</si>
  <si>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</si>
  <si>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</si>
  <si>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</si>
  <si>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</si>
  <si>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</si>
  <si>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</si>
  <si>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</si>
  <si>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</si>
  <si>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</si>
  <si>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</si>
  <si>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</si>
  <si>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</si>
  <si>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</si>
  <si>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</si>
  <si>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</si>
  <si>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</si>
  <si>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</si>
  <si>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</si>
  <si>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</si>
  <si>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</si>
  <si>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</si>
  <si>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</si>
  <si>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</si>
  <si>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</si>
  <si>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</si>
  <si>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</si>
  <si>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</si>
  <si>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</si>
  <si>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</si>
  <si>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</si>
  <si>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</si>
  <si>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</si>
  <si>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</si>
  <si>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</si>
  <si>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</si>
  <si>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</si>
  <si>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</si>
  <si>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</si>
  <si>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</si>
  <si>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</si>
  <si>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</si>
  <si>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</si>
  <si>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</si>
  <si>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</si>
  <si>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</si>
  <si>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</si>
  <si>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</si>
  <si>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</si>
  <si>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</si>
  <si>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</si>
  <si>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</si>
  <si>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</si>
  <si>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</si>
  <si>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</si>
  <si>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</si>
  <si>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</si>
  <si>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</si>
  <si>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</si>
  <si>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</si>
  <si>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</si>
  <si>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</si>
  <si>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</si>
  <si>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</si>
  <si>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</si>
  <si>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</si>
  <si>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</si>
  <si>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</si>
  <si>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</si>
  <si>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</si>
  <si>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</si>
  <si>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</si>
  <si>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</si>
  <si>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</si>
  <si>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</si>
  <si>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</si>
  <si>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</si>
  <si>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</si>
  <si>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</si>
  <si>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</si>
  <si>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</si>
  <si>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</si>
  <si>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</si>
  <si>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</si>
  <si>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</si>
  <si>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</si>
  <si>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</si>
  <si>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</si>
  <si>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</si>
  <si>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</si>
  <si>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</si>
  <si>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</si>
  <si>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</si>
  <si>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</si>
  <si>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</si>
  <si>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</si>
  <si>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</si>
  <si>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</si>
  <si>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</si>
  <si>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</si>
  <si>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</si>
  <si>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</si>
  <si>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</si>
  <si>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</si>
  <si>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</si>
  <si>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</si>
  <si>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</si>
  <si>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</si>
  <si>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</si>
  <si>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</si>
  <si>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</si>
  <si>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</si>
  <si>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</si>
  <si>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</si>
  <si>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</si>
  <si>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</si>
  <si>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</si>
  <si>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</si>
  <si>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</si>
  <si>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</si>
  <si>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</si>
  <si>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</si>
  <si>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</si>
  <si>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</si>
  <si>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</si>
  <si>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</si>
  <si>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</si>
  <si>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</si>
  <si>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</si>
  <si>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</si>
  <si>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</si>
  <si>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</si>
  <si>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</si>
  <si>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</si>
  <si>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</si>
  <si>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</si>
  <si>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</si>
  <si>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</si>
  <si>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</si>
  <si>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</si>
  <si>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</si>
  <si>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</si>
  <si>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</si>
  <si>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</si>
  <si>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</si>
  <si>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</si>
  <si>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</si>
  <si>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</si>
  <si>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</si>
  <si>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</si>
  <si>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</si>
  <si>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</si>
  <si>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</si>
  <si>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</si>
  <si>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</si>
  <si>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</si>
  <si>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</si>
  <si>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</si>
  <si>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</si>
  <si>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</si>
  <si>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</si>
  <si>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</si>
  <si>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</si>
  <si>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</si>
  <si>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</si>
  <si>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</si>
  <si>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</si>
  <si>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</si>
  <si>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</si>
  <si>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</si>
  <si>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</si>
  <si>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</si>
  <si>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</si>
  <si>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</si>
  <si>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</si>
  <si>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</si>
  <si>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</si>
  <si>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</si>
  <si>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</si>
  <si>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</si>
  <si>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</si>
  <si>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</si>
  <si>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</si>
  <si>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</si>
  <si>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</si>
  <si>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</si>
  <si>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</si>
  <si>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</si>
  <si>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</si>
  <si>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</si>
  <si>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</si>
  <si>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</si>
  <si>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</si>
  <si>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</si>
  <si>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</si>
  <si>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</si>
  <si>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</si>
  <si>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</si>
  <si>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</si>
  <si>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</si>
  <si>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</si>
  <si>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</si>
  <si>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</si>
  <si>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</si>
  <si>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</si>
  <si>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</si>
  <si>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</si>
  <si>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</si>
  <si>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</si>
  <si>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</si>
  <si>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</si>
  <si>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</si>
  <si>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</si>
  <si>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</si>
  <si>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</si>
  <si>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</si>
  <si>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</si>
  <si>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</si>
  <si>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</si>
  <si>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</si>
  <si>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</si>
  <si>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</si>
  <si>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</si>
  <si>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</si>
  <si>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</si>
  <si>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</si>
  <si>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</si>
  <si>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</si>
  <si>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</si>
  <si>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</si>
  <si>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</si>
  <si>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</si>
  <si>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</si>
  <si>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</si>
  <si>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</si>
  <si>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</si>
  <si>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</si>
  <si>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</si>
  <si>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</si>
  <si>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</si>
  <si>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</si>
  <si>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</si>
  <si>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</si>
  <si>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</si>
  <si>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</si>
  <si>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</si>
  <si>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</si>
  <si>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</si>
  <si>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</si>
  <si>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</si>
  <si>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</si>
  <si>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</si>
  <si>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</si>
  <si>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</si>
  <si>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</si>
  <si>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</si>
  <si>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</si>
  <si>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</si>
  <si>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</si>
  <si>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Standard</t>
  </si>
  <si>
    <t>G00000XXXX</t>
  </si>
  <si>
    <t>G000000XXX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</si>
  <si>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</si>
  <si>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</si>
  <si>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</si>
  <si>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</si>
  <si>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</si>
  <si>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</si>
  <si>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</si>
  <si>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</si>
  <si>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</si>
  <si>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</si>
  <si>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</si>
  <si>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</si>
  <si>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</si>
  <si>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</si>
  <si>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</si>
  <si>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</si>
  <si>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</si>
  <si>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</si>
  <si>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</si>
  <si>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</si>
  <si>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</si>
  <si>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</si>
  <si>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</si>
  <si>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</si>
  <si>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</si>
  <si>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</si>
  <si>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</si>
  <si>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</si>
  <si>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</si>
  <si>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</si>
  <si>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</si>
  <si>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</si>
  <si>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G000001142 MBS Hub Manila - MGF Reporting</t>
  </si>
  <si>
    <t>G000000547 Other P&amp;L CO</t>
  </si>
  <si>
    <t>G00000XXXX FTD VP VPPA</t>
  </si>
  <si>
    <t>G00000XXXX VP - MGF Reporting</t>
  </si>
  <si>
    <t>G00000XXXX VP - non-MGF Reporting</t>
  </si>
  <si>
    <t>G000000001 E21 EF - Enabling Functions</t>
  </si>
  <si>
    <t>G00000XXXX FTE SR Strategy Realization Office</t>
  </si>
  <si>
    <t>G00000XXXX SR - MGF Reporting</t>
  </si>
  <si>
    <t>G00000XXXX SR - non-MGF Reporting</t>
  </si>
  <si>
    <t>G00000XXXX FTF MZ - Merck Zeitservice</t>
  </si>
  <si>
    <t>G00000XXXX MZ - MGF Reporting</t>
  </si>
  <si>
    <t>G00000XXXX MZ - non-MGF Reporting</t>
  </si>
  <si>
    <t>G00000XXXX FTG BK - Merck BKK Health Insurance</t>
  </si>
  <si>
    <t>G00000XXXX BK - MGF Reporting</t>
  </si>
  <si>
    <t>G00000XXXX BK - non-MGF Reporting</t>
  </si>
  <si>
    <t>G00000XXXX FTH BR - Works Council</t>
  </si>
  <si>
    <t>G00000XXXX BR - MGF Reporting</t>
  </si>
  <si>
    <t>G00000XXXX BR - non-MGF Reporting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</si>
  <si>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</si>
  <si>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</si>
  <si>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</si>
  <si>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</si>
  <si>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</si>
  <si>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</si>
  <si>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</si>
  <si>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</si>
  <si>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</si>
  <si>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</si>
  <si>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</si>
  <si>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</si>
  <si>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</si>
  <si>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G000000590 PS - MGF Reporting</t>
  </si>
  <si>
    <t>G000001285 GMU SQ - Bioethics</t>
  </si>
  <si>
    <t>Please dump all objects to O000000007 – Closed Cost Centers</t>
  </si>
  <si>
    <t>G000000562 G6V HR - HR Project Consultants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</si>
</sst>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</cellStyleXfs>
  <cellXfs count="10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</cellXfs>
  <cellStyles count="12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20.149814467593" createdVersion="7" refreshedVersion="7" minRefreshableVersion="3" recordCount="1557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557"/>
    </cacheField>
    <cacheField name="Forecast?" numFmtId="0">
      <sharedItems/>
    </cacheField>
    <cacheField name="Ticket" numFmtId="0">
      <sharedItems containsBlank="1" count="155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3">
        <s v="ON TM1"/>
        <s v="RETURNED TO ORIGINAL NODE"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57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Dale Ian Castaneda"/>
  </r>
  <r>
    <n v="1417"/>
    <s v="F2"/>
    <x v="43"/>
    <s v="H000004997"/>
    <s v="1401SE Visual Inspection"/>
    <s v="H000000554"/>
    <s v="New"/>
    <x v="0"/>
    <x v="0"/>
    <s v="HC"/>
    <m/>
    <m/>
    <s v="Dale Ian Castaneda"/>
  </r>
  <r>
    <n v="1418"/>
    <s v="F2"/>
    <x v="43"/>
    <s v="H000004998"/>
    <s v="1401SE Packaging"/>
    <s v="H000000554"/>
    <s v="New"/>
    <x v="0"/>
    <x v="0"/>
    <s v="HC"/>
    <m/>
    <m/>
    <s v="Dale Ian Castaneda"/>
  </r>
  <r>
    <n v="1419"/>
    <s v="F2"/>
    <x v="43"/>
    <s v="H000004999"/>
    <s v="1401SE Vrac"/>
    <s v="H000000554"/>
    <s v="New"/>
    <x v="0"/>
    <x v="0"/>
    <s v="HC"/>
    <m/>
    <m/>
    <s v="Dale Ian Castaneda"/>
  </r>
  <r>
    <n v="1420"/>
    <s v="F2"/>
    <x v="43"/>
    <s v="H000005000"/>
    <s v="1401SE Steril (Lyo)"/>
    <s v="H000000554"/>
    <s v="New"/>
    <x v="0"/>
    <x v="0"/>
    <s v="HC"/>
    <m/>
    <m/>
    <s v="Dale Ian Castaneda"/>
  </r>
  <r>
    <n v="1421"/>
    <s v="F2"/>
    <x v="43"/>
    <s v="H000005001"/>
    <s v="1401SE GM"/>
    <s v="H000000554"/>
    <s v="New"/>
    <x v="0"/>
    <x v="0"/>
    <s v="HC"/>
    <m/>
    <m/>
    <s v="Dale Ian Castaneda"/>
  </r>
  <r>
    <n v="1422"/>
    <s v="F2"/>
    <x v="43"/>
    <s v="H000005002"/>
    <s v="1401SE Logistics"/>
    <s v="H000000554"/>
    <s v="New"/>
    <x v="0"/>
    <x v="0"/>
    <s v="HC"/>
    <m/>
    <m/>
    <s v="Dale Ian Castaneda"/>
  </r>
  <r>
    <n v="1423"/>
    <s v="F2"/>
    <x v="43"/>
    <s v="H000005003"/>
    <s v="1401SE Start-Up GPM"/>
    <s v="H000000561"/>
    <s v="New"/>
    <x v="0"/>
    <x v="0"/>
    <s v="HC"/>
    <m/>
    <m/>
    <s v="Dale Ian Castaneda"/>
  </r>
  <r>
    <n v="1424"/>
    <s v="F2"/>
    <x v="43"/>
    <s v="H000005004"/>
    <s v="1401SE Start-Up HCQ"/>
    <s v="H000000561"/>
    <s v="New"/>
    <x v="0"/>
    <x v="0"/>
    <s v="HC"/>
    <m/>
    <m/>
    <s v="Dale Ian Castaneda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MGF"/>
    <m/>
    <m/>
    <s v="Analyn Ayson"/>
  </r>
  <r>
    <n v="1457"/>
    <s v="F2"/>
    <x v="50"/>
    <s v="H000005007"/>
    <s v="TR - BU Rare Diseases"/>
    <s v="H000003462"/>
    <s v="New"/>
    <x v="0"/>
    <x v="0"/>
    <s v="MGF"/>
    <m/>
    <m/>
    <s v="Henry Jr Ifurung"/>
  </r>
  <r>
    <n v="1458"/>
    <s v="F2"/>
    <x v="50"/>
    <s v="H000005008"/>
    <s v="TR - Field Force Rare Diseases"/>
    <s v="H000005007"/>
    <s v="New"/>
    <x v="0"/>
    <x v="0"/>
    <s v="MGF"/>
    <m/>
    <m/>
    <s v="Henry Jr Ifurung"/>
  </r>
  <r>
    <n v="1459"/>
    <s v="F2"/>
    <x v="50"/>
    <s v="H000005009"/>
    <s v="TR - Marketing Rare Diseases"/>
    <s v="H000005007"/>
    <s v="New"/>
    <x v="0"/>
    <x v="0"/>
    <s v="MGF"/>
    <m/>
    <m/>
    <s v="Henry Jr Ifurung"/>
  </r>
  <r>
    <n v="1460"/>
    <s v="F2"/>
    <x v="50"/>
    <s v="H000005010"/>
    <s v="TR - Sales Promotion Rare Diseases"/>
    <s v="H000005007"/>
    <s v="New"/>
    <x v="0"/>
    <x v="0"/>
    <s v="MGF"/>
    <m/>
    <m/>
    <s v="Henry Jr Ifurung"/>
  </r>
  <r>
    <n v="1461"/>
    <s v="F2"/>
    <x v="50"/>
    <s v="H000005011"/>
    <s v="TR - Medical Rare Diseases"/>
    <s v="H000003490"/>
    <s v="New"/>
    <x v="0"/>
    <x v="0"/>
    <s v="MGF"/>
    <m/>
    <m/>
    <s v="Henry Jr Ifurung"/>
  </r>
  <r>
    <n v="1462"/>
    <s v="F2"/>
    <x v="50"/>
    <s v="H000005012"/>
    <s v="TR - Medical Team"/>
    <s v="H000005011"/>
    <s v="New"/>
    <x v="0"/>
    <x v="0"/>
    <s v="MGF"/>
    <m/>
    <m/>
    <s v="Henry Jr Ifurung"/>
  </r>
  <r>
    <n v="1463"/>
    <s v="F2"/>
    <x v="50"/>
    <s v="H000005013"/>
    <s v="TR - Medical Activities Non R&amp;D RD"/>
    <s v="H000005011"/>
    <s v="New"/>
    <x v="0"/>
    <x v="0"/>
    <s v="MGF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m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m/>
  </r>
  <r>
    <n v="1480"/>
    <s v="F2"/>
    <x v="54"/>
    <s v="H000005028"/>
    <s v="Local Medical"/>
    <s v="H000005027"/>
    <s v="New"/>
    <x v="0"/>
    <x v="0"/>
    <s v="HC"/>
    <m/>
    <m/>
    <m/>
  </r>
  <r>
    <n v="1481"/>
    <s v="F2"/>
    <x v="54"/>
    <s v="H000005029"/>
    <s v="Non R&amp;D Local Medical"/>
    <s v="H000005027"/>
    <s v="New"/>
    <x v="0"/>
    <x v="0"/>
    <s v="HC"/>
    <m/>
    <m/>
    <m/>
  </r>
  <r>
    <n v="1482"/>
    <s v="F2"/>
    <x v="54"/>
    <s v="H000005030"/>
    <s v="Local R&amp;D Direct Costs"/>
    <s v="H000005028"/>
    <s v="New"/>
    <x v="0"/>
    <x v="0"/>
    <s v="HC"/>
    <m/>
    <m/>
    <m/>
  </r>
  <r>
    <n v="1483"/>
    <s v="F2"/>
    <x v="54"/>
    <s v="H000005031"/>
    <s v="Local R&amp;D other"/>
    <s v="H000005028"/>
    <s v="New"/>
    <x v="0"/>
    <x v="0"/>
    <s v="HC"/>
    <m/>
    <m/>
    <m/>
  </r>
  <r>
    <n v="1484"/>
    <s v="F2"/>
    <x v="54"/>
    <s v="H000005032"/>
    <s v="Local R&amp;D Indirect Costs"/>
    <s v="H000005028"/>
    <s v="New"/>
    <x v="0"/>
    <x v="0"/>
    <s v="HC"/>
    <m/>
    <m/>
    <m/>
  </r>
  <r>
    <n v="1485"/>
    <s v="F2"/>
    <x v="54"/>
    <s v="H000000687"/>
    <s v="Global R&amp;D"/>
    <m/>
    <s v="Rename"/>
    <x v="0"/>
    <x v="0"/>
    <m/>
    <m/>
    <m/>
    <m/>
  </r>
  <r>
    <n v="1486"/>
    <s v="F2"/>
    <x v="54"/>
    <s v="H000000688"/>
    <s v="Global R&amp;D Direct Costs"/>
    <m/>
    <s v="Rename"/>
    <x v="0"/>
    <x v="0"/>
    <m/>
    <m/>
    <m/>
    <m/>
  </r>
  <r>
    <n v="1487"/>
    <s v="F2"/>
    <x v="54"/>
    <s v="H000000974"/>
    <s v="Global R&amp;D other"/>
    <m/>
    <s v="Rename"/>
    <x v="0"/>
    <x v="0"/>
    <m/>
    <m/>
    <m/>
    <m/>
  </r>
  <r>
    <n v="1488"/>
    <s v="F2"/>
    <x v="54"/>
    <s v="H000000975"/>
    <s v="Global R&amp;D Indirect Costs"/>
    <m/>
    <s v="Rename"/>
    <x v="0"/>
    <x v="0"/>
    <m/>
    <m/>
    <m/>
    <m/>
  </r>
  <r>
    <n v="1489"/>
    <s v="F2"/>
    <x v="55"/>
    <s v="H000005033"/>
    <s v="CA - Rare (Commercial)"/>
    <s v="H000003901"/>
    <s v="New"/>
    <x v="0"/>
    <x v="0"/>
    <s v="HC"/>
    <m/>
    <m/>
    <m/>
  </r>
  <r>
    <n v="1490"/>
    <s v="F2"/>
    <x v="55"/>
    <s v="H000005034"/>
    <s v="CA - People/OH (Rare Comm)"/>
    <s v="H000005033"/>
    <s v="New"/>
    <x v="0"/>
    <x v="0"/>
    <s v="HC"/>
    <m/>
    <m/>
    <m/>
  </r>
  <r>
    <n v="1491"/>
    <s v="F2"/>
    <x v="55"/>
    <s v="H000005035"/>
    <s v="CA - People/OH FF (Rare Comm)"/>
    <s v="H000005034"/>
    <s v="New"/>
    <x v="0"/>
    <x v="0"/>
    <s v="HC"/>
    <m/>
    <m/>
    <m/>
  </r>
  <r>
    <n v="1492"/>
    <s v="F2"/>
    <x v="55"/>
    <s v="H000005036"/>
    <s v="CA - People/OH ISS (Rare Comm)"/>
    <s v="H000005034"/>
    <s v="New"/>
    <x v="0"/>
    <x v="0"/>
    <s v="HC"/>
    <m/>
    <m/>
    <m/>
  </r>
  <r>
    <n v="1493"/>
    <s v="F2"/>
    <x v="55"/>
    <s v="H000005037"/>
    <s v="CA - Program (Rare Comm)"/>
    <s v="H000005033"/>
    <s v="New"/>
    <x v="0"/>
    <x v="0"/>
    <s v="HC"/>
    <m/>
    <m/>
    <m/>
  </r>
  <r>
    <n v="1494"/>
    <s v="F2"/>
    <x v="55"/>
    <s v="H000005038"/>
    <s v="CA - Rare (Medical)"/>
    <s v="H000003921"/>
    <s v="New"/>
    <x v="0"/>
    <x v="0"/>
    <s v="HC"/>
    <m/>
    <m/>
    <m/>
  </r>
  <r>
    <n v="1495"/>
    <s v="F2"/>
    <x v="55"/>
    <s v="H000005039"/>
    <s v="CA - People/OH (Rare Med)"/>
    <s v="H000005038"/>
    <s v="New"/>
    <x v="0"/>
    <x v="0"/>
    <s v="HC"/>
    <m/>
    <m/>
    <m/>
  </r>
  <r>
    <n v="1496"/>
    <s v="F2"/>
    <x v="55"/>
    <s v="H000005040"/>
    <s v="CA - TA Direct Med (Rare)"/>
    <s v="H000005039"/>
    <s v="New"/>
    <x v="0"/>
    <x v="0"/>
    <s v="HC"/>
    <m/>
    <m/>
    <m/>
  </r>
  <r>
    <n v="1497"/>
    <s v="F2"/>
    <x v="55"/>
    <s v="H000005041"/>
    <s v="CA - Med Non-R&amp;D (Rare)"/>
    <s v="H000005039"/>
    <s v="New"/>
    <x v="0"/>
    <x v="0"/>
    <s v="HC"/>
    <m/>
    <m/>
    <m/>
  </r>
  <r>
    <n v="1498"/>
    <s v="F2"/>
    <x v="55"/>
    <s v="H000005042"/>
    <s v="CA - Program (Rare Med)"/>
    <s v="H000005038"/>
    <s v="New"/>
    <x v="0"/>
    <x v="0"/>
    <s v="HC"/>
    <m/>
    <m/>
    <m/>
  </r>
  <r>
    <n v="1499"/>
    <s v="F2"/>
    <x v="56"/>
    <s v="H000005043"/>
    <s v="US - Rare Diseases"/>
    <s v="H000003643"/>
    <s v="New"/>
    <x v="0"/>
    <x v="0"/>
    <s v="HC"/>
    <m/>
    <m/>
    <m/>
  </r>
  <r>
    <n v="1500"/>
    <s v="F2"/>
    <x v="56"/>
    <s v="H000005044"/>
    <s v="US - Rare Diseases - People/OH"/>
    <s v="H000005043"/>
    <s v="New"/>
    <x v="0"/>
    <x v="0"/>
    <s v="HC"/>
    <m/>
    <m/>
    <m/>
  </r>
  <r>
    <n v="1501"/>
    <s v="F2"/>
    <x v="56"/>
    <s v="H000005045"/>
    <s v="US - Rare Diseases - Field"/>
    <s v="H000005044"/>
    <s v="New"/>
    <x v="0"/>
    <x v="0"/>
    <s v="HC"/>
    <m/>
    <m/>
    <m/>
  </r>
  <r>
    <n v="1502"/>
    <s v="F2"/>
    <x v="56"/>
    <s v="H000005046"/>
    <s v="US - Rare Diseases - ISS/Marketing"/>
    <s v="H000005044"/>
    <s v="New"/>
    <x v="0"/>
    <x v="0"/>
    <s v="HC"/>
    <m/>
    <m/>
    <m/>
  </r>
  <r>
    <n v="1503"/>
    <s v="F2"/>
    <x v="56"/>
    <s v="H000005047"/>
    <s v="US - Rare Diseases - Admin"/>
    <s v="H000005044"/>
    <s v="New"/>
    <x v="0"/>
    <x v="0"/>
    <s v="HC"/>
    <m/>
    <m/>
    <m/>
  </r>
  <r>
    <n v="1504"/>
    <s v="F2"/>
    <x v="56"/>
    <s v="H000005048"/>
    <s v="US - Rare Diseases - Program"/>
    <s v="H000005043"/>
    <s v="New"/>
    <x v="0"/>
    <x v="0"/>
    <s v="HC"/>
    <m/>
    <m/>
    <m/>
  </r>
  <r>
    <n v="1505"/>
    <s v="F2"/>
    <x v="56"/>
    <s v="H000005049"/>
    <s v="US - Rare Diseases - Field Program"/>
    <s v="H000005048"/>
    <s v="New"/>
    <x v="0"/>
    <x v="0"/>
    <s v="HC"/>
    <m/>
    <m/>
    <m/>
  </r>
  <r>
    <n v="1506"/>
    <s v="F2"/>
    <x v="56"/>
    <s v="H000005050"/>
    <s v="US - Rare Diseases - Marketing Admin"/>
    <s v="H000005048"/>
    <s v="New"/>
    <x v="0"/>
    <x v="0"/>
    <s v="HC"/>
    <m/>
    <m/>
    <m/>
  </r>
  <r>
    <n v="1507"/>
    <s v="F2"/>
    <x v="56"/>
    <s v="H000005051"/>
    <s v="US - Rare Diseases - Brand Marketing"/>
    <s v="H000005048"/>
    <s v="New"/>
    <x v="0"/>
    <x v="0"/>
    <s v="HC"/>
    <m/>
    <m/>
    <m/>
  </r>
  <r>
    <n v="1508"/>
    <s v="F2"/>
    <x v="56"/>
    <s v="H000005052"/>
    <s v="US - Rare Diseases - Other M&amp;S - FDA Fee"/>
    <s v="H000005048"/>
    <s v="New"/>
    <x v="0"/>
    <x v="0"/>
    <s v="HC"/>
    <m/>
    <m/>
    <m/>
  </r>
  <r>
    <n v="1509"/>
    <s v="F2"/>
    <x v="56"/>
    <s v="H000005053"/>
    <s v="US - Rare Diseases - MAPS Patient Access"/>
    <s v="H000005048"/>
    <s v="New"/>
    <x v="0"/>
    <x v="0"/>
    <s v="HC"/>
    <m/>
    <m/>
    <m/>
  </r>
  <r>
    <n v="1510"/>
    <s v="F2"/>
    <x v="56"/>
    <s v="H000005054"/>
    <s v="US - Rare Diseases - MAPS - Access Mktg"/>
    <s v="H000005048"/>
    <s v="New"/>
    <x v="0"/>
    <x v="0"/>
    <s v="HC"/>
    <m/>
    <m/>
    <m/>
  </r>
  <r>
    <n v="1511"/>
    <s v="F2"/>
    <x v="56"/>
    <s v="H000005055"/>
    <s v="US - Rare Diseases - OE&amp;I"/>
    <s v="H000005048"/>
    <s v="New"/>
    <x v="0"/>
    <x v="0"/>
    <s v="HC"/>
    <m/>
    <m/>
    <m/>
  </r>
  <r>
    <n v="1512"/>
    <s v="F2"/>
    <x v="56"/>
    <s v="H000005056"/>
    <s v="US - Rare Diseases"/>
    <s v="H000003732"/>
    <s v="New"/>
    <x v="0"/>
    <x v="0"/>
    <s v="HC"/>
    <m/>
    <m/>
    <m/>
  </r>
  <r>
    <n v="1513"/>
    <s v="F2"/>
    <x v="56"/>
    <s v="H000005057"/>
    <s v="US - Rare Diseases - People/OH"/>
    <s v="H000005056"/>
    <s v="New"/>
    <x v="0"/>
    <x v="0"/>
    <s v="HC"/>
    <m/>
    <m/>
    <m/>
  </r>
  <r>
    <n v="1514"/>
    <s v="F2"/>
    <x v="56"/>
    <s v="H000005058"/>
    <s v="US - Rare Diseases - LR&amp;D"/>
    <s v="H000005057"/>
    <s v="New"/>
    <x v="0"/>
    <x v="0"/>
    <s v="HC"/>
    <m/>
    <m/>
    <m/>
  </r>
  <r>
    <n v="1515"/>
    <s v="F2"/>
    <x v="56"/>
    <s v="H000005059"/>
    <s v="US - Rare Diseases - Program"/>
    <s v="H000005056"/>
    <s v="New"/>
    <x v="0"/>
    <x v="0"/>
    <s v="HC"/>
    <m/>
    <m/>
    <m/>
  </r>
  <r>
    <n v="1516"/>
    <s v="F2"/>
    <x v="56"/>
    <s v="H000005060"/>
    <s v="US - Rare Diseases - MSL Training"/>
    <s v="H000005059"/>
    <s v="New"/>
    <x v="0"/>
    <x v="0"/>
    <s v="HC"/>
    <m/>
    <m/>
    <m/>
  </r>
  <r>
    <n v="1517"/>
    <s v="F2"/>
    <x v="56"/>
    <s v="H000005061"/>
    <s v="US - Rare Diseases - Congresses"/>
    <s v="H000005059"/>
    <s v="New"/>
    <x v="0"/>
    <x v="0"/>
    <s v="HC"/>
    <m/>
    <m/>
    <m/>
  </r>
  <r>
    <n v="1518"/>
    <s v="F2"/>
    <x v="56"/>
    <s v="H000005062"/>
    <s v="US - Rare Diseases - Consulting"/>
    <s v="H000005059"/>
    <s v="New"/>
    <x v="0"/>
    <x v="0"/>
    <s v="HC"/>
    <m/>
    <m/>
    <m/>
  </r>
  <r>
    <n v="1519"/>
    <s v="F2"/>
    <x v="56"/>
    <s v="H000005063"/>
    <s v="US - Rare Diseases - Med Comm, Pubs"/>
    <s v="H000005059"/>
    <s v="New"/>
    <x v="0"/>
    <x v="0"/>
    <s v="HC"/>
    <m/>
    <m/>
    <m/>
  </r>
  <r>
    <n v="1520"/>
    <s v="F2"/>
    <x v="56"/>
    <s v="H000005064"/>
    <s v="US - Rare Diseases - Medical Info"/>
    <s v="H000005059"/>
    <s v="New"/>
    <x v="0"/>
    <x v="0"/>
    <s v="HC"/>
    <m/>
    <m/>
    <m/>
  </r>
  <r>
    <n v="1521"/>
    <s v="F2"/>
    <x v="56"/>
    <s v="H000005065"/>
    <s v="US - Rare Diseases - NEVD"/>
    <s v="H000005059"/>
    <s v="New"/>
    <x v="0"/>
    <x v="0"/>
    <s v="HC"/>
    <m/>
    <m/>
    <m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1"/>
    <x v="0"/>
    <s v="HC"/>
    <m/>
    <m/>
    <s v="Erjo Miguel Tagle"/>
  </r>
  <r>
    <n v="1551"/>
    <s v="F2"/>
    <x v="61"/>
    <s v="H000005088"/>
    <s v="Focus30 Global R&amp;D"/>
    <s v="H000000965"/>
    <s v="New"/>
    <x v="1"/>
    <x v="0"/>
    <s v="HC"/>
    <m/>
    <m/>
    <s v="Erjo Miguel Tagle"/>
  </r>
  <r>
    <n v="1552"/>
    <s v="F2"/>
    <x v="61"/>
    <s v="H000005089"/>
    <s v="Focus30 Local R&amp;D"/>
    <s v="H000000965"/>
    <s v="New"/>
    <x v="1"/>
    <x v="0"/>
    <s v="HC"/>
    <m/>
    <m/>
    <s v="Erjo Miguel Tagle"/>
  </r>
  <r>
    <n v="1553"/>
    <s v="F2"/>
    <x v="62"/>
    <s v="G000000889"/>
    <m/>
    <s v="G000000873"/>
    <s v="Move"/>
    <x v="1"/>
    <x v="0"/>
    <s v="MGF"/>
    <m/>
    <m/>
    <s v="Analyn Ayson"/>
  </r>
  <r>
    <n v="1554"/>
    <s v="F2"/>
    <x v="62"/>
    <s v="G000001018"/>
    <m/>
    <s v="G000000873"/>
    <s v="Move"/>
    <x v="1"/>
    <x v="0"/>
    <s v="MGF"/>
    <m/>
    <m/>
    <s v="Analyn Ayson"/>
  </r>
  <r>
    <n v="1555"/>
    <s v="F2"/>
    <x v="63"/>
    <s v="H000005016 "/>
    <s v="120.12 Mirda+BGB-3245"/>
    <s v="H000004934"/>
    <s v="Move"/>
    <x v="1"/>
    <x v="0"/>
    <s v="HC"/>
    <m/>
    <m/>
    <s v="Tina Kempe"/>
  </r>
  <r>
    <n v="1556"/>
    <s v="F2"/>
    <x v="63"/>
    <s v="H000005018"/>
    <s v="510.00 TEAD-No Program"/>
    <m/>
    <s v="Rename"/>
    <x v="1"/>
    <x v="0"/>
    <s v="HC"/>
    <m/>
    <m/>
    <s v="Tina Kempe"/>
  </r>
  <r>
    <n v="1557"/>
    <s v="F2"/>
    <x v="63"/>
    <s v="H000005021"/>
    <s v="550.00 VRK1 |No Program"/>
    <m/>
    <s v="Rename"/>
    <x v="1"/>
    <x v="0"/>
    <s v="HC"/>
    <m/>
    <m/>
    <s v="Tina Kemp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showAll="0"/>
    <pivotField showAll="0"/>
    <pivotField axis="axisRow" showAll="0">
      <items count="156">
        <item m="1" x="91"/>
        <item m="1" x="133"/>
        <item m="1" x="150"/>
        <item m="1" x="144"/>
        <item m="1" x="129"/>
        <item m="1" x="87"/>
        <item m="1" x="95"/>
        <item m="1" x="120"/>
        <item m="1" x="117"/>
        <item m="1" x="67"/>
        <item m="1" x="151"/>
        <item m="1" x="109"/>
        <item m="1" x="90"/>
        <item m="1" x="98"/>
        <item m="1" x="102"/>
        <item m="1" x="72"/>
        <item m="1" x="104"/>
        <item m="1" x="73"/>
        <item m="1" x="139"/>
        <item m="1" x="85"/>
        <item m="1" x="134"/>
        <item m="1" x="148"/>
        <item m="1" x="76"/>
        <item m="1" x="142"/>
        <item m="1" x="113"/>
        <item m="1" x="100"/>
        <item m="1" x="88"/>
        <item m="1" x="96"/>
        <item m="1" x="135"/>
        <item m="1" x="127"/>
        <item m="1" x="83"/>
        <item m="1" x="111"/>
        <item m="1" x="118"/>
        <item m="1" x="131"/>
        <item m="1" x="69"/>
        <item m="1" x="128"/>
        <item m="1" x="116"/>
        <item m="1" x="75"/>
        <item m="1" x="146"/>
        <item m="1" x="89"/>
        <item m="1" x="149"/>
        <item m="1" x="140"/>
        <item m="1" x="86"/>
        <item m="1" x="68"/>
        <item m="1" x="66"/>
        <item m="1" x="138"/>
        <item m="1" x="112"/>
        <item m="1" x="99"/>
        <item m="1" x="137"/>
        <item m="1" x="108"/>
        <item m="1" x="71"/>
        <item m="1" x="145"/>
        <item m="1" x="110"/>
        <item m="1" x="70"/>
        <item m="1" x="121"/>
        <item m="1" x="105"/>
        <item m="1" x="80"/>
        <item m="1" x="106"/>
        <item m="1" x="130"/>
        <item m="1" x="81"/>
        <item m="1" x="154"/>
        <item m="1" x="101"/>
        <item m="1" x="77"/>
        <item m="1" x="82"/>
        <item m="1" x="79"/>
        <item m="1" x="126"/>
        <item m="1" x="107"/>
        <item m="1" x="119"/>
        <item m="1" x="92"/>
        <item m="1" x="125"/>
        <item m="1" x="115"/>
        <item m="1" x="97"/>
        <item m="1" x="93"/>
        <item m="1" x="136"/>
        <item m="1" x="141"/>
        <item m="1" x="122"/>
        <item m="1" x="114"/>
        <item m="1" x="78"/>
        <item m="1" x="65"/>
        <item m="1" x="153"/>
        <item m="1" x="132"/>
        <item m="1" x="74"/>
        <item m="1" x="152"/>
        <item m="1" x="124"/>
        <item m="1" x="147"/>
        <item m="1" x="143"/>
        <item m="1" x="103"/>
        <item m="1" x="84"/>
        <item m="1" x="94"/>
        <item m="1" x="1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64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4">
        <item m="1" x="2"/>
        <item x="0"/>
        <item x="1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152"/>
    </i>
    <i r="1">
      <x v="1"/>
    </i>
    <i>
      <x v="153"/>
    </i>
    <i r="1">
      <x v="1"/>
    </i>
    <i>
      <x v="154"/>
    </i>
    <i r="1">
      <x v="1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599" totalsRowShown="0">
  <autoFilter ref="A1:M1599" xr:uid="{00000000-000C-0000-FFFF-FFFF00000000}">
    <filterColumn colId="7">
      <filters blank="1"/>
    </filterColumn>
  </autoFilter>
  <tableColumns count="13">
    <tableColumn id="1" xr3:uid="{00000000-0010-0000-0000-000001000000}" name="No." dataDxfId="52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51">
      <calculatedColumnFormula>IFERROR(VLOOKUP(Table2[[#This Row], [Ticket]],Okey!A:B,2,0),"")</calculatedColumnFormula>
    </tableColumn>
    <tableColumn id="9" xr3:uid="{00000000-0010-0000-0000-000009000000}" name="STATUS Check" dataDxfId="50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49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0"/>
  <sheetViews>
    <sheetView workbookViewId="0">
      <selection activeCell="A4" activeCellId="2" sqref="A8 A6 A4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9777</v>
      </c>
      <c r="B4" s="44">
        <v>3</v>
      </c>
    </row>
    <row r="5" spans="1:2">
      <c r="A5" s="67" t="s">
        <v>8546</v>
      </c>
      <c r="B5" s="44">
        <v>3</v>
      </c>
    </row>
    <row r="6" spans="1:2">
      <c r="A6" s="32" t="s">
        <v>9778</v>
      </c>
      <c r="B6" s="44">
        <v>2</v>
      </c>
    </row>
    <row r="7" spans="1:2">
      <c r="A7" s="67" t="s">
        <v>8546</v>
      </c>
      <c r="B7" s="44">
        <v>2</v>
      </c>
    </row>
    <row r="8" spans="1:2">
      <c r="A8" s="32" t="s">
        <v>9781</v>
      </c>
      <c r="B8" s="44">
        <v>3</v>
      </c>
    </row>
    <row r="9" spans="1:2">
      <c r="A9" s="67" t="s">
        <v>8546</v>
      </c>
      <c r="B9" s="44">
        <v>3</v>
      </c>
    </row>
    <row r="10" spans="1:2">
      <c r="A10" s="32" t="s">
        <v>10</v>
      </c>
      <c r="B10" s="44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50"/>
  <sheetViews>
    <sheetView topLeftCell="A329" workbookViewId="0">
      <selection activeCell="B348" sqref="B348:B350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9517</v>
      </c>
      <c r="B328" s="36" t="s">
        <v>86</v>
      </c>
    </row>
    <row r="329" spans="1:2">
      <c r="A329" s="46" t="s">
        <v>9544</v>
      </c>
      <c r="B329" s="36" t="s">
        <v>86</v>
      </c>
    </row>
    <row r="330" spans="1:2">
      <c r="A330" s="5" t="s">
        <v>9476</v>
      </c>
      <c r="B330" s="36" t="s">
        <v>86</v>
      </c>
    </row>
    <row r="331" spans="1:2">
      <c r="A331" s="5" t="s">
        <v>9518</v>
      </c>
      <c r="B331" s="36" t="s">
        <v>86</v>
      </c>
    </row>
    <row r="332" spans="1:2">
      <c r="A332" s="5" t="s">
        <v>9541</v>
      </c>
      <c r="B332" s="36" t="s">
        <v>86</v>
      </c>
    </row>
    <row r="333" spans="1:2">
      <c r="A333" s="5" t="s">
        <v>9546</v>
      </c>
      <c r="B333" s="36" t="s">
        <v>86</v>
      </c>
    </row>
    <row r="334" spans="1:2">
      <c r="A334" s="5" t="s">
        <v>9554</v>
      </c>
      <c r="B334" s="36" t="s">
        <v>86</v>
      </c>
    </row>
    <row r="335" spans="1:2">
      <c r="A335" s="5" t="s">
        <v>9556</v>
      </c>
      <c r="B335" s="36" t="s">
        <v>86</v>
      </c>
    </row>
    <row r="336" spans="1:2">
      <c r="A336" s="5" t="s">
        <v>9577</v>
      </c>
      <c r="B336" s="36" t="s">
        <v>86</v>
      </c>
    </row>
    <row r="337" spans="1:2">
      <c r="A337" s="5" t="s">
        <v>9580</v>
      </c>
      <c r="B337" s="36" t="s">
        <v>86</v>
      </c>
    </row>
    <row r="338" spans="1:2">
      <c r="A338" s="5" t="s">
        <v>9592</v>
      </c>
      <c r="B338" s="36" t="s">
        <v>86</v>
      </c>
    </row>
    <row r="339" spans="1:2">
      <c r="A339" s="5" t="s">
        <v>9604</v>
      </c>
      <c r="B339" s="36" t="s">
        <v>86</v>
      </c>
    </row>
    <row r="340" spans="1:2">
      <c r="A340" s="5" t="s">
        <v>9606</v>
      </c>
      <c r="B340" s="36" t="s">
        <v>86</v>
      </c>
    </row>
    <row r="341" spans="1:2">
      <c r="A341" s="5" t="s">
        <v>9607</v>
      </c>
      <c r="B341" s="36" t="s">
        <v>86</v>
      </c>
    </row>
    <row r="342" spans="1:2">
      <c r="A342" s="5" t="s">
        <v>9620</v>
      </c>
      <c r="B342" s="36" t="s">
        <v>86</v>
      </c>
    </row>
    <row r="343" spans="1:2">
      <c r="A343" s="5" t="s">
        <v>9631</v>
      </c>
      <c r="B343" s="36" t="s">
        <v>86</v>
      </c>
    </row>
    <row r="344" spans="1:2">
      <c r="A344" s="5" t="s">
        <v>9718</v>
      </c>
      <c r="B344" s="36" t="s">
        <v>86</v>
      </c>
    </row>
    <row r="345" spans="1:2">
      <c r="A345" s="5" t="s">
        <v>9720</v>
      </c>
      <c r="B345" s="36" t="s">
        <v>86</v>
      </c>
    </row>
    <row r="346" spans="1:2">
      <c r="A346" s="5" t="s">
        <v>9721</v>
      </c>
      <c r="B346" s="36" t="s">
        <v>86</v>
      </c>
    </row>
    <row r="347" spans="1:2">
      <c r="A347" s="5" t="s">
        <v>9748</v>
      </c>
      <c r="B347" s="36" t="s">
        <v>86</v>
      </c>
    </row>
    <row r="348" spans="1:2">
      <c r="A348" s="46" t="s">
        <v>9777</v>
      </c>
      <c r="B348" s="36" t="s">
        <v>86</v>
      </c>
    </row>
    <row r="349" spans="1:2">
      <c r="A349" s="46" t="s">
        <v>9778</v>
      </c>
      <c r="B349" s="36" t="s">
        <v>86</v>
      </c>
    </row>
    <row r="350" spans="1:2">
      <c r="A350" s="46" t="s">
        <v>9781</v>
      </c>
      <c r="B350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599"/>
  <sheetViews>
    <sheetView tabSelected="1" topLeftCell="A1580" zoomScale="85" zoomScaleNormal="85" workbookViewId="0">
      <selection activeCell="J1590" sqref="J1590:J1599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 hidden="1">
      <c r="A1377" s="42">
        <f t="shared" si="22"/>
        <v>1376</v>
      </c>
      <c r="B1377" s="36" t="s">
        <v>8</v>
      </c>
      <c r="C1377" s="9" t="s">
        <v>9476</v>
      </c>
      <c r="D1377" s="9" t="s">
        <v>9477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>ok</v>
      </c>
      <c r="I1377" s="36" t="s">
        <v>8546</v>
      </c>
      <c r="J1377" s="36" t="s">
        <v>19</v>
      </c>
      <c r="L1377" s="36"/>
      <c r="M1377" s="9" t="s">
        <v>9515</v>
      </c>
    </row>
    <row r="1378" spans="1:13" hidden="1">
      <c r="A1378" s="42">
        <f t="shared" si="22"/>
        <v>1377</v>
      </c>
      <c r="B1378" s="36" t="s">
        <v>8</v>
      </c>
      <c r="C1378" s="36" t="s">
        <v>9476</v>
      </c>
      <c r="D1378" s="9" t="s">
        <v>9478</v>
      </c>
      <c r="E1378" s="9" t="s">
        <v>9439</v>
      </c>
      <c r="F1378" s="36" t="s">
        <v>9477</v>
      </c>
      <c r="G1378" s="36" t="s">
        <v>14</v>
      </c>
      <c r="H1378" s="36" t="str">
        <f>IFERROR(VLOOKUP(Table2[[#This Row], [Ticket]],Okey!A:B,2,0),"")</f>
        <v>ok</v>
      </c>
      <c r="I1378" s="36" t="s">
        <v>8546</v>
      </c>
      <c r="J1378" s="36" t="s">
        <v>19</v>
      </c>
      <c r="L1378" s="36"/>
      <c r="M1378" s="36" t="s">
        <v>9515</v>
      </c>
    </row>
    <row r="1379" spans="1:13" hidden="1">
      <c r="A1379" s="42">
        <f t="shared" si="22"/>
        <v>1378</v>
      </c>
      <c r="B1379" s="36" t="s">
        <v>8</v>
      </c>
      <c r="C1379" s="36" t="s">
        <v>9476</v>
      </c>
      <c r="D1379" s="9" t="s">
        <v>9479</v>
      </c>
      <c r="E1379" s="9" t="s">
        <v>9440</v>
      </c>
      <c r="F1379" s="36" t="s">
        <v>9478</v>
      </c>
      <c r="G1379" s="36" t="s">
        <v>14</v>
      </c>
      <c r="H1379" s="36" t="str">
        <f>IFERROR(VLOOKUP(Table2[[#This Row], [Ticket]],Okey!A:B,2,0),"")</f>
        <v>ok</v>
      </c>
      <c r="I1379" s="36" t="s">
        <v>8546</v>
      </c>
      <c r="J1379" s="36" t="s">
        <v>19</v>
      </c>
      <c r="L1379" s="36"/>
      <c r="M1379" s="36" t="s">
        <v>9515</v>
      </c>
    </row>
    <row r="1380" spans="1:13" hidden="1">
      <c r="A1380" s="42">
        <f t="shared" si="22"/>
        <v>1379</v>
      </c>
      <c r="B1380" s="36" t="s">
        <v>8</v>
      </c>
      <c r="C1380" s="36" t="s">
        <v>9476</v>
      </c>
      <c r="D1380" s="9" t="s">
        <v>9480</v>
      </c>
      <c r="E1380" s="9" t="s">
        <v>9441</v>
      </c>
      <c r="F1380" s="36" t="s">
        <v>9479</v>
      </c>
      <c r="G1380" s="36" t="s">
        <v>14</v>
      </c>
      <c r="H1380" s="36" t="str">
        <f>IFERROR(VLOOKUP(Table2[[#This Row], [Ticket]],Okey!A:B,2,0),"")</f>
        <v>ok</v>
      </c>
      <c r="I1380" s="36" t="s">
        <v>8546</v>
      </c>
      <c r="J1380" s="36" t="s">
        <v>19</v>
      </c>
      <c r="L1380" s="36"/>
      <c r="M1380" s="36" t="s">
        <v>9515</v>
      </c>
    </row>
    <row r="1381" spans="1:13" hidden="1">
      <c r="A1381" s="42">
        <f t="shared" si="22"/>
        <v>1380</v>
      </c>
      <c r="B1381" s="36" t="s">
        <v>8</v>
      </c>
      <c r="C1381" s="36" t="s">
        <v>9476</v>
      </c>
      <c r="D1381" s="9" t="s">
        <v>9481</v>
      </c>
      <c r="E1381" s="9" t="s">
        <v>9442</v>
      </c>
      <c r="F1381" s="36" t="s">
        <v>9480</v>
      </c>
      <c r="G1381" s="36" t="s">
        <v>14</v>
      </c>
      <c r="H1381" s="36" t="str">
        <f>IFERROR(VLOOKUP(Table2[[#This Row], [Ticket]],Okey!A:B,2,0),"")</f>
        <v>ok</v>
      </c>
      <c r="I1381" s="36" t="s">
        <v>8546</v>
      </c>
      <c r="J1381" s="36" t="s">
        <v>19</v>
      </c>
      <c r="L1381" s="36"/>
      <c r="M1381" s="36" t="s">
        <v>9515</v>
      </c>
    </row>
    <row r="1382" spans="1:13" hidden="1">
      <c r="A1382" s="42">
        <f t="shared" si="22"/>
        <v>1381</v>
      </c>
      <c r="B1382" s="36" t="s">
        <v>8</v>
      </c>
      <c r="C1382" s="36" t="s">
        <v>9476</v>
      </c>
      <c r="D1382" s="9" t="s">
        <v>9482</v>
      </c>
      <c r="E1382" s="9" t="s">
        <v>9443</v>
      </c>
      <c r="F1382" s="36" t="s">
        <v>9480</v>
      </c>
      <c r="G1382" s="36" t="s">
        <v>14</v>
      </c>
      <c r="H1382" s="36" t="str">
        <f>IFERROR(VLOOKUP(Table2[[#This Row], [Ticket]],Okey!A:B,2,0),"")</f>
        <v>ok</v>
      </c>
      <c r="I1382" s="36" t="s">
        <v>8546</v>
      </c>
      <c r="J1382" s="36" t="s">
        <v>19</v>
      </c>
      <c r="L1382" s="36"/>
      <c r="M1382" s="36" t="s">
        <v>9515</v>
      </c>
    </row>
    <row r="1383" spans="1:13" hidden="1">
      <c r="A1383" s="42">
        <f t="shared" si="22"/>
        <v>1382</v>
      </c>
      <c r="B1383" s="36" t="s">
        <v>8</v>
      </c>
      <c r="C1383" s="36" t="s">
        <v>9476</v>
      </c>
      <c r="D1383" s="9" t="s">
        <v>9483</v>
      </c>
      <c r="E1383" s="9" t="s">
        <v>9444</v>
      </c>
      <c r="F1383" s="36" t="s">
        <v>9480</v>
      </c>
      <c r="G1383" s="36" t="s">
        <v>14</v>
      </c>
      <c r="H1383" s="36" t="str">
        <f>IFERROR(VLOOKUP(Table2[[#This Row], [Ticket]],Okey!A:B,2,0),"")</f>
        <v>ok</v>
      </c>
      <c r="I1383" s="36" t="s">
        <v>8546</v>
      </c>
      <c r="J1383" s="36" t="s">
        <v>19</v>
      </c>
      <c r="L1383" s="36"/>
      <c r="M1383" s="36" t="s">
        <v>9515</v>
      </c>
    </row>
    <row r="1384" spans="1:13" hidden="1">
      <c r="A1384" s="42">
        <f t="shared" si="22"/>
        <v>1383</v>
      </c>
      <c r="B1384" s="36" t="s">
        <v>8</v>
      </c>
      <c r="C1384" s="36" t="s">
        <v>9476</v>
      </c>
      <c r="D1384" s="9" t="s">
        <v>9484</v>
      </c>
      <c r="E1384" s="9" t="s">
        <v>9445</v>
      </c>
      <c r="F1384" s="36" t="s">
        <v>9480</v>
      </c>
      <c r="G1384" s="36" t="s">
        <v>14</v>
      </c>
      <c r="H1384" s="36" t="str">
        <f>IFERROR(VLOOKUP(Table2[[#This Row], [Ticket]],Okey!A:B,2,0),"")</f>
        <v>ok</v>
      </c>
      <c r="I1384" s="36" t="s">
        <v>8546</v>
      </c>
      <c r="J1384" s="36" t="s">
        <v>19</v>
      </c>
      <c r="L1384" s="36"/>
      <c r="M1384" s="36" t="s">
        <v>9515</v>
      </c>
    </row>
    <row r="1385" spans="1:13" hidden="1">
      <c r="A1385" s="42">
        <f t="shared" si="22"/>
        <v>1384</v>
      </c>
      <c r="B1385" s="36" t="s">
        <v>8</v>
      </c>
      <c r="C1385" s="36" t="s">
        <v>9476</v>
      </c>
      <c r="D1385" s="9" t="s">
        <v>9485</v>
      </c>
      <c r="E1385" s="9" t="s">
        <v>9446</v>
      </c>
      <c r="F1385" s="36" t="s">
        <v>9477</v>
      </c>
      <c r="G1385" s="36" t="s">
        <v>14</v>
      </c>
      <c r="H1385" s="36" t="str">
        <f>IFERROR(VLOOKUP(Table2[[#This Row], [Ticket]],Okey!A:B,2,0),"")</f>
        <v>ok</v>
      </c>
      <c r="I1385" s="36" t="s">
        <v>8546</v>
      </c>
      <c r="J1385" s="36" t="s">
        <v>19</v>
      </c>
      <c r="L1385" s="36"/>
      <c r="M1385" s="36" t="s">
        <v>9515</v>
      </c>
    </row>
    <row r="1386" spans="1:13" hidden="1">
      <c r="A1386" s="42">
        <f t="shared" si="22"/>
        <v>1385</v>
      </c>
      <c r="B1386" s="36" t="s">
        <v>8</v>
      </c>
      <c r="C1386" s="36" t="s">
        <v>9476</v>
      </c>
      <c r="D1386" s="9" t="s">
        <v>9486</v>
      </c>
      <c r="E1386" s="9" t="s">
        <v>9447</v>
      </c>
      <c r="F1386" s="36" t="s">
        <v>9485</v>
      </c>
      <c r="G1386" s="36" t="s">
        <v>14</v>
      </c>
      <c r="H1386" s="36" t="str">
        <f>IFERROR(VLOOKUP(Table2[[#This Row], [Ticket]],Okey!A:B,2,0),"")</f>
        <v>ok</v>
      </c>
      <c r="I1386" s="36" t="s">
        <v>8546</v>
      </c>
      <c r="J1386" s="36" t="s">
        <v>19</v>
      </c>
      <c r="L1386" s="36"/>
      <c r="M1386" s="36" t="s">
        <v>9515</v>
      </c>
    </row>
    <row r="1387" spans="1:13" hidden="1">
      <c r="A1387" s="42">
        <f t="shared" si="22"/>
        <v>1386</v>
      </c>
      <c r="B1387" s="36" t="s">
        <v>8</v>
      </c>
      <c r="C1387" s="36" t="s">
        <v>9476</v>
      </c>
      <c r="D1387" s="9" t="s">
        <v>9487</v>
      </c>
      <c r="E1387" s="9" t="s">
        <v>9448</v>
      </c>
      <c r="F1387" s="36" t="s">
        <v>9485</v>
      </c>
      <c r="G1387" s="36" t="s">
        <v>14</v>
      </c>
      <c r="H1387" s="36" t="str">
        <f>IFERROR(VLOOKUP(Table2[[#This Row], [Ticket]],Okey!A:B,2,0),"")</f>
        <v>ok</v>
      </c>
      <c r="I1387" s="36" t="s">
        <v>8546</v>
      </c>
      <c r="J1387" s="36" t="s">
        <v>19</v>
      </c>
      <c r="L1387" s="36"/>
      <c r="M1387" s="36" t="s">
        <v>9515</v>
      </c>
    </row>
    <row r="1388" spans="1:13" hidden="1">
      <c r="A1388" s="42">
        <f t="shared" si="22"/>
        <v>1387</v>
      </c>
      <c r="B1388" s="36" t="s">
        <v>8</v>
      </c>
      <c r="C1388" s="36" t="s">
        <v>9476</v>
      </c>
      <c r="D1388" s="9" t="s">
        <v>9488</v>
      </c>
      <c r="E1388" s="9" t="s">
        <v>9449</v>
      </c>
      <c r="F1388" s="36" t="s">
        <v>9485</v>
      </c>
      <c r="G1388" s="36" t="s">
        <v>14</v>
      </c>
      <c r="H1388" s="36" t="str">
        <f>IFERROR(VLOOKUP(Table2[[#This Row], [Ticket]],Okey!A:B,2,0),"")</f>
        <v>ok</v>
      </c>
      <c r="I1388" s="36" t="s">
        <v>8546</v>
      </c>
      <c r="J1388" s="36" t="s">
        <v>19</v>
      </c>
      <c r="L1388" s="36"/>
      <c r="M1388" s="36" t="s">
        <v>9515</v>
      </c>
    </row>
    <row r="1389" spans="1:13" hidden="1">
      <c r="A1389" s="42">
        <f t="shared" si="22"/>
        <v>1388</v>
      </c>
      <c r="B1389" s="36" t="s">
        <v>8</v>
      </c>
      <c r="C1389" s="36" t="s">
        <v>9476</v>
      </c>
      <c r="D1389" s="9" t="s">
        <v>9489</v>
      </c>
      <c r="E1389" s="9" t="s">
        <v>9450</v>
      </c>
      <c r="F1389" s="36" t="s">
        <v>9477</v>
      </c>
      <c r="G1389" s="36" t="s">
        <v>14</v>
      </c>
      <c r="H1389" s="36" t="str">
        <f>IFERROR(VLOOKUP(Table2[[#This Row], [Ticket]],Okey!A:B,2,0),"")</f>
        <v>ok</v>
      </c>
      <c r="I1389" s="36" t="s">
        <v>8546</v>
      </c>
      <c r="J1389" s="36" t="s">
        <v>19</v>
      </c>
      <c r="L1389" s="36"/>
      <c r="M1389" s="36" t="s">
        <v>9515</v>
      </c>
    </row>
    <row r="1390" spans="1:13" hidden="1">
      <c r="A1390" s="42">
        <f t="shared" si="22"/>
        <v>1389</v>
      </c>
      <c r="B1390" s="36" t="s">
        <v>8</v>
      </c>
      <c r="C1390" s="36" t="s">
        <v>9476</v>
      </c>
      <c r="D1390" s="9" t="s">
        <v>9490</v>
      </c>
      <c r="E1390" s="9" t="s">
        <v>9451</v>
      </c>
      <c r="F1390" s="36" t="s">
        <v>9489</v>
      </c>
      <c r="G1390" s="36" t="s">
        <v>14</v>
      </c>
      <c r="H1390" s="36" t="str">
        <f>IFERROR(VLOOKUP(Table2[[#This Row], [Ticket]],Okey!A:B,2,0),"")</f>
        <v>ok</v>
      </c>
      <c r="I1390" s="36" t="s">
        <v>8546</v>
      </c>
      <c r="J1390" s="36" t="s">
        <v>19</v>
      </c>
      <c r="L1390" s="36"/>
      <c r="M1390" s="36" t="s">
        <v>9515</v>
      </c>
    </row>
    <row r="1391" spans="1:13" hidden="1">
      <c r="A1391" s="42">
        <f t="shared" si="22"/>
        <v>1390</v>
      </c>
      <c r="B1391" s="36" t="s">
        <v>8</v>
      </c>
      <c r="C1391" s="36" t="s">
        <v>9476</v>
      </c>
      <c r="D1391" s="9" t="s">
        <v>9491</v>
      </c>
      <c r="E1391" s="9" t="s">
        <v>9452</v>
      </c>
      <c r="F1391" s="36" t="s">
        <v>9477</v>
      </c>
      <c r="G1391" s="36" t="s">
        <v>14</v>
      </c>
      <c r="H1391" s="36" t="str">
        <f>IFERROR(VLOOKUP(Table2[[#This Row], [Ticket]],Okey!A:B,2,0),"")</f>
        <v>ok</v>
      </c>
      <c r="I1391" s="36" t="s">
        <v>8546</v>
      </c>
      <c r="J1391" s="36" t="s">
        <v>19</v>
      </c>
      <c r="L1391" s="36"/>
      <c r="M1391" s="36" t="s">
        <v>9515</v>
      </c>
    </row>
    <row r="1392" spans="1:13" hidden="1">
      <c r="A1392" s="42">
        <f t="shared" si="22"/>
        <v>1391</v>
      </c>
      <c r="B1392" s="36" t="s">
        <v>8</v>
      </c>
      <c r="C1392" s="36" t="s">
        <v>9476</v>
      </c>
      <c r="D1392" s="9" t="s">
        <v>9492</v>
      </c>
      <c r="E1392" s="9" t="s">
        <v>9453</v>
      </c>
      <c r="F1392" s="36" t="s">
        <v>9477</v>
      </c>
      <c r="G1392" s="36" t="s">
        <v>14</v>
      </c>
      <c r="H1392" s="36" t="str">
        <f>IFERROR(VLOOKUP(Table2[[#This Row], [Ticket]],Okey!A:B,2,0),"")</f>
        <v>ok</v>
      </c>
      <c r="I1392" s="36" t="s">
        <v>8546</v>
      </c>
      <c r="J1392" s="36" t="s">
        <v>19</v>
      </c>
      <c r="L1392" s="36"/>
      <c r="M1392" s="36" t="s">
        <v>9515</v>
      </c>
    </row>
    <row r="1393" spans="1:13" hidden="1">
      <c r="A1393" s="42">
        <f t="shared" si="22"/>
        <v>1392</v>
      </c>
      <c r="B1393" s="36" t="s">
        <v>8</v>
      </c>
      <c r="C1393" s="36" t="s">
        <v>9476</v>
      </c>
      <c r="D1393" s="9" t="s">
        <v>9493</v>
      </c>
      <c r="E1393" s="9" t="s">
        <v>9454</v>
      </c>
      <c r="F1393" s="36" t="s">
        <v>9492</v>
      </c>
      <c r="G1393" s="36" t="s">
        <v>14</v>
      </c>
      <c r="H1393" s="36" t="str">
        <f>IFERROR(VLOOKUP(Table2[[#This Row], [Ticket]],Okey!A:B,2,0),"")</f>
        <v>ok</v>
      </c>
      <c r="I1393" s="36" t="s">
        <v>8546</v>
      </c>
      <c r="J1393" s="36" t="s">
        <v>19</v>
      </c>
      <c r="L1393" s="36"/>
      <c r="M1393" s="36" t="s">
        <v>9515</v>
      </c>
    </row>
    <row r="1394" spans="1:13" hidden="1">
      <c r="A1394" s="42">
        <f t="shared" si="22"/>
        <v>1393</v>
      </c>
      <c r="B1394" s="36" t="s">
        <v>8</v>
      </c>
      <c r="C1394" s="36" t="s">
        <v>9476</v>
      </c>
      <c r="D1394" s="9" t="s">
        <v>9494</v>
      </c>
      <c r="E1394" s="9" t="s">
        <v>9455</v>
      </c>
      <c r="F1394" s="36" t="s">
        <v>9492</v>
      </c>
      <c r="G1394" s="36" t="s">
        <v>14</v>
      </c>
      <c r="H1394" s="36" t="str">
        <f>IFERROR(VLOOKUP(Table2[[#This Row], [Ticket]],Okey!A:B,2,0),"")</f>
        <v>ok</v>
      </c>
      <c r="I1394" s="36" t="s">
        <v>8546</v>
      </c>
      <c r="J1394" s="36" t="s">
        <v>19</v>
      </c>
      <c r="L1394" s="36"/>
      <c r="M1394" s="36" t="s">
        <v>9515</v>
      </c>
    </row>
    <row r="1395" spans="1:13" hidden="1">
      <c r="A1395" s="42">
        <f t="shared" si="22"/>
        <v>1394</v>
      </c>
      <c r="B1395" s="36" t="s">
        <v>8</v>
      </c>
      <c r="C1395" s="36" t="s">
        <v>9476</v>
      </c>
      <c r="D1395" s="9" t="s">
        <v>9495</v>
      </c>
      <c r="E1395" s="9" t="s">
        <v>9456</v>
      </c>
      <c r="F1395" s="36" t="s">
        <v>9492</v>
      </c>
      <c r="G1395" s="36" t="s">
        <v>14</v>
      </c>
      <c r="H1395" s="36" t="str">
        <f>IFERROR(VLOOKUP(Table2[[#This Row], [Ticket]],Okey!A:B,2,0),"")</f>
        <v>ok</v>
      </c>
      <c r="I1395" s="36" t="s">
        <v>8546</v>
      </c>
      <c r="J1395" s="36" t="s">
        <v>19</v>
      </c>
      <c r="L1395" s="36"/>
      <c r="M1395" s="36" t="s">
        <v>9515</v>
      </c>
    </row>
    <row r="1396" spans="1:13" hidden="1">
      <c r="A1396" s="42">
        <f t="shared" si="22"/>
        <v>1395</v>
      </c>
      <c r="B1396" s="36" t="s">
        <v>8</v>
      </c>
      <c r="C1396" s="36" t="s">
        <v>9476</v>
      </c>
      <c r="D1396" s="9" t="s">
        <v>9496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>ok</v>
      </c>
      <c r="I1396" s="36" t="s">
        <v>8546</v>
      </c>
      <c r="J1396" s="36" t="s">
        <v>19</v>
      </c>
      <c r="L1396" s="36"/>
      <c r="M1396" s="36" t="s">
        <v>9515</v>
      </c>
    </row>
    <row r="1397" spans="1:13" hidden="1">
      <c r="A1397" s="42">
        <f t="shared" si="22"/>
        <v>1396</v>
      </c>
      <c r="B1397" s="36" t="s">
        <v>8</v>
      </c>
      <c r="C1397" s="36" t="s">
        <v>9476</v>
      </c>
      <c r="D1397" s="9" t="s">
        <v>9497</v>
      </c>
      <c r="E1397" s="9" t="s">
        <v>9458</v>
      </c>
      <c r="F1397" s="36" t="s">
        <v>9496</v>
      </c>
      <c r="G1397" s="36" t="s">
        <v>14</v>
      </c>
      <c r="H1397" s="36" t="str">
        <f>IFERROR(VLOOKUP(Table2[[#This Row], [Ticket]],Okey!A:B,2,0),"")</f>
        <v>ok</v>
      </c>
      <c r="I1397" s="36" t="s">
        <v>8546</v>
      </c>
      <c r="J1397" s="36" t="s">
        <v>19</v>
      </c>
      <c r="L1397" s="36"/>
      <c r="M1397" s="36" t="s">
        <v>9515</v>
      </c>
    </row>
    <row r="1398" spans="1:13" hidden="1">
      <c r="A1398" s="42">
        <f t="shared" si="22"/>
        <v>1397</v>
      </c>
      <c r="B1398" s="36" t="s">
        <v>8</v>
      </c>
      <c r="C1398" s="36" t="s">
        <v>9476</v>
      </c>
      <c r="D1398" s="9" t="s">
        <v>9498</v>
      </c>
      <c r="E1398" s="9" t="s">
        <v>9459</v>
      </c>
      <c r="F1398" s="36" t="s">
        <v>9497</v>
      </c>
      <c r="G1398" s="36" t="s">
        <v>14</v>
      </c>
      <c r="H1398" s="36" t="str">
        <f>IFERROR(VLOOKUP(Table2[[#This Row], [Ticket]],Okey!A:B,2,0),"")</f>
        <v>ok</v>
      </c>
      <c r="I1398" s="36" t="s">
        <v>8546</v>
      </c>
      <c r="J1398" s="36" t="s">
        <v>19</v>
      </c>
      <c r="L1398" s="36"/>
      <c r="M1398" s="36" t="s">
        <v>9515</v>
      </c>
    </row>
    <row r="1399" spans="1:13" hidden="1">
      <c r="A1399" s="42">
        <f t="shared" si="22"/>
        <v>1398</v>
      </c>
      <c r="B1399" s="36" t="s">
        <v>8</v>
      </c>
      <c r="C1399" s="36" t="s">
        <v>9476</v>
      </c>
      <c r="D1399" s="9" t="s">
        <v>9499</v>
      </c>
      <c r="E1399" s="9" t="s">
        <v>9460</v>
      </c>
      <c r="F1399" s="36" t="s">
        <v>9498</v>
      </c>
      <c r="G1399" s="36" t="s">
        <v>14</v>
      </c>
      <c r="H1399" s="36" t="str">
        <f>IFERROR(VLOOKUP(Table2[[#This Row], [Ticket]],Okey!A:B,2,0),"")</f>
        <v>ok</v>
      </c>
      <c r="I1399" s="36" t="s">
        <v>8546</v>
      </c>
      <c r="J1399" s="36" t="s">
        <v>19</v>
      </c>
      <c r="L1399" s="36"/>
      <c r="M1399" s="36" t="s">
        <v>9515</v>
      </c>
    </row>
    <row r="1400" spans="1:13" hidden="1">
      <c r="A1400" s="42">
        <f t="shared" si="22"/>
        <v>1399</v>
      </c>
      <c r="B1400" s="36" t="s">
        <v>8</v>
      </c>
      <c r="C1400" s="36" t="s">
        <v>9476</v>
      </c>
      <c r="D1400" s="9" t="s">
        <v>9500</v>
      </c>
      <c r="E1400" s="9" t="s">
        <v>9461</v>
      </c>
      <c r="F1400" s="36" t="s">
        <v>9499</v>
      </c>
      <c r="G1400" s="36" t="s">
        <v>14</v>
      </c>
      <c r="H1400" s="36" t="str">
        <f>IFERROR(VLOOKUP(Table2[[#This Row], [Ticket]],Okey!A:B,2,0),"")</f>
        <v>ok</v>
      </c>
      <c r="I1400" s="36" t="s">
        <v>8546</v>
      </c>
      <c r="J1400" s="36" t="s">
        <v>19</v>
      </c>
      <c r="L1400" s="36"/>
      <c r="M1400" s="36" t="s">
        <v>9515</v>
      </c>
    </row>
    <row r="1401" spans="1:13" hidden="1">
      <c r="A1401" s="42">
        <f t="shared" si="22"/>
        <v>1400</v>
      </c>
      <c r="B1401" s="36" t="s">
        <v>8</v>
      </c>
      <c r="C1401" s="36" t="s">
        <v>9476</v>
      </c>
      <c r="D1401" s="9" t="s">
        <v>9501</v>
      </c>
      <c r="E1401" s="9" t="s">
        <v>9462</v>
      </c>
      <c r="F1401" s="36" t="s">
        <v>9499</v>
      </c>
      <c r="G1401" s="36" t="s">
        <v>14</v>
      </c>
      <c r="H1401" s="36" t="str">
        <f>IFERROR(VLOOKUP(Table2[[#This Row], [Ticket]],Okey!A:B,2,0),"")</f>
        <v>ok</v>
      </c>
      <c r="I1401" s="36" t="s">
        <v>8546</v>
      </c>
      <c r="J1401" s="36" t="s">
        <v>19</v>
      </c>
      <c r="L1401" s="36"/>
      <c r="M1401" s="36" t="s">
        <v>9515</v>
      </c>
    </row>
    <row r="1402" spans="1:13" hidden="1">
      <c r="A1402" s="42">
        <f t="shared" si="22"/>
        <v>1401</v>
      </c>
      <c r="B1402" s="36" t="s">
        <v>8</v>
      </c>
      <c r="C1402" s="36" t="s">
        <v>9476</v>
      </c>
      <c r="D1402" s="9" t="s">
        <v>9502</v>
      </c>
      <c r="E1402" s="9" t="s">
        <v>9463</v>
      </c>
      <c r="F1402" s="36" t="s">
        <v>9499</v>
      </c>
      <c r="G1402" s="36" t="s">
        <v>14</v>
      </c>
      <c r="H1402" s="36" t="str">
        <f>IFERROR(VLOOKUP(Table2[[#This Row], [Ticket]],Okey!A:B,2,0),"")</f>
        <v>ok</v>
      </c>
      <c r="I1402" s="36" t="s">
        <v>8546</v>
      </c>
      <c r="J1402" s="36" t="s">
        <v>19</v>
      </c>
      <c r="L1402" s="36"/>
      <c r="M1402" s="36" t="s">
        <v>9515</v>
      </c>
    </row>
    <row r="1403" spans="1:13" hidden="1">
      <c r="A1403" s="42">
        <f t="shared" si="22"/>
        <v>1402</v>
      </c>
      <c r="B1403" s="36" t="s">
        <v>8</v>
      </c>
      <c r="C1403" s="36" t="s">
        <v>9476</v>
      </c>
      <c r="D1403" s="9" t="s">
        <v>9503</v>
      </c>
      <c r="E1403" s="9" t="s">
        <v>9464</v>
      </c>
      <c r="F1403" s="36" t="s">
        <v>9499</v>
      </c>
      <c r="G1403" s="36" t="s">
        <v>14</v>
      </c>
      <c r="H1403" s="36" t="str">
        <f>IFERROR(VLOOKUP(Table2[[#This Row], [Ticket]],Okey!A:B,2,0),"")</f>
        <v>ok</v>
      </c>
      <c r="I1403" s="36" t="s">
        <v>8546</v>
      </c>
      <c r="J1403" s="36" t="s">
        <v>19</v>
      </c>
      <c r="L1403" s="36"/>
      <c r="M1403" s="36" t="s">
        <v>9515</v>
      </c>
    </row>
    <row r="1404" spans="1:13" hidden="1">
      <c r="A1404" s="42">
        <f t="shared" si="22"/>
        <v>1403</v>
      </c>
      <c r="B1404" s="36" t="s">
        <v>8</v>
      </c>
      <c r="C1404" s="36" t="s">
        <v>9476</v>
      </c>
      <c r="D1404" s="9" t="s">
        <v>9504</v>
      </c>
      <c r="E1404" s="9" t="s">
        <v>9465</v>
      </c>
      <c r="F1404" s="36" t="s">
        <v>9496</v>
      </c>
      <c r="G1404" s="36" t="s">
        <v>14</v>
      </c>
      <c r="H1404" s="36" t="str">
        <f>IFERROR(VLOOKUP(Table2[[#This Row], [Ticket]],Okey!A:B,2,0),"")</f>
        <v>ok</v>
      </c>
      <c r="I1404" s="36" t="s">
        <v>8546</v>
      </c>
      <c r="J1404" s="36" t="s">
        <v>19</v>
      </c>
      <c r="L1404" s="36"/>
      <c r="M1404" s="36" t="s">
        <v>9515</v>
      </c>
    </row>
    <row r="1405" spans="1:13" hidden="1">
      <c r="A1405" s="42">
        <f t="shared" si="22"/>
        <v>1404</v>
      </c>
      <c r="B1405" s="36" t="s">
        <v>8</v>
      </c>
      <c r="C1405" s="36" t="s">
        <v>9476</v>
      </c>
      <c r="D1405" s="9" t="s">
        <v>9505</v>
      </c>
      <c r="E1405" s="9" t="s">
        <v>9466</v>
      </c>
      <c r="F1405" s="36" t="s">
        <v>9504</v>
      </c>
      <c r="G1405" s="36" t="s">
        <v>14</v>
      </c>
      <c r="H1405" s="36" t="str">
        <f>IFERROR(VLOOKUP(Table2[[#This Row], [Ticket]],Okey!A:B,2,0),"")</f>
        <v>ok</v>
      </c>
      <c r="I1405" s="36" t="s">
        <v>8546</v>
      </c>
      <c r="J1405" s="36" t="s">
        <v>19</v>
      </c>
      <c r="L1405" s="36"/>
      <c r="M1405" s="36" t="s">
        <v>9515</v>
      </c>
    </row>
    <row r="1406" spans="1:13" hidden="1">
      <c r="A1406" s="42">
        <f t="shared" si="22"/>
        <v>1405</v>
      </c>
      <c r="B1406" s="36" t="s">
        <v>8</v>
      </c>
      <c r="C1406" s="36" t="s">
        <v>9476</v>
      </c>
      <c r="D1406" s="9" t="s">
        <v>9506</v>
      </c>
      <c r="E1406" s="9" t="s">
        <v>9467</v>
      </c>
      <c r="F1406" s="36" t="s">
        <v>9504</v>
      </c>
      <c r="G1406" s="36" t="s">
        <v>14</v>
      </c>
      <c r="H1406" s="36" t="str">
        <f>IFERROR(VLOOKUP(Table2[[#This Row], [Ticket]],Okey!A:B,2,0),"")</f>
        <v>ok</v>
      </c>
      <c r="I1406" s="36" t="s">
        <v>8546</v>
      </c>
      <c r="J1406" s="36" t="s">
        <v>19</v>
      </c>
      <c r="L1406" s="36"/>
      <c r="M1406" s="36" t="s">
        <v>9515</v>
      </c>
    </row>
    <row r="1407" spans="1:13" hidden="1">
      <c r="A1407" s="42">
        <f t="shared" si="22"/>
        <v>1406</v>
      </c>
      <c r="B1407" s="36" t="s">
        <v>8</v>
      </c>
      <c r="C1407" s="36" t="s">
        <v>9476</v>
      </c>
      <c r="D1407" s="9" t="s">
        <v>9507</v>
      </c>
      <c r="E1407" s="9" t="s">
        <v>9468</v>
      </c>
      <c r="F1407" s="36" t="s">
        <v>9504</v>
      </c>
      <c r="G1407" s="36" t="s">
        <v>14</v>
      </c>
      <c r="H1407" s="36" t="str">
        <f>IFERROR(VLOOKUP(Table2[[#This Row], [Ticket]],Okey!A:B,2,0),"")</f>
        <v>ok</v>
      </c>
      <c r="I1407" s="36" t="s">
        <v>8546</v>
      </c>
      <c r="J1407" s="36" t="s">
        <v>19</v>
      </c>
      <c r="L1407" s="36"/>
      <c r="M1407" s="36" t="s">
        <v>9515</v>
      </c>
    </row>
    <row r="1408" spans="1:13" hidden="1">
      <c r="A1408" s="42">
        <f t="shared" si="22"/>
        <v>1407</v>
      </c>
      <c r="B1408" s="36" t="s">
        <v>8</v>
      </c>
      <c r="C1408" s="36" t="s">
        <v>9476</v>
      </c>
      <c r="D1408" s="9" t="s">
        <v>9508</v>
      </c>
      <c r="E1408" s="9" t="s">
        <v>9469</v>
      </c>
      <c r="F1408" s="36" t="s">
        <v>9496</v>
      </c>
      <c r="G1408" s="36" t="s">
        <v>14</v>
      </c>
      <c r="H1408" s="36" t="str">
        <f>IFERROR(VLOOKUP(Table2[[#This Row], [Ticket]],Okey!A:B,2,0),"")</f>
        <v>ok</v>
      </c>
      <c r="I1408" s="36" t="s">
        <v>8546</v>
      </c>
      <c r="J1408" s="36" t="s">
        <v>19</v>
      </c>
      <c r="L1408" s="36"/>
      <c r="M1408" s="36" t="s">
        <v>9515</v>
      </c>
    </row>
    <row r="1409" spans="1:13" hidden="1">
      <c r="A1409" s="42">
        <f t="shared" si="22"/>
        <v>1408</v>
      </c>
      <c r="B1409" s="36" t="s">
        <v>8</v>
      </c>
      <c r="C1409" s="36" t="s">
        <v>9476</v>
      </c>
      <c r="D1409" s="9" t="s">
        <v>9509</v>
      </c>
      <c r="E1409" s="9" t="s">
        <v>9470</v>
      </c>
      <c r="F1409" s="36" t="s">
        <v>9508</v>
      </c>
      <c r="G1409" s="36" t="s">
        <v>14</v>
      </c>
      <c r="H1409" s="36" t="str">
        <f>IFERROR(VLOOKUP(Table2[[#This Row], [Ticket]],Okey!A:B,2,0),"")</f>
        <v>ok</v>
      </c>
      <c r="I1409" s="36" t="s">
        <v>8546</v>
      </c>
      <c r="J1409" s="36" t="s">
        <v>19</v>
      </c>
      <c r="L1409" s="36"/>
      <c r="M1409" s="36" t="s">
        <v>9515</v>
      </c>
    </row>
    <row r="1410" spans="1:13" hidden="1">
      <c r="A1410" s="42">
        <f t="shared" si="22"/>
        <v>1409</v>
      </c>
      <c r="B1410" s="36" t="s">
        <v>8</v>
      </c>
      <c r="C1410" s="36" t="s">
        <v>9476</v>
      </c>
      <c r="D1410" s="9" t="s">
        <v>9510</v>
      </c>
      <c r="E1410" s="9" t="s">
        <v>9471</v>
      </c>
      <c r="F1410" s="36" t="s">
        <v>9496</v>
      </c>
      <c r="G1410" s="36" t="s">
        <v>14</v>
      </c>
      <c r="H1410" s="36" t="str">
        <f>IFERROR(VLOOKUP(Table2[[#This Row], [Ticket]],Okey!A:B,2,0),"")</f>
        <v>ok</v>
      </c>
      <c r="I1410" s="36" t="s">
        <v>8546</v>
      </c>
      <c r="J1410" s="36" t="s">
        <v>19</v>
      </c>
      <c r="L1410" s="36"/>
      <c r="M1410" s="36" t="s">
        <v>9515</v>
      </c>
    </row>
    <row r="1411" spans="1:13" hidden="1">
      <c r="A1411" s="42">
        <f t="shared" si="22"/>
        <v>1410</v>
      </c>
      <c r="B1411" s="36" t="s">
        <v>8</v>
      </c>
      <c r="C1411" s="36" t="s">
        <v>9476</v>
      </c>
      <c r="D1411" s="9" t="s">
        <v>9511</v>
      </c>
      <c r="E1411" s="9" t="s">
        <v>9472</v>
      </c>
      <c r="F1411" s="36" t="s">
        <v>9496</v>
      </c>
      <c r="G1411" s="36" t="s">
        <v>14</v>
      </c>
      <c r="H1411" s="36" t="str">
        <f>IFERROR(VLOOKUP(Table2[[#This Row], [Ticket]],Okey!A:B,2,0),"")</f>
        <v>ok</v>
      </c>
      <c r="I1411" s="36" t="s">
        <v>8546</v>
      </c>
      <c r="J1411" s="36" t="s">
        <v>19</v>
      </c>
      <c r="L1411" s="36"/>
      <c r="M1411" s="36" t="s">
        <v>9515</v>
      </c>
    </row>
    <row r="1412" spans="1:13" hidden="1">
      <c r="A1412" s="42">
        <f t="shared" si="22"/>
        <v>1411</v>
      </c>
      <c r="B1412" s="36" t="s">
        <v>8</v>
      </c>
      <c r="C1412" s="36" t="s">
        <v>9476</v>
      </c>
      <c r="D1412" s="9" t="s">
        <v>9512</v>
      </c>
      <c r="E1412" s="9" t="s">
        <v>9473</v>
      </c>
      <c r="F1412" s="36" t="s">
        <v>9492</v>
      </c>
      <c r="G1412" s="36" t="s">
        <v>14</v>
      </c>
      <c r="H1412" s="36" t="str">
        <f>IFERROR(VLOOKUP(Table2[[#This Row], [Ticket]],Okey!A:B,2,0),"")</f>
        <v>ok</v>
      </c>
      <c r="I1412" s="36" t="s">
        <v>8546</v>
      </c>
      <c r="J1412" s="36" t="s">
        <v>19</v>
      </c>
      <c r="L1412" s="36"/>
      <c r="M1412" s="36" t="s">
        <v>9515</v>
      </c>
    </row>
    <row r="1413" spans="1:13" hidden="1">
      <c r="A1413" s="42">
        <f t="shared" si="22"/>
        <v>1412</v>
      </c>
      <c r="B1413" s="36" t="s">
        <v>8</v>
      </c>
      <c r="C1413" s="36" t="s">
        <v>9476</v>
      </c>
      <c r="D1413" s="9" t="s">
        <v>9513</v>
      </c>
      <c r="E1413" s="9" t="s">
        <v>9474</v>
      </c>
      <c r="F1413" s="36" t="s">
        <v>9492</v>
      </c>
      <c r="G1413" s="36" t="s">
        <v>14</v>
      </c>
      <c r="H1413" s="36" t="str">
        <f>IFERROR(VLOOKUP(Table2[[#This Row], [Ticket]],Okey!A:B,2,0),"")</f>
        <v>ok</v>
      </c>
      <c r="I1413" s="36" t="s">
        <v>8546</v>
      </c>
      <c r="J1413" s="36" t="s">
        <v>19</v>
      </c>
      <c r="L1413" s="36"/>
      <c r="M1413" s="36" t="s">
        <v>9515</v>
      </c>
    </row>
    <row r="1414" spans="1:13" hidden="1">
      <c r="A1414" s="42">
        <f t="shared" si="22"/>
        <v>1413</v>
      </c>
      <c r="B1414" s="36" t="s">
        <v>8</v>
      </c>
      <c r="C1414" s="36" t="s">
        <v>9476</v>
      </c>
      <c r="D1414" s="9" t="s">
        <v>9514</v>
      </c>
      <c r="E1414" s="9" t="s">
        <v>9475</v>
      </c>
      <c r="F1414" s="36" t="s">
        <v>9492</v>
      </c>
      <c r="G1414" s="36" t="s">
        <v>14</v>
      </c>
      <c r="H1414" s="36" t="str">
        <f>IFERROR(VLOOKUP(Table2[[#This Row], [Ticket]],Okey!A:B,2,0),"")</f>
        <v>ok</v>
      </c>
      <c r="I1414" s="36" t="s">
        <v>8546</v>
      </c>
      <c r="J1414" s="36" t="s">
        <v>19</v>
      </c>
      <c r="L1414" s="36"/>
      <c r="M1414" s="36" t="s">
        <v>9515</v>
      </c>
    </row>
    <row r="1415" spans="1:13" hidden="1">
      <c r="A1415" s="42">
        <f t="shared" si="22"/>
        <v>1414</v>
      </c>
      <c r="B1415" s="36" t="s">
        <v>8</v>
      </c>
      <c r="C1415" s="9" t="s">
        <v>9517</v>
      </c>
      <c r="D1415" s="90" t="s">
        <v>9516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 hidden="1">
      <c r="A1416" s="42">
        <f t="shared" si="22"/>
        <v>1415</v>
      </c>
      <c r="B1416" s="36" t="s">
        <v>8</v>
      </c>
      <c r="C1416" s="9" t="s">
        <v>9518</v>
      </c>
      <c r="D1416" s="36" t="s">
        <v>9520</v>
      </c>
      <c r="E1416" t="s">
        <v>9519</v>
      </c>
      <c r="F1416" t="s">
        <v>1668</v>
      </c>
      <c r="G1416" s="9" t="s">
        <v>14</v>
      </c>
      <c r="H1416" s="36" t="str">
        <f>IFERROR(VLOOKUP(Table2[[#This Row], [Ticket]],Okey!A:B,2,0),"")</f>
        <v>ok</v>
      </c>
      <c r="I1416" s="36" t="s">
        <v>8546</v>
      </c>
      <c r="J1416" s="36" t="s">
        <v>19</v>
      </c>
      <c r="L1416" s="36"/>
      <c r="M1416" s="9" t="s">
        <v>4786</v>
      </c>
    </row>
    <row r="1417" spans="1:13" hidden="1">
      <c r="A1417" s="42">
        <f t="shared" si="22"/>
        <v>1416</v>
      </c>
      <c r="B1417" s="36" t="s">
        <v>8</v>
      </c>
      <c r="C1417" s="36" t="s">
        <v>9518</v>
      </c>
      <c r="D1417" s="36" t="s">
        <v>9532</v>
      </c>
      <c r="E1417" s="9" t="s">
        <v>9523</v>
      </c>
      <c r="F1417" s="9" t="s">
        <v>9521</v>
      </c>
      <c r="G1417" s="9" t="s">
        <v>14</v>
      </c>
      <c r="H1417" s="36" t="str">
        <f>IFERROR(VLOOKUP(Table2[[#This Row], [Ticket]],Okey!A:B,2,0),"")</f>
        <v>ok</v>
      </c>
      <c r="I1417" s="36" t="s">
        <v>8546</v>
      </c>
      <c r="J1417" s="9" t="s">
        <v>19</v>
      </c>
      <c r="L1417" s="36"/>
      <c r="M1417" s="36" t="s">
        <v>9515</v>
      </c>
    </row>
    <row r="1418" spans="1:13" hidden="1">
      <c r="A1418" s="42">
        <f t="shared" si="22"/>
        <v>1417</v>
      </c>
      <c r="B1418" s="36" t="s">
        <v>8</v>
      </c>
      <c r="C1418" s="36" t="s">
        <v>9518</v>
      </c>
      <c r="D1418" s="36" t="s">
        <v>9533</v>
      </c>
      <c r="E1418" s="9" t="s">
        <v>9524</v>
      </c>
      <c r="F1418" s="9" t="s">
        <v>9521</v>
      </c>
      <c r="G1418" s="36" t="s">
        <v>14</v>
      </c>
      <c r="H1418" s="36" t="str">
        <f>IFERROR(VLOOKUP(Table2[[#This Row], [Ticket]],Okey!A:B,2,0),"")</f>
        <v>ok</v>
      </c>
      <c r="I1418" s="36" t="s">
        <v>8546</v>
      </c>
      <c r="J1418" s="36" t="s">
        <v>19</v>
      </c>
      <c r="L1418" s="36"/>
      <c r="M1418" s="36" t="s">
        <v>9515</v>
      </c>
    </row>
    <row r="1419" spans="1:13" hidden="1">
      <c r="A1419" s="42">
        <f t="shared" si="22"/>
        <v>1418</v>
      </c>
      <c r="B1419" s="36" t="s">
        <v>8</v>
      </c>
      <c r="C1419" s="36" t="s">
        <v>9518</v>
      </c>
      <c r="D1419" s="36" t="s">
        <v>9534</v>
      </c>
      <c r="E1419" s="9" t="s">
        <v>9525</v>
      </c>
      <c r="F1419" s="9" t="s">
        <v>9521</v>
      </c>
      <c r="G1419" s="36" t="s">
        <v>14</v>
      </c>
      <c r="H1419" s="36" t="str">
        <f>IFERROR(VLOOKUP(Table2[[#This Row], [Ticket]],Okey!A:B,2,0),"")</f>
        <v>ok</v>
      </c>
      <c r="I1419" s="36" t="s">
        <v>8546</v>
      </c>
      <c r="J1419" s="36" t="s">
        <v>19</v>
      </c>
      <c r="L1419" s="36"/>
      <c r="M1419" s="36" t="s">
        <v>9515</v>
      </c>
    </row>
    <row r="1420" spans="1:13" hidden="1">
      <c r="A1420" s="42">
        <f t="shared" si="22"/>
        <v>1419</v>
      </c>
      <c r="B1420" s="36" t="s">
        <v>8</v>
      </c>
      <c r="C1420" s="36" t="s">
        <v>9518</v>
      </c>
      <c r="D1420" s="36" t="s">
        <v>9535</v>
      </c>
      <c r="E1420" s="9" t="s">
        <v>9526</v>
      </c>
      <c r="F1420" s="9" t="s">
        <v>9521</v>
      </c>
      <c r="G1420" s="36" t="s">
        <v>14</v>
      </c>
      <c r="H1420" s="36" t="str">
        <f>IFERROR(VLOOKUP(Table2[[#This Row], [Ticket]],Okey!A:B,2,0),"")</f>
        <v>ok</v>
      </c>
      <c r="I1420" s="36" t="s">
        <v>8546</v>
      </c>
      <c r="J1420" s="36" t="s">
        <v>19</v>
      </c>
      <c r="L1420" s="36"/>
      <c r="M1420" s="36" t="s">
        <v>9515</v>
      </c>
    </row>
    <row r="1421" spans="1:13" hidden="1">
      <c r="A1421" s="42">
        <f t="shared" si="22"/>
        <v>1420</v>
      </c>
      <c r="B1421" s="36" t="s">
        <v>8</v>
      </c>
      <c r="C1421" s="36" t="s">
        <v>9518</v>
      </c>
      <c r="D1421" s="36" t="s">
        <v>9536</v>
      </c>
      <c r="E1421" s="9" t="s">
        <v>9527</v>
      </c>
      <c r="F1421" s="9" t="s">
        <v>9521</v>
      </c>
      <c r="G1421" s="36" t="s">
        <v>14</v>
      </c>
      <c r="H1421" s="36" t="str">
        <f>IFERROR(VLOOKUP(Table2[[#This Row], [Ticket]],Okey!A:B,2,0),"")</f>
        <v>ok</v>
      </c>
      <c r="I1421" s="36" t="s">
        <v>8546</v>
      </c>
      <c r="J1421" s="36" t="s">
        <v>19</v>
      </c>
      <c r="L1421" s="36"/>
      <c r="M1421" s="36" t="s">
        <v>9515</v>
      </c>
    </row>
    <row r="1422" spans="1:13" hidden="1">
      <c r="A1422" s="42">
        <f t="shared" si="22"/>
        <v>1421</v>
      </c>
      <c r="B1422" s="36" t="s">
        <v>8</v>
      </c>
      <c r="C1422" s="36" t="s">
        <v>9518</v>
      </c>
      <c r="D1422" s="36" t="s">
        <v>9537</v>
      </c>
      <c r="E1422" s="9" t="s">
        <v>9528</v>
      </c>
      <c r="F1422" s="9" t="s">
        <v>9521</v>
      </c>
      <c r="G1422" s="36" t="s">
        <v>14</v>
      </c>
      <c r="H1422" s="36" t="str">
        <f>IFERROR(VLOOKUP(Table2[[#This Row], [Ticket]],Okey!A:B,2,0),"")</f>
        <v>ok</v>
      </c>
      <c r="I1422" s="36" t="s">
        <v>8546</v>
      </c>
      <c r="J1422" s="36" t="s">
        <v>19</v>
      </c>
      <c r="L1422" s="36"/>
      <c r="M1422" s="36" t="s">
        <v>9515</v>
      </c>
    </row>
    <row r="1423" spans="1:13" hidden="1">
      <c r="A1423" s="42">
        <f t="shared" si="22"/>
        <v>1422</v>
      </c>
      <c r="B1423" s="36" t="s">
        <v>8</v>
      </c>
      <c r="C1423" s="36" t="s">
        <v>9518</v>
      </c>
      <c r="D1423" s="36" t="s">
        <v>9538</v>
      </c>
      <c r="E1423" s="9" t="s">
        <v>9529</v>
      </c>
      <c r="F1423" s="9" t="s">
        <v>9521</v>
      </c>
      <c r="G1423" s="36" t="s">
        <v>14</v>
      </c>
      <c r="H1423" s="36" t="str">
        <f>IFERROR(VLOOKUP(Table2[[#This Row], [Ticket]],Okey!A:B,2,0),"")</f>
        <v>ok</v>
      </c>
      <c r="I1423" s="36" t="s">
        <v>8546</v>
      </c>
      <c r="J1423" s="36" t="s">
        <v>19</v>
      </c>
      <c r="L1423" s="36"/>
      <c r="M1423" s="36" t="s">
        <v>9515</v>
      </c>
    </row>
    <row r="1424" spans="1:13" hidden="1">
      <c r="A1424" s="42">
        <f t="shared" si="22"/>
        <v>1423</v>
      </c>
      <c r="B1424" s="36" t="s">
        <v>8</v>
      </c>
      <c r="C1424" s="36" t="s">
        <v>9518</v>
      </c>
      <c r="D1424" s="36" t="s">
        <v>9539</v>
      </c>
      <c r="E1424" s="9" t="s">
        <v>9530</v>
      </c>
      <c r="F1424" s="9" t="s">
        <v>9522</v>
      </c>
      <c r="G1424" s="36" t="s">
        <v>14</v>
      </c>
      <c r="H1424" s="36" t="str">
        <f>IFERROR(VLOOKUP(Table2[[#This Row], [Ticket]],Okey!A:B,2,0),"")</f>
        <v>ok</v>
      </c>
      <c r="I1424" s="36" t="s">
        <v>8546</v>
      </c>
      <c r="J1424" s="36" t="s">
        <v>19</v>
      </c>
      <c r="L1424" s="36"/>
      <c r="M1424" s="36" t="s">
        <v>9515</v>
      </c>
    </row>
    <row r="1425" spans="1:13" hidden="1">
      <c r="A1425" s="42">
        <f t="shared" si="22"/>
        <v>1424</v>
      </c>
      <c r="B1425" s="36" t="s">
        <v>8</v>
      </c>
      <c r="C1425" s="36" t="s">
        <v>9518</v>
      </c>
      <c r="D1425" s="36" t="s">
        <v>9540</v>
      </c>
      <c r="E1425" s="9" t="s">
        <v>9531</v>
      </c>
      <c r="F1425" s="9" t="s">
        <v>9522</v>
      </c>
      <c r="G1425" s="36" t="s">
        <v>14</v>
      </c>
      <c r="H1425" s="36" t="str">
        <f>IFERROR(VLOOKUP(Table2[[#This Row], [Ticket]],Okey!A:B,2,0),"")</f>
        <v>ok</v>
      </c>
      <c r="I1425" s="36" t="s">
        <v>8546</v>
      </c>
      <c r="J1425" s="36" t="s">
        <v>19</v>
      </c>
      <c r="L1425" s="36"/>
      <c r="M1425" s="36" t="s">
        <v>9515</v>
      </c>
    </row>
    <row r="1426" spans="1:13" hidden="1">
      <c r="A1426" s="42">
        <f t="shared" si="22"/>
        <v>1425</v>
      </c>
      <c r="B1426" s="36" t="s">
        <v>8</v>
      </c>
      <c r="C1426" s="9" t="s">
        <v>9541</v>
      </c>
      <c r="D1426" s="92" t="s">
        <v>7862</v>
      </c>
      <c r="E1426" s="93" t="s">
        <v>9542</v>
      </c>
      <c r="G1426" s="9" t="s">
        <v>15</v>
      </c>
      <c r="H1426" s="36" t="str">
        <f>IFERROR(VLOOKUP(Table2[[#This Row], [Ticket]],Okey!A:B,2,0),"")</f>
        <v>ok</v>
      </c>
      <c r="I1426" s="36" t="s">
        <v>8546</v>
      </c>
      <c r="J1426" s="9" t="s">
        <v>17</v>
      </c>
      <c r="L1426" s="36"/>
      <c r="M1426" s="9" t="s">
        <v>9543</v>
      </c>
    </row>
    <row r="1427" spans="1:13" hidden="1">
      <c r="A1427" s="42">
        <f t="shared" si="22"/>
        <v>1426</v>
      </c>
      <c r="B1427" s="36" t="s">
        <v>8</v>
      </c>
      <c r="C1427" s="9" t="s">
        <v>9544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 hidden="1">
      <c r="A1428" s="42">
        <f t="shared" si="22"/>
        <v>1427</v>
      </c>
      <c r="B1428" s="36" t="s">
        <v>8</v>
      </c>
      <c r="C1428" s="9" t="s">
        <v>9546</v>
      </c>
      <c r="D1428" s="96" t="s">
        <v>8857</v>
      </c>
      <c r="E1428" s="97" t="s">
        <v>9545</v>
      </c>
      <c r="G1428" s="36" t="s">
        <v>15</v>
      </c>
      <c r="H1428" s="36" t="str">
        <f>IFERROR(VLOOKUP(Table2[[#This Row], [Ticket]],Okey!A:B,2,0),"")</f>
        <v>ok</v>
      </c>
      <c r="I1428" s="36" t="s">
        <v>8546</v>
      </c>
      <c r="J1428" s="36" t="s">
        <v>17</v>
      </c>
      <c r="L1428" s="36"/>
      <c r="M1428" s="9" t="s">
        <v>4778</v>
      </c>
    </row>
    <row r="1429" spans="1:13" hidden="1">
      <c r="A1429" s="42">
        <f t="shared" si="22"/>
        <v>1428</v>
      </c>
      <c r="B1429" s="36" t="s">
        <v>8</v>
      </c>
      <c r="C1429" s="9" t="s">
        <v>9554</v>
      </c>
      <c r="D1429" s="9" t="s">
        <v>9547</v>
      </c>
      <c r="E1429" s="9" t="s">
        <v>9550</v>
      </c>
      <c r="G1429" s="36" t="s">
        <v>15</v>
      </c>
      <c r="H1429" s="36" t="str">
        <f>IFERROR(VLOOKUP(Table2[[#This Row], [Ticket]],Okey!A:B,2,0),"")</f>
        <v>ok</v>
      </c>
      <c r="I1429" s="36" t="s">
        <v>8546</v>
      </c>
      <c r="J1429" s="36" t="s">
        <v>19</v>
      </c>
      <c r="L1429" s="36"/>
      <c r="M1429" s="9" t="s">
        <v>9555</v>
      </c>
    </row>
    <row r="1430" spans="1:13" hidden="1">
      <c r="A1430" s="42">
        <f t="shared" ref="A1430:A1492" si="23">1+A1429</f>
        <v>1429</v>
      </c>
      <c r="B1430" s="36" t="s">
        <v>8</v>
      </c>
      <c r="C1430" s="36" t="s">
        <v>9554</v>
      </c>
      <c r="D1430" s="9" t="s">
        <v>9548</v>
      </c>
      <c r="E1430" s="9" t="s">
        <v>9550</v>
      </c>
      <c r="G1430" s="36" t="s">
        <v>15</v>
      </c>
      <c r="H1430" s="36" t="str">
        <f>IFERROR(VLOOKUP(Table2[[#This Row], [Ticket]],Okey!A:B,2,0),"")</f>
        <v>ok</v>
      </c>
      <c r="I1430" s="36" t="s">
        <v>8546</v>
      </c>
      <c r="J1430" s="36" t="s">
        <v>19</v>
      </c>
      <c r="L1430" s="36"/>
      <c r="M1430" s="36" t="s">
        <v>9555</v>
      </c>
    </row>
    <row r="1431" spans="1:13" hidden="1">
      <c r="A1431" s="42">
        <f t="shared" si="23"/>
        <v>1430</v>
      </c>
      <c r="B1431" s="36" t="s">
        <v>8</v>
      </c>
      <c r="C1431" s="36" t="s">
        <v>9554</v>
      </c>
      <c r="D1431" s="9" t="s">
        <v>9549</v>
      </c>
      <c r="E1431" s="9" t="s">
        <v>9551</v>
      </c>
      <c r="G1431" s="36" t="s">
        <v>15</v>
      </c>
      <c r="H1431" s="36" t="str">
        <f>IFERROR(VLOOKUP(Table2[[#This Row], [Ticket]],Okey!A:B,2,0),"")</f>
        <v>ok</v>
      </c>
      <c r="I1431" s="36" t="s">
        <v>8546</v>
      </c>
      <c r="J1431" s="36" t="s">
        <v>19</v>
      </c>
      <c r="L1431" s="36"/>
      <c r="M1431" s="36" t="s">
        <v>9555</v>
      </c>
    </row>
    <row r="1432" spans="1:13" hidden="1">
      <c r="A1432" s="42">
        <f t="shared" si="23"/>
        <v>1431</v>
      </c>
      <c r="B1432" s="36" t="s">
        <v>8</v>
      </c>
      <c r="C1432" s="36" t="s">
        <v>9554</v>
      </c>
      <c r="D1432" s="9" t="s">
        <v>9549</v>
      </c>
      <c r="E1432" s="9" t="s">
        <v>9551</v>
      </c>
      <c r="G1432" s="36" t="s">
        <v>15</v>
      </c>
      <c r="H1432" s="36" t="str">
        <f>IFERROR(VLOOKUP(Table2[[#This Row], [Ticket]],Okey!A:B,2,0),"")</f>
        <v>ok</v>
      </c>
      <c r="I1432" s="36" t="s">
        <v>8546</v>
      </c>
      <c r="J1432" s="36" t="s">
        <v>19</v>
      </c>
      <c r="L1432" s="36"/>
      <c r="M1432" s="36" t="s">
        <v>9555</v>
      </c>
    </row>
    <row r="1433" spans="1:13" hidden="1">
      <c r="A1433" s="42">
        <f t="shared" si="23"/>
        <v>1432</v>
      </c>
      <c r="B1433" s="36" t="s">
        <v>8</v>
      </c>
      <c r="C1433" s="36" t="s">
        <v>9554</v>
      </c>
      <c r="D1433" s="9" t="s">
        <v>9552</v>
      </c>
      <c r="F1433" s="9" t="s">
        <v>9547</v>
      </c>
      <c r="G1433" s="36" t="s">
        <v>13</v>
      </c>
      <c r="H1433" s="36" t="str">
        <f>IFERROR(VLOOKUP(Table2[[#This Row], [Ticket]],Okey!A:B,2,0),"")</f>
        <v>ok</v>
      </c>
      <c r="I1433" s="36" t="s">
        <v>8546</v>
      </c>
      <c r="J1433" s="36" t="s">
        <v>19</v>
      </c>
      <c r="L1433" s="36"/>
      <c r="M1433" s="36" t="s">
        <v>9555</v>
      </c>
    </row>
    <row r="1434" spans="1:13" hidden="1">
      <c r="A1434" s="42">
        <f t="shared" si="23"/>
        <v>1433</v>
      </c>
      <c r="B1434" s="36" t="s">
        <v>8</v>
      </c>
      <c r="C1434" s="36" t="s">
        <v>9554</v>
      </c>
      <c r="D1434" s="9" t="s">
        <v>9553</v>
      </c>
      <c r="F1434" s="9" t="s">
        <v>9549</v>
      </c>
      <c r="G1434" s="36" t="s">
        <v>13</v>
      </c>
      <c r="H1434" s="36" t="str">
        <f>IFERROR(VLOOKUP(Table2[[#This Row], [Ticket]],Okey!A:B,2,0),"")</f>
        <v>ok</v>
      </c>
      <c r="I1434" s="36" t="s">
        <v>8546</v>
      </c>
      <c r="J1434" s="36" t="s">
        <v>19</v>
      </c>
      <c r="L1434" s="36"/>
      <c r="M1434" s="36" t="s">
        <v>9555</v>
      </c>
    </row>
    <row r="1435" spans="1:13" hidden="1">
      <c r="A1435" s="42">
        <f t="shared" si="23"/>
        <v>1434</v>
      </c>
      <c r="B1435" s="36" t="s">
        <v>8</v>
      </c>
      <c r="C1435" s="9" t="s">
        <v>9556</v>
      </c>
      <c r="D1435" s="36" t="s">
        <v>9578</v>
      </c>
      <c r="E1435" s="36" t="s">
        <v>9557</v>
      </c>
      <c r="F1435" s="36" t="s">
        <v>1139</v>
      </c>
      <c r="G1435" s="9" t="s">
        <v>14</v>
      </c>
      <c r="H1435" s="36" t="str">
        <f>IFERROR(VLOOKUP(Table2[[#This Row], [Ticket]],Okey!A:B,2,0),"")</f>
        <v>ok</v>
      </c>
      <c r="I1435" s="36" t="s">
        <v>8546</v>
      </c>
      <c r="J1435" s="36" t="s">
        <v>19</v>
      </c>
      <c r="L1435" s="36"/>
      <c r="M1435" s="36" t="s">
        <v>9515</v>
      </c>
    </row>
    <row r="1436" spans="1:13" hidden="1">
      <c r="A1436" s="42">
        <f t="shared" si="23"/>
        <v>1435</v>
      </c>
      <c r="B1436" s="36" t="s">
        <v>8</v>
      </c>
      <c r="C1436" s="36" t="s">
        <v>9556</v>
      </c>
      <c r="D1436" s="36" t="s">
        <v>9579</v>
      </c>
      <c r="E1436" s="36" t="s">
        <v>9558</v>
      </c>
      <c r="F1436" s="36" t="s">
        <v>1141</v>
      </c>
      <c r="G1436" s="36" t="s">
        <v>14</v>
      </c>
      <c r="H1436" s="36" t="str">
        <f>IFERROR(VLOOKUP(Table2[[#This Row], [Ticket]],Okey!A:B,2,0),"")</f>
        <v>ok</v>
      </c>
      <c r="I1436" s="36" t="s">
        <v>8546</v>
      </c>
      <c r="J1436" s="36" t="s">
        <v>19</v>
      </c>
      <c r="L1436" s="36"/>
      <c r="M1436" s="36" t="s">
        <v>9515</v>
      </c>
    </row>
    <row r="1437" spans="1:13" hidden="1">
      <c r="A1437" s="42">
        <f t="shared" si="23"/>
        <v>1436</v>
      </c>
      <c r="B1437" s="36" t="s">
        <v>8</v>
      </c>
      <c r="C1437" s="36" t="s">
        <v>9556</v>
      </c>
      <c r="D1437" s="9" t="s">
        <v>9559</v>
      </c>
      <c r="F1437" s="9" t="s">
        <v>9578</v>
      </c>
      <c r="G1437" s="9" t="s">
        <v>13</v>
      </c>
      <c r="H1437" s="36" t="str">
        <f>IFERROR(VLOOKUP(Table2[[#This Row], [Ticket]],Okey!A:B,2,0),"")</f>
        <v>ok</v>
      </c>
      <c r="I1437" s="36" t="s">
        <v>8546</v>
      </c>
      <c r="J1437" s="36" t="s">
        <v>19</v>
      </c>
      <c r="L1437" s="36"/>
      <c r="M1437" s="36" t="s">
        <v>9515</v>
      </c>
    </row>
    <row r="1438" spans="1:13" hidden="1">
      <c r="A1438" s="42">
        <f t="shared" si="23"/>
        <v>1437</v>
      </c>
      <c r="B1438" s="36" t="s">
        <v>8</v>
      </c>
      <c r="C1438" s="36" t="s">
        <v>9556</v>
      </c>
      <c r="D1438" s="9" t="s">
        <v>9560</v>
      </c>
      <c r="F1438" s="36" t="s">
        <v>9578</v>
      </c>
      <c r="G1438" s="36" t="s">
        <v>13</v>
      </c>
      <c r="H1438" s="36" t="str">
        <f>IFERROR(VLOOKUP(Table2[[#This Row], [Ticket]],Okey!A:B,2,0),"")</f>
        <v>ok</v>
      </c>
      <c r="I1438" s="36" t="s">
        <v>8546</v>
      </c>
      <c r="J1438" s="36" t="s">
        <v>19</v>
      </c>
      <c r="L1438" s="36"/>
      <c r="M1438" s="36" t="s">
        <v>9515</v>
      </c>
    </row>
    <row r="1439" spans="1:13" hidden="1">
      <c r="A1439" s="42">
        <f t="shared" si="23"/>
        <v>1438</v>
      </c>
      <c r="B1439" s="36" t="s">
        <v>8</v>
      </c>
      <c r="C1439" s="36" t="s">
        <v>9556</v>
      </c>
      <c r="D1439" s="9" t="s">
        <v>9561</v>
      </c>
      <c r="F1439" s="36" t="s">
        <v>9578</v>
      </c>
      <c r="G1439" s="36" t="s">
        <v>13</v>
      </c>
      <c r="H1439" s="36" t="str">
        <f>IFERROR(VLOOKUP(Table2[[#This Row], [Ticket]],Okey!A:B,2,0),"")</f>
        <v>ok</v>
      </c>
      <c r="I1439" s="36" t="s">
        <v>8546</v>
      </c>
      <c r="J1439" s="36" t="s">
        <v>19</v>
      </c>
      <c r="L1439" s="36"/>
      <c r="M1439" s="36" t="s">
        <v>9515</v>
      </c>
    </row>
    <row r="1440" spans="1:13" hidden="1">
      <c r="A1440" s="42">
        <f t="shared" si="23"/>
        <v>1439</v>
      </c>
      <c r="B1440" s="36" t="s">
        <v>8</v>
      </c>
      <c r="C1440" s="36" t="s">
        <v>9556</v>
      </c>
      <c r="D1440" s="9" t="s">
        <v>9562</v>
      </c>
      <c r="F1440" s="36" t="s">
        <v>9578</v>
      </c>
      <c r="G1440" s="36" t="s">
        <v>13</v>
      </c>
      <c r="H1440" s="36" t="str">
        <f>IFERROR(VLOOKUP(Table2[[#This Row], [Ticket]],Okey!A:B,2,0),"")</f>
        <v>ok</v>
      </c>
      <c r="I1440" s="36" t="s">
        <v>8546</v>
      </c>
      <c r="J1440" s="36" t="s">
        <v>19</v>
      </c>
      <c r="L1440" s="36"/>
      <c r="M1440" s="36" t="s">
        <v>9515</v>
      </c>
    </row>
    <row r="1441" spans="1:13" hidden="1">
      <c r="A1441" s="42">
        <f t="shared" si="23"/>
        <v>1440</v>
      </c>
      <c r="B1441" s="36" t="s">
        <v>8</v>
      </c>
      <c r="C1441" s="36" t="s">
        <v>9556</v>
      </c>
      <c r="D1441" s="9" t="s">
        <v>9563</v>
      </c>
      <c r="F1441" s="36" t="s">
        <v>9578</v>
      </c>
      <c r="G1441" s="36" t="s">
        <v>13</v>
      </c>
      <c r="H1441" s="36" t="str">
        <f>IFERROR(VLOOKUP(Table2[[#This Row], [Ticket]],Okey!A:B,2,0),"")</f>
        <v>ok</v>
      </c>
      <c r="I1441" s="36" t="s">
        <v>8546</v>
      </c>
      <c r="J1441" s="36" t="s">
        <v>19</v>
      </c>
      <c r="L1441" s="36"/>
      <c r="M1441" s="36" t="s">
        <v>9515</v>
      </c>
    </row>
    <row r="1442" spans="1:13" hidden="1">
      <c r="A1442" s="42">
        <f t="shared" si="23"/>
        <v>1441</v>
      </c>
      <c r="B1442" s="36" t="s">
        <v>8</v>
      </c>
      <c r="C1442" s="36" t="s">
        <v>9556</v>
      </c>
      <c r="D1442" s="9" t="s">
        <v>9564</v>
      </c>
      <c r="F1442" s="36" t="s">
        <v>9578</v>
      </c>
      <c r="G1442" s="36" t="s">
        <v>13</v>
      </c>
      <c r="H1442" s="36" t="str">
        <f>IFERROR(VLOOKUP(Table2[[#This Row], [Ticket]],Okey!A:B,2,0),"")</f>
        <v>ok</v>
      </c>
      <c r="I1442" s="36" t="s">
        <v>8546</v>
      </c>
      <c r="J1442" s="36" t="s">
        <v>19</v>
      </c>
      <c r="L1442" s="36"/>
      <c r="M1442" s="36" t="s">
        <v>9515</v>
      </c>
    </row>
    <row r="1443" spans="1:13" hidden="1">
      <c r="A1443" s="42">
        <f t="shared" si="23"/>
        <v>1442</v>
      </c>
      <c r="B1443" s="36" t="s">
        <v>8</v>
      </c>
      <c r="C1443" s="36" t="s">
        <v>9556</v>
      </c>
      <c r="D1443" s="9" t="s">
        <v>9565</v>
      </c>
      <c r="F1443" s="36" t="s">
        <v>9578</v>
      </c>
      <c r="G1443" s="36" t="s">
        <v>13</v>
      </c>
      <c r="H1443" s="36" t="str">
        <f>IFERROR(VLOOKUP(Table2[[#This Row], [Ticket]],Okey!A:B,2,0),"")</f>
        <v>ok</v>
      </c>
      <c r="I1443" s="36" t="s">
        <v>8546</v>
      </c>
      <c r="J1443" s="36" t="s">
        <v>19</v>
      </c>
      <c r="L1443" s="36"/>
      <c r="M1443" s="36" t="s">
        <v>9515</v>
      </c>
    </row>
    <row r="1444" spans="1:13" hidden="1">
      <c r="A1444" s="42">
        <f t="shared" si="23"/>
        <v>1443</v>
      </c>
      <c r="B1444" s="36" t="s">
        <v>8</v>
      </c>
      <c r="C1444" s="36" t="s">
        <v>9556</v>
      </c>
      <c r="D1444" s="9" t="s">
        <v>9566</v>
      </c>
      <c r="F1444" s="36" t="s">
        <v>9578</v>
      </c>
      <c r="G1444" s="36" t="s">
        <v>13</v>
      </c>
      <c r="H1444" s="36" t="str">
        <f>IFERROR(VLOOKUP(Table2[[#This Row], [Ticket]],Okey!A:B,2,0),"")</f>
        <v>ok</v>
      </c>
      <c r="I1444" s="36" t="s">
        <v>8546</v>
      </c>
      <c r="J1444" s="36" t="s">
        <v>19</v>
      </c>
      <c r="L1444" s="36"/>
      <c r="M1444" s="36" t="s">
        <v>9515</v>
      </c>
    </row>
    <row r="1445" spans="1:13" hidden="1">
      <c r="A1445" s="42">
        <f t="shared" si="23"/>
        <v>1444</v>
      </c>
      <c r="B1445" s="36" t="s">
        <v>8</v>
      </c>
      <c r="C1445" s="36" t="s">
        <v>9556</v>
      </c>
      <c r="D1445" s="9" t="s">
        <v>1138</v>
      </c>
      <c r="F1445" s="36" t="s">
        <v>9578</v>
      </c>
      <c r="G1445" s="36" t="s">
        <v>13</v>
      </c>
      <c r="H1445" s="36" t="str">
        <f>IFERROR(VLOOKUP(Table2[[#This Row], [Ticket]],Okey!A:B,2,0),"")</f>
        <v>ok</v>
      </c>
      <c r="I1445" s="36" t="s">
        <v>8546</v>
      </c>
      <c r="J1445" s="36" t="s">
        <v>19</v>
      </c>
      <c r="L1445" s="36"/>
      <c r="M1445" s="36" t="s">
        <v>9515</v>
      </c>
    </row>
    <row r="1446" spans="1:13" hidden="1">
      <c r="A1446" s="42">
        <f t="shared" si="23"/>
        <v>1445</v>
      </c>
      <c r="B1446" s="36" t="s">
        <v>8</v>
      </c>
      <c r="C1446" s="36" t="s">
        <v>9556</v>
      </c>
      <c r="D1446" s="9" t="s">
        <v>9567</v>
      </c>
      <c r="F1446" s="36" t="s">
        <v>9578</v>
      </c>
      <c r="G1446" s="36" t="s">
        <v>13</v>
      </c>
      <c r="H1446" s="36" t="str">
        <f>IFERROR(VLOOKUP(Table2[[#This Row], [Ticket]],Okey!A:B,2,0),"")</f>
        <v>ok</v>
      </c>
      <c r="I1446" s="36" t="s">
        <v>8546</v>
      </c>
      <c r="J1446" s="36" t="s">
        <v>19</v>
      </c>
      <c r="L1446" s="36"/>
      <c r="M1446" s="36" t="s">
        <v>9515</v>
      </c>
    </row>
    <row r="1447" spans="1:13" hidden="1">
      <c r="A1447" s="42">
        <f t="shared" si="23"/>
        <v>1446</v>
      </c>
      <c r="B1447" s="36" t="s">
        <v>8</v>
      </c>
      <c r="C1447" s="36" t="s">
        <v>9556</v>
      </c>
      <c r="D1447" s="9" t="s">
        <v>9568</v>
      </c>
      <c r="F1447" s="9" t="s">
        <v>9579</v>
      </c>
      <c r="G1447" s="36" t="s">
        <v>13</v>
      </c>
      <c r="H1447" s="36" t="str">
        <f>IFERROR(VLOOKUP(Table2[[#This Row], [Ticket]],Okey!A:B,2,0),"")</f>
        <v>ok</v>
      </c>
      <c r="I1447" s="36" t="s">
        <v>8546</v>
      </c>
      <c r="J1447" s="36" t="s">
        <v>19</v>
      </c>
      <c r="L1447" s="36"/>
      <c r="M1447" s="36" t="s">
        <v>9515</v>
      </c>
    </row>
    <row r="1448" spans="1:13" hidden="1">
      <c r="A1448" s="42">
        <f t="shared" si="23"/>
        <v>1447</v>
      </c>
      <c r="B1448" s="36" t="s">
        <v>8</v>
      </c>
      <c r="C1448" s="36" t="s">
        <v>9556</v>
      </c>
      <c r="D1448" s="9" t="s">
        <v>9569</v>
      </c>
      <c r="F1448" s="36" t="s">
        <v>9579</v>
      </c>
      <c r="G1448" s="36" t="s">
        <v>13</v>
      </c>
      <c r="H1448" s="36" t="str">
        <f>IFERROR(VLOOKUP(Table2[[#This Row], [Ticket]],Okey!A:B,2,0),"")</f>
        <v>ok</v>
      </c>
      <c r="I1448" s="36" t="s">
        <v>8546</v>
      </c>
      <c r="J1448" s="36" t="s">
        <v>19</v>
      </c>
      <c r="L1448" s="36"/>
      <c r="M1448" s="36" t="s">
        <v>9515</v>
      </c>
    </row>
    <row r="1449" spans="1:13" hidden="1">
      <c r="A1449" s="42">
        <f t="shared" si="23"/>
        <v>1448</v>
      </c>
      <c r="B1449" s="36" t="s">
        <v>8</v>
      </c>
      <c r="C1449" s="36" t="s">
        <v>9556</v>
      </c>
      <c r="D1449" s="9" t="s">
        <v>9570</v>
      </c>
      <c r="F1449" s="36" t="s">
        <v>9579</v>
      </c>
      <c r="G1449" s="36" t="s">
        <v>13</v>
      </c>
      <c r="H1449" s="36" t="str">
        <f>IFERROR(VLOOKUP(Table2[[#This Row], [Ticket]],Okey!A:B,2,0),"")</f>
        <v>ok</v>
      </c>
      <c r="I1449" s="36" t="s">
        <v>8546</v>
      </c>
      <c r="J1449" s="36" t="s">
        <v>19</v>
      </c>
      <c r="L1449" s="36"/>
      <c r="M1449" s="36" t="s">
        <v>9515</v>
      </c>
    </row>
    <row r="1450" spans="1:13" hidden="1">
      <c r="A1450" s="42">
        <f t="shared" si="23"/>
        <v>1449</v>
      </c>
      <c r="B1450" s="36" t="s">
        <v>8</v>
      </c>
      <c r="C1450" s="36" t="s">
        <v>9556</v>
      </c>
      <c r="D1450" s="9" t="s">
        <v>9571</v>
      </c>
      <c r="F1450" s="36" t="s">
        <v>9579</v>
      </c>
      <c r="G1450" s="36" t="s">
        <v>13</v>
      </c>
      <c r="H1450" s="36" t="str">
        <f>IFERROR(VLOOKUP(Table2[[#This Row], [Ticket]],Okey!A:B,2,0),"")</f>
        <v>ok</v>
      </c>
      <c r="I1450" s="36" t="s">
        <v>8546</v>
      </c>
      <c r="J1450" s="36" t="s">
        <v>19</v>
      </c>
      <c r="L1450" s="36"/>
      <c r="M1450" s="36" t="s">
        <v>9515</v>
      </c>
    </row>
    <row r="1451" spans="1:13" hidden="1">
      <c r="A1451" s="42">
        <f t="shared" si="23"/>
        <v>1450</v>
      </c>
      <c r="B1451" s="36" t="s">
        <v>8</v>
      </c>
      <c r="C1451" s="36" t="s">
        <v>9556</v>
      </c>
      <c r="D1451" s="9" t="s">
        <v>9572</v>
      </c>
      <c r="F1451" s="36" t="s">
        <v>9579</v>
      </c>
      <c r="G1451" s="36" t="s">
        <v>13</v>
      </c>
      <c r="H1451" s="36" t="str">
        <f>IFERROR(VLOOKUP(Table2[[#This Row], [Ticket]],Okey!A:B,2,0),"")</f>
        <v>ok</v>
      </c>
      <c r="I1451" s="36" t="s">
        <v>8546</v>
      </c>
      <c r="J1451" s="36" t="s">
        <v>19</v>
      </c>
      <c r="L1451" s="36"/>
      <c r="M1451" s="36" t="s">
        <v>9515</v>
      </c>
    </row>
    <row r="1452" spans="1:13" hidden="1">
      <c r="A1452" s="42">
        <f t="shared" si="23"/>
        <v>1451</v>
      </c>
      <c r="B1452" s="36" t="s">
        <v>8</v>
      </c>
      <c r="C1452" s="36" t="s">
        <v>9556</v>
      </c>
      <c r="D1452" s="9" t="s">
        <v>9573</v>
      </c>
      <c r="F1452" s="36" t="s">
        <v>9579</v>
      </c>
      <c r="G1452" s="36" t="s">
        <v>13</v>
      </c>
      <c r="H1452" s="36" t="str">
        <f>IFERROR(VLOOKUP(Table2[[#This Row], [Ticket]],Okey!A:B,2,0),"")</f>
        <v>ok</v>
      </c>
      <c r="I1452" s="36" t="s">
        <v>8546</v>
      </c>
      <c r="J1452" s="36" t="s">
        <v>19</v>
      </c>
      <c r="L1452" s="36"/>
      <c r="M1452" s="36" t="s">
        <v>9515</v>
      </c>
    </row>
    <row r="1453" spans="1:13" hidden="1">
      <c r="A1453" s="42">
        <f t="shared" si="23"/>
        <v>1452</v>
      </c>
      <c r="B1453" s="36" t="s">
        <v>8</v>
      </c>
      <c r="C1453" s="36" t="s">
        <v>9556</v>
      </c>
      <c r="D1453" s="9" t="s">
        <v>9574</v>
      </c>
      <c r="F1453" s="36" t="s">
        <v>9579</v>
      </c>
      <c r="G1453" s="36" t="s">
        <v>13</v>
      </c>
      <c r="H1453" s="36" t="str">
        <f>IFERROR(VLOOKUP(Table2[[#This Row], [Ticket]],Okey!A:B,2,0),"")</f>
        <v>ok</v>
      </c>
      <c r="I1453" s="36" t="s">
        <v>8546</v>
      </c>
      <c r="J1453" s="36" t="s">
        <v>19</v>
      </c>
      <c r="L1453" s="36"/>
      <c r="M1453" s="36" t="s">
        <v>9515</v>
      </c>
    </row>
    <row r="1454" spans="1:13" hidden="1">
      <c r="A1454" s="42">
        <f t="shared" si="23"/>
        <v>1453</v>
      </c>
      <c r="B1454" s="36" t="s">
        <v>8</v>
      </c>
      <c r="C1454" s="36" t="s">
        <v>9556</v>
      </c>
      <c r="D1454" s="9" t="s">
        <v>9575</v>
      </c>
      <c r="F1454" s="36" t="s">
        <v>9579</v>
      </c>
      <c r="G1454" s="36" t="s">
        <v>13</v>
      </c>
      <c r="H1454" s="36" t="str">
        <f>IFERROR(VLOOKUP(Table2[[#This Row], [Ticket]],Okey!A:B,2,0),"")</f>
        <v>ok</v>
      </c>
      <c r="I1454" s="36" t="s">
        <v>8546</v>
      </c>
      <c r="J1454" s="36" t="s">
        <v>19</v>
      </c>
      <c r="L1454" s="36"/>
      <c r="M1454" s="36" t="s">
        <v>9515</v>
      </c>
    </row>
    <row r="1455" spans="1:13" hidden="1">
      <c r="A1455" s="42">
        <f t="shared" si="23"/>
        <v>1454</v>
      </c>
      <c r="B1455" s="36" t="s">
        <v>8</v>
      </c>
      <c r="C1455" s="36" t="s">
        <v>9556</v>
      </c>
      <c r="D1455" s="9" t="s">
        <v>1140</v>
      </c>
      <c r="F1455" s="36" t="s">
        <v>9579</v>
      </c>
      <c r="G1455" s="36" t="s">
        <v>13</v>
      </c>
      <c r="H1455" s="36" t="str">
        <f>IFERROR(VLOOKUP(Table2[[#This Row], [Ticket]],Okey!A:B,2,0),"")</f>
        <v>ok</v>
      </c>
      <c r="I1455" s="36" t="s">
        <v>8546</v>
      </c>
      <c r="J1455" s="36" t="s">
        <v>19</v>
      </c>
      <c r="L1455" s="36"/>
      <c r="M1455" s="36" t="s">
        <v>9515</v>
      </c>
    </row>
    <row r="1456" spans="1:13" hidden="1">
      <c r="A1456" s="42">
        <f t="shared" si="23"/>
        <v>1455</v>
      </c>
      <c r="B1456" s="36" t="s">
        <v>8</v>
      </c>
      <c r="C1456" s="36" t="s">
        <v>9556</v>
      </c>
      <c r="D1456" s="9" t="s">
        <v>9576</v>
      </c>
      <c r="F1456" s="36" t="s">
        <v>9579</v>
      </c>
      <c r="G1456" s="36" t="s">
        <v>13</v>
      </c>
      <c r="H1456" s="36" t="str">
        <f>IFERROR(VLOOKUP(Table2[[#This Row], [Ticket]],Okey!A:B,2,0),"")</f>
        <v>ok</v>
      </c>
      <c r="I1456" s="36" t="s">
        <v>8546</v>
      </c>
      <c r="J1456" s="36" t="s">
        <v>19</v>
      </c>
      <c r="L1456" s="36"/>
      <c r="M1456" s="36" t="s">
        <v>9515</v>
      </c>
    </row>
    <row r="1457" spans="1:13" hidden="1">
      <c r="A1457" s="42">
        <f t="shared" si="23"/>
        <v>1456</v>
      </c>
      <c r="B1457" s="36" t="s">
        <v>8</v>
      </c>
      <c r="C1457" s="9" t="s">
        <v>9577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>ok</v>
      </c>
      <c r="I1457" s="36" t="s">
        <v>8546</v>
      </c>
      <c r="J1457" s="9" t="s">
        <v>17</v>
      </c>
      <c r="L1457" s="36"/>
      <c r="M1457" s="9" t="s">
        <v>9011</v>
      </c>
    </row>
    <row r="1458" spans="1:13" hidden="1">
      <c r="A1458" s="42">
        <f t="shared" si="23"/>
        <v>1457</v>
      </c>
      <c r="B1458" s="36" t="s">
        <v>8</v>
      </c>
      <c r="C1458" s="9" t="s">
        <v>9580</v>
      </c>
      <c r="D1458" s="36" t="s">
        <v>9652</v>
      </c>
      <c r="E1458" s="9" t="s">
        <v>9581</v>
      </c>
      <c r="F1458" s="9" t="s">
        <v>9674</v>
      </c>
      <c r="G1458" s="36" t="s">
        <v>14</v>
      </c>
      <c r="H1458" s="36" t="str">
        <f>IFERROR(VLOOKUP(Table2[[#This Row], [Ticket]],Okey!A:B,2,0),"")</f>
        <v>ok</v>
      </c>
      <c r="I1458" s="36" t="s">
        <v>8546</v>
      </c>
      <c r="J1458" s="36" t="s">
        <v>17</v>
      </c>
      <c r="L1458" s="36"/>
      <c r="M1458" s="9" t="s">
        <v>9034</v>
      </c>
    </row>
    <row r="1459" spans="1:13" hidden="1">
      <c r="A1459" s="42">
        <f t="shared" si="23"/>
        <v>1458</v>
      </c>
      <c r="B1459" s="36" t="s">
        <v>8</v>
      </c>
      <c r="C1459" s="36" t="s">
        <v>9580</v>
      </c>
      <c r="D1459" s="36" t="s">
        <v>9653</v>
      </c>
      <c r="E1459" s="9" t="s">
        <v>9582</v>
      </c>
      <c r="F1459" s="36" t="s">
        <v>9652</v>
      </c>
      <c r="G1459" s="36" t="s">
        <v>14</v>
      </c>
      <c r="H1459" s="36" t="str">
        <f>IFERROR(VLOOKUP(Table2[[#This Row], [Ticket]],Okey!A:B,2,0),"")</f>
        <v>ok</v>
      </c>
      <c r="I1459" s="36" t="s">
        <v>8546</v>
      </c>
      <c r="J1459" s="36" t="s">
        <v>17</v>
      </c>
      <c r="L1459" s="36"/>
      <c r="M1459" s="36" t="s">
        <v>9034</v>
      </c>
    </row>
    <row r="1460" spans="1:13" hidden="1">
      <c r="A1460" s="42">
        <f t="shared" si="23"/>
        <v>1459</v>
      </c>
      <c r="B1460" s="36" t="s">
        <v>8</v>
      </c>
      <c r="C1460" s="36" t="s">
        <v>9580</v>
      </c>
      <c r="D1460" s="36" t="s">
        <v>9654</v>
      </c>
      <c r="E1460" s="9" t="s">
        <v>9583</v>
      </c>
      <c r="F1460" s="36" t="s">
        <v>9652</v>
      </c>
      <c r="G1460" s="36" t="s">
        <v>14</v>
      </c>
      <c r="H1460" s="36" t="str">
        <f>IFERROR(VLOOKUP(Table2[[#This Row], [Ticket]],Okey!A:B,2,0),"")</f>
        <v>ok</v>
      </c>
      <c r="I1460" s="36" t="s">
        <v>8546</v>
      </c>
      <c r="J1460" s="36" t="s">
        <v>17</v>
      </c>
      <c r="L1460" s="36"/>
      <c r="M1460" s="36" t="s">
        <v>9034</v>
      </c>
    </row>
    <row r="1461" spans="1:13" hidden="1">
      <c r="A1461" s="42">
        <f t="shared" si="23"/>
        <v>1460</v>
      </c>
      <c r="B1461" s="36" t="s">
        <v>8</v>
      </c>
      <c r="C1461" s="36" t="s">
        <v>9580</v>
      </c>
      <c r="D1461" s="36" t="s">
        <v>9655</v>
      </c>
      <c r="E1461" s="9" t="s">
        <v>9584</v>
      </c>
      <c r="F1461" s="36" t="s">
        <v>9652</v>
      </c>
      <c r="G1461" s="36" t="s">
        <v>14</v>
      </c>
      <c r="H1461" s="36" t="str">
        <f>IFERROR(VLOOKUP(Table2[[#This Row], [Ticket]],Okey!A:B,2,0),"")</f>
        <v>ok</v>
      </c>
      <c r="I1461" s="36" t="s">
        <v>8546</v>
      </c>
      <c r="J1461" s="36" t="s">
        <v>17</v>
      </c>
      <c r="L1461" s="36"/>
      <c r="M1461" s="36" t="s">
        <v>9034</v>
      </c>
    </row>
    <row r="1462" spans="1:13" hidden="1">
      <c r="A1462" s="42">
        <f t="shared" si="23"/>
        <v>1461</v>
      </c>
      <c r="B1462" s="36" t="s">
        <v>8</v>
      </c>
      <c r="C1462" s="36" t="s">
        <v>9580</v>
      </c>
      <c r="D1462" s="36" t="s">
        <v>9656</v>
      </c>
      <c r="E1462" s="9" t="s">
        <v>9585</v>
      </c>
      <c r="F1462" s="9" t="s">
        <v>9673</v>
      </c>
      <c r="G1462" s="36" t="s">
        <v>14</v>
      </c>
      <c r="H1462" s="36" t="str">
        <f>IFERROR(VLOOKUP(Table2[[#This Row], [Ticket]],Okey!A:B,2,0),"")</f>
        <v>ok</v>
      </c>
      <c r="I1462" s="36" t="s">
        <v>8546</v>
      </c>
      <c r="J1462" s="36" t="s">
        <v>17</v>
      </c>
      <c r="L1462" s="36"/>
      <c r="M1462" s="36" t="s">
        <v>9034</v>
      </c>
    </row>
    <row r="1463" spans="1:13" hidden="1">
      <c r="A1463" s="42">
        <f t="shared" si="23"/>
        <v>1462</v>
      </c>
      <c r="B1463" s="36" t="s">
        <v>8</v>
      </c>
      <c r="C1463" s="36" t="s">
        <v>9580</v>
      </c>
      <c r="D1463" s="36" t="s">
        <v>9657</v>
      </c>
      <c r="E1463" s="9" t="s">
        <v>9586</v>
      </c>
      <c r="F1463" s="36" t="s">
        <v>9656</v>
      </c>
      <c r="G1463" s="36" t="s">
        <v>14</v>
      </c>
      <c r="H1463" s="36" t="str">
        <f>IFERROR(VLOOKUP(Table2[[#This Row], [Ticket]],Okey!A:B,2,0),"")</f>
        <v>ok</v>
      </c>
      <c r="I1463" s="36" t="s">
        <v>8546</v>
      </c>
      <c r="J1463" s="36" t="s">
        <v>17</v>
      </c>
      <c r="L1463" s="36"/>
      <c r="M1463" s="36" t="s">
        <v>9034</v>
      </c>
    </row>
    <row r="1464" spans="1:13" hidden="1">
      <c r="A1464" s="42">
        <f t="shared" si="23"/>
        <v>1463</v>
      </c>
      <c r="B1464" s="36" t="s">
        <v>8</v>
      </c>
      <c r="C1464" s="36" t="s">
        <v>9580</v>
      </c>
      <c r="D1464" s="36" t="s">
        <v>9658</v>
      </c>
      <c r="E1464" s="9" t="s">
        <v>9587</v>
      </c>
      <c r="F1464" s="36" t="s">
        <v>9656</v>
      </c>
      <c r="G1464" s="9" t="s">
        <v>14</v>
      </c>
      <c r="H1464" s="36" t="str">
        <f>IFERROR(VLOOKUP(Table2[[#This Row], [Ticket]],Okey!A:B,2,0),"")</f>
        <v>ok</v>
      </c>
      <c r="I1464" s="36" t="s">
        <v>8546</v>
      </c>
      <c r="J1464" s="36" t="s">
        <v>17</v>
      </c>
      <c r="L1464" s="36"/>
      <c r="M1464" s="36" t="s">
        <v>9034</v>
      </c>
    </row>
    <row r="1465" spans="1:13" hidden="1">
      <c r="A1465" s="42">
        <f t="shared" si="23"/>
        <v>1464</v>
      </c>
      <c r="B1465" s="36" t="s">
        <v>8</v>
      </c>
      <c r="C1465" s="9" t="s">
        <v>9592</v>
      </c>
      <c r="D1465" s="36" t="s">
        <v>9659</v>
      </c>
      <c r="E1465" s="9" t="s">
        <v>9588</v>
      </c>
      <c r="F1465" s="9" t="s">
        <v>9589</v>
      </c>
      <c r="G1465" s="36" t="s">
        <v>14</v>
      </c>
      <c r="H1465" s="36" t="str">
        <f>IFERROR(VLOOKUP(Table2[[#This Row], [Ticket]],Okey!A:B,2,0),"")</f>
        <v>ok</v>
      </c>
      <c r="I1465" s="36" t="s">
        <v>8546</v>
      </c>
      <c r="J1465" s="36" t="s">
        <v>17</v>
      </c>
      <c r="L1465" s="36"/>
      <c r="M1465" s="36" t="s">
        <v>4782</v>
      </c>
    </row>
    <row r="1466" spans="1:13" hidden="1">
      <c r="A1466" s="42">
        <f t="shared" si="23"/>
        <v>1465</v>
      </c>
      <c r="B1466" s="36" t="s">
        <v>8</v>
      </c>
      <c r="C1466" s="36" t="s">
        <v>9592</v>
      </c>
      <c r="D1466" s="36" t="s">
        <v>9660</v>
      </c>
      <c r="E1466" s="9" t="s">
        <v>9590</v>
      </c>
      <c r="F1466" s="9" t="s">
        <v>9591</v>
      </c>
      <c r="G1466" s="36" t="s">
        <v>14</v>
      </c>
      <c r="H1466" s="36" t="str">
        <f>IFERROR(VLOOKUP(Table2[[#This Row], [Ticket]],Okey!A:B,2,0),"")</f>
        <v>ok</v>
      </c>
      <c r="I1466" s="36" t="s">
        <v>8546</v>
      </c>
      <c r="J1466" s="36" t="s">
        <v>17</v>
      </c>
      <c r="L1466" s="36"/>
      <c r="M1466" s="36" t="s">
        <v>4782</v>
      </c>
    </row>
    <row r="1467" spans="1:13" hidden="1">
      <c r="A1467" s="42">
        <f t="shared" si="23"/>
        <v>1466</v>
      </c>
      <c r="B1467" s="36" t="s">
        <v>8</v>
      </c>
      <c r="C1467" s="36" t="s">
        <v>9592</v>
      </c>
      <c r="D1467" s="9" t="s">
        <v>8108</v>
      </c>
      <c r="F1467" s="36" t="s">
        <v>275</v>
      </c>
      <c r="G1467" s="9" t="s">
        <v>8544</v>
      </c>
      <c r="H1467" s="36" t="str">
        <f>IFERROR(VLOOKUP(Table2[[#This Row], [Ticket]],Okey!A:B,2,0),"")</f>
        <v>ok</v>
      </c>
      <c r="I1467" s="36" t="s">
        <v>8546</v>
      </c>
      <c r="J1467" s="36" t="s">
        <v>17</v>
      </c>
      <c r="L1467" s="36"/>
      <c r="M1467" s="36" t="s">
        <v>4782</v>
      </c>
    </row>
    <row r="1468" spans="1:13" hidden="1">
      <c r="A1468" s="42">
        <f t="shared" si="23"/>
        <v>1467</v>
      </c>
      <c r="B1468" s="36" t="s">
        <v>8</v>
      </c>
      <c r="C1468" s="9" t="s">
        <v>9604</v>
      </c>
      <c r="D1468" s="36" t="s">
        <v>9662</v>
      </c>
      <c r="E1468" s="9" t="s">
        <v>9593</v>
      </c>
      <c r="F1468" s="9" t="s">
        <v>8967</v>
      </c>
      <c r="G1468" s="9" t="s">
        <v>14</v>
      </c>
      <c r="H1468" s="36" t="str">
        <f>IFERROR(VLOOKUP(Table2[[#This Row], [Ticket]],Okey!A:B,2,0),"")</f>
        <v>ok</v>
      </c>
      <c r="I1468" s="36" t="s">
        <v>8546</v>
      </c>
      <c r="J1468" s="36" t="s">
        <v>19</v>
      </c>
      <c r="L1468" s="36"/>
      <c r="M1468" s="9" t="s">
        <v>9605</v>
      </c>
    </row>
    <row r="1469" spans="1:13" hidden="1">
      <c r="A1469" s="42">
        <f t="shared" si="23"/>
        <v>1468</v>
      </c>
      <c r="B1469" s="36" t="s">
        <v>8</v>
      </c>
      <c r="C1469" s="36" t="s">
        <v>9604</v>
      </c>
      <c r="D1469" s="36" t="s">
        <v>9663</v>
      </c>
      <c r="E1469" s="9" t="s">
        <v>9594</v>
      </c>
      <c r="F1469" s="9" t="s">
        <v>8956</v>
      </c>
      <c r="G1469" s="36" t="s">
        <v>14</v>
      </c>
      <c r="H1469" s="36" t="str">
        <f>IFERROR(VLOOKUP(Table2[[#This Row], [Ticket]],Okey!A:B,2,0),"")</f>
        <v>ok</v>
      </c>
      <c r="I1469" s="36" t="s">
        <v>8546</v>
      </c>
      <c r="J1469" s="36" t="s">
        <v>19</v>
      </c>
      <c r="L1469" s="36"/>
      <c r="M1469" s="36" t="s">
        <v>9605</v>
      </c>
    </row>
    <row r="1470" spans="1:13" hidden="1">
      <c r="A1470" s="42">
        <f t="shared" si="23"/>
        <v>1469</v>
      </c>
      <c r="B1470" s="36" t="s">
        <v>8</v>
      </c>
      <c r="C1470" s="36" t="s">
        <v>9604</v>
      </c>
      <c r="D1470" s="36" t="s">
        <v>9664</v>
      </c>
      <c r="E1470" s="9" t="s">
        <v>9595</v>
      </c>
      <c r="F1470" s="9" t="s">
        <v>8957</v>
      </c>
      <c r="G1470" s="36" t="s">
        <v>14</v>
      </c>
      <c r="H1470" s="36" t="str">
        <f>IFERROR(VLOOKUP(Table2[[#This Row], [Ticket]],Okey!A:B,2,0),"")</f>
        <v>ok</v>
      </c>
      <c r="I1470" s="36" t="s">
        <v>8546</v>
      </c>
      <c r="J1470" s="36" t="s">
        <v>19</v>
      </c>
      <c r="L1470" s="36"/>
      <c r="M1470" s="36" t="s">
        <v>9605</v>
      </c>
    </row>
    <row r="1471" spans="1:13" hidden="1">
      <c r="A1471" s="42">
        <f t="shared" si="23"/>
        <v>1470</v>
      </c>
      <c r="B1471" s="36" t="s">
        <v>8</v>
      </c>
      <c r="C1471" s="36" t="s">
        <v>9604</v>
      </c>
      <c r="D1471" s="36" t="s">
        <v>9661</v>
      </c>
      <c r="E1471" s="9" t="s">
        <v>9596</v>
      </c>
      <c r="F1471" s="9" t="s">
        <v>8957</v>
      </c>
      <c r="G1471" s="36" t="s">
        <v>14</v>
      </c>
      <c r="H1471" s="36" t="str">
        <f>IFERROR(VLOOKUP(Table2[[#This Row], [Ticket]],Okey!A:B,2,0),"")</f>
        <v>ok</v>
      </c>
      <c r="I1471" s="36" t="s">
        <v>8546</v>
      </c>
      <c r="J1471" s="36" t="s">
        <v>19</v>
      </c>
      <c r="L1471" s="36"/>
      <c r="M1471" s="36" t="s">
        <v>9605</v>
      </c>
    </row>
    <row r="1472" spans="1:13" hidden="1">
      <c r="A1472" s="42">
        <f t="shared" si="23"/>
        <v>1471</v>
      </c>
      <c r="B1472" s="36" t="s">
        <v>8</v>
      </c>
      <c r="C1472" s="36" t="s">
        <v>9604</v>
      </c>
      <c r="D1472" s="36" t="s">
        <v>9665</v>
      </c>
      <c r="E1472" s="9" t="s">
        <v>9597</v>
      </c>
      <c r="F1472" s="9" t="s">
        <v>8953</v>
      </c>
      <c r="G1472" s="36" t="s">
        <v>14</v>
      </c>
      <c r="H1472" s="36" t="str">
        <f>IFERROR(VLOOKUP(Table2[[#This Row], [Ticket]],Okey!A:B,2,0),"")</f>
        <v>ok</v>
      </c>
      <c r="I1472" s="36" t="s">
        <v>8546</v>
      </c>
      <c r="J1472" s="36" t="s">
        <v>19</v>
      </c>
      <c r="L1472" s="36"/>
      <c r="M1472" s="36" t="s">
        <v>9605</v>
      </c>
    </row>
    <row r="1473" spans="1:13" hidden="1">
      <c r="A1473" s="42">
        <f t="shared" si="23"/>
        <v>1472</v>
      </c>
      <c r="B1473" s="36" t="s">
        <v>8</v>
      </c>
      <c r="C1473" s="36" t="s">
        <v>9604</v>
      </c>
      <c r="D1473" s="36" t="s">
        <v>9666</v>
      </c>
      <c r="E1473" s="9" t="s">
        <v>9598</v>
      </c>
      <c r="F1473" s="36" t="s">
        <v>9665</v>
      </c>
      <c r="G1473" s="36" t="s">
        <v>14</v>
      </c>
      <c r="H1473" s="36" t="str">
        <f>IFERROR(VLOOKUP(Table2[[#This Row], [Ticket]],Okey!A:B,2,0),"")</f>
        <v>ok</v>
      </c>
      <c r="I1473" s="36" t="s">
        <v>8546</v>
      </c>
      <c r="J1473" s="36" t="s">
        <v>19</v>
      </c>
      <c r="L1473" s="36"/>
      <c r="M1473" s="36" t="s">
        <v>9605</v>
      </c>
    </row>
    <row r="1474" spans="1:13" hidden="1">
      <c r="A1474" s="42">
        <f t="shared" si="23"/>
        <v>1473</v>
      </c>
      <c r="B1474" s="36" t="s">
        <v>8</v>
      </c>
      <c r="C1474" s="36" t="s">
        <v>9604</v>
      </c>
      <c r="D1474" s="36" t="s">
        <v>9667</v>
      </c>
      <c r="E1474" s="9" t="s">
        <v>9599</v>
      </c>
      <c r="F1474" s="9" t="s">
        <v>8953</v>
      </c>
      <c r="G1474" s="36" t="s">
        <v>14</v>
      </c>
      <c r="H1474" s="36" t="str">
        <f>IFERROR(VLOOKUP(Table2[[#This Row], [Ticket]],Okey!A:B,2,0),"")</f>
        <v>ok</v>
      </c>
      <c r="I1474" s="36" t="s">
        <v>8546</v>
      </c>
      <c r="J1474" s="36" t="s">
        <v>19</v>
      </c>
      <c r="L1474" s="36"/>
      <c r="M1474" s="36" t="s">
        <v>9605</v>
      </c>
    </row>
    <row r="1475" spans="1:13" hidden="1">
      <c r="A1475" s="42">
        <f t="shared" si="23"/>
        <v>1474</v>
      </c>
      <c r="B1475" s="36" t="s">
        <v>8</v>
      </c>
      <c r="C1475" s="36" t="s">
        <v>9604</v>
      </c>
      <c r="D1475" s="36" t="s">
        <v>9668</v>
      </c>
      <c r="E1475" s="9" t="s">
        <v>9600</v>
      </c>
      <c r="F1475" s="9" t="s">
        <v>8953</v>
      </c>
      <c r="G1475" s="36" t="s">
        <v>14</v>
      </c>
      <c r="H1475" s="36" t="str">
        <f>IFERROR(VLOOKUP(Table2[[#This Row], [Ticket]],Okey!A:B,2,0),"")</f>
        <v>ok</v>
      </c>
      <c r="I1475" s="36" t="s">
        <v>8546</v>
      </c>
      <c r="J1475" s="36" t="s">
        <v>19</v>
      </c>
      <c r="L1475" s="36"/>
      <c r="M1475" s="36" t="s">
        <v>9605</v>
      </c>
    </row>
    <row r="1476" spans="1:13" hidden="1">
      <c r="A1476" s="42">
        <f t="shared" si="23"/>
        <v>1475</v>
      </c>
      <c r="B1476" s="36" t="s">
        <v>8</v>
      </c>
      <c r="C1476" s="36" t="s">
        <v>9604</v>
      </c>
      <c r="D1476" s="36" t="s">
        <v>9669</v>
      </c>
      <c r="E1476" s="9" t="s">
        <v>9601</v>
      </c>
      <c r="F1476" s="9" t="s">
        <v>8953</v>
      </c>
      <c r="G1476" s="36" t="s">
        <v>14</v>
      </c>
      <c r="H1476" s="36" t="str">
        <f>IFERROR(VLOOKUP(Table2[[#This Row], [Ticket]],Okey!A:B,2,0),"")</f>
        <v>ok</v>
      </c>
      <c r="I1476" s="36" t="s">
        <v>8546</v>
      </c>
      <c r="J1476" s="36" t="s">
        <v>19</v>
      </c>
      <c r="L1476" s="36"/>
      <c r="M1476" s="36" t="s">
        <v>9605</v>
      </c>
    </row>
    <row r="1477" spans="1:13" hidden="1">
      <c r="A1477" s="42">
        <f t="shared" si="23"/>
        <v>1476</v>
      </c>
      <c r="B1477" s="36" t="s">
        <v>8</v>
      </c>
      <c r="C1477" s="36" t="s">
        <v>9604</v>
      </c>
      <c r="D1477" s="36" t="s">
        <v>9670</v>
      </c>
      <c r="E1477" s="9" t="s">
        <v>9672</v>
      </c>
      <c r="F1477" s="9" t="s">
        <v>8953</v>
      </c>
      <c r="G1477" s="36" t="s">
        <v>14</v>
      </c>
      <c r="H1477" s="36" t="str">
        <f>IFERROR(VLOOKUP(Table2[[#This Row], [Ticket]],Okey!A:B,2,0),"")</f>
        <v>ok</v>
      </c>
      <c r="I1477" s="36" t="s">
        <v>8546</v>
      </c>
      <c r="J1477" s="36" t="s">
        <v>19</v>
      </c>
      <c r="L1477" s="36"/>
      <c r="M1477" s="36" t="s">
        <v>9605</v>
      </c>
    </row>
    <row r="1478" spans="1:13" hidden="1">
      <c r="A1478" s="42">
        <f t="shared" si="23"/>
        <v>1477</v>
      </c>
      <c r="B1478" s="36" t="s">
        <v>8</v>
      </c>
      <c r="C1478" s="36" t="s">
        <v>9604</v>
      </c>
      <c r="D1478" s="36" t="s">
        <v>9671</v>
      </c>
      <c r="E1478" s="9" t="s">
        <v>9602</v>
      </c>
      <c r="F1478" s="9" t="s">
        <v>9603</v>
      </c>
      <c r="G1478" s="36" t="s">
        <v>14</v>
      </c>
      <c r="H1478" s="36" t="str">
        <f>IFERROR(VLOOKUP(Table2[[#This Row], [Ticket]],Okey!A:B,2,0),"")</f>
        <v>ok</v>
      </c>
      <c r="I1478" s="36" t="s">
        <v>8546</v>
      </c>
      <c r="J1478" s="36" t="s">
        <v>19</v>
      </c>
      <c r="L1478" s="36"/>
      <c r="M1478" s="36" t="s">
        <v>9605</v>
      </c>
    </row>
    <row r="1479" spans="1:13" hidden="1">
      <c r="A1479" s="42">
        <f t="shared" si="23"/>
        <v>1478</v>
      </c>
      <c r="B1479" s="36" t="s">
        <v>8</v>
      </c>
      <c r="C1479" s="9" t="s">
        <v>9606</v>
      </c>
      <c r="D1479" s="99" t="s">
        <v>6112</v>
      </c>
      <c r="F1479" s="100" t="s">
        <v>9421</v>
      </c>
      <c r="G1479" s="9" t="s">
        <v>13</v>
      </c>
      <c r="H1479" s="36" t="str">
        <f>IFERROR(VLOOKUP(Table2[[#This Row], [Ticket]],Okey!A:B,2,0),"")</f>
        <v>ok</v>
      </c>
      <c r="I1479" s="36" t="s">
        <v>8546</v>
      </c>
      <c r="L1479" s="36"/>
      <c r="M1479" s="36" t="s">
        <v>9034</v>
      </c>
    </row>
    <row r="1480" spans="1:13" hidden="1">
      <c r="A1480" s="42">
        <f t="shared" si="23"/>
        <v>1479</v>
      </c>
      <c r="B1480" s="36" t="s">
        <v>8</v>
      </c>
      <c r="C1480" s="9" t="s">
        <v>9607</v>
      </c>
      <c r="D1480" s="36" t="s">
        <v>9675</v>
      </c>
      <c r="E1480" s="9" t="s">
        <v>9608</v>
      </c>
      <c r="F1480" s="9" t="s">
        <v>6118</v>
      </c>
      <c r="G1480" s="36" t="s">
        <v>14</v>
      </c>
      <c r="H1480" s="36" t="str">
        <f>IFERROR(VLOOKUP(Table2[[#This Row], [Ticket]],Okey!A:B,2,0),"")</f>
        <v>ok</v>
      </c>
      <c r="I1480" s="36" t="s">
        <v>8546</v>
      </c>
      <c r="J1480" s="36" t="s">
        <v>19</v>
      </c>
      <c r="L1480" s="36"/>
    </row>
    <row r="1481" spans="1:13" hidden="1">
      <c r="A1481" s="42">
        <f t="shared" si="23"/>
        <v>1480</v>
      </c>
      <c r="B1481" s="36" t="s">
        <v>8</v>
      </c>
      <c r="C1481" s="36" t="s">
        <v>9607</v>
      </c>
      <c r="D1481" s="36" t="s">
        <v>9676</v>
      </c>
      <c r="E1481" s="9" t="s">
        <v>9609</v>
      </c>
      <c r="F1481" s="36" t="s">
        <v>9675</v>
      </c>
      <c r="G1481" s="36" t="s">
        <v>14</v>
      </c>
      <c r="H1481" s="36" t="str">
        <f>IFERROR(VLOOKUP(Table2[[#This Row], [Ticket]],Okey!A:B,2,0),"")</f>
        <v>ok</v>
      </c>
      <c r="I1481" s="36" t="s">
        <v>8546</v>
      </c>
      <c r="J1481" s="36" t="s">
        <v>19</v>
      </c>
      <c r="L1481" s="36"/>
    </row>
    <row r="1482" spans="1:13" hidden="1">
      <c r="A1482" s="42">
        <f t="shared" si="23"/>
        <v>1481</v>
      </c>
      <c r="B1482" s="36" t="s">
        <v>8</v>
      </c>
      <c r="C1482" s="36" t="s">
        <v>9607</v>
      </c>
      <c r="D1482" s="36" t="s">
        <v>9677</v>
      </c>
      <c r="E1482" s="9" t="s">
        <v>9610</v>
      </c>
      <c r="F1482" s="36" t="s">
        <v>9675</v>
      </c>
      <c r="G1482" s="36" t="s">
        <v>14</v>
      </c>
      <c r="H1482" s="36" t="str">
        <f>IFERROR(VLOOKUP(Table2[[#This Row], [Ticket]],Okey!A:B,2,0),"")</f>
        <v>ok</v>
      </c>
      <c r="I1482" s="36" t="s">
        <v>8546</v>
      </c>
      <c r="J1482" s="36" t="s">
        <v>19</v>
      </c>
      <c r="L1482" s="36"/>
    </row>
    <row r="1483" spans="1:13" hidden="1">
      <c r="A1483" s="42">
        <f t="shared" si="23"/>
        <v>1482</v>
      </c>
      <c r="B1483" s="36" t="s">
        <v>8</v>
      </c>
      <c r="C1483" s="36" t="s">
        <v>9607</v>
      </c>
      <c r="D1483" s="36" t="s">
        <v>9678</v>
      </c>
      <c r="E1483" s="9" t="s">
        <v>9611</v>
      </c>
      <c r="F1483" s="36" t="s">
        <v>9676</v>
      </c>
      <c r="G1483" s="36" t="s">
        <v>14</v>
      </c>
      <c r="H1483" s="36" t="str">
        <f>IFERROR(VLOOKUP(Table2[[#This Row], [Ticket]],Okey!A:B,2,0),"")</f>
        <v>ok</v>
      </c>
      <c r="I1483" s="36" t="s">
        <v>8546</v>
      </c>
      <c r="J1483" s="36" t="s">
        <v>19</v>
      </c>
      <c r="L1483" s="36"/>
    </row>
    <row r="1484" spans="1:13" hidden="1">
      <c r="A1484" s="42">
        <f t="shared" si="23"/>
        <v>1483</v>
      </c>
      <c r="B1484" s="36" t="s">
        <v>8</v>
      </c>
      <c r="C1484" s="36" t="s">
        <v>9607</v>
      </c>
      <c r="D1484" s="36" t="s">
        <v>9679</v>
      </c>
      <c r="E1484" s="9" t="s">
        <v>9612</v>
      </c>
      <c r="F1484" s="36" t="s">
        <v>9676</v>
      </c>
      <c r="G1484" s="36" t="s">
        <v>14</v>
      </c>
      <c r="H1484" s="36" t="str">
        <f>IFERROR(VLOOKUP(Table2[[#This Row], [Ticket]],Okey!A:B,2,0),"")</f>
        <v>ok</v>
      </c>
      <c r="I1484" s="36" t="s">
        <v>8546</v>
      </c>
      <c r="J1484" s="36" t="s">
        <v>19</v>
      </c>
      <c r="L1484" s="36"/>
    </row>
    <row r="1485" spans="1:13" hidden="1">
      <c r="A1485" s="42">
        <f t="shared" si="23"/>
        <v>1484</v>
      </c>
      <c r="B1485" s="36" t="s">
        <v>8</v>
      </c>
      <c r="C1485" s="36" t="s">
        <v>9607</v>
      </c>
      <c r="D1485" s="36" t="s">
        <v>9680</v>
      </c>
      <c r="E1485" s="9" t="s">
        <v>9613</v>
      </c>
      <c r="F1485" s="36" t="s">
        <v>9676</v>
      </c>
      <c r="G1485" s="36" t="s">
        <v>14</v>
      </c>
      <c r="H1485" s="36" t="str">
        <f>IFERROR(VLOOKUP(Table2[[#This Row], [Ticket]],Okey!A:B,2,0),"")</f>
        <v>ok</v>
      </c>
      <c r="I1485" s="36" t="s">
        <v>8546</v>
      </c>
      <c r="J1485" s="36" t="s">
        <v>19</v>
      </c>
      <c r="L1485" s="36"/>
    </row>
    <row r="1486" spans="1:13" hidden="1">
      <c r="A1486" s="42">
        <f t="shared" si="23"/>
        <v>1485</v>
      </c>
      <c r="B1486" s="36" t="s">
        <v>8</v>
      </c>
      <c r="C1486" s="36" t="s">
        <v>9607</v>
      </c>
      <c r="D1486" s="9" t="s">
        <v>9614</v>
      </c>
      <c r="E1486" s="9" t="s">
        <v>9615</v>
      </c>
      <c r="G1486" s="9" t="s">
        <v>15</v>
      </c>
      <c r="H1486" s="36" t="str">
        <f>IFERROR(VLOOKUP(Table2[[#This Row], [Ticket]],Okey!A:B,2,0),"")</f>
        <v>ok</v>
      </c>
      <c r="I1486" s="36" t="s">
        <v>8546</v>
      </c>
      <c r="L1486" s="36"/>
    </row>
    <row r="1487" spans="1:13" hidden="1">
      <c r="A1487" s="42">
        <f t="shared" si="23"/>
        <v>1486</v>
      </c>
      <c r="B1487" s="36" t="s">
        <v>8</v>
      </c>
      <c r="C1487" s="36" t="s">
        <v>9607</v>
      </c>
      <c r="D1487" s="9" t="s">
        <v>8952</v>
      </c>
      <c r="E1487" s="9" t="s">
        <v>9616</v>
      </c>
      <c r="G1487" s="36" t="s">
        <v>15</v>
      </c>
      <c r="H1487" s="36" t="str">
        <f>IFERROR(VLOOKUP(Table2[[#This Row], [Ticket]],Okey!A:B,2,0),"")</f>
        <v>ok</v>
      </c>
      <c r="I1487" s="36" t="s">
        <v>8546</v>
      </c>
      <c r="L1487" s="36"/>
    </row>
    <row r="1488" spans="1:13" hidden="1">
      <c r="A1488" s="42">
        <f t="shared" si="23"/>
        <v>1487</v>
      </c>
      <c r="B1488" s="36" t="s">
        <v>8</v>
      </c>
      <c r="C1488" s="36" t="s">
        <v>9607</v>
      </c>
      <c r="D1488" s="9" t="s">
        <v>9603</v>
      </c>
      <c r="E1488" s="9" t="s">
        <v>9617</v>
      </c>
      <c r="G1488" s="36" t="s">
        <v>15</v>
      </c>
      <c r="H1488" s="36" t="str">
        <f>IFERROR(VLOOKUP(Table2[[#This Row], [Ticket]],Okey!A:B,2,0),"")</f>
        <v>ok</v>
      </c>
      <c r="I1488" s="36" t="s">
        <v>8546</v>
      </c>
      <c r="L1488" s="36"/>
    </row>
    <row r="1489" spans="1:12" hidden="1">
      <c r="A1489" s="42">
        <f t="shared" si="23"/>
        <v>1488</v>
      </c>
      <c r="B1489" s="36" t="s">
        <v>8</v>
      </c>
      <c r="C1489" s="36" t="s">
        <v>9607</v>
      </c>
      <c r="D1489" s="9" t="s">
        <v>9618</v>
      </c>
      <c r="E1489" s="9" t="s">
        <v>9619</v>
      </c>
      <c r="G1489" s="36" t="s">
        <v>15</v>
      </c>
      <c r="H1489" s="36" t="str">
        <f>IFERROR(VLOOKUP(Table2[[#This Row], [Ticket]],Okey!A:B,2,0),"")</f>
        <v>ok</v>
      </c>
      <c r="I1489" s="36" t="s">
        <v>8546</v>
      </c>
      <c r="L1489" s="36"/>
    </row>
    <row r="1490" spans="1:12" hidden="1">
      <c r="A1490" s="42">
        <f t="shared" si="23"/>
        <v>1489</v>
      </c>
      <c r="B1490" s="36" t="s">
        <v>8</v>
      </c>
      <c r="C1490" s="36" t="s">
        <v>9620</v>
      </c>
      <c r="D1490" s="9" t="s">
        <v>9681</v>
      </c>
      <c r="E1490" s="9" t="s">
        <v>9621</v>
      </c>
      <c r="F1490" s="9" t="s">
        <v>9714</v>
      </c>
      <c r="G1490" s="36" t="s">
        <v>14</v>
      </c>
      <c r="H1490" s="36" t="str">
        <f>IFERROR(VLOOKUP(Table2[[#This Row], [Ticket]],Okey!A:B,2,0),"")</f>
        <v>ok</v>
      </c>
      <c r="I1490" s="36" t="s">
        <v>8546</v>
      </c>
      <c r="J1490" s="36" t="s">
        <v>19</v>
      </c>
      <c r="L1490" s="36"/>
    </row>
    <row r="1491" spans="1:12" hidden="1">
      <c r="A1491" s="42">
        <f t="shared" si="23"/>
        <v>1490</v>
      </c>
      <c r="B1491" s="36" t="s">
        <v>8</v>
      </c>
      <c r="C1491" s="36" t="s">
        <v>9620</v>
      </c>
      <c r="D1491" s="9" t="s">
        <v>9682</v>
      </c>
      <c r="E1491" s="9" t="s">
        <v>9622</v>
      </c>
      <c r="F1491" s="36" t="s">
        <v>9681</v>
      </c>
      <c r="G1491" s="36" t="s">
        <v>14</v>
      </c>
      <c r="H1491" s="36" t="str">
        <f>IFERROR(VLOOKUP(Table2[[#This Row], [Ticket]],Okey!A:B,2,0),"")</f>
        <v>ok</v>
      </c>
      <c r="I1491" s="36" t="s">
        <v>8546</v>
      </c>
      <c r="J1491" s="36" t="s">
        <v>19</v>
      </c>
      <c r="L1491" s="36"/>
    </row>
    <row r="1492" spans="1:12" hidden="1">
      <c r="A1492" s="42">
        <f t="shared" si="23"/>
        <v>1491</v>
      </c>
      <c r="B1492" s="36" t="s">
        <v>8</v>
      </c>
      <c r="C1492" s="36" t="s">
        <v>9620</v>
      </c>
      <c r="D1492" s="9" t="s">
        <v>9683</v>
      </c>
      <c r="E1492" s="9" t="s">
        <v>9623</v>
      </c>
      <c r="F1492" s="36" t="s">
        <v>9682</v>
      </c>
      <c r="G1492" s="36" t="s">
        <v>14</v>
      </c>
      <c r="H1492" s="36" t="str">
        <f>IFERROR(VLOOKUP(Table2[[#This Row], [Ticket]],Okey!A:B,2,0),"")</f>
        <v>ok</v>
      </c>
      <c r="I1492" s="36" t="s">
        <v>8546</v>
      </c>
      <c r="J1492" s="36" t="s">
        <v>19</v>
      </c>
      <c r="L1492" s="36"/>
    </row>
    <row r="1493" spans="1:12" hidden="1">
      <c r="A1493" s="42">
        <f t="shared" ref="A1493:A1556" si="24">1+A1492</f>
        <v>1492</v>
      </c>
      <c r="B1493" s="36" t="s">
        <v>8</v>
      </c>
      <c r="C1493" s="36" t="s">
        <v>9620</v>
      </c>
      <c r="D1493" s="9" t="s">
        <v>9684</v>
      </c>
      <c r="E1493" s="9" t="s">
        <v>9624</v>
      </c>
      <c r="F1493" s="36" t="s">
        <v>9682</v>
      </c>
      <c r="G1493" s="36" t="s">
        <v>14</v>
      </c>
      <c r="H1493" s="36" t="str">
        <f>IFERROR(VLOOKUP(Table2[[#This Row], [Ticket]],Okey!A:B,2,0),"")</f>
        <v>ok</v>
      </c>
      <c r="I1493" s="36" t="s">
        <v>8546</v>
      </c>
      <c r="J1493" s="36" t="s">
        <v>19</v>
      </c>
      <c r="L1493" s="36"/>
    </row>
    <row r="1494" spans="1:12" hidden="1">
      <c r="A1494" s="42">
        <f t="shared" si="24"/>
        <v>1493</v>
      </c>
      <c r="B1494" s="36" t="s">
        <v>8</v>
      </c>
      <c r="C1494" s="36" t="s">
        <v>9620</v>
      </c>
      <c r="D1494" s="9" t="s">
        <v>9685</v>
      </c>
      <c r="E1494" s="9" t="s">
        <v>9625</v>
      </c>
      <c r="F1494" s="36" t="s">
        <v>9681</v>
      </c>
      <c r="G1494" s="36" t="s">
        <v>14</v>
      </c>
      <c r="H1494" s="36" t="str">
        <f>IFERROR(VLOOKUP(Table2[[#This Row], [Ticket]],Okey!A:B,2,0),"")</f>
        <v>ok</v>
      </c>
      <c r="I1494" s="36" t="s">
        <v>8546</v>
      </c>
      <c r="J1494" s="36" t="s">
        <v>19</v>
      </c>
      <c r="L1494" s="36"/>
    </row>
    <row r="1495" spans="1:12" hidden="1">
      <c r="A1495" s="42">
        <f t="shared" si="24"/>
        <v>1494</v>
      </c>
      <c r="B1495" s="36" t="s">
        <v>8</v>
      </c>
      <c r="C1495" s="36" t="s">
        <v>9620</v>
      </c>
      <c r="D1495" s="9" t="s">
        <v>9686</v>
      </c>
      <c r="E1495" s="9" t="s">
        <v>9626</v>
      </c>
      <c r="F1495" s="9" t="s">
        <v>9715</v>
      </c>
      <c r="G1495" s="36" t="s">
        <v>14</v>
      </c>
      <c r="H1495" s="36" t="str">
        <f>IFERROR(VLOOKUP(Table2[[#This Row], [Ticket]],Okey!A:B,2,0),"")</f>
        <v>ok</v>
      </c>
      <c r="I1495" s="36" t="s">
        <v>8546</v>
      </c>
      <c r="J1495" s="36" t="s">
        <v>19</v>
      </c>
      <c r="L1495" s="36"/>
    </row>
    <row r="1496" spans="1:12" hidden="1">
      <c r="A1496" s="42">
        <f t="shared" si="24"/>
        <v>1495</v>
      </c>
      <c r="B1496" s="36" t="s">
        <v>8</v>
      </c>
      <c r="C1496" s="36" t="s">
        <v>9620</v>
      </c>
      <c r="D1496" s="9" t="s">
        <v>9687</v>
      </c>
      <c r="E1496" s="9" t="s">
        <v>9627</v>
      </c>
      <c r="F1496" s="36" t="s">
        <v>9686</v>
      </c>
      <c r="G1496" s="36" t="s">
        <v>14</v>
      </c>
      <c r="H1496" s="36" t="str">
        <f>IFERROR(VLOOKUP(Table2[[#This Row], [Ticket]],Okey!A:B,2,0),"")</f>
        <v>ok</v>
      </c>
      <c r="I1496" s="36" t="s">
        <v>8546</v>
      </c>
      <c r="J1496" s="36" t="s">
        <v>19</v>
      </c>
      <c r="L1496" s="36"/>
    </row>
    <row r="1497" spans="1:12" hidden="1">
      <c r="A1497" s="42">
        <f t="shared" si="24"/>
        <v>1496</v>
      </c>
      <c r="B1497" s="36" t="s">
        <v>8</v>
      </c>
      <c r="C1497" s="36" t="s">
        <v>9620</v>
      </c>
      <c r="D1497" s="9" t="s">
        <v>9688</v>
      </c>
      <c r="E1497" s="9" t="s">
        <v>9628</v>
      </c>
      <c r="F1497" s="36" t="s">
        <v>9687</v>
      </c>
      <c r="G1497" s="36" t="s">
        <v>14</v>
      </c>
      <c r="H1497" s="36" t="str">
        <f>IFERROR(VLOOKUP(Table2[[#This Row], [Ticket]],Okey!A:B,2,0),"")</f>
        <v>ok</v>
      </c>
      <c r="I1497" s="36" t="s">
        <v>8546</v>
      </c>
      <c r="J1497" s="36" t="s">
        <v>19</v>
      </c>
      <c r="L1497" s="36"/>
    </row>
    <row r="1498" spans="1:12" hidden="1">
      <c r="A1498" s="42">
        <f t="shared" si="24"/>
        <v>1497</v>
      </c>
      <c r="B1498" s="36" t="s">
        <v>8</v>
      </c>
      <c r="C1498" s="36" t="s">
        <v>9620</v>
      </c>
      <c r="D1498" s="9" t="s">
        <v>9689</v>
      </c>
      <c r="E1498" s="9" t="s">
        <v>9629</v>
      </c>
      <c r="F1498" s="36" t="s">
        <v>9687</v>
      </c>
      <c r="G1498" s="36" t="s">
        <v>14</v>
      </c>
      <c r="H1498" s="36" t="str">
        <f>IFERROR(VLOOKUP(Table2[[#This Row], [Ticket]],Okey!A:B,2,0),"")</f>
        <v>ok</v>
      </c>
      <c r="I1498" s="36" t="s">
        <v>8546</v>
      </c>
      <c r="J1498" s="36" t="s">
        <v>19</v>
      </c>
      <c r="L1498" s="36"/>
    </row>
    <row r="1499" spans="1:12" hidden="1">
      <c r="A1499" s="42">
        <f t="shared" si="24"/>
        <v>1498</v>
      </c>
      <c r="B1499" s="36" t="s">
        <v>8</v>
      </c>
      <c r="C1499" s="36" t="s">
        <v>9620</v>
      </c>
      <c r="D1499" s="9" t="s">
        <v>9690</v>
      </c>
      <c r="E1499" s="9" t="s">
        <v>9630</v>
      </c>
      <c r="F1499" s="36" t="s">
        <v>9686</v>
      </c>
      <c r="G1499" s="36" t="s">
        <v>14</v>
      </c>
      <c r="H1499" s="36" t="str">
        <f>IFERROR(VLOOKUP(Table2[[#This Row], [Ticket]],Okey!A:B,2,0),"")</f>
        <v>ok</v>
      </c>
      <c r="I1499" s="36" t="s">
        <v>8546</v>
      </c>
      <c r="J1499" s="36" t="s">
        <v>19</v>
      </c>
      <c r="L1499" s="36"/>
    </row>
    <row r="1500" spans="1:12" hidden="1">
      <c r="A1500" s="42">
        <f t="shared" si="24"/>
        <v>1499</v>
      </c>
      <c r="B1500" s="36" t="s">
        <v>8</v>
      </c>
      <c r="C1500" s="9" t="s">
        <v>9631</v>
      </c>
      <c r="D1500" s="9" t="s">
        <v>9691</v>
      </c>
      <c r="E1500" s="9" t="s">
        <v>9632</v>
      </c>
      <c r="F1500" s="9" t="s">
        <v>9716</v>
      </c>
      <c r="G1500" s="36" t="s">
        <v>14</v>
      </c>
      <c r="H1500" s="36" t="str">
        <f>IFERROR(VLOOKUP(Table2[[#This Row], [Ticket]],Okey!A:B,2,0),"")</f>
        <v>ok</v>
      </c>
      <c r="I1500" s="36" t="s">
        <v>8546</v>
      </c>
      <c r="J1500" s="36" t="s">
        <v>19</v>
      </c>
      <c r="L1500" s="36"/>
    </row>
    <row r="1501" spans="1:12" hidden="1">
      <c r="A1501" s="42">
        <f t="shared" si="24"/>
        <v>1500</v>
      </c>
      <c r="B1501" s="36" t="s">
        <v>8</v>
      </c>
      <c r="C1501" s="36" t="s">
        <v>9631</v>
      </c>
      <c r="D1501" s="9" t="s">
        <v>9692</v>
      </c>
      <c r="E1501" s="9" t="s">
        <v>9633</v>
      </c>
      <c r="F1501" s="36" t="s">
        <v>9691</v>
      </c>
      <c r="G1501" s="36" t="s">
        <v>14</v>
      </c>
      <c r="H1501" s="36" t="str">
        <f>IFERROR(VLOOKUP(Table2[[#This Row], [Ticket]],Okey!A:B,2,0),"")</f>
        <v>ok</v>
      </c>
      <c r="I1501" s="36" t="s">
        <v>8546</v>
      </c>
      <c r="J1501" s="36" t="s">
        <v>19</v>
      </c>
      <c r="L1501" s="36"/>
    </row>
    <row r="1502" spans="1:12" hidden="1">
      <c r="A1502" s="42">
        <f t="shared" si="24"/>
        <v>1501</v>
      </c>
      <c r="B1502" s="36" t="s">
        <v>8</v>
      </c>
      <c r="C1502" s="36" t="s">
        <v>9631</v>
      </c>
      <c r="D1502" s="9" t="s">
        <v>9693</v>
      </c>
      <c r="E1502" s="9" t="s">
        <v>9634</v>
      </c>
      <c r="F1502" s="36" t="s">
        <v>9692</v>
      </c>
      <c r="G1502" s="36" t="s">
        <v>14</v>
      </c>
      <c r="H1502" s="36" t="str">
        <f>IFERROR(VLOOKUP(Table2[[#This Row], [Ticket]],Okey!A:B,2,0),"")</f>
        <v>ok</v>
      </c>
      <c r="I1502" s="36" t="s">
        <v>8546</v>
      </c>
      <c r="J1502" s="36" t="s">
        <v>19</v>
      </c>
      <c r="L1502" s="36"/>
    </row>
    <row r="1503" spans="1:12" hidden="1">
      <c r="A1503" s="42">
        <f t="shared" si="24"/>
        <v>1502</v>
      </c>
      <c r="B1503" s="36" t="s">
        <v>8</v>
      </c>
      <c r="C1503" s="36" t="s">
        <v>9631</v>
      </c>
      <c r="D1503" s="9" t="s">
        <v>9694</v>
      </c>
      <c r="E1503" s="9" t="s">
        <v>9635</v>
      </c>
      <c r="F1503" s="36" t="s">
        <v>9692</v>
      </c>
      <c r="G1503" s="36" t="s">
        <v>14</v>
      </c>
      <c r="H1503" s="36" t="str">
        <f>IFERROR(VLOOKUP(Table2[[#This Row], [Ticket]],Okey!A:B,2,0),"")</f>
        <v>ok</v>
      </c>
      <c r="I1503" s="36" t="s">
        <v>8546</v>
      </c>
      <c r="J1503" s="36" t="s">
        <v>19</v>
      </c>
      <c r="L1503" s="36"/>
    </row>
    <row r="1504" spans="1:12" hidden="1">
      <c r="A1504" s="42">
        <f t="shared" si="24"/>
        <v>1503</v>
      </c>
      <c r="B1504" s="36" t="s">
        <v>8</v>
      </c>
      <c r="C1504" s="36" t="s">
        <v>9631</v>
      </c>
      <c r="D1504" s="9" t="s">
        <v>9695</v>
      </c>
      <c r="E1504" s="9" t="s">
        <v>9636</v>
      </c>
      <c r="F1504" s="36" t="s">
        <v>9692</v>
      </c>
      <c r="G1504" s="36" t="s">
        <v>14</v>
      </c>
      <c r="H1504" s="36" t="str">
        <f>IFERROR(VLOOKUP(Table2[[#This Row], [Ticket]],Okey!A:B,2,0),"")</f>
        <v>ok</v>
      </c>
      <c r="I1504" s="36" t="s">
        <v>8546</v>
      </c>
      <c r="J1504" s="36" t="s">
        <v>19</v>
      </c>
      <c r="L1504" s="36"/>
    </row>
    <row r="1505" spans="1:12" hidden="1">
      <c r="A1505" s="42">
        <f t="shared" si="24"/>
        <v>1504</v>
      </c>
      <c r="B1505" s="36" t="s">
        <v>8</v>
      </c>
      <c r="C1505" s="36" t="s">
        <v>9631</v>
      </c>
      <c r="D1505" s="9" t="s">
        <v>9696</v>
      </c>
      <c r="E1505" s="9" t="s">
        <v>9637</v>
      </c>
      <c r="F1505" s="36" t="s">
        <v>9691</v>
      </c>
      <c r="G1505" s="36" t="s">
        <v>14</v>
      </c>
      <c r="H1505" s="36" t="str">
        <f>IFERROR(VLOOKUP(Table2[[#This Row], [Ticket]],Okey!A:B,2,0),"")</f>
        <v>ok</v>
      </c>
      <c r="I1505" s="36" t="s">
        <v>8546</v>
      </c>
      <c r="J1505" s="36" t="s">
        <v>19</v>
      </c>
      <c r="L1505" s="36"/>
    </row>
    <row r="1506" spans="1:12" hidden="1">
      <c r="A1506" s="42">
        <f t="shared" si="24"/>
        <v>1505</v>
      </c>
      <c r="B1506" s="36" t="s">
        <v>8</v>
      </c>
      <c r="C1506" s="36" t="s">
        <v>9631</v>
      </c>
      <c r="D1506" s="9" t="s">
        <v>9697</v>
      </c>
      <c r="E1506" s="9" t="s">
        <v>9638</v>
      </c>
      <c r="F1506" s="36" t="s">
        <v>9696</v>
      </c>
      <c r="G1506" s="36" t="s">
        <v>14</v>
      </c>
      <c r="H1506" s="36" t="str">
        <f>IFERROR(VLOOKUP(Table2[[#This Row], [Ticket]],Okey!A:B,2,0),"")</f>
        <v>ok</v>
      </c>
      <c r="I1506" s="36" t="s">
        <v>8546</v>
      </c>
      <c r="J1506" s="36" t="s">
        <v>19</v>
      </c>
      <c r="L1506" s="36"/>
    </row>
    <row r="1507" spans="1:12" hidden="1">
      <c r="A1507" s="42">
        <f t="shared" si="24"/>
        <v>1506</v>
      </c>
      <c r="B1507" s="36" t="s">
        <v>8</v>
      </c>
      <c r="C1507" s="36" t="s">
        <v>9631</v>
      </c>
      <c r="D1507" s="9" t="s">
        <v>9698</v>
      </c>
      <c r="E1507" s="9" t="s">
        <v>9639</v>
      </c>
      <c r="F1507" s="36" t="s">
        <v>9696</v>
      </c>
      <c r="G1507" s="36" t="s">
        <v>14</v>
      </c>
      <c r="H1507" s="36" t="str">
        <f>IFERROR(VLOOKUP(Table2[[#This Row], [Ticket]],Okey!A:B,2,0),"")</f>
        <v>ok</v>
      </c>
      <c r="I1507" s="36" t="s">
        <v>8546</v>
      </c>
      <c r="J1507" s="36" t="s">
        <v>19</v>
      </c>
      <c r="L1507" s="36"/>
    </row>
    <row r="1508" spans="1:12" hidden="1">
      <c r="A1508" s="42">
        <f t="shared" si="24"/>
        <v>1507</v>
      </c>
      <c r="B1508" s="36" t="s">
        <v>8</v>
      </c>
      <c r="C1508" s="36" t="s">
        <v>9631</v>
      </c>
      <c r="D1508" s="9" t="s">
        <v>9699</v>
      </c>
      <c r="E1508" s="9" t="s">
        <v>9640</v>
      </c>
      <c r="F1508" s="36" t="s">
        <v>9696</v>
      </c>
      <c r="G1508" s="36" t="s">
        <v>14</v>
      </c>
      <c r="H1508" s="36" t="str">
        <f>IFERROR(VLOOKUP(Table2[[#This Row], [Ticket]],Okey!A:B,2,0),"")</f>
        <v>ok</v>
      </c>
      <c r="I1508" s="36" t="s">
        <v>8546</v>
      </c>
      <c r="J1508" s="36" t="s">
        <v>19</v>
      </c>
      <c r="L1508" s="36"/>
    </row>
    <row r="1509" spans="1:12" hidden="1">
      <c r="A1509" s="42">
        <f t="shared" si="24"/>
        <v>1508</v>
      </c>
      <c r="B1509" s="36" t="s">
        <v>8</v>
      </c>
      <c r="C1509" s="36" t="s">
        <v>9631</v>
      </c>
      <c r="D1509" s="9" t="s">
        <v>9700</v>
      </c>
      <c r="E1509" s="9" t="s">
        <v>9641</v>
      </c>
      <c r="F1509" s="36" t="s">
        <v>9696</v>
      </c>
      <c r="G1509" s="36" t="s">
        <v>14</v>
      </c>
      <c r="H1509" s="36" t="str">
        <f>IFERROR(VLOOKUP(Table2[[#This Row], [Ticket]],Okey!A:B,2,0),"")</f>
        <v>ok</v>
      </c>
      <c r="I1509" s="36" t="s">
        <v>8546</v>
      </c>
      <c r="J1509" s="36" t="s">
        <v>19</v>
      </c>
      <c r="L1509" s="36"/>
    </row>
    <row r="1510" spans="1:12" hidden="1">
      <c r="A1510" s="42">
        <f t="shared" si="24"/>
        <v>1509</v>
      </c>
      <c r="B1510" s="36" t="s">
        <v>8</v>
      </c>
      <c r="C1510" s="36" t="s">
        <v>9631</v>
      </c>
      <c r="D1510" s="9" t="s">
        <v>9701</v>
      </c>
      <c r="E1510" s="9" t="s">
        <v>9642</v>
      </c>
      <c r="F1510" s="36" t="s">
        <v>9696</v>
      </c>
      <c r="G1510" s="36" t="s">
        <v>14</v>
      </c>
      <c r="H1510" s="36" t="str">
        <f>IFERROR(VLOOKUP(Table2[[#This Row], [Ticket]],Okey!A:B,2,0),"")</f>
        <v>ok</v>
      </c>
      <c r="I1510" s="36" t="s">
        <v>8546</v>
      </c>
      <c r="J1510" s="36" t="s">
        <v>19</v>
      </c>
      <c r="L1510" s="36"/>
    </row>
    <row r="1511" spans="1:12" hidden="1">
      <c r="A1511" s="42">
        <f t="shared" si="24"/>
        <v>1510</v>
      </c>
      <c r="B1511" s="36" t="s">
        <v>8</v>
      </c>
      <c r="C1511" s="36" t="s">
        <v>9631</v>
      </c>
      <c r="D1511" s="9" t="s">
        <v>9702</v>
      </c>
      <c r="E1511" s="9" t="s">
        <v>9643</v>
      </c>
      <c r="F1511" s="36" t="s">
        <v>9696</v>
      </c>
      <c r="G1511" s="36" t="s">
        <v>14</v>
      </c>
      <c r="H1511" s="36" t="str">
        <f>IFERROR(VLOOKUP(Table2[[#This Row], [Ticket]],Okey!A:B,2,0),"")</f>
        <v>ok</v>
      </c>
      <c r="I1511" s="36" t="s">
        <v>8546</v>
      </c>
      <c r="J1511" s="36" t="s">
        <v>19</v>
      </c>
      <c r="L1511" s="36"/>
    </row>
    <row r="1512" spans="1:12" hidden="1">
      <c r="A1512" s="42">
        <f t="shared" si="24"/>
        <v>1511</v>
      </c>
      <c r="B1512" s="36" t="s">
        <v>8</v>
      </c>
      <c r="C1512" s="36" t="s">
        <v>9631</v>
      </c>
      <c r="D1512" s="9" t="s">
        <v>9703</v>
      </c>
      <c r="E1512" s="9" t="s">
        <v>9644</v>
      </c>
      <c r="F1512" s="36" t="s">
        <v>9696</v>
      </c>
      <c r="G1512" s="36" t="s">
        <v>14</v>
      </c>
      <c r="H1512" s="36" t="str">
        <f>IFERROR(VLOOKUP(Table2[[#This Row], [Ticket]],Okey!A:B,2,0),"")</f>
        <v>ok</v>
      </c>
      <c r="I1512" s="36" t="s">
        <v>8546</v>
      </c>
      <c r="J1512" s="36" t="s">
        <v>19</v>
      </c>
      <c r="L1512" s="36"/>
    </row>
    <row r="1513" spans="1:12" hidden="1">
      <c r="A1513" s="42">
        <f t="shared" si="24"/>
        <v>1512</v>
      </c>
      <c r="B1513" s="36" t="s">
        <v>8</v>
      </c>
      <c r="C1513" s="36" t="s">
        <v>9631</v>
      </c>
      <c r="D1513" s="9" t="s">
        <v>9704</v>
      </c>
      <c r="E1513" s="9" t="s">
        <v>9632</v>
      </c>
      <c r="F1513" s="9" t="s">
        <v>9717</v>
      </c>
      <c r="G1513" s="36" t="s">
        <v>14</v>
      </c>
      <c r="H1513" s="36" t="str">
        <f>IFERROR(VLOOKUP(Table2[[#This Row], [Ticket]],Okey!A:B,2,0),"")</f>
        <v>ok</v>
      </c>
      <c r="I1513" s="36" t="s">
        <v>8546</v>
      </c>
      <c r="J1513" s="36" t="s">
        <v>19</v>
      </c>
      <c r="L1513" s="36"/>
    </row>
    <row r="1514" spans="1:12" hidden="1">
      <c r="A1514" s="42">
        <f t="shared" si="24"/>
        <v>1513</v>
      </c>
      <c r="B1514" s="36" t="s">
        <v>8</v>
      </c>
      <c r="C1514" s="36" t="s">
        <v>9631</v>
      </c>
      <c r="D1514" s="9" t="s">
        <v>9705</v>
      </c>
      <c r="E1514" s="9" t="s">
        <v>9633</v>
      </c>
      <c r="F1514" s="36" t="s">
        <v>9704</v>
      </c>
      <c r="G1514" s="36" t="s">
        <v>14</v>
      </c>
      <c r="H1514" s="36" t="str">
        <f>IFERROR(VLOOKUP(Table2[[#This Row], [Ticket]],Okey!A:B,2,0),"")</f>
        <v>ok</v>
      </c>
      <c r="I1514" s="36" t="s">
        <v>8546</v>
      </c>
      <c r="J1514" s="36" t="s">
        <v>19</v>
      </c>
      <c r="L1514" s="36"/>
    </row>
    <row r="1515" spans="1:12" hidden="1">
      <c r="A1515" s="42">
        <f t="shared" si="24"/>
        <v>1514</v>
      </c>
      <c r="B1515" s="36" t="s">
        <v>8</v>
      </c>
      <c r="C1515" s="36" t="s">
        <v>9631</v>
      </c>
      <c r="D1515" s="9" t="s">
        <v>9706</v>
      </c>
      <c r="E1515" s="9" t="s">
        <v>9645</v>
      </c>
      <c r="F1515" s="36" t="s">
        <v>9705</v>
      </c>
      <c r="G1515" s="36" t="s">
        <v>14</v>
      </c>
      <c r="H1515" s="36" t="str">
        <f>IFERROR(VLOOKUP(Table2[[#This Row], [Ticket]],Okey!A:B,2,0),"")</f>
        <v>ok</v>
      </c>
      <c r="I1515" s="36" t="s">
        <v>8546</v>
      </c>
      <c r="J1515" s="36" t="s">
        <v>19</v>
      </c>
      <c r="L1515" s="36"/>
    </row>
    <row r="1516" spans="1:12" hidden="1">
      <c r="A1516" s="42">
        <f t="shared" si="24"/>
        <v>1515</v>
      </c>
      <c r="B1516" s="36" t="s">
        <v>8</v>
      </c>
      <c r="C1516" s="36" t="s">
        <v>9631</v>
      </c>
      <c r="D1516" s="9" t="s">
        <v>9707</v>
      </c>
      <c r="E1516" s="9" t="s">
        <v>9637</v>
      </c>
      <c r="F1516" s="36" t="s">
        <v>9704</v>
      </c>
      <c r="G1516" s="36" t="s">
        <v>14</v>
      </c>
      <c r="H1516" s="36" t="str">
        <f>IFERROR(VLOOKUP(Table2[[#This Row], [Ticket]],Okey!A:B,2,0),"")</f>
        <v>ok</v>
      </c>
      <c r="I1516" s="36" t="s">
        <v>8546</v>
      </c>
      <c r="J1516" s="36" t="s">
        <v>19</v>
      </c>
      <c r="L1516" s="36"/>
    </row>
    <row r="1517" spans="1:12" hidden="1">
      <c r="A1517" s="42">
        <f t="shared" si="24"/>
        <v>1516</v>
      </c>
      <c r="B1517" s="36" t="s">
        <v>8</v>
      </c>
      <c r="C1517" s="36" t="s">
        <v>9631</v>
      </c>
      <c r="D1517" s="9" t="s">
        <v>9708</v>
      </c>
      <c r="E1517" s="9" t="s">
        <v>9646</v>
      </c>
      <c r="F1517" s="36" t="s">
        <v>9707</v>
      </c>
      <c r="G1517" s="36" t="s">
        <v>14</v>
      </c>
      <c r="H1517" s="36" t="str">
        <f>IFERROR(VLOOKUP(Table2[[#This Row], [Ticket]],Okey!A:B,2,0),"")</f>
        <v>ok</v>
      </c>
      <c r="I1517" s="36" t="s">
        <v>8546</v>
      </c>
      <c r="J1517" s="36" t="s">
        <v>19</v>
      </c>
      <c r="L1517" s="36"/>
    </row>
    <row r="1518" spans="1:12" hidden="1">
      <c r="A1518" s="42">
        <f t="shared" si="24"/>
        <v>1517</v>
      </c>
      <c r="B1518" s="36" t="s">
        <v>8</v>
      </c>
      <c r="C1518" s="36" t="s">
        <v>9631</v>
      </c>
      <c r="D1518" s="9" t="s">
        <v>9709</v>
      </c>
      <c r="E1518" s="9" t="s">
        <v>9647</v>
      </c>
      <c r="F1518" s="9" t="s">
        <v>9707</v>
      </c>
      <c r="G1518" s="36" t="s">
        <v>14</v>
      </c>
      <c r="H1518" s="36" t="str">
        <f>IFERROR(VLOOKUP(Table2[[#This Row], [Ticket]],Okey!A:B,2,0),"")</f>
        <v>ok</v>
      </c>
      <c r="I1518" s="36" t="s">
        <v>8546</v>
      </c>
      <c r="J1518" s="36" t="s">
        <v>19</v>
      </c>
      <c r="L1518" s="36"/>
    </row>
    <row r="1519" spans="1:12" hidden="1">
      <c r="A1519" s="42">
        <f t="shared" si="24"/>
        <v>1518</v>
      </c>
      <c r="B1519" s="36" t="s">
        <v>8</v>
      </c>
      <c r="C1519" s="36" t="s">
        <v>9631</v>
      </c>
      <c r="D1519" s="9" t="s">
        <v>9710</v>
      </c>
      <c r="E1519" s="9" t="s">
        <v>9648</v>
      </c>
      <c r="F1519" s="36" t="s">
        <v>9707</v>
      </c>
      <c r="G1519" s="36" t="s">
        <v>14</v>
      </c>
      <c r="H1519" s="36" t="str">
        <f>IFERROR(VLOOKUP(Table2[[#This Row], [Ticket]],Okey!A:B,2,0),"")</f>
        <v>ok</v>
      </c>
      <c r="I1519" s="36" t="s">
        <v>8546</v>
      </c>
      <c r="J1519" s="36" t="s">
        <v>19</v>
      </c>
      <c r="L1519" s="36"/>
    </row>
    <row r="1520" spans="1:12" hidden="1">
      <c r="A1520" s="42">
        <f t="shared" si="24"/>
        <v>1519</v>
      </c>
      <c r="B1520" s="36" t="s">
        <v>8</v>
      </c>
      <c r="C1520" s="36" t="s">
        <v>9631</v>
      </c>
      <c r="D1520" s="9" t="s">
        <v>9711</v>
      </c>
      <c r="E1520" s="9" t="s">
        <v>9649</v>
      </c>
      <c r="F1520" s="36" t="s">
        <v>9707</v>
      </c>
      <c r="G1520" s="36" t="s">
        <v>14</v>
      </c>
      <c r="H1520" s="36" t="str">
        <f>IFERROR(VLOOKUP(Table2[[#This Row], [Ticket]],Okey!A:B,2,0),"")</f>
        <v>ok</v>
      </c>
      <c r="I1520" s="36" t="s">
        <v>8546</v>
      </c>
      <c r="J1520" s="36" t="s">
        <v>19</v>
      </c>
      <c r="L1520" s="36"/>
    </row>
    <row r="1521" spans="1:13" hidden="1">
      <c r="A1521" s="42">
        <f t="shared" si="24"/>
        <v>1520</v>
      </c>
      <c r="B1521" s="36" t="s">
        <v>8</v>
      </c>
      <c r="C1521" s="36" t="s">
        <v>9631</v>
      </c>
      <c r="D1521" s="9" t="s">
        <v>9712</v>
      </c>
      <c r="E1521" s="9" t="s">
        <v>9650</v>
      </c>
      <c r="F1521" s="36" t="s">
        <v>9707</v>
      </c>
      <c r="G1521" s="36" t="s">
        <v>14</v>
      </c>
      <c r="H1521" s="36" t="str">
        <f>IFERROR(VLOOKUP(Table2[[#This Row], [Ticket]],Okey!A:B,2,0),"")</f>
        <v>ok</v>
      </c>
      <c r="I1521" s="36" t="s">
        <v>8546</v>
      </c>
      <c r="J1521" s="36" t="s">
        <v>19</v>
      </c>
      <c r="L1521" s="36"/>
    </row>
    <row r="1522" spans="1:13" hidden="1">
      <c r="A1522" s="42">
        <f t="shared" si="24"/>
        <v>1521</v>
      </c>
      <c r="B1522" s="36" t="s">
        <v>8</v>
      </c>
      <c r="C1522" s="36" t="s">
        <v>9631</v>
      </c>
      <c r="D1522" s="9" t="s">
        <v>9713</v>
      </c>
      <c r="E1522" s="9" t="s">
        <v>9651</v>
      </c>
      <c r="F1522" s="36" t="s">
        <v>9707</v>
      </c>
      <c r="G1522" s="36" t="s">
        <v>14</v>
      </c>
      <c r="H1522" s="36" t="str">
        <f>IFERROR(VLOOKUP(Table2[[#This Row], [Ticket]],Okey!A:B,2,0),"")</f>
        <v>ok</v>
      </c>
      <c r="I1522" s="36" t="s">
        <v>8546</v>
      </c>
      <c r="J1522" s="36" t="s">
        <v>19</v>
      </c>
      <c r="L1522" s="36"/>
    </row>
    <row r="1523" spans="1:13" hidden="1">
      <c r="A1523" s="42">
        <f t="shared" si="24"/>
        <v>1522</v>
      </c>
      <c r="B1523" s="36" t="s">
        <v>8</v>
      </c>
      <c r="C1523" s="9" t="s">
        <v>9718</v>
      </c>
      <c r="D1523" s="9" t="s">
        <v>6112</v>
      </c>
      <c r="E1523" s="38" t="s">
        <v>9719</v>
      </c>
      <c r="G1523" s="9" t="s">
        <v>15</v>
      </c>
      <c r="H1523" s="36" t="str">
        <f>IFERROR(VLOOKUP(Table2[[#This Row], [Ticket]],Okey!A:B,2,0),"")</f>
        <v>ok</v>
      </c>
      <c r="I1523" s="36" t="s">
        <v>8546</v>
      </c>
      <c r="J1523" s="36" t="s">
        <v>19</v>
      </c>
      <c r="L1523" s="36"/>
      <c r="M1523" s="9" t="s">
        <v>9034</v>
      </c>
    </row>
    <row r="1524" spans="1:13" hidden="1">
      <c r="A1524" s="42">
        <f t="shared" si="24"/>
        <v>1523</v>
      </c>
      <c r="B1524" s="36" t="s">
        <v>8</v>
      </c>
      <c r="C1524" s="9" t="s">
        <v>9720</v>
      </c>
      <c r="D1524" s="9" t="s">
        <v>9512</v>
      </c>
      <c r="F1524" s="9" t="s">
        <v>9511</v>
      </c>
      <c r="G1524" s="9" t="s">
        <v>13</v>
      </c>
      <c r="H1524" s="36" t="str">
        <f>IFERROR(VLOOKUP(Table2[[#This Row], [Ticket]],Okey!A:B,2,0),"")</f>
        <v>ok</v>
      </c>
      <c r="I1524" s="36" t="s">
        <v>8546</v>
      </c>
      <c r="J1524" s="36" t="s">
        <v>19</v>
      </c>
      <c r="L1524" s="36"/>
      <c r="M1524" s="9" t="s">
        <v>9515</v>
      </c>
    </row>
    <row r="1525" spans="1:13" hidden="1">
      <c r="A1525" s="42">
        <f t="shared" si="24"/>
        <v>1524</v>
      </c>
      <c r="B1525" s="36" t="s">
        <v>8</v>
      </c>
      <c r="C1525" s="36" t="s">
        <v>9720</v>
      </c>
      <c r="D1525" s="9" t="s">
        <v>9513</v>
      </c>
      <c r="F1525" s="9" t="s">
        <v>9511</v>
      </c>
      <c r="G1525" s="36" t="s">
        <v>13</v>
      </c>
      <c r="H1525" s="36" t="str">
        <f>IFERROR(VLOOKUP(Table2[[#This Row], [Ticket]],Okey!A:B,2,0),"")</f>
        <v>ok</v>
      </c>
      <c r="I1525" s="36" t="s">
        <v>8546</v>
      </c>
      <c r="J1525" s="36" t="s">
        <v>19</v>
      </c>
      <c r="K1525" s="36"/>
      <c r="L1525" s="36"/>
      <c r="M1525" s="36" t="s">
        <v>9515</v>
      </c>
    </row>
    <row r="1526" spans="1:13" hidden="1">
      <c r="A1526" s="42">
        <f t="shared" si="24"/>
        <v>1525</v>
      </c>
      <c r="B1526" s="36" t="s">
        <v>8</v>
      </c>
      <c r="C1526" s="36" t="s">
        <v>9720</v>
      </c>
      <c r="D1526" s="9" t="s">
        <v>9514</v>
      </c>
      <c r="F1526" s="9" t="s">
        <v>9511</v>
      </c>
      <c r="G1526" s="36" t="s">
        <v>13</v>
      </c>
      <c r="H1526" s="36" t="str">
        <f>IFERROR(VLOOKUP(Table2[[#This Row], [Ticket]],Okey!A:B,2,0),"")</f>
        <v>ok</v>
      </c>
      <c r="I1526" s="36" t="s">
        <v>8546</v>
      </c>
      <c r="J1526" s="36" t="s">
        <v>19</v>
      </c>
      <c r="K1526" s="36"/>
      <c r="L1526" s="36"/>
      <c r="M1526" s="36" t="s">
        <v>9515</v>
      </c>
    </row>
    <row r="1527" spans="1:13" hidden="1">
      <c r="A1527" s="42">
        <f t="shared" si="24"/>
        <v>1526</v>
      </c>
      <c r="B1527" s="36" t="s">
        <v>8</v>
      </c>
      <c r="C1527" s="9" t="s">
        <v>9721</v>
      </c>
      <c r="D1527" s="9" t="s">
        <v>9750</v>
      </c>
      <c r="E1527" s="9" t="s">
        <v>9722</v>
      </c>
      <c r="F1527" s="9" t="s">
        <v>9696</v>
      </c>
      <c r="G1527" s="36" t="s">
        <v>14</v>
      </c>
      <c r="H1527" s="36" t="str">
        <f>IFERROR(VLOOKUP(Table2[[#This Row], [Ticket]],Okey!A:B,2,0),"")</f>
        <v>ok</v>
      </c>
      <c r="I1527" s="36" t="s">
        <v>8546</v>
      </c>
      <c r="J1527" s="36" t="s">
        <v>19</v>
      </c>
      <c r="K1527" s="36"/>
      <c r="L1527" s="36"/>
      <c r="M1527" s="9" t="s">
        <v>9744</v>
      </c>
    </row>
    <row r="1528" spans="1:13" hidden="1">
      <c r="A1528" s="42">
        <f t="shared" si="24"/>
        <v>1527</v>
      </c>
      <c r="B1528" s="36" t="s">
        <v>8</v>
      </c>
      <c r="C1528" s="36" t="s">
        <v>9721</v>
      </c>
      <c r="D1528" s="9" t="s">
        <v>9751</v>
      </c>
      <c r="E1528" s="9" t="s">
        <v>9723</v>
      </c>
      <c r="F1528" s="9" t="s">
        <v>9696</v>
      </c>
      <c r="G1528" s="36" t="s">
        <v>14</v>
      </c>
      <c r="H1528" s="36" t="str">
        <f>IFERROR(VLOOKUP(Table2[[#This Row], [Ticket]],Okey!A:B,2,0),"")</f>
        <v>ok</v>
      </c>
      <c r="I1528" s="36" t="s">
        <v>8546</v>
      </c>
      <c r="J1528" s="36" t="s">
        <v>19</v>
      </c>
      <c r="K1528" s="36"/>
      <c r="L1528" s="36"/>
      <c r="M1528" s="36" t="s">
        <v>9744</v>
      </c>
    </row>
    <row r="1529" spans="1:13" hidden="1">
      <c r="A1529" s="42">
        <f t="shared" si="24"/>
        <v>1528</v>
      </c>
      <c r="B1529" s="36" t="s">
        <v>8</v>
      </c>
      <c r="C1529" s="36" t="s">
        <v>9721</v>
      </c>
      <c r="D1529" s="9" t="s">
        <v>9752</v>
      </c>
      <c r="E1529" s="9" t="s">
        <v>9724</v>
      </c>
      <c r="F1529" s="9" t="s">
        <v>9696</v>
      </c>
      <c r="G1529" s="36" t="s">
        <v>14</v>
      </c>
      <c r="H1529" s="36" t="str">
        <f>IFERROR(VLOOKUP(Table2[[#This Row], [Ticket]],Okey!A:B,2,0),"")</f>
        <v>ok</v>
      </c>
      <c r="I1529" s="36" t="s">
        <v>8546</v>
      </c>
      <c r="J1529" s="36" t="s">
        <v>19</v>
      </c>
      <c r="K1529" s="36"/>
      <c r="L1529" s="36"/>
      <c r="M1529" s="36" t="s">
        <v>9744</v>
      </c>
    </row>
    <row r="1530" spans="1:13" hidden="1">
      <c r="A1530" s="42">
        <f t="shared" si="24"/>
        <v>1529</v>
      </c>
      <c r="B1530" s="36" t="s">
        <v>8</v>
      </c>
      <c r="C1530" s="36" t="s">
        <v>9721</v>
      </c>
      <c r="D1530" s="9" t="s">
        <v>9753</v>
      </c>
      <c r="E1530" s="9" t="s">
        <v>9725</v>
      </c>
      <c r="F1530" s="9" t="s">
        <v>9696</v>
      </c>
      <c r="G1530" s="36" t="s">
        <v>14</v>
      </c>
      <c r="H1530" s="36" t="str">
        <f>IFERROR(VLOOKUP(Table2[[#This Row], [Ticket]],Okey!A:B,2,0),"")</f>
        <v>ok</v>
      </c>
      <c r="I1530" s="36" t="s">
        <v>8546</v>
      </c>
      <c r="J1530" s="36" t="s">
        <v>19</v>
      </c>
      <c r="K1530" s="36"/>
      <c r="L1530" s="36"/>
      <c r="M1530" s="36" t="s">
        <v>9744</v>
      </c>
    </row>
    <row r="1531" spans="1:13" hidden="1">
      <c r="A1531" s="42">
        <f t="shared" si="24"/>
        <v>1530</v>
      </c>
      <c r="B1531" s="36" t="s">
        <v>8</v>
      </c>
      <c r="C1531" s="36" t="s">
        <v>9721</v>
      </c>
      <c r="D1531" s="9" t="s">
        <v>9754</v>
      </c>
      <c r="E1531" s="9" t="s">
        <v>9726</v>
      </c>
      <c r="F1531" s="9" t="s">
        <v>9696</v>
      </c>
      <c r="G1531" s="36" t="s">
        <v>14</v>
      </c>
      <c r="H1531" s="36" t="str">
        <f>IFERROR(VLOOKUP(Table2[[#This Row], [Ticket]],Okey!A:B,2,0),"")</f>
        <v>ok</v>
      </c>
      <c r="I1531" s="36" t="s">
        <v>8546</v>
      </c>
      <c r="J1531" s="36" t="s">
        <v>19</v>
      </c>
      <c r="K1531" s="36"/>
      <c r="L1531" s="36"/>
      <c r="M1531" s="36" t="s">
        <v>9744</v>
      </c>
    </row>
    <row r="1532" spans="1:13" hidden="1">
      <c r="A1532" s="42">
        <f t="shared" si="24"/>
        <v>1531</v>
      </c>
      <c r="B1532" s="36" t="s">
        <v>8</v>
      </c>
      <c r="C1532" s="36" t="s">
        <v>9721</v>
      </c>
      <c r="D1532" s="9" t="s">
        <v>9755</v>
      </c>
      <c r="E1532" s="9" t="s">
        <v>9727</v>
      </c>
      <c r="F1532" s="9" t="s">
        <v>9696</v>
      </c>
      <c r="G1532" s="36" t="s">
        <v>14</v>
      </c>
      <c r="H1532" s="36" t="str">
        <f>IFERROR(VLOOKUP(Table2[[#This Row], [Ticket]],Okey!A:B,2,0),"")</f>
        <v>ok</v>
      </c>
      <c r="I1532" s="36" t="s">
        <v>8546</v>
      </c>
      <c r="J1532" s="36" t="s">
        <v>19</v>
      </c>
      <c r="K1532" s="36"/>
      <c r="L1532" s="36"/>
      <c r="M1532" s="36" t="s">
        <v>9744</v>
      </c>
    </row>
    <row r="1533" spans="1:13" hidden="1">
      <c r="A1533" s="42">
        <f t="shared" si="24"/>
        <v>1532</v>
      </c>
      <c r="B1533" s="36" t="s">
        <v>8</v>
      </c>
      <c r="C1533" s="36" t="s">
        <v>9721</v>
      </c>
      <c r="D1533" s="9" t="s">
        <v>9756</v>
      </c>
      <c r="E1533" s="9" t="s">
        <v>9728</v>
      </c>
      <c r="F1533" s="9" t="s">
        <v>9696</v>
      </c>
      <c r="G1533" s="36" t="s">
        <v>14</v>
      </c>
      <c r="H1533" s="36" t="str">
        <f>IFERROR(VLOOKUP(Table2[[#This Row], [Ticket]],Okey!A:B,2,0),"")</f>
        <v>ok</v>
      </c>
      <c r="I1533" s="36" t="s">
        <v>8546</v>
      </c>
      <c r="J1533" s="36" t="s">
        <v>19</v>
      </c>
      <c r="K1533" s="36"/>
      <c r="L1533" s="36"/>
      <c r="M1533" s="36" t="s">
        <v>9744</v>
      </c>
    </row>
    <row r="1534" spans="1:13" hidden="1">
      <c r="A1534" s="42">
        <f t="shared" si="24"/>
        <v>1533</v>
      </c>
      <c r="B1534" s="36" t="s">
        <v>8</v>
      </c>
      <c r="C1534" s="36" t="s">
        <v>9721</v>
      </c>
      <c r="D1534" s="9" t="s">
        <v>9757</v>
      </c>
      <c r="E1534" s="9" t="s">
        <v>9729</v>
      </c>
      <c r="F1534" s="9" t="s">
        <v>9696</v>
      </c>
      <c r="G1534" s="36" t="s">
        <v>14</v>
      </c>
      <c r="H1534" s="36" t="str">
        <f>IFERROR(VLOOKUP(Table2[[#This Row], [Ticket]],Okey!A:B,2,0),"")</f>
        <v>ok</v>
      </c>
      <c r="I1534" s="36" t="s">
        <v>8546</v>
      </c>
      <c r="J1534" s="36" t="s">
        <v>19</v>
      </c>
      <c r="K1534" s="36"/>
      <c r="L1534" s="36"/>
      <c r="M1534" s="36" t="s">
        <v>9744</v>
      </c>
    </row>
    <row r="1535" spans="1:13" hidden="1">
      <c r="A1535" s="42">
        <f t="shared" si="24"/>
        <v>1534</v>
      </c>
      <c r="B1535" s="36" t="s">
        <v>8</v>
      </c>
      <c r="C1535" s="36" t="s">
        <v>9721</v>
      </c>
      <c r="D1535" s="9" t="s">
        <v>9758</v>
      </c>
      <c r="E1535" s="9" t="s">
        <v>9730</v>
      </c>
      <c r="F1535" s="9" t="s">
        <v>9696</v>
      </c>
      <c r="G1535" s="36" t="s">
        <v>14</v>
      </c>
      <c r="H1535" s="36" t="str">
        <f>IFERROR(VLOOKUP(Table2[[#This Row], [Ticket]],Okey!A:B,2,0),"")</f>
        <v>ok</v>
      </c>
      <c r="I1535" s="36" t="s">
        <v>8546</v>
      </c>
      <c r="J1535" s="36" t="s">
        <v>19</v>
      </c>
      <c r="K1535" s="36"/>
      <c r="L1535" s="36"/>
      <c r="M1535" s="36" t="s">
        <v>9744</v>
      </c>
    </row>
    <row r="1536" spans="1:13" hidden="1">
      <c r="A1536" s="42">
        <f t="shared" si="24"/>
        <v>1535</v>
      </c>
      <c r="B1536" s="36" t="s">
        <v>8</v>
      </c>
      <c r="C1536" s="36" t="s">
        <v>9721</v>
      </c>
      <c r="D1536" s="9" t="s">
        <v>9759</v>
      </c>
      <c r="E1536" s="9" t="s">
        <v>9731</v>
      </c>
      <c r="F1536" s="9" t="s">
        <v>9696</v>
      </c>
      <c r="G1536" s="36" t="s">
        <v>14</v>
      </c>
      <c r="H1536" s="36" t="str">
        <f>IFERROR(VLOOKUP(Table2[[#This Row], [Ticket]],Okey!A:B,2,0),"")</f>
        <v>ok</v>
      </c>
      <c r="I1536" s="36" t="s">
        <v>8546</v>
      </c>
      <c r="J1536" s="36" t="s">
        <v>19</v>
      </c>
      <c r="K1536" s="36"/>
      <c r="L1536" s="36"/>
      <c r="M1536" s="36" t="s">
        <v>9744</v>
      </c>
    </row>
    <row r="1537" spans="1:13" hidden="1">
      <c r="A1537" s="42">
        <f t="shared" si="24"/>
        <v>1536</v>
      </c>
      <c r="B1537" s="36" t="s">
        <v>8</v>
      </c>
      <c r="C1537" s="36" t="s">
        <v>9721</v>
      </c>
      <c r="D1537" s="9" t="s">
        <v>9760</v>
      </c>
      <c r="E1537" s="9" t="s">
        <v>9732</v>
      </c>
      <c r="F1537" s="9" t="s">
        <v>9696</v>
      </c>
      <c r="G1537" s="36" t="s">
        <v>14</v>
      </c>
      <c r="H1537" s="36" t="str">
        <f>IFERROR(VLOOKUP(Table2[[#This Row], [Ticket]],Okey!A:B,2,0),"")</f>
        <v>ok</v>
      </c>
      <c r="I1537" s="36" t="s">
        <v>8546</v>
      </c>
      <c r="J1537" s="36" t="s">
        <v>19</v>
      </c>
      <c r="K1537" s="36"/>
      <c r="L1537" s="36"/>
      <c r="M1537" s="36" t="s">
        <v>9744</v>
      </c>
    </row>
    <row r="1538" spans="1:13" hidden="1">
      <c r="A1538" s="42">
        <f t="shared" si="24"/>
        <v>1537</v>
      </c>
      <c r="B1538" s="36" t="s">
        <v>8</v>
      </c>
      <c r="C1538" s="36" t="s">
        <v>9721</v>
      </c>
      <c r="D1538" s="9" t="s">
        <v>9761</v>
      </c>
      <c r="E1538" s="9" t="s">
        <v>9733</v>
      </c>
      <c r="F1538" s="9" t="s">
        <v>9696</v>
      </c>
      <c r="G1538" s="36" t="s">
        <v>14</v>
      </c>
      <c r="H1538" s="36" t="str">
        <f>IFERROR(VLOOKUP(Table2[[#This Row], [Ticket]],Okey!A:B,2,0),"")</f>
        <v>ok</v>
      </c>
      <c r="I1538" s="36" t="s">
        <v>8546</v>
      </c>
      <c r="J1538" s="36" t="s">
        <v>19</v>
      </c>
      <c r="K1538" s="36"/>
      <c r="L1538" s="36"/>
      <c r="M1538" s="36" t="s">
        <v>9744</v>
      </c>
    </row>
    <row r="1539" spans="1:13" hidden="1">
      <c r="A1539" s="42">
        <f t="shared" si="24"/>
        <v>1538</v>
      </c>
      <c r="B1539" s="36" t="s">
        <v>8</v>
      </c>
      <c r="C1539" s="36" t="s">
        <v>9721</v>
      </c>
      <c r="D1539" s="9" t="s">
        <v>9762</v>
      </c>
      <c r="E1539" s="9" t="s">
        <v>9734</v>
      </c>
      <c r="F1539" s="9" t="s">
        <v>9707</v>
      </c>
      <c r="G1539" s="36" t="s">
        <v>14</v>
      </c>
      <c r="H1539" s="36" t="str">
        <f>IFERROR(VLOOKUP(Table2[[#This Row], [Ticket]],Okey!A:B,2,0),"")</f>
        <v>ok</v>
      </c>
      <c r="I1539" s="36" t="s">
        <v>8546</v>
      </c>
      <c r="J1539" s="36" t="s">
        <v>19</v>
      </c>
      <c r="K1539" s="36"/>
      <c r="L1539" s="36"/>
      <c r="M1539" s="36" t="s">
        <v>9744</v>
      </c>
    </row>
    <row r="1540" spans="1:13" hidden="1">
      <c r="A1540" s="42">
        <f t="shared" si="24"/>
        <v>1539</v>
      </c>
      <c r="B1540" s="36" t="s">
        <v>8</v>
      </c>
      <c r="C1540" s="36" t="s">
        <v>9721</v>
      </c>
      <c r="D1540" s="9" t="s">
        <v>9763</v>
      </c>
      <c r="E1540" s="9" t="s">
        <v>9735</v>
      </c>
      <c r="F1540" s="9" t="s">
        <v>9707</v>
      </c>
      <c r="G1540" s="36" t="s">
        <v>14</v>
      </c>
      <c r="H1540" s="36" t="str">
        <f>IFERROR(VLOOKUP(Table2[[#This Row], [Ticket]],Okey!A:B,2,0),"")</f>
        <v>ok</v>
      </c>
      <c r="I1540" s="36" t="s">
        <v>8546</v>
      </c>
      <c r="J1540" s="36" t="s">
        <v>19</v>
      </c>
      <c r="K1540" s="36"/>
      <c r="L1540" s="36"/>
      <c r="M1540" s="36" t="s">
        <v>9744</v>
      </c>
    </row>
    <row r="1541" spans="1:13" hidden="1">
      <c r="A1541" s="42">
        <f t="shared" si="24"/>
        <v>1540</v>
      </c>
      <c r="B1541" s="36" t="s">
        <v>8</v>
      </c>
      <c r="C1541" s="36" t="s">
        <v>9721</v>
      </c>
      <c r="D1541" s="9" t="s">
        <v>9764</v>
      </c>
      <c r="E1541" s="9" t="s">
        <v>9736</v>
      </c>
      <c r="F1541" s="9" t="s">
        <v>9707</v>
      </c>
      <c r="G1541" s="36" t="s">
        <v>14</v>
      </c>
      <c r="H1541" s="36" t="str">
        <f>IFERROR(VLOOKUP(Table2[[#This Row], [Ticket]],Okey!A:B,2,0),"")</f>
        <v>ok</v>
      </c>
      <c r="I1541" s="36" t="s">
        <v>8546</v>
      </c>
      <c r="J1541" s="36" t="s">
        <v>19</v>
      </c>
      <c r="K1541" s="36"/>
      <c r="L1541" s="36"/>
      <c r="M1541" s="36" t="s">
        <v>9744</v>
      </c>
    </row>
    <row r="1542" spans="1:13" hidden="1">
      <c r="A1542" s="42">
        <f t="shared" si="24"/>
        <v>1541</v>
      </c>
      <c r="B1542" s="36" t="s">
        <v>8</v>
      </c>
      <c r="C1542" s="36" t="s">
        <v>9721</v>
      </c>
      <c r="D1542" s="9" t="s">
        <v>9765</v>
      </c>
      <c r="E1542" s="9" t="s">
        <v>9737</v>
      </c>
      <c r="F1542" s="9" t="s">
        <v>9707</v>
      </c>
      <c r="G1542" s="36" t="s">
        <v>14</v>
      </c>
      <c r="H1542" s="36" t="str">
        <f>IFERROR(VLOOKUP(Table2[[#This Row], [Ticket]],Okey!A:B,2,0),"")</f>
        <v>ok</v>
      </c>
      <c r="I1542" s="36" t="s">
        <v>8546</v>
      </c>
      <c r="J1542" s="36" t="s">
        <v>19</v>
      </c>
      <c r="K1542" s="36"/>
      <c r="L1542" s="36"/>
      <c r="M1542" s="36" t="s">
        <v>9744</v>
      </c>
    </row>
    <row r="1543" spans="1:13" hidden="1">
      <c r="A1543" s="42">
        <f t="shared" si="24"/>
        <v>1542</v>
      </c>
      <c r="B1543" s="36" t="s">
        <v>8</v>
      </c>
      <c r="C1543" s="36" t="s">
        <v>9721</v>
      </c>
      <c r="D1543" s="9" t="s">
        <v>9766</v>
      </c>
      <c r="E1543" s="9" t="s">
        <v>9738</v>
      </c>
      <c r="F1543" s="9" t="s">
        <v>9707</v>
      </c>
      <c r="G1543" s="36" t="s">
        <v>14</v>
      </c>
      <c r="H1543" s="36" t="str">
        <f>IFERROR(VLOOKUP(Table2[[#This Row], [Ticket]],Okey!A:B,2,0),"")</f>
        <v>ok</v>
      </c>
      <c r="I1543" s="36" t="s">
        <v>8546</v>
      </c>
      <c r="J1543" s="36" t="s">
        <v>19</v>
      </c>
      <c r="K1543" s="36"/>
      <c r="L1543" s="36"/>
      <c r="M1543" s="36" t="s">
        <v>9744</v>
      </c>
    </row>
    <row r="1544" spans="1:13" hidden="1">
      <c r="A1544" s="42">
        <f t="shared" si="24"/>
        <v>1543</v>
      </c>
      <c r="B1544" s="36" t="s">
        <v>8</v>
      </c>
      <c r="C1544" s="36" t="s">
        <v>9721</v>
      </c>
      <c r="D1544" s="9" t="s">
        <v>9767</v>
      </c>
      <c r="E1544" s="9" t="s">
        <v>9739</v>
      </c>
      <c r="F1544" s="9" t="s">
        <v>9707</v>
      </c>
      <c r="G1544" s="36" t="s">
        <v>14</v>
      </c>
      <c r="H1544" s="36" t="str">
        <f>IFERROR(VLOOKUP(Table2[[#This Row], [Ticket]],Okey!A:B,2,0),"")</f>
        <v>ok</v>
      </c>
      <c r="I1544" s="36" t="s">
        <v>8546</v>
      </c>
      <c r="J1544" s="36" t="s">
        <v>19</v>
      </c>
      <c r="K1544" s="36"/>
      <c r="L1544" s="36"/>
      <c r="M1544" s="36" t="s">
        <v>9744</v>
      </c>
    </row>
    <row r="1545" spans="1:13" hidden="1">
      <c r="A1545" s="42">
        <f t="shared" si="24"/>
        <v>1544</v>
      </c>
      <c r="B1545" s="36" t="s">
        <v>8</v>
      </c>
      <c r="C1545" s="36" t="s">
        <v>9721</v>
      </c>
      <c r="D1545" s="9" t="s">
        <v>9768</v>
      </c>
      <c r="E1545" s="9" t="s">
        <v>9740</v>
      </c>
      <c r="F1545" s="9" t="s">
        <v>9707</v>
      </c>
      <c r="G1545" s="36" t="s">
        <v>14</v>
      </c>
      <c r="H1545" s="36" t="str">
        <f>IFERROR(VLOOKUP(Table2[[#This Row], [Ticket]],Okey!A:B,2,0),"")</f>
        <v>ok</v>
      </c>
      <c r="I1545" s="36" t="s">
        <v>8546</v>
      </c>
      <c r="J1545" s="36" t="s">
        <v>19</v>
      </c>
      <c r="K1545" s="36"/>
      <c r="L1545" s="36"/>
      <c r="M1545" s="36" t="s">
        <v>9744</v>
      </c>
    </row>
    <row r="1546" spans="1:13" hidden="1">
      <c r="A1546" s="42">
        <f t="shared" si="24"/>
        <v>1545</v>
      </c>
      <c r="B1546" s="36" t="s">
        <v>8</v>
      </c>
      <c r="C1546" s="36" t="s">
        <v>9721</v>
      </c>
      <c r="D1546" s="9" t="s">
        <v>9769</v>
      </c>
      <c r="E1546" s="9" t="s">
        <v>9741</v>
      </c>
      <c r="F1546" s="9" t="s">
        <v>9707</v>
      </c>
      <c r="G1546" s="36" t="s">
        <v>14</v>
      </c>
      <c r="H1546" s="36" t="str">
        <f>IFERROR(VLOOKUP(Table2[[#This Row], [Ticket]],Okey!A:B,2,0),"")</f>
        <v>ok</v>
      </c>
      <c r="I1546" s="36" t="s">
        <v>8546</v>
      </c>
      <c r="J1546" s="36" t="s">
        <v>19</v>
      </c>
      <c r="K1546" s="36"/>
      <c r="L1546" s="36"/>
      <c r="M1546" s="36" t="s">
        <v>9744</v>
      </c>
    </row>
    <row r="1547" spans="1:13" hidden="1">
      <c r="A1547" s="42">
        <f t="shared" si="24"/>
        <v>1546</v>
      </c>
      <c r="B1547" s="36" t="s">
        <v>8</v>
      </c>
      <c r="C1547" s="36" t="s">
        <v>9721</v>
      </c>
      <c r="D1547" s="9" t="s">
        <v>9770</v>
      </c>
      <c r="E1547" s="9" t="s">
        <v>9742</v>
      </c>
      <c r="F1547" s="9" t="s">
        <v>9707</v>
      </c>
      <c r="G1547" s="36" t="s">
        <v>14</v>
      </c>
      <c r="H1547" s="36" t="str">
        <f>IFERROR(VLOOKUP(Table2[[#This Row], [Ticket]],Okey!A:B,2,0),"")</f>
        <v>ok</v>
      </c>
      <c r="I1547" s="36" t="s">
        <v>8546</v>
      </c>
      <c r="J1547" s="36" t="s">
        <v>19</v>
      </c>
      <c r="K1547" s="36"/>
      <c r="L1547" s="36"/>
      <c r="M1547" s="36" t="s">
        <v>9744</v>
      </c>
    </row>
    <row r="1548" spans="1:13" hidden="1">
      <c r="A1548" s="42">
        <f t="shared" si="24"/>
        <v>1547</v>
      </c>
      <c r="B1548" s="36" t="s">
        <v>8</v>
      </c>
      <c r="C1548" s="36" t="s">
        <v>9721</v>
      </c>
      <c r="D1548" s="9" t="s">
        <v>9771</v>
      </c>
      <c r="E1548" s="9" t="s">
        <v>9743</v>
      </c>
      <c r="F1548" s="9" t="s">
        <v>9707</v>
      </c>
      <c r="G1548" s="9" t="s">
        <v>14</v>
      </c>
      <c r="H1548" s="36" t="str">
        <f>IFERROR(VLOOKUP(Table2[[#This Row], [Ticket]],Okey!A:B,2,0),"")</f>
        <v>ok</v>
      </c>
      <c r="I1548" s="36" t="s">
        <v>8546</v>
      </c>
      <c r="J1548" s="36" t="s">
        <v>19</v>
      </c>
      <c r="K1548" s="36"/>
      <c r="L1548" s="36"/>
      <c r="M1548" s="36" t="s">
        <v>9744</v>
      </c>
    </row>
    <row r="1549" spans="1:13" hidden="1">
      <c r="A1549" s="42">
        <f t="shared" si="24"/>
        <v>1548</v>
      </c>
      <c r="B1549" s="36" t="s">
        <v>8</v>
      </c>
      <c r="C1549" s="36" t="s">
        <v>9721</v>
      </c>
      <c r="D1549" s="9" t="s">
        <v>9703</v>
      </c>
      <c r="E1549" s="9" t="s">
        <v>9745</v>
      </c>
      <c r="G1549" s="9" t="s">
        <v>15</v>
      </c>
      <c r="H1549" s="36" t="str">
        <f>IFERROR(VLOOKUP(Table2[[#This Row], [Ticket]],Okey!A:B,2,0),"")</f>
        <v>ok</v>
      </c>
      <c r="I1549" s="36" t="s">
        <v>8546</v>
      </c>
      <c r="J1549" s="36" t="s">
        <v>19</v>
      </c>
      <c r="K1549" s="36"/>
      <c r="L1549" s="36"/>
      <c r="M1549" s="36" t="s">
        <v>9744</v>
      </c>
    </row>
    <row r="1550" spans="1:13" hidden="1">
      <c r="A1550" s="42">
        <f t="shared" si="24"/>
        <v>1549</v>
      </c>
      <c r="B1550" s="36" t="s">
        <v>8</v>
      </c>
      <c r="C1550" s="9" t="s">
        <v>9748</v>
      </c>
      <c r="D1550" s="9" t="s">
        <v>9746</v>
      </c>
      <c r="E1550" s="9" t="s">
        <v>9747</v>
      </c>
      <c r="G1550" s="36" t="s">
        <v>15</v>
      </c>
      <c r="H1550" s="36" t="str">
        <f>IFERROR(VLOOKUP(Table2[[#This Row], [Ticket]],Okey!A:B,2,0),"")</f>
        <v>ok</v>
      </c>
      <c r="I1550" s="36" t="s">
        <v>8546</v>
      </c>
      <c r="J1550" s="9" t="s">
        <v>18</v>
      </c>
      <c r="K1550" s="36"/>
      <c r="L1550" s="36"/>
      <c r="M1550" s="9" t="s">
        <v>6593</v>
      </c>
    </row>
    <row r="1551" spans="1:13">
      <c r="A1551" s="42">
        <f t="shared" si="24"/>
        <v>1550</v>
      </c>
      <c r="B1551" s="36" t="s">
        <v>8</v>
      </c>
      <c r="C1551" s="9" t="s">
        <v>9777</v>
      </c>
      <c r="D1551" s="9" t="s">
        <v>9772</v>
      </c>
      <c r="E1551" s="9" t="s">
        <v>9773</v>
      </c>
      <c r="F1551" s="9" t="s">
        <v>5286</v>
      </c>
      <c r="G1551" s="36" t="s">
        <v>14</v>
      </c>
      <c r="H1551" s="36" t="str">
        <f>IFERROR(VLOOKUP(Table2[[#This Row], [Ticket]],Okey!A:B,2,0),"")</f>
        <v>ok</v>
      </c>
      <c r="I1551" s="36" t="s">
        <v>8546</v>
      </c>
      <c r="J1551" s="36" t="s">
        <v>19</v>
      </c>
      <c r="K1551" s="36"/>
      <c r="L1551" s="36"/>
      <c r="M1551" s="9" t="s">
        <v>4782</v>
      </c>
    </row>
    <row r="1552" spans="1:13">
      <c r="A1552" s="42">
        <f t="shared" si="24"/>
        <v>1551</v>
      </c>
      <c r="B1552" s="36" t="s">
        <v>8</v>
      </c>
      <c r="C1552" s="36" t="s">
        <v>9777</v>
      </c>
      <c r="D1552" s="36" t="s">
        <v>9782</v>
      </c>
      <c r="E1552" s="9" t="s">
        <v>9774</v>
      </c>
      <c r="F1552" s="9" t="s">
        <v>9775</v>
      </c>
      <c r="G1552" s="36" t="s">
        <v>14</v>
      </c>
      <c r="H1552" s="36" t="str">
        <f>IFERROR(VLOOKUP(Table2[[#This Row], [Ticket]],Okey!A:B,2,0),"")</f>
        <v>ok</v>
      </c>
      <c r="I1552" s="36" t="s">
        <v>8546</v>
      </c>
      <c r="J1552" s="36" t="s">
        <v>19</v>
      </c>
      <c r="K1552" s="36"/>
      <c r="L1552" s="36"/>
      <c r="M1552" s="36" t="s">
        <v>4782</v>
      </c>
    </row>
    <row r="1553" spans="1:13">
      <c r="A1553" s="42">
        <f t="shared" si="24"/>
        <v>1552</v>
      </c>
      <c r="B1553" s="36" t="s">
        <v>8</v>
      </c>
      <c r="C1553" s="36" t="s">
        <v>9777</v>
      </c>
      <c r="D1553" s="36" t="s">
        <v>9783</v>
      </c>
      <c r="E1553" s="9" t="s">
        <v>9776</v>
      </c>
      <c r="F1553" s="9" t="s">
        <v>9775</v>
      </c>
      <c r="G1553" s="36" t="s">
        <v>14</v>
      </c>
      <c r="H1553" s="36" t="str">
        <f>IFERROR(VLOOKUP(Table2[[#This Row], [Ticket]],Okey!A:B,2,0),"")</f>
        <v>ok</v>
      </c>
      <c r="I1553" s="36" t="s">
        <v>8546</v>
      </c>
      <c r="J1553" s="36" t="s">
        <v>19</v>
      </c>
      <c r="K1553" s="36"/>
      <c r="L1553" s="36"/>
      <c r="M1553" s="36" t="s">
        <v>4782</v>
      </c>
    </row>
    <row r="1554" spans="1:13">
      <c r="A1554" s="42">
        <f t="shared" si="24"/>
        <v>1553</v>
      </c>
      <c r="B1554" s="36" t="s">
        <v>8</v>
      </c>
      <c r="C1554" s="9" t="s">
        <v>9778</v>
      </c>
      <c r="D1554" s="9" t="s">
        <v>365</v>
      </c>
      <c r="F1554" s="36" t="s">
        <v>5725</v>
      </c>
      <c r="G1554" s="9" t="s">
        <v>13</v>
      </c>
      <c r="H1554" s="36" t="str">
        <f>IFERROR(VLOOKUP(Table2[[#This Row], [Ticket]],Okey!A:B,2,0),"")</f>
        <v>ok</v>
      </c>
      <c r="I1554" s="36" t="s">
        <v>8546</v>
      </c>
      <c r="J1554" s="9" t="s">
        <v>17</v>
      </c>
      <c r="L1554" s="36"/>
      <c r="M1554" s="9" t="s">
        <v>9011</v>
      </c>
    </row>
    <row r="1555" spans="1:13">
      <c r="A1555" s="42">
        <f t="shared" si="24"/>
        <v>1554</v>
      </c>
      <c r="B1555" s="36" t="s">
        <v>8</v>
      </c>
      <c r="C1555" s="36" t="s">
        <v>9778</v>
      </c>
      <c r="D1555" s="9" t="s">
        <v>702</v>
      </c>
      <c r="F1555" s="36" t="s">
        <v>5725</v>
      </c>
      <c r="G1555" s="36" t="s">
        <v>13</v>
      </c>
      <c r="H1555" s="36" t="str">
        <f>IFERROR(VLOOKUP(Table2[[#This Row], [Ticket]],Okey!A:B,2,0),"")</f>
        <v>ok</v>
      </c>
      <c r="I1555" s="36" t="s">
        <v>8546</v>
      </c>
      <c r="J1555" s="36" t="s">
        <v>17</v>
      </c>
      <c r="L1555" s="36"/>
      <c r="M1555" s="36" t="s">
        <v>9011</v>
      </c>
    </row>
    <row r="1556" spans="1:13">
      <c r="A1556" s="42">
        <f t="shared" si="24"/>
        <v>1555</v>
      </c>
      <c r="B1556" s="36" t="s">
        <v>8</v>
      </c>
      <c r="C1556" s="9" t="s">
        <v>9781</v>
      </c>
      <c r="D1556" s="9" t="s">
        <v>9779</v>
      </c>
      <c r="E1556" s="9" t="s">
        <v>9593</v>
      </c>
      <c r="F1556" s="9" t="s">
        <v>8955</v>
      </c>
      <c r="G1556" s="36" t="s">
        <v>13</v>
      </c>
      <c r="H1556" s="36" t="str">
        <f>IFERROR(VLOOKUP(Table2[[#This Row], [Ticket]],Okey!A:B,2,0),"")</f>
        <v>ok</v>
      </c>
      <c r="I1556" s="36" t="s">
        <v>8546</v>
      </c>
      <c r="J1556" s="36" t="s">
        <v>19</v>
      </c>
      <c r="L1556" s="36"/>
      <c r="M1556" s="9" t="s">
        <v>9605</v>
      </c>
    </row>
    <row r="1557" spans="1:13">
      <c r="A1557" s="42">
        <f t="shared" ref="A1557:A1599" si="25">1+A1556</f>
        <v>1556</v>
      </c>
      <c r="B1557" s="36" t="s">
        <v>8</v>
      </c>
      <c r="C1557" s="36" t="s">
        <v>9781</v>
      </c>
      <c r="D1557" s="9" t="s">
        <v>9664</v>
      </c>
      <c r="E1557" s="9" t="s">
        <v>9780</v>
      </c>
      <c r="G1557" s="9" t="s">
        <v>15</v>
      </c>
      <c r="H1557" s="36" t="str">
        <f>IFERROR(VLOOKUP(Table2[[#This Row], [Ticket]],Okey!A:B,2,0),"")</f>
        <v>ok</v>
      </c>
      <c r="I1557" s="36" t="s">
        <v>8546</v>
      </c>
      <c r="J1557" s="36" t="s">
        <v>19</v>
      </c>
      <c r="L1557" s="36"/>
      <c r="M1557" s="36" t="s">
        <v>9605</v>
      </c>
    </row>
    <row r="1558" spans="1:13">
      <c r="A1558" s="42">
        <f t="shared" si="25"/>
        <v>1557</v>
      </c>
      <c r="B1558" s="36" t="s">
        <v>8</v>
      </c>
      <c r="C1558" s="36" t="s">
        <v>9781</v>
      </c>
      <c r="D1558" s="9" t="s">
        <v>9666</v>
      </c>
      <c r="E1558" s="9" t="s">
        <v>9598</v>
      </c>
      <c r="G1558" s="36" t="s">
        <v>15</v>
      </c>
      <c r="H1558" s="36" t="str">
        <f>IFERROR(VLOOKUP(Table2[[#This Row], [Ticket]],Okey!A:B,2,0),"")</f>
        <v>ok</v>
      </c>
      <c r="I1558" s="36" t="s">
        <v>8546</v>
      </c>
      <c r="J1558" s="36" t="s">
        <v>19</v>
      </c>
      <c r="L1558" s="36"/>
      <c r="M1558" s="36" t="s">
        <v>9605</v>
      </c>
    </row>
    <row r="1559" spans="1:13">
      <c r="A1559" s="42">
        <f t="shared" si="25"/>
        <v>1558</v>
      </c>
      <c r="B1559" s="36" t="s">
        <v>8</v>
      </c>
      <c r="C1559" s="9" t="s">
        <v>9837</v>
      </c>
      <c r="D1559" s="9" t="s">
        <v>9785</v>
      </c>
      <c r="E1559" s="9" t="s">
        <v>9787</v>
      </c>
      <c r="F1559" s="9" t="s">
        <v>9819</v>
      </c>
      <c r="G1559" s="36" t="s">
        <v>14</v>
      </c>
      <c r="H1559" s="36" t="str">
        <f>IFERROR(VLOOKUP(Table2[[#This Row], [Ticket]],Okey!A:B,2,0),"")</f>
        <v/>
      </c>
      <c r="I1559" s="36"/>
      <c r="J1559" s="9" t="s">
        <v>17</v>
      </c>
      <c r="L1559" s="36"/>
      <c r="M1559" s="9" t="s">
        <v>4778</v>
      </c>
    </row>
    <row r="1560" spans="1:13">
      <c r="A1560" s="42">
        <f t="shared" si="25"/>
        <v>1559</v>
      </c>
      <c r="B1560" s="36" t="s">
        <v>8</v>
      </c>
      <c r="C1560" s="36" t="s">
        <v>9837</v>
      </c>
      <c r="D1560" s="9" t="s">
        <v>9785</v>
      </c>
      <c r="E1560" s="9" t="s">
        <v>9788</v>
      </c>
      <c r="F1560" s="9" t="s">
        <v>9820</v>
      </c>
      <c r="G1560" s="36" t="s">
        <v>14</v>
      </c>
      <c r="H1560" s="36" t="str">
        <f>IFERROR(VLOOKUP(Table2[[#This Row], [Ticket]],Okey!A:B,2,0),"")</f>
        <v/>
      </c>
      <c r="I1560" s="36"/>
      <c r="J1560" s="36" t="s">
        <v>17</v>
      </c>
      <c r="L1560" s="36"/>
      <c r="M1560" s="36" t="s">
        <v>4778</v>
      </c>
    </row>
    <row r="1561" spans="1:13">
      <c r="A1561" s="42">
        <f t="shared" si="25"/>
        <v>1560</v>
      </c>
      <c r="B1561" s="36" t="s">
        <v>8</v>
      </c>
      <c r="C1561" s="36" t="s">
        <v>9837</v>
      </c>
      <c r="D1561" s="9" t="s">
        <v>9785</v>
      </c>
      <c r="E1561" s="9" t="s">
        <v>9789</v>
      </c>
      <c r="F1561" s="9" t="s">
        <v>9821</v>
      </c>
      <c r="G1561" s="36" t="s">
        <v>14</v>
      </c>
      <c r="H1561" s="36" t="str">
        <f>IFERROR(VLOOKUP(Table2[[#This Row], [Ticket]],Okey!A:B,2,0),"")</f>
        <v/>
      </c>
      <c r="I1561" s="36"/>
      <c r="J1561" s="36" t="s">
        <v>17</v>
      </c>
      <c r="L1561" s="36"/>
      <c r="M1561" s="36" t="s">
        <v>4778</v>
      </c>
    </row>
    <row r="1562" spans="1:13">
      <c r="A1562" s="42">
        <f t="shared" si="25"/>
        <v>1561</v>
      </c>
      <c r="B1562" s="36" t="s">
        <v>8</v>
      </c>
      <c r="C1562" s="36" t="s">
        <v>9837</v>
      </c>
      <c r="D1562" s="9" t="s">
        <v>9785</v>
      </c>
      <c r="E1562" s="9" t="s">
        <v>9790</v>
      </c>
      <c r="F1562" s="9" t="s">
        <v>9821</v>
      </c>
      <c r="G1562" s="36" t="s">
        <v>14</v>
      </c>
      <c r="H1562" s="36" t="str">
        <f>IFERROR(VLOOKUP(Table2[[#This Row], [Ticket]],Okey!A:B,2,0),"")</f>
        <v/>
      </c>
      <c r="I1562" s="36"/>
      <c r="J1562" s="36" t="s">
        <v>17</v>
      </c>
      <c r="L1562" s="36"/>
      <c r="M1562" s="36" t="s">
        <v>4778</v>
      </c>
    </row>
    <row r="1563" spans="1:13">
      <c r="A1563" s="42">
        <f t="shared" si="25"/>
        <v>1562</v>
      </c>
      <c r="B1563" s="36" t="s">
        <v>8</v>
      </c>
      <c r="C1563" s="36" t="s">
        <v>9837</v>
      </c>
      <c r="D1563" s="9" t="s">
        <v>9785</v>
      </c>
      <c r="E1563" s="9" t="s">
        <v>9791</v>
      </c>
      <c r="F1563" s="9" t="s">
        <v>9822</v>
      </c>
      <c r="G1563" s="36" t="s">
        <v>14</v>
      </c>
      <c r="H1563" s="36" t="str">
        <f>IFERROR(VLOOKUP(Table2[[#This Row], [Ticket]],Okey!A:B,2,0),"")</f>
        <v/>
      </c>
      <c r="I1563" s="36"/>
      <c r="J1563" s="36" t="s">
        <v>17</v>
      </c>
      <c r="L1563" s="36"/>
      <c r="M1563" s="36" t="s">
        <v>4778</v>
      </c>
    </row>
    <row r="1564" spans="1:13">
      <c r="A1564" s="42">
        <f t="shared" si="25"/>
        <v>1563</v>
      </c>
      <c r="B1564" s="36" t="s">
        <v>8</v>
      </c>
      <c r="C1564" s="36" t="s">
        <v>9837</v>
      </c>
      <c r="D1564" s="9" t="s">
        <v>9785</v>
      </c>
      <c r="E1564" s="9" t="s">
        <v>9792</v>
      </c>
      <c r="F1564" s="9" t="s">
        <v>9823</v>
      </c>
      <c r="G1564" s="36" t="s">
        <v>14</v>
      </c>
      <c r="H1564" s="36" t="str">
        <f>IFERROR(VLOOKUP(Table2[[#This Row], [Ticket]],Okey!A:B,2,0),"")</f>
        <v/>
      </c>
      <c r="I1564" s="36"/>
      <c r="J1564" s="36" t="s">
        <v>17</v>
      </c>
      <c r="L1564" s="36"/>
      <c r="M1564" s="36" t="s">
        <v>4778</v>
      </c>
    </row>
    <row r="1565" spans="1:13">
      <c r="A1565" s="42">
        <f t="shared" si="25"/>
        <v>1564</v>
      </c>
      <c r="B1565" s="36" t="s">
        <v>8</v>
      </c>
      <c r="C1565" s="36" t="s">
        <v>9837</v>
      </c>
      <c r="D1565" s="9" t="s">
        <v>9785</v>
      </c>
      <c r="E1565" s="9" t="s">
        <v>9793</v>
      </c>
      <c r="F1565" s="9" t="s">
        <v>9823</v>
      </c>
      <c r="G1565" s="36" t="s">
        <v>14</v>
      </c>
      <c r="H1565" s="36" t="str">
        <f>IFERROR(VLOOKUP(Table2[[#This Row], [Ticket]],Okey!A:B,2,0),"")</f>
        <v/>
      </c>
      <c r="I1565" s="36"/>
      <c r="J1565" s="36" t="s">
        <v>17</v>
      </c>
      <c r="L1565" s="36"/>
      <c r="M1565" s="36" t="s">
        <v>4778</v>
      </c>
    </row>
    <row r="1566" spans="1:13">
      <c r="A1566" s="42">
        <f t="shared" si="25"/>
        <v>1565</v>
      </c>
      <c r="B1566" s="36" t="s">
        <v>8</v>
      </c>
      <c r="C1566" s="36" t="s">
        <v>9837</v>
      </c>
      <c r="D1566" s="9" t="s">
        <v>9786</v>
      </c>
      <c r="E1566" s="9" t="s">
        <v>9794</v>
      </c>
      <c r="F1566" s="9" t="s">
        <v>9820</v>
      </c>
      <c r="G1566" s="36" t="s">
        <v>14</v>
      </c>
      <c r="H1566" s="36" t="str">
        <f>IFERROR(VLOOKUP(Table2[[#This Row], [Ticket]],Okey!A:B,2,0),"")</f>
        <v/>
      </c>
      <c r="I1566" s="36"/>
      <c r="J1566" s="36" t="s">
        <v>17</v>
      </c>
      <c r="L1566" s="36"/>
      <c r="M1566" s="36" t="s">
        <v>4778</v>
      </c>
    </row>
    <row r="1567" spans="1:13">
      <c r="A1567" s="42">
        <f t="shared" si="25"/>
        <v>1566</v>
      </c>
      <c r="B1567" s="36" t="s">
        <v>8</v>
      </c>
      <c r="C1567" s="36" t="s">
        <v>9837</v>
      </c>
      <c r="D1567" s="9" t="s">
        <v>9785</v>
      </c>
      <c r="E1567" s="9" t="s">
        <v>9795</v>
      </c>
      <c r="F1567" s="9" t="s">
        <v>9824</v>
      </c>
      <c r="G1567" s="36" t="s">
        <v>14</v>
      </c>
      <c r="H1567" s="36" t="str">
        <f>IFERROR(VLOOKUP(Table2[[#This Row], [Ticket]],Okey!A:B,2,0),"")</f>
        <v/>
      </c>
      <c r="I1567" s="36"/>
      <c r="J1567" s="36" t="s">
        <v>17</v>
      </c>
      <c r="L1567" s="36"/>
      <c r="M1567" s="36" t="s">
        <v>4778</v>
      </c>
    </row>
    <row r="1568" spans="1:13">
      <c r="A1568" s="42">
        <f t="shared" si="25"/>
        <v>1567</v>
      </c>
      <c r="B1568" s="36" t="s">
        <v>8</v>
      </c>
      <c r="C1568" s="36" t="s">
        <v>9837</v>
      </c>
      <c r="D1568" s="9" t="s">
        <v>9785</v>
      </c>
      <c r="E1568" s="9" t="s">
        <v>9796</v>
      </c>
      <c r="F1568" s="9" t="s">
        <v>9825</v>
      </c>
      <c r="G1568" s="36" t="s">
        <v>14</v>
      </c>
      <c r="H1568" s="36" t="str">
        <f>IFERROR(VLOOKUP(Table2[[#This Row], [Ticket]],Okey!A:B,2,0),"")</f>
        <v/>
      </c>
      <c r="I1568" s="36"/>
      <c r="J1568" s="36" t="s">
        <v>17</v>
      </c>
      <c r="L1568" s="36"/>
      <c r="M1568" s="36" t="s">
        <v>4778</v>
      </c>
    </row>
    <row r="1569" spans="1:13">
      <c r="A1569" s="42">
        <f t="shared" si="25"/>
        <v>1568</v>
      </c>
      <c r="B1569" s="36" t="s">
        <v>8</v>
      </c>
      <c r="C1569" s="36" t="s">
        <v>9837</v>
      </c>
      <c r="D1569" s="9" t="s">
        <v>9785</v>
      </c>
      <c r="E1569" s="9" t="s">
        <v>9797</v>
      </c>
      <c r="F1569" s="9" t="s">
        <v>9825</v>
      </c>
      <c r="G1569" s="36" t="s">
        <v>14</v>
      </c>
      <c r="H1569" s="36" t="str">
        <f>IFERROR(VLOOKUP(Table2[[#This Row], [Ticket]],Okey!A:B,2,0),"")</f>
        <v/>
      </c>
      <c r="I1569" s="36"/>
      <c r="J1569" s="36" t="s">
        <v>17</v>
      </c>
      <c r="L1569" s="36"/>
      <c r="M1569" s="36" t="s">
        <v>4778</v>
      </c>
    </row>
    <row r="1570" spans="1:13">
      <c r="A1570" s="42">
        <f t="shared" si="25"/>
        <v>1569</v>
      </c>
      <c r="B1570" s="36" t="s">
        <v>8</v>
      </c>
      <c r="C1570" s="36" t="s">
        <v>9837</v>
      </c>
      <c r="D1570" s="9" t="s">
        <v>9785</v>
      </c>
      <c r="E1570" s="9" t="s">
        <v>9798</v>
      </c>
      <c r="F1570" s="9" t="s">
        <v>9826</v>
      </c>
      <c r="G1570" s="36" t="s">
        <v>14</v>
      </c>
      <c r="H1570" s="36" t="str">
        <f>IFERROR(VLOOKUP(Table2[[#This Row], [Ticket]],Okey!A:B,2,0),"")</f>
        <v/>
      </c>
      <c r="I1570" s="36"/>
      <c r="J1570" s="36" t="s">
        <v>17</v>
      </c>
      <c r="L1570" s="36"/>
      <c r="M1570" s="36" t="s">
        <v>4778</v>
      </c>
    </row>
    <row r="1571" spans="1:13">
      <c r="A1571" s="42">
        <f t="shared" si="25"/>
        <v>1570</v>
      </c>
      <c r="B1571" s="36" t="s">
        <v>8</v>
      </c>
      <c r="C1571" s="36" t="s">
        <v>9837</v>
      </c>
      <c r="D1571" s="9" t="s">
        <v>9785</v>
      </c>
      <c r="E1571" s="9" t="s">
        <v>9799</v>
      </c>
      <c r="F1571" s="9" t="s">
        <v>9827</v>
      </c>
      <c r="G1571" s="36" t="s">
        <v>14</v>
      </c>
      <c r="H1571" s="36" t="str">
        <f>IFERROR(VLOOKUP(Table2[[#This Row], [Ticket]],Okey!A:B,2,0),"")</f>
        <v/>
      </c>
      <c r="I1571" s="36"/>
      <c r="J1571" s="36" t="s">
        <v>17</v>
      </c>
      <c r="L1571" s="36"/>
      <c r="M1571" s="36" t="s">
        <v>4778</v>
      </c>
    </row>
    <row r="1572" spans="1:13">
      <c r="A1572" s="42">
        <f t="shared" si="25"/>
        <v>1571</v>
      </c>
      <c r="B1572" s="36" t="s">
        <v>8</v>
      </c>
      <c r="C1572" s="36" t="s">
        <v>9837</v>
      </c>
      <c r="D1572" s="9" t="s">
        <v>9785</v>
      </c>
      <c r="E1572" s="9" t="s">
        <v>9800</v>
      </c>
      <c r="F1572" s="9" t="s">
        <v>9827</v>
      </c>
      <c r="G1572" s="36" t="s">
        <v>14</v>
      </c>
      <c r="H1572" s="36" t="str">
        <f>IFERROR(VLOOKUP(Table2[[#This Row], [Ticket]],Okey!A:B,2,0),"")</f>
        <v/>
      </c>
      <c r="I1572" s="36"/>
      <c r="J1572" s="36" t="s">
        <v>17</v>
      </c>
      <c r="L1572" s="36"/>
      <c r="M1572" s="36" t="s">
        <v>4778</v>
      </c>
    </row>
    <row r="1573" spans="1:13">
      <c r="A1573" s="42">
        <f t="shared" si="25"/>
        <v>1572</v>
      </c>
      <c r="B1573" s="36" t="s">
        <v>8</v>
      </c>
      <c r="C1573" s="36" t="s">
        <v>9837</v>
      </c>
      <c r="D1573" s="9" t="s">
        <v>9785</v>
      </c>
      <c r="E1573" s="9" t="s">
        <v>9801</v>
      </c>
      <c r="F1573" s="9" t="s">
        <v>9824</v>
      </c>
      <c r="G1573" s="36" t="s">
        <v>14</v>
      </c>
      <c r="H1573" s="36" t="str">
        <f>IFERROR(VLOOKUP(Table2[[#This Row], [Ticket]],Okey!A:B,2,0),"")</f>
        <v/>
      </c>
      <c r="I1573" s="36"/>
      <c r="J1573" s="36" t="s">
        <v>17</v>
      </c>
      <c r="L1573" s="36"/>
      <c r="M1573" s="36" t="s">
        <v>4778</v>
      </c>
    </row>
    <row r="1574" spans="1:13">
      <c r="A1574" s="42">
        <f t="shared" si="25"/>
        <v>1573</v>
      </c>
      <c r="B1574" s="36" t="s">
        <v>8</v>
      </c>
      <c r="C1574" s="36" t="s">
        <v>9837</v>
      </c>
      <c r="D1574" s="9" t="s">
        <v>9785</v>
      </c>
      <c r="E1574" s="9" t="s">
        <v>9802</v>
      </c>
      <c r="F1574" s="9" t="s">
        <v>9828</v>
      </c>
      <c r="G1574" s="36" t="s">
        <v>14</v>
      </c>
      <c r="H1574" s="36" t="str">
        <f>IFERROR(VLOOKUP(Table2[[#This Row], [Ticket]],Okey!A:B,2,0),"")</f>
        <v/>
      </c>
      <c r="I1574" s="36"/>
      <c r="J1574" s="36" t="s">
        <v>17</v>
      </c>
      <c r="L1574" s="36"/>
      <c r="M1574" s="36" t="s">
        <v>4778</v>
      </c>
    </row>
    <row r="1575" spans="1:13">
      <c r="A1575" s="42">
        <f t="shared" si="25"/>
        <v>1574</v>
      </c>
      <c r="B1575" s="36" t="s">
        <v>8</v>
      </c>
      <c r="C1575" s="36" t="s">
        <v>9837</v>
      </c>
      <c r="D1575" s="9" t="s">
        <v>9785</v>
      </c>
      <c r="E1575" s="9" t="s">
        <v>9803</v>
      </c>
      <c r="F1575" s="9" t="s">
        <v>9828</v>
      </c>
      <c r="G1575" s="36" t="s">
        <v>14</v>
      </c>
      <c r="H1575" s="36" t="str">
        <f>IFERROR(VLOOKUP(Table2[[#This Row], [Ticket]],Okey!A:B,2,0),"")</f>
        <v/>
      </c>
      <c r="I1575" s="36"/>
      <c r="J1575" s="36" t="s">
        <v>17</v>
      </c>
      <c r="L1575" s="36"/>
      <c r="M1575" s="36" t="s">
        <v>4778</v>
      </c>
    </row>
    <row r="1576" spans="1:13">
      <c r="A1576" s="42">
        <f t="shared" si="25"/>
        <v>1575</v>
      </c>
      <c r="B1576" s="36" t="s">
        <v>8</v>
      </c>
      <c r="C1576" s="36" t="s">
        <v>9837</v>
      </c>
      <c r="D1576" s="9" t="s">
        <v>9785</v>
      </c>
      <c r="E1576" s="9" t="s">
        <v>9804</v>
      </c>
      <c r="F1576" s="9" t="s">
        <v>9829</v>
      </c>
      <c r="G1576" s="36" t="s">
        <v>14</v>
      </c>
      <c r="H1576" s="36" t="str">
        <f>IFERROR(VLOOKUP(Table2[[#This Row], [Ticket]],Okey!A:B,2,0),"")</f>
        <v/>
      </c>
      <c r="I1576" s="36"/>
      <c r="J1576" s="36" t="s">
        <v>17</v>
      </c>
      <c r="L1576" s="36"/>
      <c r="M1576" s="36" t="s">
        <v>4778</v>
      </c>
    </row>
    <row r="1577" spans="1:13">
      <c r="A1577" s="42">
        <f t="shared" si="25"/>
        <v>1576</v>
      </c>
      <c r="B1577" s="36" t="s">
        <v>8</v>
      </c>
      <c r="C1577" s="36" t="s">
        <v>9837</v>
      </c>
      <c r="D1577" s="9" t="s">
        <v>9785</v>
      </c>
      <c r="E1577" s="9" t="s">
        <v>9805</v>
      </c>
      <c r="F1577" s="9" t="s">
        <v>9830</v>
      </c>
      <c r="G1577" s="36" t="s">
        <v>14</v>
      </c>
      <c r="H1577" s="36" t="str">
        <f>IFERROR(VLOOKUP(Table2[[#This Row], [Ticket]],Okey!A:B,2,0),"")</f>
        <v/>
      </c>
      <c r="I1577" s="36"/>
      <c r="J1577" s="36" t="s">
        <v>17</v>
      </c>
      <c r="L1577" s="36"/>
      <c r="M1577" s="36" t="s">
        <v>4778</v>
      </c>
    </row>
    <row r="1578" spans="1:13">
      <c r="A1578" s="42">
        <f t="shared" si="25"/>
        <v>1577</v>
      </c>
      <c r="B1578" s="36" t="s">
        <v>8</v>
      </c>
      <c r="C1578" s="36" t="s">
        <v>9837</v>
      </c>
      <c r="D1578" s="9" t="s">
        <v>9785</v>
      </c>
      <c r="E1578" s="9" t="s">
        <v>9806</v>
      </c>
      <c r="F1578" s="9" t="s">
        <v>9830</v>
      </c>
      <c r="G1578" s="36" t="s">
        <v>14</v>
      </c>
      <c r="H1578" s="36" t="str">
        <f>IFERROR(VLOOKUP(Table2[[#This Row], [Ticket]],Okey!A:B,2,0),"")</f>
        <v/>
      </c>
      <c r="I1578" s="36"/>
      <c r="J1578" s="36" t="s">
        <v>17</v>
      </c>
      <c r="L1578" s="36"/>
      <c r="M1578" s="36" t="s">
        <v>4778</v>
      </c>
    </row>
    <row r="1579" spans="1:13">
      <c r="A1579" s="42">
        <f t="shared" si="25"/>
        <v>1578</v>
      </c>
      <c r="B1579" s="36" t="s">
        <v>8</v>
      </c>
      <c r="C1579" s="36" t="s">
        <v>9837</v>
      </c>
      <c r="D1579" s="9" t="s">
        <v>9785</v>
      </c>
      <c r="E1579" s="9" t="s">
        <v>9807</v>
      </c>
      <c r="F1579" s="9" t="s">
        <v>9824</v>
      </c>
      <c r="G1579" s="36" t="s">
        <v>14</v>
      </c>
      <c r="H1579" s="36" t="str">
        <f>IFERROR(VLOOKUP(Table2[[#This Row], [Ticket]],Okey!A:B,2,0),"")</f>
        <v/>
      </c>
      <c r="I1579" s="36"/>
      <c r="J1579" s="36" t="s">
        <v>17</v>
      </c>
      <c r="L1579" s="36"/>
      <c r="M1579" s="36" t="s">
        <v>4778</v>
      </c>
    </row>
    <row r="1580" spans="1:13">
      <c r="A1580" s="42">
        <f t="shared" si="25"/>
        <v>1579</v>
      </c>
      <c r="B1580" s="36" t="s">
        <v>8</v>
      </c>
      <c r="C1580" s="36" t="s">
        <v>9837</v>
      </c>
      <c r="D1580" s="9" t="s">
        <v>9785</v>
      </c>
      <c r="E1580" s="9" t="s">
        <v>9808</v>
      </c>
      <c r="F1580" s="9" t="s">
        <v>9831</v>
      </c>
      <c r="G1580" s="36" t="s">
        <v>14</v>
      </c>
      <c r="H1580" s="36" t="str">
        <f>IFERROR(VLOOKUP(Table2[[#This Row], [Ticket]],Okey!A:B,2,0),"")</f>
        <v/>
      </c>
      <c r="I1580" s="36"/>
      <c r="J1580" s="36" t="s">
        <v>17</v>
      </c>
      <c r="L1580" s="36"/>
      <c r="M1580" s="36" t="s">
        <v>4778</v>
      </c>
    </row>
    <row r="1581" spans="1:13">
      <c r="A1581" s="42">
        <f t="shared" si="25"/>
        <v>1580</v>
      </c>
      <c r="B1581" s="36" t="s">
        <v>8</v>
      </c>
      <c r="C1581" s="36" t="s">
        <v>9837</v>
      </c>
      <c r="D1581" s="9" t="s">
        <v>9785</v>
      </c>
      <c r="E1581" s="9" t="s">
        <v>9809</v>
      </c>
      <c r="F1581" s="9" t="s">
        <v>9831</v>
      </c>
      <c r="G1581" s="36" t="s">
        <v>14</v>
      </c>
      <c r="H1581" s="36" t="str">
        <f>IFERROR(VLOOKUP(Table2[[#This Row], [Ticket]],Okey!A:B,2,0),"")</f>
        <v/>
      </c>
      <c r="I1581" s="36"/>
      <c r="J1581" s="36" t="s">
        <v>17</v>
      </c>
      <c r="L1581" s="36"/>
      <c r="M1581" s="36" t="s">
        <v>4778</v>
      </c>
    </row>
    <row r="1582" spans="1:13">
      <c r="A1582" s="42">
        <f t="shared" si="25"/>
        <v>1581</v>
      </c>
      <c r="B1582" s="36" t="s">
        <v>8</v>
      </c>
      <c r="C1582" s="36" t="s">
        <v>9837</v>
      </c>
      <c r="D1582" s="9" t="s">
        <v>9785</v>
      </c>
      <c r="E1582" s="9" t="s">
        <v>9810</v>
      </c>
      <c r="F1582" s="9" t="s">
        <v>9832</v>
      </c>
      <c r="G1582" s="36" t="s">
        <v>14</v>
      </c>
      <c r="H1582" s="36" t="str">
        <f>IFERROR(VLOOKUP(Table2[[#This Row], [Ticket]],Okey!A:B,2,0),"")</f>
        <v/>
      </c>
      <c r="I1582" s="36"/>
      <c r="J1582" s="36" t="s">
        <v>17</v>
      </c>
      <c r="L1582" s="36"/>
      <c r="M1582" s="36" t="s">
        <v>4778</v>
      </c>
    </row>
    <row r="1583" spans="1:13">
      <c r="A1583" s="42">
        <f t="shared" si="25"/>
        <v>1582</v>
      </c>
      <c r="B1583" s="36" t="s">
        <v>8</v>
      </c>
      <c r="C1583" s="36" t="s">
        <v>9837</v>
      </c>
      <c r="D1583" s="9" t="s">
        <v>9785</v>
      </c>
      <c r="E1583" s="9" t="s">
        <v>9811</v>
      </c>
      <c r="F1583" s="9" t="s">
        <v>9833</v>
      </c>
      <c r="G1583" s="36" t="s">
        <v>14</v>
      </c>
      <c r="H1583" s="36" t="str">
        <f>IFERROR(VLOOKUP(Table2[[#This Row], [Ticket]],Okey!A:B,2,0),"")</f>
        <v/>
      </c>
      <c r="I1583" s="36"/>
      <c r="J1583" s="36" t="s">
        <v>17</v>
      </c>
      <c r="L1583" s="36"/>
      <c r="M1583" s="36" t="s">
        <v>4778</v>
      </c>
    </row>
    <row r="1584" spans="1:13">
      <c r="A1584" s="42">
        <f t="shared" si="25"/>
        <v>1583</v>
      </c>
      <c r="B1584" s="36" t="s">
        <v>8</v>
      </c>
      <c r="C1584" s="36" t="s">
        <v>9837</v>
      </c>
      <c r="D1584" s="9" t="s">
        <v>9785</v>
      </c>
      <c r="E1584" s="9" t="s">
        <v>9812</v>
      </c>
      <c r="F1584" s="9" t="s">
        <v>9833</v>
      </c>
      <c r="G1584" s="36" t="s">
        <v>14</v>
      </c>
      <c r="H1584" s="36" t="str">
        <f>IFERROR(VLOOKUP(Table2[[#This Row], [Ticket]],Okey!A:B,2,0),"")</f>
        <v/>
      </c>
      <c r="I1584" s="36"/>
      <c r="J1584" s="36" t="s">
        <v>17</v>
      </c>
      <c r="L1584" s="36"/>
      <c r="M1584" s="36" t="s">
        <v>4778</v>
      </c>
    </row>
    <row r="1585" spans="1:13">
      <c r="A1585" s="42">
        <f t="shared" si="25"/>
        <v>1584</v>
      </c>
      <c r="B1585" s="36" t="s">
        <v>8</v>
      </c>
      <c r="C1585" s="36" t="s">
        <v>9837</v>
      </c>
      <c r="D1585" s="9" t="s">
        <v>9785</v>
      </c>
      <c r="E1585" s="9" t="s">
        <v>9813</v>
      </c>
      <c r="F1585" s="9" t="s">
        <v>9824</v>
      </c>
      <c r="G1585" s="36" t="s">
        <v>14</v>
      </c>
      <c r="H1585" s="36" t="str">
        <f>IFERROR(VLOOKUP(Table2[[#This Row], [Ticket]],Okey!A:B,2,0),"")</f>
        <v/>
      </c>
      <c r="I1585" s="36"/>
      <c r="J1585" s="36" t="s">
        <v>17</v>
      </c>
      <c r="L1585" s="36"/>
      <c r="M1585" s="36" t="s">
        <v>4778</v>
      </c>
    </row>
    <row r="1586" spans="1:13">
      <c r="A1586" s="42">
        <f t="shared" si="25"/>
        <v>1585</v>
      </c>
      <c r="B1586" s="36" t="s">
        <v>8</v>
      </c>
      <c r="C1586" s="36" t="s">
        <v>9837</v>
      </c>
      <c r="D1586" s="9" t="s">
        <v>9785</v>
      </c>
      <c r="E1586" s="9" t="s">
        <v>9814</v>
      </c>
      <c r="F1586" s="9" t="s">
        <v>9834</v>
      </c>
      <c r="G1586" s="36" t="s">
        <v>14</v>
      </c>
      <c r="H1586" s="36" t="str">
        <f>IFERROR(VLOOKUP(Table2[[#This Row], [Ticket]],Okey!A:B,2,0),"")</f>
        <v/>
      </c>
      <c r="I1586" s="36"/>
      <c r="J1586" s="36" t="s">
        <v>17</v>
      </c>
      <c r="L1586" s="36"/>
      <c r="M1586" s="36" t="s">
        <v>4778</v>
      </c>
    </row>
    <row r="1587" spans="1:13">
      <c r="A1587" s="42">
        <f t="shared" si="25"/>
        <v>1586</v>
      </c>
      <c r="B1587" s="36" t="s">
        <v>8</v>
      </c>
      <c r="C1587" s="36" t="s">
        <v>9837</v>
      </c>
      <c r="D1587" s="9" t="s">
        <v>9785</v>
      </c>
      <c r="E1587" s="9" t="s">
        <v>9815</v>
      </c>
      <c r="F1587" s="9" t="s">
        <v>9834</v>
      </c>
      <c r="G1587" s="36" t="s">
        <v>14</v>
      </c>
      <c r="H1587" s="36" t="str">
        <f>IFERROR(VLOOKUP(Table2[[#This Row], [Ticket]],Okey!A:B,2,0),"")</f>
        <v/>
      </c>
      <c r="I1587" s="36"/>
      <c r="J1587" s="36" t="s">
        <v>17</v>
      </c>
      <c r="L1587" s="36"/>
      <c r="M1587" s="36" t="s">
        <v>4778</v>
      </c>
    </row>
    <row r="1588" spans="1:13">
      <c r="A1588" s="42">
        <f t="shared" si="25"/>
        <v>1587</v>
      </c>
      <c r="B1588" s="36" t="s">
        <v>8</v>
      </c>
      <c r="C1588" s="36" t="s">
        <v>9837</v>
      </c>
      <c r="D1588" s="9" t="s">
        <v>9785</v>
      </c>
      <c r="E1588" s="9" t="s">
        <v>9816</v>
      </c>
      <c r="F1588" s="9" t="s">
        <v>9835</v>
      </c>
      <c r="G1588" s="36" t="s">
        <v>14</v>
      </c>
      <c r="H1588" s="36" t="str">
        <f>IFERROR(VLOOKUP(Table2[[#This Row], [Ticket]],Okey!A:B,2,0),"")</f>
        <v/>
      </c>
      <c r="I1588" s="36"/>
      <c r="J1588" s="36" t="s">
        <v>17</v>
      </c>
      <c r="L1588" s="36"/>
      <c r="M1588" s="36" t="s">
        <v>4778</v>
      </c>
    </row>
    <row r="1589" spans="1:13">
      <c r="A1589" s="42">
        <f t="shared" si="25"/>
        <v>1588</v>
      </c>
      <c r="B1589" s="36" t="s">
        <v>8</v>
      </c>
      <c r="C1589" s="36" t="s">
        <v>9837</v>
      </c>
      <c r="D1589" s="9" t="s">
        <v>9785</v>
      </c>
      <c r="E1589" s="9" t="s">
        <v>9817</v>
      </c>
      <c r="F1589" s="9" t="s">
        <v>9836</v>
      </c>
      <c r="G1589" s="36" t="s">
        <v>14</v>
      </c>
      <c r="H1589" s="36" t="str">
        <f>IFERROR(VLOOKUP(Table2[[#This Row], [Ticket]],Okey!A:B,2,0),"")</f>
        <v/>
      </c>
      <c r="I1589" s="36"/>
      <c r="J1589" s="36" t="s">
        <v>17</v>
      </c>
      <c r="L1589" s="36"/>
      <c r="M1589" s="36" t="s">
        <v>4778</v>
      </c>
    </row>
    <row r="1590" spans="1:13">
      <c r="A1590" s="42">
        <f t="shared" si="25"/>
        <v>1589</v>
      </c>
      <c r="B1590" s="36" t="s">
        <v>8</v>
      </c>
      <c r="C1590" s="36" t="s">
        <v>9837</v>
      </c>
      <c r="D1590" s="9" t="s">
        <v>9785</v>
      </c>
      <c r="E1590" s="9" t="s">
        <v>9818</v>
      </c>
      <c r="F1590" s="9" t="s">
        <v>9836</v>
      </c>
      <c r="G1590" s="36" t="s">
        <v>14</v>
      </c>
      <c r="H1590" s="36" t="str">
        <f>IFERROR(VLOOKUP(Table2[[#This Row], [Ticket]],Okey!A:B,2,0),"")</f>
        <v/>
      </c>
      <c r="I1590" s="36"/>
      <c r="J1590" s="36" t="s">
        <v>17</v>
      </c>
      <c r="L1590" s="36"/>
      <c r="M1590" s="36" t="s">
        <v>4778</v>
      </c>
    </row>
    <row r="1591" spans="1:13">
      <c r="A1591" s="42">
        <f t="shared" si="25"/>
        <v>1590</v>
      </c>
      <c r="B1591" s="36" t="s">
        <v>8</v>
      </c>
      <c r="C1591" s="36" t="s">
        <v>9837</v>
      </c>
      <c r="D1591" s="9" t="s">
        <v>9838</v>
      </c>
      <c r="E1591" s="9" t="s">
        <v>9839</v>
      </c>
      <c r="G1591" s="9" t="s">
        <v>15</v>
      </c>
      <c r="H1591" s="36" t="str">
        <f>IFERROR(VLOOKUP(Table2[[#This Row], [Ticket]],Okey!A:B,2,0),"")</f>
        <v/>
      </c>
      <c r="I1591" s="36"/>
      <c r="J1591" s="36" t="s">
        <v>17</v>
      </c>
      <c r="L1591" s="36"/>
    </row>
    <row r="1592" spans="1:13">
      <c r="A1592" s="42">
        <f t="shared" si="25"/>
        <v>1591</v>
      </c>
      <c r="B1592" s="36" t="s">
        <v>8</v>
      </c>
      <c r="C1592" s="36" t="s">
        <v>9837</v>
      </c>
      <c r="D1592" s="9" t="s">
        <v>9840</v>
      </c>
      <c r="E1592" s="9" t="s">
        <v>9841</v>
      </c>
      <c r="G1592" s="36" t="s">
        <v>15</v>
      </c>
      <c r="H1592" s="36" t="str">
        <f>IFERROR(VLOOKUP(Table2[[#This Row], [Ticket]],Okey!A:B,2,0),"")</f>
        <v/>
      </c>
      <c r="I1592" s="36"/>
      <c r="J1592" s="36" t="s">
        <v>17</v>
      </c>
      <c r="L1592" s="36"/>
    </row>
    <row r="1593" spans="1:13">
      <c r="A1593" s="42">
        <f t="shared" si="25"/>
        <v>1592</v>
      </c>
      <c r="B1593" s="36" t="s">
        <v>8</v>
      </c>
      <c r="C1593" s="36" t="s">
        <v>9837</v>
      </c>
      <c r="D1593" s="9" t="s">
        <v>9842</v>
      </c>
      <c r="E1593" s="9" t="s">
        <v>9843</v>
      </c>
      <c r="G1593" s="36" t="s">
        <v>15</v>
      </c>
      <c r="H1593" s="36" t="str">
        <f>IFERROR(VLOOKUP(Table2[[#This Row], [Ticket]],Okey!A:B,2,0),"")</f>
        <v/>
      </c>
      <c r="I1593" s="36"/>
      <c r="J1593" s="36" t="s">
        <v>17</v>
      </c>
      <c r="L1593" s="36"/>
    </row>
    <row r="1594" spans="1:13">
      <c r="A1594" s="42">
        <f t="shared" si="25"/>
        <v>1593</v>
      </c>
      <c r="B1594" s="36" t="s">
        <v>8</v>
      </c>
      <c r="C1594" s="36" t="s">
        <v>9837</v>
      </c>
      <c r="D1594" s="9" t="s">
        <v>9844</v>
      </c>
      <c r="E1594" s="9" t="s">
        <v>9845</v>
      </c>
      <c r="G1594" s="36" t="s">
        <v>15</v>
      </c>
      <c r="H1594" s="36" t="str">
        <f>IFERROR(VLOOKUP(Table2[[#This Row], [Ticket]],Okey!A:B,2,0),"")</f>
        <v/>
      </c>
      <c r="I1594" s="36"/>
      <c r="J1594" s="36" t="s">
        <v>17</v>
      </c>
      <c r="L1594" s="36"/>
    </row>
    <row r="1595" spans="1:13">
      <c r="A1595" s="42">
        <f t="shared" si="25"/>
        <v>1594</v>
      </c>
      <c r="B1595" s="36" t="s">
        <v>8</v>
      </c>
      <c r="C1595" s="36" t="s">
        <v>9837</v>
      </c>
      <c r="D1595" s="9" t="s">
        <v>9846</v>
      </c>
      <c r="E1595" s="9" t="s">
        <v>9847</v>
      </c>
      <c r="G1595" s="36" t="s">
        <v>15</v>
      </c>
      <c r="H1595" s="36" t="str">
        <f>IFERROR(VLOOKUP(Table2[[#This Row], [Ticket]],Okey!A:B,2,0),"")</f>
        <v/>
      </c>
      <c r="I1595" s="36"/>
      <c r="J1595" s="36" t="s">
        <v>17</v>
      </c>
      <c r="L1595" s="36"/>
    </row>
    <row r="1596" spans="1:13">
      <c r="A1596" s="42">
        <f t="shared" si="25"/>
        <v>1595</v>
      </c>
      <c r="B1596" s="36" t="s">
        <v>8</v>
      </c>
      <c r="C1596" s="36" t="s">
        <v>9837</v>
      </c>
      <c r="D1596" s="9" t="s">
        <v>4807</v>
      </c>
      <c r="E1596" s="9" t="s">
        <v>9848</v>
      </c>
      <c r="G1596" s="36" t="s">
        <v>15</v>
      </c>
      <c r="H1596" s="36" t="str">
        <f>IFERROR(VLOOKUP(Table2[[#This Row], [Ticket]],Okey!A:B,2,0),"")</f>
        <v/>
      </c>
      <c r="I1596" s="36"/>
      <c r="J1596" s="36" t="s">
        <v>17</v>
      </c>
      <c r="L1596" s="36"/>
    </row>
    <row r="1597" spans="1:13">
      <c r="A1597" s="42">
        <f t="shared" si="25"/>
        <v>1596</v>
      </c>
      <c r="B1597" s="36" t="s">
        <v>8</v>
      </c>
      <c r="C1597" s="36" t="s">
        <v>9837</v>
      </c>
      <c r="D1597" s="9" t="s">
        <v>7635</v>
      </c>
      <c r="E1597" s="9" t="s">
        <v>9849</v>
      </c>
      <c r="F1597" s="9" t="s">
        <v>9850</v>
      </c>
      <c r="G1597" s="9" t="s">
        <v>16</v>
      </c>
      <c r="H1597" s="36" t="str">
        <f>IFERROR(VLOOKUP(Table2[[#This Row], [Ticket]],Okey!A:B,2,0),"")</f>
        <v/>
      </c>
      <c r="I1597" s="36"/>
      <c r="J1597" s="36" t="s">
        <v>17</v>
      </c>
      <c r="L1597" s="36"/>
    </row>
    <row r="1598" spans="1:13">
      <c r="A1598" s="42">
        <f t="shared" si="25"/>
        <v>1597</v>
      </c>
      <c r="B1598" s="36" t="s">
        <v>8</v>
      </c>
      <c r="C1598" s="36" t="s">
        <v>9837</v>
      </c>
      <c r="D1598" s="9" t="s">
        <v>9851</v>
      </c>
      <c r="F1598" s="9" t="s">
        <v>9852</v>
      </c>
      <c r="G1598" s="9" t="s">
        <v>8544</v>
      </c>
      <c r="H1598" s="36" t="str">
        <f>IFERROR(VLOOKUP(Table2[[#This Row], [Ticket]],Okey!A:B,2,0),"")</f>
        <v/>
      </c>
      <c r="I1598" s="36"/>
      <c r="J1598" s="36" t="s">
        <v>17</v>
      </c>
      <c r="L1598" s="36"/>
    </row>
    <row r="1599" spans="1:13">
      <c r="A1599" s="42">
        <f t="shared" si="25"/>
        <v>1598</v>
      </c>
      <c r="B1599" s="36" t="s">
        <v>8</v>
      </c>
      <c r="C1599" s="36" t="s">
        <v>9837</v>
      </c>
      <c r="D1599" s="9" t="s">
        <v>9853</v>
      </c>
      <c r="F1599" s="9" t="s">
        <v>9852</v>
      </c>
      <c r="G1599" s="36" t="s">
        <v>8544</v>
      </c>
      <c r="H1599" s="36" t="str">
        <f>IFERROR(VLOOKUP(Table2[[#This Row], [Ticket]],Okey!A:B,2,0),"")</f>
        <v/>
      </c>
      <c r="I1599" s="36"/>
      <c r="J1599" s="36" t="s">
        <v>17</v>
      </c>
      <c r="L1599" s="36"/>
    </row>
  </sheetData>
  <phoneticPr fontId="23" type="noConversion"/>
  <conditionalFormatting sqref="D2:D866 D869:D872">
    <cfRule type="duplicateValues" dxfId="44" priority="44"/>
  </conditionalFormatting>
  <conditionalFormatting sqref="K866:K868">
    <cfRule type="duplicateValues" dxfId="43" priority="43"/>
  </conditionalFormatting>
  <conditionalFormatting sqref="K867">
    <cfRule type="duplicateValues" dxfId="42" priority="42"/>
  </conditionalFormatting>
  <conditionalFormatting sqref="K868">
    <cfRule type="duplicateValues" dxfId="41" priority="41"/>
  </conditionalFormatting>
  <conditionalFormatting sqref="F867">
    <cfRule type="duplicateValues" dxfId="40" priority="40"/>
  </conditionalFormatting>
  <conditionalFormatting sqref="F868">
    <cfRule type="duplicateValues" dxfId="39" priority="39"/>
  </conditionalFormatting>
  <conditionalFormatting sqref="F872">
    <cfRule type="duplicateValues" dxfId="38" priority="38"/>
  </conditionalFormatting>
  <conditionalFormatting sqref="D867">
    <cfRule type="duplicateValues" dxfId="37" priority="37"/>
  </conditionalFormatting>
  <conditionalFormatting sqref="D868">
    <cfRule type="duplicateValues" dxfId="36" priority="36"/>
  </conditionalFormatting>
  <conditionalFormatting sqref="D873">
    <cfRule type="duplicateValues" dxfId="35" priority="35"/>
  </conditionalFormatting>
  <conditionalFormatting sqref="D889">
    <cfRule type="duplicateValues" dxfId="34" priority="34"/>
  </conditionalFormatting>
  <conditionalFormatting sqref="K889 K873">
    <cfRule type="duplicateValues" dxfId="33" priority="33"/>
  </conditionalFormatting>
  <conditionalFormatting sqref="D1356">
    <cfRule type="duplicateValues" dxfId="32" priority="32"/>
  </conditionalFormatting>
  <conditionalFormatting sqref="F1459">
    <cfRule type="duplicateValues" dxfId="31" priority="30"/>
  </conditionalFormatting>
  <conditionalFormatting sqref="F1460">
    <cfRule type="duplicateValues" dxfId="30" priority="29"/>
  </conditionalFormatting>
  <conditionalFormatting sqref="F1461">
    <cfRule type="duplicateValues" dxfId="29" priority="28"/>
  </conditionalFormatting>
  <conditionalFormatting sqref="F1463">
    <cfRule type="duplicateValues" dxfId="28" priority="27"/>
  </conditionalFormatting>
  <conditionalFormatting sqref="F1464">
    <cfRule type="duplicateValues" dxfId="27" priority="26"/>
  </conditionalFormatting>
  <conditionalFormatting sqref="F1473">
    <cfRule type="duplicateValues" dxfId="26" priority="25"/>
  </conditionalFormatting>
  <conditionalFormatting sqref="F1491">
    <cfRule type="duplicateValues" dxfId="25" priority="24"/>
  </conditionalFormatting>
  <conditionalFormatting sqref="F1492">
    <cfRule type="duplicateValues" dxfId="24" priority="23"/>
  </conditionalFormatting>
  <conditionalFormatting sqref="F1493">
    <cfRule type="duplicateValues" dxfId="23" priority="22"/>
  </conditionalFormatting>
  <conditionalFormatting sqref="F1494">
    <cfRule type="duplicateValues" dxfId="22" priority="21"/>
  </conditionalFormatting>
  <conditionalFormatting sqref="F1496">
    <cfRule type="duplicateValues" dxfId="21" priority="20"/>
  </conditionalFormatting>
  <conditionalFormatting sqref="F1497">
    <cfRule type="duplicateValues" dxfId="20" priority="19"/>
  </conditionalFormatting>
  <conditionalFormatting sqref="F1498">
    <cfRule type="duplicateValues" dxfId="19" priority="18"/>
  </conditionalFormatting>
  <conditionalFormatting sqref="F1499">
    <cfRule type="duplicateValues" dxfId="18" priority="17"/>
  </conditionalFormatting>
  <conditionalFormatting sqref="F1501">
    <cfRule type="duplicateValues" dxfId="17" priority="16"/>
  </conditionalFormatting>
  <conditionalFormatting sqref="F1502">
    <cfRule type="duplicateValues" dxfId="16" priority="15"/>
  </conditionalFormatting>
  <conditionalFormatting sqref="F1503">
    <cfRule type="duplicateValues" dxfId="15" priority="14"/>
  </conditionalFormatting>
  <conditionalFormatting sqref="F1504">
    <cfRule type="duplicateValues" dxfId="14" priority="13"/>
  </conditionalFormatting>
  <conditionalFormatting sqref="F1505">
    <cfRule type="duplicateValues" dxfId="13" priority="12"/>
  </conditionalFormatting>
  <conditionalFormatting sqref="F1506">
    <cfRule type="duplicateValues" dxfId="12" priority="11"/>
  </conditionalFormatting>
  <conditionalFormatting sqref="F1507">
    <cfRule type="duplicateValues" dxfId="11" priority="10"/>
  </conditionalFormatting>
  <conditionalFormatting sqref="F1508">
    <cfRule type="duplicateValues" dxfId="10" priority="9"/>
  </conditionalFormatting>
  <conditionalFormatting sqref="F1509">
    <cfRule type="duplicateValues" dxfId="9" priority="8"/>
  </conditionalFormatting>
  <conditionalFormatting sqref="F1510">
    <cfRule type="duplicateValues" dxfId="8" priority="7"/>
  </conditionalFormatting>
  <conditionalFormatting sqref="F1511">
    <cfRule type="duplicateValues" dxfId="7" priority="6"/>
  </conditionalFormatting>
  <conditionalFormatting sqref="F1512">
    <cfRule type="duplicateValues" dxfId="6" priority="5"/>
  </conditionalFormatting>
  <conditionalFormatting sqref="F1514">
    <cfRule type="duplicateValues" dxfId="5" priority="4"/>
  </conditionalFormatting>
  <conditionalFormatting sqref="F1515">
    <cfRule type="duplicateValues" dxfId="4" priority="3"/>
  </conditionalFormatting>
  <conditionalFormatting sqref="F1516">
    <cfRule type="duplicateValues" dxfId="3" priority="2"/>
  </conditionalFormatting>
  <conditionalFormatting sqref="F1517">
    <cfRule type="duplicateValues" dxfId="2" priority="1"/>
  </conditionalFormatting>
  <conditionalFormatting sqref="D2:D1599">
    <cfRule type="duplicateValues" dxfId="1" priority="47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6156E-8C5E-493D-A6C9-CEECFA4E9C06}">
  <dimension ref="A1:G16"/>
  <sheetViews>
    <sheetView workbookViewId="0">
      <selection activeCell="B11" sqref="B11:B16"/>
    </sheetView>
  </sheetViews>
  <sheetFormatPr defaultRowHeight="15"/>
  <sheetData>
    <row r="1" spans="1:7">
      <c r="A1">
        <v>1000</v>
      </c>
    </row>
    <row r="2" spans="1:7">
      <c r="A2" t="s">
        <v>9772</v>
      </c>
      <c r="B2" t="s">
        <v>9773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>
      <c r="A3" t="s">
        <v>9782</v>
      </c>
      <c r="B3" t="s">
        <v>9774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>
      <c r="A4" t="s">
        <v>9783</v>
      </c>
      <c r="B4" t="s">
        <v>9776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>
      <c r="A5" t="s">
        <v>9664</v>
      </c>
      <c r="B5" t="s">
        <v>9780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>
      <c r="A6" t="s">
        <v>9666</v>
      </c>
      <c r="B6" t="s">
        <v>9598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10" spans="1:7">
      <c r="A10">
        <v>1000</v>
      </c>
      <c r="B10" t="s">
        <v>9784</v>
      </c>
    </row>
    <row r="11" spans="1:7">
      <c r="A11" t="s">
        <v>5286</v>
      </c>
      <c r="B11" t="s">
        <v>9772</v>
      </c>
    </row>
    <row r="12" spans="1:7">
      <c r="A12" t="s">
        <v>9775</v>
      </c>
      <c r="B12" t="s">
        <v>9782</v>
      </c>
    </row>
    <row r="13" spans="1:7">
      <c r="A13" t="s">
        <v>9775</v>
      </c>
      <c r="B13" t="s">
        <v>9783</v>
      </c>
    </row>
    <row r="14" spans="1:7">
      <c r="A14" t="s">
        <v>5725</v>
      </c>
      <c r="B14" t="s">
        <v>365</v>
      </c>
    </row>
    <row r="15" spans="1:7">
      <c r="A15" t="s">
        <v>5725</v>
      </c>
      <c r="B15" t="s">
        <v>702</v>
      </c>
    </row>
    <row r="16" spans="1:7">
      <c r="A16" t="s">
        <v>8955</v>
      </c>
      <c r="B16" t="s">
        <v>9779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25985-0260-42CF-8DFF-9FAC7BC971A8}">
  <dimension ref="A1:B28"/>
  <sheetViews>
    <sheetView workbookViewId="0">
      <selection activeCell="B1" sqref="B1"/>
    </sheetView>
  </sheetViews>
  <sheetFormatPr defaultRowHeight="15"/>
  <sheetData>
    <row r="1" spans="1:2">
      <c r="A1" t="s">
        <v>9512</v>
      </c>
      <c r="B1" t="s">
        <v>9511</v>
      </c>
    </row>
    <row r="2" spans="1:2">
      <c r="A2" t="s">
        <v>9513</v>
      </c>
      <c r="B2" t="s">
        <v>9511</v>
      </c>
    </row>
    <row r="3" spans="1:2">
      <c r="A3" t="s">
        <v>9514</v>
      </c>
      <c r="B3" t="s">
        <v>9511</v>
      </c>
    </row>
    <row r="4" spans="1:2">
      <c r="A4" t="s">
        <v>9750</v>
      </c>
      <c r="B4" t="s">
        <v>9696</v>
      </c>
    </row>
    <row r="5" spans="1:2">
      <c r="A5" t="s">
        <v>9751</v>
      </c>
      <c r="B5" t="s">
        <v>9696</v>
      </c>
    </row>
    <row r="6" spans="1:2">
      <c r="A6" t="s">
        <v>9752</v>
      </c>
      <c r="B6" t="s">
        <v>9696</v>
      </c>
    </row>
    <row r="7" spans="1:2">
      <c r="A7" t="s">
        <v>9753</v>
      </c>
      <c r="B7" t="s">
        <v>9696</v>
      </c>
    </row>
    <row r="8" spans="1:2">
      <c r="A8" t="s">
        <v>9754</v>
      </c>
      <c r="B8" t="s">
        <v>9696</v>
      </c>
    </row>
    <row r="9" spans="1:2">
      <c r="A9" t="s">
        <v>9755</v>
      </c>
      <c r="B9" t="s">
        <v>9696</v>
      </c>
    </row>
    <row r="10" spans="1:2">
      <c r="A10" t="s">
        <v>9756</v>
      </c>
      <c r="B10" t="s">
        <v>9696</v>
      </c>
    </row>
    <row r="11" spans="1:2">
      <c r="A11" t="s">
        <v>9757</v>
      </c>
      <c r="B11" t="s">
        <v>9696</v>
      </c>
    </row>
    <row r="12" spans="1:2">
      <c r="A12" t="s">
        <v>9758</v>
      </c>
      <c r="B12" t="s">
        <v>9696</v>
      </c>
    </row>
    <row r="13" spans="1:2">
      <c r="A13" t="s">
        <v>9759</v>
      </c>
      <c r="B13" t="s">
        <v>9696</v>
      </c>
    </row>
    <row r="14" spans="1:2">
      <c r="A14" t="s">
        <v>9760</v>
      </c>
      <c r="B14" t="s">
        <v>9696</v>
      </c>
    </row>
    <row r="15" spans="1:2">
      <c r="A15" t="s">
        <v>9761</v>
      </c>
      <c r="B15" t="s">
        <v>9696</v>
      </c>
    </row>
    <row r="16" spans="1:2">
      <c r="A16" t="s">
        <v>9762</v>
      </c>
      <c r="B16" t="s">
        <v>9707</v>
      </c>
    </row>
    <row r="17" spans="1:2">
      <c r="A17" t="s">
        <v>9763</v>
      </c>
      <c r="B17" t="s">
        <v>9707</v>
      </c>
    </row>
    <row r="18" spans="1:2">
      <c r="A18" t="s">
        <v>9764</v>
      </c>
      <c r="B18" t="s">
        <v>9707</v>
      </c>
    </row>
    <row r="19" spans="1:2">
      <c r="A19" t="s">
        <v>9765</v>
      </c>
      <c r="B19" t="s">
        <v>9707</v>
      </c>
    </row>
    <row r="20" spans="1:2">
      <c r="A20" t="s">
        <v>9766</v>
      </c>
      <c r="B20" t="s">
        <v>9707</v>
      </c>
    </row>
    <row r="21" spans="1:2">
      <c r="A21" t="s">
        <v>9767</v>
      </c>
      <c r="B21" t="s">
        <v>9707</v>
      </c>
    </row>
    <row r="22" spans="1:2">
      <c r="A22" t="s">
        <v>9768</v>
      </c>
      <c r="B22" t="s">
        <v>9707</v>
      </c>
    </row>
    <row r="23" spans="1:2">
      <c r="A23" t="s">
        <v>9769</v>
      </c>
      <c r="B23" t="s">
        <v>9707</v>
      </c>
    </row>
    <row r="24" spans="1:2">
      <c r="A24" t="s">
        <v>9770</v>
      </c>
      <c r="B24" t="s">
        <v>9707</v>
      </c>
    </row>
    <row r="25" spans="1:2">
      <c r="A25" t="s">
        <v>9771</v>
      </c>
      <c r="B25" t="s">
        <v>9707</v>
      </c>
    </row>
    <row r="26" spans="1:2">
      <c r="A26" t="s">
        <v>9703</v>
      </c>
      <c r="B26" t="s">
        <v>9696</v>
      </c>
    </row>
    <row r="27" spans="1:2">
      <c r="A27" t="s">
        <v>9746</v>
      </c>
      <c r="B27" t="s">
        <v>6568</v>
      </c>
    </row>
    <row r="28" spans="1:2">
      <c r="A28" t="s">
        <v>9772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0751-D299-4724-BD77-C0DF7C7501AA}">
  <dimension ref="A1:W25"/>
  <sheetViews>
    <sheetView workbookViewId="0">
      <selection activeCell="K39" sqref="K39"/>
    </sheetView>
  </sheetViews>
  <sheetFormatPr defaultRowHeight="15"/>
  <cols>
    <col min="1" max="1" width="5.28515625" bestFit="1" customWidth="1"/>
    <col min="2" max="2" width="37.42578125" bestFit="1" customWidth="1"/>
    <col min="13" max="13" width="11.28515625" bestFit="1" customWidth="1"/>
    <col min="14" max="14" width="37.42578125" bestFit="1" customWidth="1"/>
    <col min="22" max="23" width="11.28515625" bestFit="1" customWidth="1"/>
  </cols>
  <sheetData>
    <row r="1" spans="1:23">
      <c r="A1" t="s">
        <v>9750</v>
      </c>
      <c r="B1" t="s">
        <v>9722</v>
      </c>
      <c r="C1" s="47" t="s">
        <v>9749</v>
      </c>
      <c r="D1">
        <v>5066</v>
      </c>
      <c r="E1" t="str">
        <f>+C1&amp;D1</f>
        <v>H000005066</v>
      </c>
      <c r="M1">
        <v>1000</v>
      </c>
      <c r="V1">
        <v>1000</v>
      </c>
    </row>
    <row r="2" spans="1:23">
      <c r="A2" t="s">
        <v>9751</v>
      </c>
      <c r="B2" t="s">
        <v>9723</v>
      </c>
      <c r="C2" s="47" t="s">
        <v>9749</v>
      </c>
      <c r="D2">
        <f>+D1+1</f>
        <v>5067</v>
      </c>
      <c r="E2" t="str">
        <f t="shared" ref="E2:E22" si="0">+C2&amp;D2</f>
        <v>H000005067</v>
      </c>
      <c r="M2" t="s">
        <v>9750</v>
      </c>
      <c r="N2" t="s">
        <v>9722</v>
      </c>
      <c r="O2" t="s">
        <v>4938</v>
      </c>
      <c r="P2" t="s">
        <v>4938</v>
      </c>
      <c r="Q2" t="s">
        <v>4938</v>
      </c>
      <c r="R2" t="s">
        <v>4938</v>
      </c>
      <c r="S2" t="s">
        <v>4938</v>
      </c>
      <c r="V2" t="s">
        <v>9696</v>
      </c>
      <c r="W2" t="s">
        <v>9750</v>
      </c>
    </row>
    <row r="3" spans="1:23">
      <c r="A3" t="s">
        <v>9752</v>
      </c>
      <c r="B3" t="s">
        <v>9724</v>
      </c>
      <c r="C3" s="47" t="s">
        <v>9749</v>
      </c>
      <c r="D3">
        <f t="shared" ref="D3:D22" si="1">+D2+1</f>
        <v>5068</v>
      </c>
      <c r="E3" t="str">
        <f t="shared" si="0"/>
        <v>H000005068</v>
      </c>
      <c r="M3" t="s">
        <v>9751</v>
      </c>
      <c r="N3" t="s">
        <v>9723</v>
      </c>
      <c r="O3" t="s">
        <v>4938</v>
      </c>
      <c r="P3" t="s">
        <v>4938</v>
      </c>
      <c r="Q3" t="s">
        <v>4938</v>
      </c>
      <c r="R3" t="s">
        <v>4938</v>
      </c>
      <c r="S3" t="s">
        <v>4938</v>
      </c>
      <c r="V3" t="s">
        <v>9696</v>
      </c>
      <c r="W3" t="s">
        <v>9751</v>
      </c>
    </row>
    <row r="4" spans="1:23">
      <c r="A4" t="s">
        <v>9753</v>
      </c>
      <c r="B4" t="s">
        <v>9725</v>
      </c>
      <c r="C4" s="47" t="s">
        <v>9749</v>
      </c>
      <c r="D4">
        <f t="shared" si="1"/>
        <v>5069</v>
      </c>
      <c r="E4" t="str">
        <f t="shared" si="0"/>
        <v>H000005069</v>
      </c>
      <c r="M4" t="s">
        <v>9752</v>
      </c>
      <c r="N4" t="s">
        <v>9724</v>
      </c>
      <c r="O4" t="s">
        <v>4938</v>
      </c>
      <c r="P4" t="s">
        <v>4938</v>
      </c>
      <c r="Q4" t="s">
        <v>4938</v>
      </c>
      <c r="R4" t="s">
        <v>4938</v>
      </c>
      <c r="S4" t="s">
        <v>4938</v>
      </c>
      <c r="V4" t="s">
        <v>9696</v>
      </c>
      <c r="W4" t="s">
        <v>9752</v>
      </c>
    </row>
    <row r="5" spans="1:23">
      <c r="A5" t="s">
        <v>9754</v>
      </c>
      <c r="B5" t="s">
        <v>9726</v>
      </c>
      <c r="C5" s="47" t="s">
        <v>9749</v>
      </c>
      <c r="D5">
        <f t="shared" si="1"/>
        <v>5070</v>
      </c>
      <c r="E5" t="str">
        <f t="shared" si="0"/>
        <v>H000005070</v>
      </c>
      <c r="M5" t="s">
        <v>9753</v>
      </c>
      <c r="N5" t="s">
        <v>9725</v>
      </c>
      <c r="O5" t="s">
        <v>4938</v>
      </c>
      <c r="P5" t="s">
        <v>4938</v>
      </c>
      <c r="Q5" t="s">
        <v>4938</v>
      </c>
      <c r="R5" t="s">
        <v>4938</v>
      </c>
      <c r="S5" t="s">
        <v>4938</v>
      </c>
      <c r="V5" t="s">
        <v>9696</v>
      </c>
      <c r="W5" t="s">
        <v>9753</v>
      </c>
    </row>
    <row r="6" spans="1:23">
      <c r="A6" t="s">
        <v>9755</v>
      </c>
      <c r="B6" t="s">
        <v>9727</v>
      </c>
      <c r="C6" s="47" t="s">
        <v>9749</v>
      </c>
      <c r="D6">
        <f t="shared" si="1"/>
        <v>5071</v>
      </c>
      <c r="E6" t="str">
        <f t="shared" si="0"/>
        <v>H000005071</v>
      </c>
      <c r="M6" t="s">
        <v>9754</v>
      </c>
      <c r="N6" t="s">
        <v>9726</v>
      </c>
      <c r="O6" t="s">
        <v>4938</v>
      </c>
      <c r="P6" t="s">
        <v>4938</v>
      </c>
      <c r="Q6" t="s">
        <v>4938</v>
      </c>
      <c r="R6" t="s">
        <v>4938</v>
      </c>
      <c r="S6" t="s">
        <v>4938</v>
      </c>
      <c r="V6" t="s">
        <v>9696</v>
      </c>
      <c r="W6" t="s">
        <v>9754</v>
      </c>
    </row>
    <row r="7" spans="1:23">
      <c r="A7" t="s">
        <v>9756</v>
      </c>
      <c r="B7" t="s">
        <v>9728</v>
      </c>
      <c r="C7" s="47" t="s">
        <v>9749</v>
      </c>
      <c r="D7">
        <f t="shared" si="1"/>
        <v>5072</v>
      </c>
      <c r="E7" t="str">
        <f t="shared" si="0"/>
        <v>H000005072</v>
      </c>
      <c r="M7" t="s">
        <v>9755</v>
      </c>
      <c r="N7" t="s">
        <v>9727</v>
      </c>
      <c r="O7" t="s">
        <v>4938</v>
      </c>
      <c r="P7" t="s">
        <v>4938</v>
      </c>
      <c r="Q7" t="s">
        <v>4938</v>
      </c>
      <c r="R7" t="s">
        <v>4938</v>
      </c>
      <c r="S7" t="s">
        <v>4938</v>
      </c>
      <c r="V7" t="s">
        <v>9696</v>
      </c>
      <c r="W7" t="s">
        <v>9755</v>
      </c>
    </row>
    <row r="8" spans="1:23">
      <c r="A8" t="s">
        <v>9757</v>
      </c>
      <c r="B8" t="s">
        <v>9729</v>
      </c>
      <c r="C8" s="47" t="s">
        <v>9749</v>
      </c>
      <c r="D8">
        <f t="shared" si="1"/>
        <v>5073</v>
      </c>
      <c r="E8" t="str">
        <f t="shared" si="0"/>
        <v>H000005073</v>
      </c>
      <c r="M8" t="s">
        <v>9756</v>
      </c>
      <c r="N8" t="s">
        <v>9728</v>
      </c>
      <c r="O8" t="s">
        <v>4938</v>
      </c>
      <c r="P8" t="s">
        <v>4938</v>
      </c>
      <c r="Q8" t="s">
        <v>4938</v>
      </c>
      <c r="R8" t="s">
        <v>4938</v>
      </c>
      <c r="S8" t="s">
        <v>4938</v>
      </c>
      <c r="V8" t="s">
        <v>9696</v>
      </c>
      <c r="W8" t="s">
        <v>9756</v>
      </c>
    </row>
    <row r="9" spans="1:23">
      <c r="A9" t="s">
        <v>9758</v>
      </c>
      <c r="B9" t="s">
        <v>9730</v>
      </c>
      <c r="C9" s="47" t="s">
        <v>9749</v>
      </c>
      <c r="D9">
        <f t="shared" si="1"/>
        <v>5074</v>
      </c>
      <c r="E9" t="str">
        <f t="shared" si="0"/>
        <v>H000005074</v>
      </c>
      <c r="M9" t="s">
        <v>9757</v>
      </c>
      <c r="N9" t="s">
        <v>9729</v>
      </c>
      <c r="O9" t="s">
        <v>4938</v>
      </c>
      <c r="P9" t="s">
        <v>4938</v>
      </c>
      <c r="Q9" t="s">
        <v>4938</v>
      </c>
      <c r="R9" t="s">
        <v>4938</v>
      </c>
      <c r="S9" t="s">
        <v>4938</v>
      </c>
      <c r="V9" t="s">
        <v>9696</v>
      </c>
      <c r="W9" t="s">
        <v>9757</v>
      </c>
    </row>
    <row r="10" spans="1:23">
      <c r="A10" t="s">
        <v>9759</v>
      </c>
      <c r="B10" t="s">
        <v>9731</v>
      </c>
      <c r="C10" s="47" t="s">
        <v>9749</v>
      </c>
      <c r="D10">
        <f t="shared" si="1"/>
        <v>5075</v>
      </c>
      <c r="E10" t="str">
        <f t="shared" si="0"/>
        <v>H000005075</v>
      </c>
      <c r="M10" t="s">
        <v>9758</v>
      </c>
      <c r="N10" t="s">
        <v>9730</v>
      </c>
      <c r="O10" t="s">
        <v>4938</v>
      </c>
      <c r="P10" t="s">
        <v>4938</v>
      </c>
      <c r="Q10" t="s">
        <v>4938</v>
      </c>
      <c r="R10" t="s">
        <v>4938</v>
      </c>
      <c r="S10" t="s">
        <v>4938</v>
      </c>
      <c r="V10" t="s">
        <v>9696</v>
      </c>
      <c r="W10" t="s">
        <v>9758</v>
      </c>
    </row>
    <row r="11" spans="1:23">
      <c r="A11" t="s">
        <v>9760</v>
      </c>
      <c r="B11" t="s">
        <v>9732</v>
      </c>
      <c r="C11" s="47" t="s">
        <v>9749</v>
      </c>
      <c r="D11">
        <f t="shared" si="1"/>
        <v>5076</v>
      </c>
      <c r="E11" t="str">
        <f t="shared" si="0"/>
        <v>H000005076</v>
      </c>
      <c r="M11" t="s">
        <v>9759</v>
      </c>
      <c r="N11" t="s">
        <v>9731</v>
      </c>
      <c r="O11" t="s">
        <v>4938</v>
      </c>
      <c r="P11" t="s">
        <v>4938</v>
      </c>
      <c r="Q11" t="s">
        <v>4938</v>
      </c>
      <c r="R11" t="s">
        <v>4938</v>
      </c>
      <c r="S11" t="s">
        <v>4938</v>
      </c>
      <c r="V11" t="s">
        <v>9696</v>
      </c>
      <c r="W11" t="s">
        <v>9759</v>
      </c>
    </row>
    <row r="12" spans="1:23">
      <c r="A12" t="s">
        <v>9761</v>
      </c>
      <c r="B12" t="s">
        <v>9733</v>
      </c>
      <c r="C12" s="47" t="s">
        <v>9749</v>
      </c>
      <c r="D12">
        <f t="shared" si="1"/>
        <v>5077</v>
      </c>
      <c r="E12" t="str">
        <f t="shared" si="0"/>
        <v>H000005077</v>
      </c>
      <c r="M12" t="s">
        <v>9760</v>
      </c>
      <c r="N12" t="s">
        <v>9732</v>
      </c>
      <c r="O12" t="s">
        <v>4938</v>
      </c>
      <c r="P12" t="s">
        <v>4938</v>
      </c>
      <c r="Q12" t="s">
        <v>4938</v>
      </c>
      <c r="R12" t="s">
        <v>4938</v>
      </c>
      <c r="S12" t="s">
        <v>4938</v>
      </c>
      <c r="V12" t="s">
        <v>9696</v>
      </c>
      <c r="W12" t="s">
        <v>9760</v>
      </c>
    </row>
    <row r="13" spans="1:23">
      <c r="A13" t="s">
        <v>9762</v>
      </c>
      <c r="B13" t="s">
        <v>9734</v>
      </c>
      <c r="C13" s="47" t="s">
        <v>9749</v>
      </c>
      <c r="D13">
        <f t="shared" si="1"/>
        <v>5078</v>
      </c>
      <c r="E13" t="str">
        <f t="shared" si="0"/>
        <v>H000005078</v>
      </c>
      <c r="M13" t="s">
        <v>9761</v>
      </c>
      <c r="N13" t="s">
        <v>9733</v>
      </c>
      <c r="O13" t="s">
        <v>4938</v>
      </c>
      <c r="P13" t="s">
        <v>4938</v>
      </c>
      <c r="Q13" t="s">
        <v>4938</v>
      </c>
      <c r="R13" t="s">
        <v>4938</v>
      </c>
      <c r="S13" t="s">
        <v>4938</v>
      </c>
      <c r="V13" t="s">
        <v>9696</v>
      </c>
      <c r="W13" t="s">
        <v>9761</v>
      </c>
    </row>
    <row r="14" spans="1:23">
      <c r="A14" t="s">
        <v>9763</v>
      </c>
      <c r="B14" t="s">
        <v>9735</v>
      </c>
      <c r="C14" s="47" t="s">
        <v>9749</v>
      </c>
      <c r="D14">
        <f t="shared" si="1"/>
        <v>5079</v>
      </c>
      <c r="E14" t="str">
        <f t="shared" si="0"/>
        <v>H000005079</v>
      </c>
      <c r="M14" t="s">
        <v>9762</v>
      </c>
      <c r="N14" t="s">
        <v>9734</v>
      </c>
      <c r="O14" t="s">
        <v>4938</v>
      </c>
      <c r="P14" t="s">
        <v>4938</v>
      </c>
      <c r="Q14" t="s">
        <v>4938</v>
      </c>
      <c r="R14" t="s">
        <v>4938</v>
      </c>
      <c r="S14" t="s">
        <v>4938</v>
      </c>
      <c r="V14" t="s">
        <v>9707</v>
      </c>
      <c r="W14" t="s">
        <v>9762</v>
      </c>
    </row>
    <row r="15" spans="1:23">
      <c r="A15" t="s">
        <v>9764</v>
      </c>
      <c r="B15" t="s">
        <v>9736</v>
      </c>
      <c r="C15" s="47" t="s">
        <v>9749</v>
      </c>
      <c r="D15">
        <f t="shared" si="1"/>
        <v>5080</v>
      </c>
      <c r="E15" t="str">
        <f t="shared" si="0"/>
        <v>H000005080</v>
      </c>
      <c r="M15" t="s">
        <v>9763</v>
      </c>
      <c r="N15" t="s">
        <v>9735</v>
      </c>
      <c r="O15" t="s">
        <v>4938</v>
      </c>
      <c r="P15" t="s">
        <v>4938</v>
      </c>
      <c r="Q15" t="s">
        <v>4938</v>
      </c>
      <c r="R15" t="s">
        <v>4938</v>
      </c>
      <c r="S15" t="s">
        <v>4938</v>
      </c>
      <c r="V15" t="s">
        <v>9707</v>
      </c>
      <c r="W15" t="s">
        <v>9763</v>
      </c>
    </row>
    <row r="16" spans="1:23">
      <c r="A16" t="s">
        <v>9765</v>
      </c>
      <c r="B16" t="s">
        <v>9737</v>
      </c>
      <c r="C16" s="47" t="s">
        <v>9749</v>
      </c>
      <c r="D16">
        <f t="shared" si="1"/>
        <v>5081</v>
      </c>
      <c r="E16" t="str">
        <f t="shared" si="0"/>
        <v>H000005081</v>
      </c>
      <c r="M16" t="s">
        <v>9764</v>
      </c>
      <c r="N16" t="s">
        <v>9736</v>
      </c>
      <c r="O16" t="s">
        <v>4938</v>
      </c>
      <c r="P16" t="s">
        <v>4938</v>
      </c>
      <c r="Q16" t="s">
        <v>4938</v>
      </c>
      <c r="R16" t="s">
        <v>4938</v>
      </c>
      <c r="S16" t="s">
        <v>4938</v>
      </c>
      <c r="V16" t="s">
        <v>9707</v>
      </c>
      <c r="W16" t="s">
        <v>9764</v>
      </c>
    </row>
    <row r="17" spans="1:23">
      <c r="A17" t="s">
        <v>9766</v>
      </c>
      <c r="B17" t="s">
        <v>9738</v>
      </c>
      <c r="C17" s="47" t="s">
        <v>9749</v>
      </c>
      <c r="D17">
        <f t="shared" si="1"/>
        <v>5082</v>
      </c>
      <c r="E17" t="str">
        <f t="shared" si="0"/>
        <v>H000005082</v>
      </c>
      <c r="M17" t="s">
        <v>9765</v>
      </c>
      <c r="N17" t="s">
        <v>9737</v>
      </c>
      <c r="O17" t="s">
        <v>4938</v>
      </c>
      <c r="P17" t="s">
        <v>4938</v>
      </c>
      <c r="Q17" t="s">
        <v>4938</v>
      </c>
      <c r="R17" t="s">
        <v>4938</v>
      </c>
      <c r="S17" t="s">
        <v>4938</v>
      </c>
      <c r="V17" t="s">
        <v>9707</v>
      </c>
      <c r="W17" t="s">
        <v>9765</v>
      </c>
    </row>
    <row r="18" spans="1:23">
      <c r="A18" t="s">
        <v>9767</v>
      </c>
      <c r="B18" t="s">
        <v>9739</v>
      </c>
      <c r="C18" s="47" t="s">
        <v>9749</v>
      </c>
      <c r="D18">
        <f t="shared" si="1"/>
        <v>5083</v>
      </c>
      <c r="E18" t="str">
        <f t="shared" si="0"/>
        <v>H000005083</v>
      </c>
      <c r="M18" t="s">
        <v>9766</v>
      </c>
      <c r="N18" t="s">
        <v>9738</v>
      </c>
      <c r="O18" t="s">
        <v>4938</v>
      </c>
      <c r="P18" t="s">
        <v>4938</v>
      </c>
      <c r="Q18" t="s">
        <v>4938</v>
      </c>
      <c r="R18" t="s">
        <v>4938</v>
      </c>
      <c r="S18" t="s">
        <v>4938</v>
      </c>
      <c r="V18" t="s">
        <v>9707</v>
      </c>
      <c r="W18" t="s">
        <v>9766</v>
      </c>
    </row>
    <row r="19" spans="1:23">
      <c r="A19" t="s">
        <v>9768</v>
      </c>
      <c r="B19" t="s">
        <v>9740</v>
      </c>
      <c r="C19" s="47" t="s">
        <v>9749</v>
      </c>
      <c r="D19">
        <f t="shared" si="1"/>
        <v>5084</v>
      </c>
      <c r="E19" t="str">
        <f t="shared" si="0"/>
        <v>H000005084</v>
      </c>
      <c r="M19" t="s">
        <v>9767</v>
      </c>
      <c r="N19" t="s">
        <v>9739</v>
      </c>
      <c r="O19" t="s">
        <v>4938</v>
      </c>
      <c r="P19" t="s">
        <v>4938</v>
      </c>
      <c r="Q19" t="s">
        <v>4938</v>
      </c>
      <c r="R19" t="s">
        <v>4938</v>
      </c>
      <c r="S19" t="s">
        <v>4938</v>
      </c>
      <c r="V19" t="s">
        <v>9707</v>
      </c>
      <c r="W19" t="s">
        <v>9767</v>
      </c>
    </row>
    <row r="20" spans="1:23">
      <c r="A20" t="s">
        <v>9769</v>
      </c>
      <c r="B20" t="s">
        <v>9741</v>
      </c>
      <c r="C20" s="47" t="s">
        <v>9749</v>
      </c>
      <c r="D20">
        <f t="shared" si="1"/>
        <v>5085</v>
      </c>
      <c r="E20" t="str">
        <f t="shared" si="0"/>
        <v>H000005085</v>
      </c>
      <c r="M20" t="s">
        <v>9768</v>
      </c>
      <c r="N20" t="s">
        <v>9740</v>
      </c>
      <c r="O20" t="s">
        <v>4938</v>
      </c>
      <c r="P20" t="s">
        <v>4938</v>
      </c>
      <c r="Q20" t="s">
        <v>4938</v>
      </c>
      <c r="R20" t="s">
        <v>4938</v>
      </c>
      <c r="S20" t="s">
        <v>4938</v>
      </c>
      <c r="V20" t="s">
        <v>9707</v>
      </c>
      <c r="W20" t="s">
        <v>9768</v>
      </c>
    </row>
    <row r="21" spans="1:23">
      <c r="A21" t="s">
        <v>9770</v>
      </c>
      <c r="B21" t="s">
        <v>9742</v>
      </c>
      <c r="C21" s="47" t="s">
        <v>9749</v>
      </c>
      <c r="D21">
        <f t="shared" si="1"/>
        <v>5086</v>
      </c>
      <c r="E21" t="str">
        <f t="shared" si="0"/>
        <v>H000005086</v>
      </c>
      <c r="M21" t="s">
        <v>9769</v>
      </c>
      <c r="N21" t="s">
        <v>9741</v>
      </c>
      <c r="O21" t="s">
        <v>4938</v>
      </c>
      <c r="P21" t="s">
        <v>4938</v>
      </c>
      <c r="Q21" t="s">
        <v>4938</v>
      </c>
      <c r="R21" t="s">
        <v>4938</v>
      </c>
      <c r="S21" t="s">
        <v>4938</v>
      </c>
      <c r="V21" t="s">
        <v>9707</v>
      </c>
      <c r="W21" t="s">
        <v>9769</v>
      </c>
    </row>
    <row r="22" spans="1:23">
      <c r="A22" t="s">
        <v>9771</v>
      </c>
      <c r="B22" t="s">
        <v>9743</v>
      </c>
      <c r="C22" s="47" t="s">
        <v>9749</v>
      </c>
      <c r="D22">
        <f t="shared" si="1"/>
        <v>5087</v>
      </c>
      <c r="E22" t="str">
        <f t="shared" si="0"/>
        <v>H000005087</v>
      </c>
      <c r="M22" t="s">
        <v>9770</v>
      </c>
      <c r="N22" t="s">
        <v>9742</v>
      </c>
      <c r="O22" t="s">
        <v>4938</v>
      </c>
      <c r="P22" t="s">
        <v>4938</v>
      </c>
      <c r="Q22" t="s">
        <v>4938</v>
      </c>
      <c r="R22" t="s">
        <v>4938</v>
      </c>
      <c r="S22" t="s">
        <v>4938</v>
      </c>
      <c r="V22" t="s">
        <v>9707</v>
      </c>
      <c r="W22" t="s">
        <v>9770</v>
      </c>
    </row>
    <row r="23" spans="1:23">
      <c r="M23" t="s">
        <v>9771</v>
      </c>
      <c r="N23" t="s">
        <v>9743</v>
      </c>
      <c r="O23" t="s">
        <v>4938</v>
      </c>
      <c r="P23" t="s">
        <v>4938</v>
      </c>
      <c r="Q23" t="s">
        <v>4938</v>
      </c>
      <c r="R23" t="s">
        <v>4938</v>
      </c>
      <c r="S23" t="s">
        <v>4938</v>
      </c>
      <c r="V23" t="s">
        <v>9707</v>
      </c>
      <c r="W23" t="s">
        <v>9771</v>
      </c>
    </row>
    <row r="24" spans="1:23">
      <c r="M24" t="s">
        <v>9703</v>
      </c>
      <c r="N24" t="s">
        <v>9745</v>
      </c>
      <c r="O24" t="s">
        <v>4938</v>
      </c>
      <c r="P24" t="s">
        <v>4938</v>
      </c>
      <c r="Q24" t="s">
        <v>4938</v>
      </c>
      <c r="R24" t="s">
        <v>4938</v>
      </c>
      <c r="S24" t="s">
        <v>4938</v>
      </c>
    </row>
    <row r="25" spans="1:23">
      <c r="M25" t="s">
        <v>9746</v>
      </c>
      <c r="N25" t="s">
        <v>9747</v>
      </c>
      <c r="O25" t="s">
        <v>4938</v>
      </c>
      <c r="P25" t="s">
        <v>4938</v>
      </c>
      <c r="Q25" t="s">
        <v>4938</v>
      </c>
      <c r="R25" t="s">
        <v>4938</v>
      </c>
      <c r="S25" t="s">
        <v>4938</v>
      </c>
    </row>
  </sheetData>
  <conditionalFormatting sqref="C1:C2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G22" sqref="G22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>ok</v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>ok</v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>ok</v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>ok</v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>ok</v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>ok</v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>ok</v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>ok</v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>ok</v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>ok</v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>ok</v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>ok</v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>ok</v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>ok</v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>ok</v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>ok</v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>ok</v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>ok</v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>ok</v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>ok</v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>ok</v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>ok</v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>ok</v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>ok</v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>ok</v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>ok</v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>ok</v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>ok</v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>ok</v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>ok</v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>ok</v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>ok</v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>ok</v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>ok</v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>ok</v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>ok</v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>ok</v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>ok</v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>ok</v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>ok</v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>ok</v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>ok</v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>ok</v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>ok</v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>ok</v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>ok</v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>ok</v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>ok</v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>ok</v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>ok</v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>ok</v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>ok</v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>ok</v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>ok</v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>ok</v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>ok</v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>ok</v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>ok</v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>ok</v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>ok</v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>ok</v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>ok</v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>ok</v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>ok</v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>ok</v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>ok</v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>ok</v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>ok</v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>ok</v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>ok</v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>ok</v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>ok</v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>ok</v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>ok</v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>ok</v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>ok</v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>ok</v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>ok</v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>ok</v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>ok</v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>ok</v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>ok</v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>ok</v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>ok</v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>ok</v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>ok</v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>ok</v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>ok</v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>ok</v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>ok</v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>ok</v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>ok</v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>ok</v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>ok</v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>ok</v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>ok</v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>ok</v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>ok</v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>ok</v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>ok</v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>ok</v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>ok</v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>ok</v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>ok</v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>ok</v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>ok</v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>ok</v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>ok</v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>ok</v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>ok</v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>ok</v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>ok</v>
      </c>
      <c r="I1490" s="11" t="s">
        <v>276</v>
      </c>
      <c r="J1490" s="19" t="e">
        <f>VLOOKUP(Table2[[#This Row], [Author]],People!A:B,2,0)</f>
        <v>#N/A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>ok</v>
      </c>
      <c r="I1491" s="13" t="s">
        <v>276</v>
      </c>
      <c r="J1491" s="22" t="e">
        <f>VLOOKUP(Table2[[#This Row], [Author]],People!A:B,2,0)</f>
        <v>#N/A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>ok</v>
      </c>
      <c r="I1492" s="11" t="s">
        <v>276</v>
      </c>
      <c r="J1492" s="19" t="e">
        <f>VLOOKUP(Table2[[#This Row], [Author]],People!A:B,2,0)</f>
        <v>#N/A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>ok</v>
      </c>
      <c r="I1493" s="13" t="s">
        <v>276</v>
      </c>
      <c r="J1493" s="22" t="e">
        <f>VLOOKUP(Table2[[#This Row], [Author]],People!A:B,2,0)</f>
        <v>#N/A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>ok</v>
      </c>
      <c r="I1494" s="11" t="s">
        <v>276</v>
      </c>
      <c r="J1494" s="19" t="e">
        <f>VLOOKUP(Table2[[#This Row], [Author]],People!A:B,2,0)</f>
        <v>#N/A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>ok</v>
      </c>
      <c r="I1495" s="13" t="s">
        <v>276</v>
      </c>
      <c r="J1495" s="22" t="e">
        <f>VLOOKUP(Table2[[#This Row], [Author]],People!A:B,2,0)</f>
        <v>#N/A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>ok</v>
      </c>
      <c r="I1496" s="11" t="s">
        <v>276</v>
      </c>
      <c r="J1496" s="19" t="e">
        <f>VLOOKUP(Table2[[#This Row], [Author]],People!A:B,2,0)</f>
        <v>#N/A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>ok</v>
      </c>
      <c r="I1497" s="13" t="s">
        <v>276</v>
      </c>
      <c r="J1497" s="22" t="e">
        <f>VLOOKUP(Table2[[#This Row], [Author]],People!A:B,2,0)</f>
        <v>#N/A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e">
        <f>VLOOKUP(Table2[[#This Row], [Author]],People!A:B,2,0)</f>
        <v>#N/A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e">
        <f>VLOOKUP(Table2[[#This Row], [Author]],People!A:B,2,0)</f>
        <v>#N/A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e">
        <f>VLOOKUP(Table2[[#This Row], [Author]],People!A:B,2,0)</f>
        <v>#N/A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e">
        <f>VLOOKUP(Table2[[#This Row], [Author]],People!A:B,2,0)</f>
        <v>#N/A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e">
        <f>VLOOKUP(Table2[[#This Row], [Author]],People!A:B,2,0)</f>
        <v>#N/A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e">
        <f>VLOOKUP(Table2[[#This Row], [Author]],People!A:B,2,0)</f>
        <v>#N/A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e">
        <f>VLOOKUP(Table2[[#This Row], [Author]],People!A:B,2,0)</f>
        <v>#N/A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e">
        <f>VLOOKUP(Table2[[#This Row], [Author]],People!A:B,2,0)</f>
        <v>#N/A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e">
        <f>VLOOKUP(Table2[[#This Row], [Author]],People!A:B,2,0)</f>
        <v>#N/A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e">
        <f>VLOOKUP(Table2[[#This Row], [Author]],People!A:B,2,0)</f>
        <v>#N/A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e">
        <f>VLOOKUP(Table2[[#This Row], [Author]],People!A:B,2,0)</f>
        <v>#N/A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e">
        <f>VLOOKUP(Table2[[#This Row], [Author]],People!A:B,2,0)</f>
        <v>#N/A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e">
        <f>VLOOKUP(Table2[[#This Row], [Author]],People!A:B,2,0)</f>
        <v>#N/A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e">
        <f>VLOOKUP(Table2[[#This Row], [Author]],People!A:B,2,0)</f>
        <v>#N/A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e">
        <f>VLOOKUP(Table2[[#This Row], [Author]],People!A:B,2,0)</f>
        <v>#N/A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e">
        <f>VLOOKUP(Table2[[#This Row], [Author]],People!A:B,2,0)</f>
        <v>#N/A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e">
        <f>VLOOKUP(Table2[[#This Row], [Author]],People!A:B,2,0)</f>
        <v>#N/A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e">
        <f>VLOOKUP(Table2[[#This Row], [Author]],People!A:B,2,0)</f>
        <v>#N/A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e">
        <f>VLOOKUP(Table2[[#This Row], [Author]],People!A:B,2,0)</f>
        <v>#N/A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e">
        <f>VLOOKUP(Table2[[#This Row], [Author]],People!A:B,2,0)</f>
        <v>#N/A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e">
        <f>VLOOKUP(Table2[[#This Row], [Author]],People!A:B,2,0)</f>
        <v>#N/A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e">
        <f>VLOOKUP(Table2[[#This Row], [Author]],People!A:B,2,0)</f>
        <v>#N/A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e">
        <f>VLOOKUP(Table2[[#This Row], [Author]],People!A:B,2,0)</f>
        <v>#N/A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e">
        <f>VLOOKUP(Table2[[#This Row], [Author]],People!A:B,2,0)</f>
        <v>#N/A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e">
        <f>VLOOKUP(Table2[[#This Row], [Author]],People!A:B,2,0)</f>
        <v>#N/A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e">
        <f>VLOOKUP(Table2[[#This Row], [Author]],People!A:B,2,0)</f>
        <v>#N/A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>ok</v>
      </c>
      <c r="I1524" s="11" t="s">
        <v>276</v>
      </c>
      <c r="J1524" s="19" t="e">
        <f>VLOOKUP(Table2[[#This Row], [Author]],People!A:B,2,0)</f>
        <v>#N/A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>ok</v>
      </c>
      <c r="I1525" s="13" t="s">
        <v>276</v>
      </c>
      <c r="J1525" s="22" t="e">
        <f>VLOOKUP(Table2[[#This Row], [Author]],People!A:B,2,0)</f>
        <v>#N/A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>ok</v>
      </c>
      <c r="I1526" s="11" t="s">
        <v>276</v>
      </c>
      <c r="J1526" s="19" t="e">
        <f>VLOOKUP(Table2[[#This Row], [Author]],People!A:B,2,0)</f>
        <v>#N/A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>ok</v>
      </c>
      <c r="I1527" s="13" t="s">
        <v>276</v>
      </c>
      <c r="J1527" s="22" t="e">
        <f>VLOOKUP(Table2[[#This Row], [Author]],People!A:B,2,0)</f>
        <v>#N/A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>ok</v>
      </c>
      <c r="I1528" s="11" t="s">
        <v>276</v>
      </c>
      <c r="J1528" s="19" t="e">
        <f>VLOOKUP(Table2[[#This Row], [Author]],People!A:B,2,0)</f>
        <v>#N/A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>ok</v>
      </c>
      <c r="I1529" s="13" t="s">
        <v>276</v>
      </c>
      <c r="J1529" s="22" t="e">
        <f>VLOOKUP(Table2[[#This Row], [Author]],People!A:B,2,0)</f>
        <v>#N/A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>ok</v>
      </c>
      <c r="I1530" s="11" t="s">
        <v>276</v>
      </c>
      <c r="J1530" s="19" t="e">
        <f>VLOOKUP(Table2[[#This Row], [Author]],People!A:B,2,0)</f>
        <v>#N/A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>ok</v>
      </c>
      <c r="I1531" s="13" t="s">
        <v>276</v>
      </c>
      <c r="J1531" s="22" t="e">
        <f>VLOOKUP(Table2[[#This Row], [Author]],People!A:B,2,0)</f>
        <v>#N/A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>ok</v>
      </c>
      <c r="I1532" s="11" t="s">
        <v>276</v>
      </c>
      <c r="J1532" s="19" t="e">
        <f>VLOOKUP(Table2[[#This Row], [Author]],People!A:B,2,0)</f>
        <v>#N/A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>ok</v>
      </c>
      <c r="I1533" s="13" t="s">
        <v>276</v>
      </c>
      <c r="J1533" s="22" t="e">
        <f>VLOOKUP(Table2[[#This Row], [Author]],People!A:B,2,0)</f>
        <v>#N/A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>ok</v>
      </c>
      <c r="I1534" s="11" t="s">
        <v>276</v>
      </c>
      <c r="J1534" s="19" t="e">
        <f>VLOOKUP(Table2[[#This Row], [Author]],People!A:B,2,0)</f>
        <v>#N/A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>ok</v>
      </c>
      <c r="I1535" s="13" t="s">
        <v>276</v>
      </c>
      <c r="J1535" s="22" t="e">
        <f>VLOOKUP(Table2[[#This Row], [Author]],People!A:B,2,0)</f>
        <v>#N/A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>ok</v>
      </c>
      <c r="I1536" s="11" t="s">
        <v>276</v>
      </c>
      <c r="J1536" s="19" t="e">
        <f>VLOOKUP(Table2[[#This Row], [Author]],People!A:B,2,0)</f>
        <v>#N/A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>ok</v>
      </c>
      <c r="I1537" s="13" t="s">
        <v>276</v>
      </c>
      <c r="J1537" s="22" t="e">
        <f>VLOOKUP(Table2[[#This Row], [Author]],People!A:B,2,0)</f>
        <v>#N/A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>ok</v>
      </c>
      <c r="I1538" s="11" t="s">
        <v>276</v>
      </c>
      <c r="J1538" s="19" t="e">
        <f>VLOOKUP(Table2[[#This Row], [Author]],People!A:B,2,0)</f>
        <v>#N/A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>ok</v>
      </c>
      <c r="I1539" s="13" t="s">
        <v>276</v>
      </c>
      <c r="J1539" s="22" t="e">
        <f>VLOOKUP(Table2[[#This Row], [Author]],People!A:B,2,0)</f>
        <v>#N/A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>ok</v>
      </c>
      <c r="I1540" s="11" t="s">
        <v>276</v>
      </c>
      <c r="J1540" s="19" t="e">
        <f>VLOOKUP(Table2[[#This Row], [Author]],People!A:B,2,0)</f>
        <v>#N/A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>ok</v>
      </c>
      <c r="I1541" s="13" t="s">
        <v>276</v>
      </c>
      <c r="J1541" s="22" t="e">
        <f>VLOOKUP(Table2[[#This Row], [Author]],People!A:B,2,0)</f>
        <v>#N/A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>ok</v>
      </c>
      <c r="I1542" s="11" t="s">
        <v>276</v>
      </c>
      <c r="J1542" s="19" t="e">
        <f>VLOOKUP(Table2[[#This Row], [Author]],People!A:B,2,0)</f>
        <v>#N/A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>ok</v>
      </c>
      <c r="I1543" s="13" t="s">
        <v>276</v>
      </c>
      <c r="J1543" s="22" t="e">
        <f>VLOOKUP(Table2[[#This Row], [Author]],People!A:B,2,0)</f>
        <v>#N/A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>ok</v>
      </c>
      <c r="I1544" s="11" t="s">
        <v>276</v>
      </c>
      <c r="J1544" s="19" t="e">
        <f>VLOOKUP(Table2[[#This Row], [Author]],People!A:B,2,0)</f>
        <v>#N/A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>ok</v>
      </c>
      <c r="I1545" s="13" t="s">
        <v>276</v>
      </c>
      <c r="J1545" s="22" t="e">
        <f>VLOOKUP(Table2[[#This Row], [Author]],People!A:B,2,0)</f>
        <v>#N/A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>ok</v>
      </c>
      <c r="I1546" s="11" t="s">
        <v>276</v>
      </c>
      <c r="J1546" s="19" t="e">
        <f>VLOOKUP(Table2[[#This Row], [Author]],People!A:B,2,0)</f>
        <v>#N/A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>ok</v>
      </c>
      <c r="I1547" s="13" t="s">
        <v>276</v>
      </c>
      <c r="J1547" s="22" t="e">
        <f>VLOOKUP(Table2[[#This Row], [Author]],People!A:B,2,0)</f>
        <v>#N/A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>ok</v>
      </c>
      <c r="I1548" s="11" t="s">
        <v>276</v>
      </c>
      <c r="J1548" s="19" t="e">
        <f>VLOOKUP(Table2[[#This Row], [Author]],People!A:B,2,0)</f>
        <v>#N/A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>ok</v>
      </c>
      <c r="I1549" s="13" t="s">
        <v>276</v>
      </c>
      <c r="J1549" s="22" t="e">
        <f>VLOOKUP(Table2[[#This Row], [Author]],People!A:B,2,0)</f>
        <v>#N/A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>ok</v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>ok</v>
      </c>
      <c r="I1551" s="13" t="s">
        <v>276</v>
      </c>
      <c r="J1551" s="22" t="str">
        <f>VLOOKUP(Table2[[#This Row], [Author]],People!A:B,2,0)</f>
        <v>MGF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>ok</v>
      </c>
      <c r="I1552" s="11" t="s">
        <v>276</v>
      </c>
      <c r="J1552" s="19" t="str">
        <f>VLOOKUP(Table2[[#This Row], [Author]],People!A:B,2,0)</f>
        <v>MGF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>ok</v>
      </c>
      <c r="I1553" s="13" t="s">
        <v>276</v>
      </c>
      <c r="J1553" s="22" t="str">
        <f>VLOOKUP(Table2[[#This Row], [Author]],People!A:B,2,0)</f>
        <v>MGF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>ok</v>
      </c>
      <c r="I1554" s="11" t="s">
        <v>276</v>
      </c>
      <c r="J1554" s="19" t="e">
        <f>VLOOKUP(Table2[[#This Row], [Author]],People!A:B,2,0)</f>
        <v>#N/A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>ok</v>
      </c>
      <c r="I1555" s="13" t="s">
        <v>276</v>
      </c>
      <c r="J1555" s="22" t="e">
        <f>VLOOKUP(Table2[[#This Row], [Author]],People!A:B,2,0)</f>
        <v>#N/A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>ok</v>
      </c>
      <c r="I1556" s="11" t="s">
        <v>276</v>
      </c>
      <c r="J1556" s="19" t="e">
        <f>VLOOKUP(Table2[[#This Row], [Author]],People!A:B,2,0)</f>
        <v>#N/A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>ok</v>
      </c>
      <c r="I1557" s="13" t="s">
        <v>276</v>
      </c>
      <c r="J1557" s="22" t="e">
        <f>VLOOKUP(Table2[[#This Row], [Author]],People!A:B,2,0)</f>
        <v>#N/A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>ok</v>
      </c>
      <c r="I1558" s="11" t="s">
        <v>276</v>
      </c>
      <c r="J1558" s="19" t="e">
        <f>VLOOKUP(Table2[[#This Row], [Author]],People!A:B,2,0)</f>
        <v>#N/A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str">
        <f>VLOOKUP(Table2[[#This Row], [Author]],People!A:B,2,0)</f>
        <v>MGF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str">
        <f>VLOOKUP(Table2[[#This Row], [Author]],People!A:B,2,0)</f>
        <v>MGF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str">
        <f>VLOOKUP(Table2[[#This Row], [Author]],People!A:B,2,0)</f>
        <v>MGF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str">
        <f>VLOOKUP(Table2[[#This Row], [Author]],People!A:B,2,0)</f>
        <v>MGF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str">
        <f>VLOOKUP(Table2[[#This Row], [Author]],People!A:B,2,0)</f>
        <v>MGF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str">
        <f>VLOOKUP(Table2[[#This Row], [Author]],People!A:B,2,0)</f>
        <v>MGF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str">
        <f>VLOOKUP(Table2[[#This Row], [Author]],People!A:B,2,0)</f>
        <v>MGF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str">
        <f>VLOOKUP(Table2[[#This Row], [Author]],People!A:B,2,0)</f>
        <v>MGF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str">
        <f>VLOOKUP(Table2[[#This Row], [Author]],People!A:B,2,0)</f>
        <v>MGF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str">
        <f>VLOOKUP(Table2[[#This Row], [Author]],People!A:B,2,0)</f>
        <v>MGF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str">
        <f>VLOOKUP(Table2[[#This Row], [Author]],People!A:B,2,0)</f>
        <v>MGF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str">
        <f>VLOOKUP(Table2[[#This Row], [Author]],People!A:B,2,0)</f>
        <v>MGF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str">
        <f>VLOOKUP(Table2[[#This Row], [Author]],People!A:B,2,0)</f>
        <v>MGF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str">
        <f>VLOOKUP(Table2[[#This Row], [Author]],People!A:B,2,0)</f>
        <v>MGF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str">
        <f>VLOOKUP(Table2[[#This Row], [Author]],People!A:B,2,0)</f>
        <v>MGF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str">
        <f>VLOOKUP(Table2[[#This Row], [Author]],People!A:B,2,0)</f>
        <v>MGF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str">
        <f>VLOOKUP(Table2[[#This Row], [Author]],People!A:B,2,0)</f>
        <v>MGF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str">
        <f>VLOOKUP(Table2[[#This Row], [Author]],People!A:B,2,0)</f>
        <v>MGF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str">
        <f>VLOOKUP(Table2[[#This Row], [Author]],People!A:B,2,0)</f>
        <v>MGF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str">
        <f>VLOOKUP(Table2[[#This Row], [Author]],People!A:B,2,0)</f>
        <v>MGF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str">
        <f>VLOOKUP(Table2[[#This Row], [Author]],People!A:B,2,0)</f>
        <v>MGF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str">
        <f>VLOOKUP(Table2[[#This Row], [Author]],People!A:B,2,0)</f>
        <v>MGF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str">
        <f>VLOOKUP(Table2[[#This Row], [Author]],People!A:B,2,0)</f>
        <v>MGF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str">
        <f>VLOOKUP(Table2[[#This Row], [Author]],People!A:B,2,0)</f>
        <v>MGF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str">
        <f>VLOOKUP(Table2[[#This Row], [Author]],People!A:B,2,0)</f>
        <v>MGF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str">
        <f>VLOOKUP(Table2[[#This Row], [Author]],People!A:B,2,0)</f>
        <v>MGF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str">
        <f>VLOOKUP(Table2[[#This Row], [Author]],People!A:B,2,0)</f>
        <v>MGF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str">
        <f>VLOOKUP(Table2[[#This Row], [Author]],People!A:B,2,0)</f>
        <v>MGF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str">
        <f>VLOOKUP(Table2[[#This Row], [Author]],People!A:B,2,0)</f>
        <v>MGF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str">
        <f>VLOOKUP(Table2[[#This Row], [Author]],People!A:B,2,0)</f>
        <v>MGF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str">
        <f>VLOOKUP(Table2[[#This Row], [Author]],People!A:B,2,0)</f>
        <v>MGF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str">
        <f>VLOOKUP(Table2[[#This Row], [Author]],People!A:B,2,0)</f>
        <v>MGF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#N/A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#N/A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#N/A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#N/A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#N/A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#N/A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#N/A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#N/A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#N/A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#N/A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#N/A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#N/A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#N/A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#N/A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#N/A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#N/A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#N/A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>ok</v>
      </c>
      <c r="I1498" s="47" t="s">
        <v>5290</v>
      </c>
      <c r="J1498" s="47" t="e">
        <f>VLOOKUP(Table2[[#This Row], [Author]],People!A:B,2,0)</f>
        <v>#N/A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>ok</v>
      </c>
      <c r="I1499" s="47" t="s">
        <v>5290</v>
      </c>
      <c r="J1499" s="47" t="e">
        <f>VLOOKUP(Table2[[#This Row], [Author]],People!A:B,2,0)</f>
        <v>#N/A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>ok</v>
      </c>
      <c r="I1500" s="47" t="s">
        <v>5290</v>
      </c>
      <c r="J1500" s="47" t="e">
        <f>VLOOKUP(Table2[[#This Row], [Author]],People!A:B,2,0)</f>
        <v>#N/A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>ok</v>
      </c>
      <c r="I1501" s="47" t="s">
        <v>5290</v>
      </c>
      <c r="J1501" s="47" t="e">
        <f>VLOOKUP(Table2[[#This Row], [Author]],People!A:B,2,0)</f>
        <v>#N/A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>ok</v>
      </c>
      <c r="I1502" s="47" t="s">
        <v>5290</v>
      </c>
      <c r="J1502" s="47" t="e">
        <f>VLOOKUP(Table2[[#This Row], [Author]],People!A:B,2,0)</f>
        <v>#N/A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>ok</v>
      </c>
      <c r="I1503" s="47" t="s">
        <v>5290</v>
      </c>
      <c r="J1503" s="47" t="e">
        <f>VLOOKUP(Table2[[#This Row], [Author]],People!A:B,2,0)</f>
        <v>#N/A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>ok</v>
      </c>
      <c r="I1504" s="47" t="s">
        <v>5290</v>
      </c>
      <c r="J1504" s="47" t="e">
        <f>VLOOKUP(Table2[[#This Row], [Author]],People!A:B,2,0)</f>
        <v>#N/A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>ok</v>
      </c>
      <c r="I1505" s="47" t="s">
        <v>5290</v>
      </c>
      <c r="J1505" s="47" t="e">
        <f>VLOOKUP(Table2[[#This Row], [Author]],People!A:B,2,0)</f>
        <v>#N/A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>ok</v>
      </c>
      <c r="I1506" s="47" t="s">
        <v>5290</v>
      </c>
      <c r="J1506" s="47" t="e">
        <f>VLOOKUP(Table2[[#This Row], [Author]],People!A:B,2,0)</f>
        <v>#N/A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>ok</v>
      </c>
      <c r="I1507" s="47" t="s">
        <v>5290</v>
      </c>
      <c r="J1507" s="47" t="e">
        <f>VLOOKUP(Table2[[#This Row], [Author]],People!A:B,2,0)</f>
        <v>#N/A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>ok</v>
      </c>
      <c r="I1508" s="47" t="s">
        <v>5290</v>
      </c>
      <c r="J1508" s="47" t="e">
        <f>VLOOKUP(Table2[[#This Row], [Author]],People!A:B,2,0)</f>
        <v>#N/A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>ok</v>
      </c>
      <c r="I1509" s="47" t="s">
        <v>5290</v>
      </c>
      <c r="J1509" s="47" t="e">
        <f>VLOOKUP(Table2[[#This Row], [Author]],People!A:B,2,0)</f>
        <v>#N/A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>ok</v>
      </c>
      <c r="I1510" s="47" t="s">
        <v>5290</v>
      </c>
      <c r="J1510" s="47" t="e">
        <f>VLOOKUP(Table2[[#This Row], [Author]],People!A:B,2,0)</f>
        <v>#N/A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>ok</v>
      </c>
      <c r="I1511" s="47" t="s">
        <v>5290</v>
      </c>
      <c r="J1511" s="47" t="e">
        <f>VLOOKUP(Table2[[#This Row], [Author]],People!A:B,2,0)</f>
        <v>#N/A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>ok</v>
      </c>
      <c r="I1512" s="47" t="s">
        <v>5290</v>
      </c>
      <c r="J1512" s="47" t="e">
        <f>VLOOKUP(Table2[[#This Row], [Author]],People!A:B,2,0)</f>
        <v>#N/A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>ok</v>
      </c>
      <c r="I1513" s="47" t="s">
        <v>5290</v>
      </c>
      <c r="J1513" s="47" t="e">
        <f>VLOOKUP(Table2[[#This Row], [Author]],People!A:B,2,0)</f>
        <v>#N/A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>ok</v>
      </c>
      <c r="I1514" s="47" t="s">
        <v>5290</v>
      </c>
      <c r="J1514" s="47" t="e">
        <f>VLOOKUP(Table2[[#This Row], [Author]],People!A:B,2,0)</f>
        <v>#N/A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>ok</v>
      </c>
      <c r="I1515" s="47" t="s">
        <v>5290</v>
      </c>
      <c r="J1515" s="47" t="e">
        <f>VLOOKUP(Table2[[#This Row], [Author]],People!A:B,2,0)</f>
        <v>#N/A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>ok</v>
      </c>
      <c r="I1516" s="47" t="s">
        <v>5290</v>
      </c>
      <c r="J1516" s="47" t="e">
        <f>VLOOKUP(Table2[[#This Row], [Author]],People!A:B,2,0)</f>
        <v>#N/A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>ok</v>
      </c>
      <c r="I1517" s="47" t="s">
        <v>5290</v>
      </c>
      <c r="J1517" s="47" t="e">
        <f>VLOOKUP(Table2[[#This Row], [Author]],People!A:B,2,0)</f>
        <v>#N/A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>ok</v>
      </c>
      <c r="I1518" s="47" t="s">
        <v>6455</v>
      </c>
      <c r="J1518" s="47" t="e">
        <f>VLOOKUP(Table2[[#This Row], [Author]],People!A:B,2,0)</f>
        <v>#N/A</v>
      </c>
      <c r="K1518" s="47" t="s">
        <v>7857</v>
      </c>
      <c r="L1518" s="47" t="e">
        <f>VLOOKUP(Table2[[#This Row],[Node]],#REF!,2,0)</f>
        <v>#REF!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>ok</v>
      </c>
      <c r="I1519" s="47" t="s">
        <v>6455</v>
      </c>
      <c r="J1519" s="47" t="e">
        <f>VLOOKUP(Table2[[#This Row], [Author]],People!A:B,2,0)</f>
        <v>#N/A</v>
      </c>
      <c r="K1519" s="47" t="s">
        <v>7857</v>
      </c>
      <c r="L1519" s="47" t="e">
        <f>VLOOKUP(Table2[[#This Row],[Node]],#REF!,2,0)</f>
        <v>#REF!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>ok</v>
      </c>
      <c r="I1520" s="47" t="s">
        <v>6455</v>
      </c>
      <c r="J1520" s="47" t="e">
        <f>VLOOKUP(Table2[[#This Row], [Author]],People!A:B,2,0)</f>
        <v>#N/A</v>
      </c>
      <c r="K1520" s="47" t="s">
        <v>7857</v>
      </c>
      <c r="L1520" s="47" t="e">
        <f>VLOOKUP(Table2[[#This Row],[Node]],#REF!,2,0)</f>
        <v>#REF!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>ok</v>
      </c>
      <c r="I1521" s="47" t="s">
        <v>6455</v>
      </c>
      <c r="J1521" s="47" t="e">
        <f>VLOOKUP(Table2[[#This Row], [Author]],People!A:B,2,0)</f>
        <v>#N/A</v>
      </c>
      <c r="K1521" s="47" t="s">
        <v>7857</v>
      </c>
      <c r="L1521" s="47" t="e">
        <f>VLOOKUP(Table2[[#This Row],[Node]],#REF!,2,0)</f>
        <v>#REF!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>ok</v>
      </c>
      <c r="I1522" s="47" t="s">
        <v>6455</v>
      </c>
      <c r="J1522" s="47" t="e">
        <f>VLOOKUP(Table2[[#This Row], [Author]],People!A:B,2,0)</f>
        <v>#N/A</v>
      </c>
      <c r="K1522" s="47" t="s">
        <v>7857</v>
      </c>
      <c r="L1522" s="47" t="e">
        <f>VLOOKUP(Table2[[#This Row],[Node]],#REF!,2,0)</f>
        <v>#REF!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>ok</v>
      </c>
      <c r="I1523" s="47" t="s">
        <v>6455</v>
      </c>
      <c r="J1523" s="47" t="e">
        <f>VLOOKUP(Table2[[#This Row], [Author]],People!A:B,2,0)</f>
        <v>#N/A</v>
      </c>
      <c r="K1523" s="47" t="s">
        <v>7857</v>
      </c>
      <c r="L1523" s="47" t="e">
        <f>VLOOKUP(Table2[[#This Row],[Node]],#REF!,2,0)</f>
        <v>#REF!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>ok</v>
      </c>
      <c r="I1524" s="47" t="s">
        <v>6455</v>
      </c>
      <c r="J1524" s="47" t="e">
        <f>VLOOKUP(Table2[[#This Row], [Author]],People!A:B,2,0)</f>
        <v>#N/A</v>
      </c>
      <c r="K1524" s="47" t="s">
        <v>7857</v>
      </c>
      <c r="L1524" s="47" t="e">
        <f>VLOOKUP(Table2[[#This Row],[Node]],#REF!,2,0)</f>
        <v>#REF!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>ok</v>
      </c>
      <c r="I1525" s="47" t="s">
        <v>6455</v>
      </c>
      <c r="J1525" s="47" t="e">
        <f>VLOOKUP(Table2[[#This Row], [Author]],People!A:B,2,0)</f>
        <v>#N/A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>ok</v>
      </c>
      <c r="I1526" s="47" t="s">
        <v>6455</v>
      </c>
      <c r="J1526" s="47" t="e">
        <f>VLOOKUP(Table2[[#This Row], [Author]],People!A:B,2,0)</f>
        <v>#N/A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>ok</v>
      </c>
      <c r="I1527" s="47" t="s">
        <v>6455</v>
      </c>
      <c r="J1527" s="47" t="e">
        <f>VLOOKUP(Table2[[#This Row], [Author]],People!A:B,2,0)</f>
        <v>#N/A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>ok</v>
      </c>
      <c r="I1528" s="47" t="s">
        <v>6455</v>
      </c>
      <c r="J1528" s="47" t="e">
        <f>VLOOKUP(Table2[[#This Row], [Author]],People!A:B,2,0)</f>
        <v>#N/A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>ok</v>
      </c>
      <c r="I1529" s="47" t="s">
        <v>6455</v>
      </c>
      <c r="J1529" s="47" t="e">
        <f>VLOOKUP(Table2[[#This Row], [Author]],People!A:B,2,0)</f>
        <v>#N/A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>ok</v>
      </c>
      <c r="I1530" s="47" t="s">
        <v>6455</v>
      </c>
      <c r="J1530" s="47" t="e">
        <f>VLOOKUP(Table2[[#This Row], [Author]],People!A:B,2,0)</f>
        <v>#N/A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>ok</v>
      </c>
      <c r="I1531" s="47" t="s">
        <v>6455</v>
      </c>
      <c r="J1531" s="47" t="e">
        <f>VLOOKUP(Table2[[#This Row], [Author]],People!A:B,2,0)</f>
        <v>#N/A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>ok</v>
      </c>
      <c r="I1532" s="47" t="s">
        <v>6455</v>
      </c>
      <c r="J1532" s="47" t="e">
        <f>VLOOKUP(Table2[[#This Row], [Author]],People!A:B,2,0)</f>
        <v>#N/A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>ok</v>
      </c>
      <c r="I1533" s="47" t="s">
        <v>6455</v>
      </c>
      <c r="J1533" s="47" t="e">
        <f>VLOOKUP(Table2[[#This Row], [Author]],People!A:B,2,0)</f>
        <v>#N/A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>ok</v>
      </c>
      <c r="I1534" s="47" t="s">
        <v>6455</v>
      </c>
      <c r="J1534" s="47" t="e">
        <f>VLOOKUP(Table2[[#This Row], [Author]],People!A:B,2,0)</f>
        <v>#N/A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>ok</v>
      </c>
      <c r="I1535" s="47" t="s">
        <v>6455</v>
      </c>
      <c r="J1535" s="47" t="e">
        <f>VLOOKUP(Table2[[#This Row], [Author]],People!A:B,2,0)</f>
        <v>#N/A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>ok</v>
      </c>
      <c r="I1536" s="47" t="s">
        <v>6455</v>
      </c>
      <c r="J1536" s="47" t="e">
        <f>VLOOKUP(Table2[[#This Row], [Author]],People!A:B,2,0)</f>
        <v>#N/A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>ok</v>
      </c>
      <c r="I1537" s="47" t="s">
        <v>6455</v>
      </c>
      <c r="J1537" s="47" t="e">
        <f>VLOOKUP(Table2[[#This Row], [Author]],People!A:B,2,0)</f>
        <v>#N/A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>ok</v>
      </c>
      <c r="I1538" s="47" t="s">
        <v>6455</v>
      </c>
      <c r="J1538" s="47" t="e">
        <f>VLOOKUP(Table2[[#This Row], [Author]],People!A:B,2,0)</f>
        <v>#N/A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>ok</v>
      </c>
      <c r="I1539" s="47" t="s">
        <v>6455</v>
      </c>
      <c r="J1539" s="47" t="e">
        <f>VLOOKUP(Table2[[#This Row], [Author]],People!A:B,2,0)</f>
        <v>#N/A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>ok</v>
      </c>
      <c r="I1540" s="47" t="s">
        <v>6455</v>
      </c>
      <c r="J1540" s="47" t="e">
        <f>VLOOKUP(Table2[[#This Row], [Author]],People!A:B,2,0)</f>
        <v>#N/A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>ok</v>
      </c>
      <c r="I1541" s="47" t="s">
        <v>6455</v>
      </c>
      <c r="J1541" s="47" t="e">
        <f>VLOOKUP(Table2[[#This Row], [Author]],People!A:B,2,0)</f>
        <v>#N/A</v>
      </c>
      <c r="K1541" s="47" t="s">
        <v>7858</v>
      </c>
      <c r="L1541" s="47" t="e">
        <f>VLOOKUP(Table2[[#This Row],[Node]],#REF!,2,0)</f>
        <v>#REF!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>ok</v>
      </c>
      <c r="I1542" s="47" t="s">
        <v>6455</v>
      </c>
      <c r="J1542" s="47" t="e">
        <f>VLOOKUP(Table2[[#This Row], [Author]],People!A:B,2,0)</f>
        <v>#N/A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>ok</v>
      </c>
      <c r="I1543" s="47" t="s">
        <v>6455</v>
      </c>
      <c r="J1543" s="47" t="e">
        <f>VLOOKUP(Table2[[#This Row], [Author]],People!A:B,2,0)</f>
        <v>#N/A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>ok</v>
      </c>
      <c r="I1544" s="47" t="s">
        <v>6455</v>
      </c>
      <c r="J1544" s="47" t="e">
        <f>VLOOKUP(Table2[[#This Row], [Author]],People!A:B,2,0)</f>
        <v>#N/A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>ok</v>
      </c>
      <c r="I1545" s="47" t="s">
        <v>6455</v>
      </c>
      <c r="J1545" s="47" t="e">
        <f>VLOOKUP(Table2[[#This Row], [Author]],People!A:B,2,0)</f>
        <v>#N/A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>ok</v>
      </c>
      <c r="I1546" s="47" t="s">
        <v>6455</v>
      </c>
      <c r="J1546" s="47" t="e">
        <f>VLOOKUP(Table2[[#This Row], [Author]],People!A:B,2,0)</f>
        <v>#N/A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>ok</v>
      </c>
      <c r="I1547" s="47" t="s">
        <v>6455</v>
      </c>
      <c r="J1547" s="47" t="e">
        <f>VLOOKUP(Table2[[#This Row], [Author]],People!A:B,2,0)</f>
        <v>#N/A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>ok</v>
      </c>
      <c r="I1548" s="47" t="s">
        <v>6455</v>
      </c>
      <c r="J1548" s="47" t="e">
        <f>VLOOKUP(Table2[[#This Row], [Author]],People!A:B,2,0)</f>
        <v>#N/A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>ok</v>
      </c>
      <c r="I1549" s="47" t="s">
        <v>6455</v>
      </c>
      <c r="J1549" s="47" t="e">
        <f>VLOOKUP(Table2[[#This Row], [Author]],People!A:B,2,0)</f>
        <v>#N/A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>ok</v>
      </c>
      <c r="I1550" s="47" t="s">
        <v>6455</v>
      </c>
      <c r="J1550" s="47" t="str">
        <f>VLOOKUP(Table2[[#This Row], [Author]],People!A:B,2,0)</f>
        <v>LS</v>
      </c>
      <c r="K1550" s="47" t="s">
        <v>7857</v>
      </c>
      <c r="L1550" s="47" t="e">
        <f>VLOOKUP(Table2[[#This Row],[Node]],#REF!,2,0)</f>
        <v>#REF!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>ok</v>
      </c>
      <c r="I1551" s="47" t="s">
        <v>6455</v>
      </c>
      <c r="J1551" s="47" t="str">
        <f>VLOOKUP(Table2[[#This Row], [Author]],People!A:B,2,0)</f>
        <v>MGF</v>
      </c>
      <c r="K1551" s="47" t="s">
        <v>7857</v>
      </c>
      <c r="L1551" s="47" t="e">
        <f>VLOOKUP(Table2[[#This Row],[Node]],#REF!,2,0)</f>
        <v>#REF!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>ok</v>
      </c>
      <c r="I1552" s="47" t="s">
        <v>6455</v>
      </c>
      <c r="J1552" s="47" t="str">
        <f>VLOOKUP(Table2[[#This Row], [Author]],People!A:B,2,0)</f>
        <v>MGF</v>
      </c>
      <c r="K1552" s="47" t="s">
        <v>7857</v>
      </c>
      <c r="L1552" s="47" t="e">
        <f>VLOOKUP(Table2[[#This Row],[Node]],#REF!,2,0)</f>
        <v>#REF!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>ok</v>
      </c>
      <c r="I1553" s="47" t="s">
        <v>6455</v>
      </c>
      <c r="J1553" s="47" t="str">
        <f>VLOOKUP(Table2[[#This Row], [Author]],People!A:B,2,0)</f>
        <v>MGF</v>
      </c>
      <c r="K1553" s="47" t="s">
        <v>7857</v>
      </c>
      <c r="L1553" s="47" t="e">
        <f>VLOOKUP(Table2[[#This Row],[Node]],#REF!,2,0)</f>
        <v>#REF!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>ok</v>
      </c>
      <c r="I1554" s="47" t="s">
        <v>6455</v>
      </c>
      <c r="J1554" s="47" t="e">
        <f>VLOOKUP(Table2[[#This Row], [Author]],People!A:B,2,0)</f>
        <v>#N/A</v>
      </c>
      <c r="K1554" s="47" t="s">
        <v>7857</v>
      </c>
      <c r="L1554" s="47" t="e">
        <f>VLOOKUP(Table2[[#This Row],[Node]],#REF!,2,0)</f>
        <v>#REF!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>ok</v>
      </c>
      <c r="I1555" s="47" t="s">
        <v>6455</v>
      </c>
      <c r="J1555" s="47" t="e">
        <f>VLOOKUP(Table2[[#This Row], [Author]],People!A:B,2,0)</f>
        <v>#N/A</v>
      </c>
      <c r="K1555" s="47" t="s">
        <v>7857</v>
      </c>
      <c r="L1555" s="47" t="e">
        <f>VLOOKUP(Table2[[#This Row],[Node]],#REF!,2,0)</f>
        <v>#REF!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>ok</v>
      </c>
      <c r="I1556" s="47" t="s">
        <v>6455</v>
      </c>
      <c r="J1556" s="47" t="e">
        <f>VLOOKUP(Table2[[#This Row], [Author]],People!A:B,2,0)</f>
        <v>#N/A</v>
      </c>
      <c r="K1556" s="47" t="s">
        <v>7857</v>
      </c>
      <c r="L1556" s="47" t="e">
        <f>VLOOKUP(Table2[[#This Row],[Node]],#REF!,2,0)</f>
        <v>#REF!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>ok</v>
      </c>
      <c r="I1557" s="47" t="s">
        <v>6455</v>
      </c>
      <c r="J1557" s="47" t="e">
        <f>VLOOKUP(Table2[[#This Row], [Author]],People!A:B,2,0)</f>
        <v>#N/A</v>
      </c>
      <c r="K1557" s="47" t="s">
        <v>7857</v>
      </c>
      <c r="L1557" s="47" t="e">
        <f>VLOOKUP(Table2[[#This Row],[Node]],#REF!,2,0)</f>
        <v>#REF!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>ok</v>
      </c>
      <c r="I1558" s="47" t="s">
        <v>6455</v>
      </c>
      <c r="J1558" s="47" t="e">
        <f>VLOOKUP(Table2[[#This Row], [Author]],People!A:B,2,0)</f>
        <v>#N/A</v>
      </c>
      <c r="K1558" s="47" t="s">
        <v>7857</v>
      </c>
      <c r="L1558" s="47" t="e">
        <f>VLOOKUP(Table2[[#This Row],[Node]],#REF!,2,0)</f>
        <v>#REF!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str">
        <f>VLOOKUP(Table2[[#This Row], [Author]],People!A:B,2,0)</f>
        <v>MGF</v>
      </c>
      <c r="K1559" s="47" t="s">
        <v>7857</v>
      </c>
      <c r="L1559" s="47" t="e">
        <f>VLOOKUP(Table2[[#This Row],[Node]],#REF!,2,0)</f>
        <v>#REF!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str">
        <f>VLOOKUP(Table2[[#This Row], [Author]],People!A:B,2,0)</f>
        <v>MGF</v>
      </c>
      <c r="K1560" s="47" t="s">
        <v>7857</v>
      </c>
      <c r="L1560" s="47" t="e">
        <f>VLOOKUP(Table2[[#This Row],[Node]],#REF!,2,0)</f>
        <v>#REF!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str">
        <f>VLOOKUP(Table2[[#This Row], [Author]],People!A:B,2,0)</f>
        <v>MGF</v>
      </c>
      <c r="K1561" s="47" t="s">
        <v>7857</v>
      </c>
      <c r="L1561" s="47" t="e">
        <f>VLOOKUP(Table2[[#This Row],[Node]],#REF!,2,0)</f>
        <v>#REF!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str">
        <f>VLOOKUP(Table2[[#This Row], [Author]],People!A:B,2,0)</f>
        <v>MGF</v>
      </c>
      <c r="K1562" s="47" t="s">
        <v>7857</v>
      </c>
      <c r="L1562" s="47" t="e">
        <f>VLOOKUP(Table2[[#This Row],[Node]],#REF!,2,0)</f>
        <v>#REF!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str">
        <f>VLOOKUP(Table2[[#This Row], [Author]],People!A:B,2,0)</f>
        <v>MGF</v>
      </c>
      <c r="K1563" s="47" t="s">
        <v>7857</v>
      </c>
      <c r="L1563" s="47" t="e">
        <f>VLOOKUP(Table2[[#This Row],[Node]],#REF!,2,0)</f>
        <v>#REF!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str">
        <f>VLOOKUP(Table2[[#This Row], [Author]],People!A:B,2,0)</f>
        <v>MGF</v>
      </c>
      <c r="K1564" s="47" t="s">
        <v>7857</v>
      </c>
      <c r="L1564" s="47" t="e">
        <f>VLOOKUP(Table2[[#This Row],[Node]],#REF!,2,0)</f>
        <v>#REF!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str">
        <f>VLOOKUP(Table2[[#This Row], [Author]],People!A:B,2,0)</f>
        <v>MGF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str">
        <f>VLOOKUP(Table2[[#This Row], [Author]],People!A:B,2,0)</f>
        <v>MGF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str">
        <f>VLOOKUP(Table2[[#This Row], [Author]],People!A:B,2,0)</f>
        <v>MGF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str">
        <f>VLOOKUP(Table2[[#This Row], [Author]],People!A:B,2,0)</f>
        <v>MGF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str">
        <f>VLOOKUP(Table2[[#This Row], [Author]],People!A:B,2,0)</f>
        <v>MGF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str">
        <f>VLOOKUP(Table2[[#This Row], [Author]],People!A:B,2,0)</f>
        <v>MGF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str">
        <f>VLOOKUP(Table2[[#This Row], [Author]],People!A:B,2,0)</f>
        <v>MGF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str">
        <f>VLOOKUP(Table2[[#This Row], [Author]],People!A:B,2,0)</f>
        <v>MGF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str">
        <f>VLOOKUP(Table2[[#This Row], [Author]],People!A:B,2,0)</f>
        <v>MGF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str">
        <f>VLOOKUP(Table2[[#This Row], [Author]],People!A:B,2,0)</f>
        <v>MGF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str">
        <f>VLOOKUP(Table2[[#This Row], [Author]],People!A:B,2,0)</f>
        <v>MGF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str">
        <f>VLOOKUP(Table2[[#This Row], [Author]],People!A:B,2,0)</f>
        <v>MGF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str">
        <f>VLOOKUP(Table2[[#This Row], [Author]],People!A:B,2,0)</f>
        <v>MGF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str">
        <f>VLOOKUP(Table2[[#This Row], [Author]],People!A:B,2,0)</f>
        <v>MGF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str">
        <f>VLOOKUP(Table2[[#This Row], [Author]],People!A:B,2,0)</f>
        <v>MGF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str">
        <f>VLOOKUP(Table2[[#This Row], [Author]],People!A:B,2,0)</f>
        <v>MGF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str">
        <f>VLOOKUP(Table2[[#This Row], [Author]],People!A:B,2,0)</f>
        <v>MGF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str">
        <f>VLOOKUP(Table2[[#This Row], [Author]],People!A:B,2,0)</f>
        <v>MGF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str">
        <f>VLOOKUP(Table2[[#This Row], [Author]],People!A:B,2,0)</f>
        <v>MGF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str">
        <f>VLOOKUP(Table2[[#This Row], [Author]],People!A:B,2,0)</f>
        <v>MGF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str">
        <f>VLOOKUP(Table2[[#This Row], [Author]],People!A:B,2,0)</f>
        <v>MGF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str">
        <f>VLOOKUP(Table2[[#This Row], [Author]],People!A:B,2,0)</f>
        <v>MGF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str">
        <f>VLOOKUP(Table2[[#This Row], [Author]],People!A:B,2,0)</f>
        <v>MGF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str">
        <f>VLOOKUP(Table2[[#This Row], [Author]],People!A:B,2,0)</f>
        <v>MGF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str">
        <f>VLOOKUP(Table2[[#This Row], [Author]],People!A:B,2,0)</f>
        <v>MGF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str">
        <f>VLOOKUP(Table2[[#This Row], [Author]],People!A:B,2,0)</f>
        <v>MGF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#N/A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#N/A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#N/A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#N/A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#N/A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#N/A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#N/A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#N/A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#N/A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pvt</vt:lpstr>
      <vt:lpstr>Okey</vt:lpstr>
      <vt:lpstr>STUCT1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2026-04-08T16:00:32Z</dcterms:modified>
</cp:coreProperties>
</file>