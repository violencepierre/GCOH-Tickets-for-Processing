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868852B-2BEF-40A7-993E-0CD70F77433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7" sheetId="24" r:id="rId3"/>
    <sheet name="Sheet6" sheetId="23" r:id="rId4"/>
    <sheet name="Sheet5" sheetId="22" r:id="rId5"/>
    <sheet name="Sheet4" sheetId="21" r:id="rId6"/>
    <sheet name="Sheet3" sheetId="20" r:id="rId7"/>
    <sheet name="Sheet2" sheetId="19" r:id="rId8"/>
    <sheet name="Sheet1" sheetId="18" r:id="rId9"/>
    <sheet name="Names" sheetId="5" r:id="rId10"/>
    <sheet name="NEW NODES" sheetId="6" r:id="rId11"/>
    <sheet name="People" sheetId="7" r:id="rId12"/>
    <sheet name="2023" sheetId="8" state="hidden" r:id="rId13"/>
    <sheet name="Sectors" sheetId="9" r:id="rId14"/>
    <sheet name="Okey" sheetId="10" r:id="rId15"/>
    <sheet name="KPI" sheetId="12" r:id="rId16"/>
  </sheets>
  <definedNames>
    <definedName name="_xlnm._FilterDatabase" localSheetId="12">'2023'!$A$1:$M$1</definedName>
    <definedName name="_xlnm._FilterDatabase" localSheetId="9">Names!$A$237:$G$388</definedName>
    <definedName name="_xlnm._FilterDatabase" localSheetId="11">People!$A$1:$B$1</definedName>
    <definedName name="_xlnm._FilterDatabase" localSheetId="5" hidden="1">Sheet4!$A$1:$G$1</definedName>
    <definedName name="_xlnm._FilterDatabase" localSheetId="1">STUCT1!#REF!</definedName>
  </definedNames>
  <calcPr calcId="181029"/>
  <pivotCaches>
    <pivotCache cacheId="1" r:id="rId17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63" i="1" l="1"/>
  <c r="H1363" i="1"/>
  <c r="J1355" i="1"/>
  <c r="J1362" i="1"/>
  <c r="J1361" i="1"/>
  <c r="J1360" i="1"/>
  <c r="J1359" i="1"/>
  <c r="J1358" i="1"/>
  <c r="J1357" i="1"/>
  <c r="J1356" i="1"/>
  <c r="H1361" i="1"/>
  <c r="H1362" i="1"/>
  <c r="H1355" i="1"/>
  <c r="H1356" i="1"/>
  <c r="H1357" i="1"/>
  <c r="H1358" i="1"/>
  <c r="H1359" i="1"/>
  <c r="H1360" i="1"/>
  <c r="J1354" i="1"/>
  <c r="H1354" i="1"/>
  <c r="J1351" i="1"/>
  <c r="J1352" i="1"/>
  <c r="J1353" i="1"/>
  <c r="H1351" i="1"/>
  <c r="H1352" i="1"/>
  <c r="H1353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27" i="1"/>
  <c r="J1326" i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H2" i="1"/>
  <c r="A116" i="1" l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</calcChain>
</file>

<file path=xl/sharedStrings.xml><?xml version="1.0" encoding="utf-8"?>
<sst xmlns="http://schemas.openxmlformats.org/spreadsheetml/2006/main" count="37348" uniqueCount="6767">
  <si>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</si>
  <si>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</si>
  <si>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</si>
  <si>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</si>
  <si>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</si>
  <si>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</si>
  <si>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</si>
  <si>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</si>
  <si>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</si>
  <si>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</si>
  <si>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</si>
  <si>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</si>
  <si>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</si>
  <si>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</si>
  <si>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</si>
  <si>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</si>
  <si>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</si>
  <si>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</si>
  <si>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</si>
  <si>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</si>
  <si>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</si>
  <si>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</si>
  <si>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</si>
  <si>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</si>
  <si>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</si>
  <si>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</si>
  <si>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</si>
  <si>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</si>
  <si>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</si>
  <si>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</si>
  <si>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</si>
  <si>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</si>
  <si>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</si>
  <si>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</si>
  <si>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</si>
  <si>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</si>
  <si>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</si>
  <si>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</si>
  <si>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</si>
  <si>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</si>
  <si>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</si>
  <si>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</si>
  <si>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</si>
  <si>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</si>
  <si>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</si>
  <si>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</si>
  <si>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</si>
  <si>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</si>
  <si>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</si>
  <si>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</si>
  <si>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</si>
  <si>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</si>
  <si>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</si>
  <si>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</si>
  <si>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</si>
  <si>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</si>
  <si>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</si>
  <si>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</si>
  <si>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</si>
  <si>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</si>
  <si>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</si>
  <si>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</si>
  <si>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</si>
  <si>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</si>
  <si>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</si>
  <si>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</si>
  <si>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</si>
  <si>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</si>
  <si>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</si>
  <si>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</si>
  <si>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</si>
  <si>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</si>
  <si>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</si>
  <si>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</si>
  <si>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</si>
  <si>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</si>
  <si>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</si>
  <si>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</si>
  <si>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</si>
  <si>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</si>
  <si>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</si>
  <si>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</si>
  <si>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</si>
  <si>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</si>
  <si>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</si>
  <si>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</si>
  <si>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</si>
  <si>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</si>
  <si>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</si>
  <si>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</si>
  <si>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</si>
  <si>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</si>
  <si>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</si>
  <si>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</si>
  <si>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</si>
  <si>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</si>
  <si>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</si>
  <si>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</si>
  <si>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</si>
  <si>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</si>
  <si>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</si>
  <si>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</si>
  <si>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</si>
  <si>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</si>
  <si>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</si>
  <si>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</si>
  <si>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</si>
  <si>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</si>
  <si>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</si>
  <si>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</si>
  <si>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</si>
  <si>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</si>
  <si>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</si>
  <si>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</si>
  <si>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</si>
  <si>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</si>
  <si>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</si>
  <si>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</si>
  <si>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</si>
  <si>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</si>
  <si>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</si>
  <si>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</si>
  <si>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</si>
  <si>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</si>
  <si>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</si>
  <si>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</si>
  <si>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</si>
  <si>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</si>
  <si>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</si>
  <si>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</si>
  <si>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</si>
  <si>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</si>
  <si>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</si>
  <si>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</si>
  <si>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</si>
  <si>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</si>
  <si>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</si>
  <si>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</si>
  <si>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</si>
  <si>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</si>
  <si>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</si>
  <si>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</si>
  <si>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</si>
  <si>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</si>
  <si>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</si>
  <si>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</si>
  <si>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</si>
  <si>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</si>
  <si>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</si>
  <si>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</si>
  <si>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</si>
  <si>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</si>
  <si>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</si>
  <si>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</si>
  <si>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</si>
  <si>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</si>
  <si>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</si>
  <si>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</si>
  <si>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</si>
  <si>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</si>
  <si>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</si>
  <si>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</si>
  <si>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</si>
  <si>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</si>
  <si>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</si>
  <si>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</si>
  <si>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</si>
  <si>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</si>
  <si>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</si>
  <si>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</si>
  <si>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</si>
  <si>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</si>
  <si>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</si>
  <si>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</si>
  <si>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</si>
  <si>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</si>
  <si>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</si>
  <si>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</si>
  <si>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</si>
  <si>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</si>
  <si>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</si>
  <si>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</si>
  <si>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</si>
  <si>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</si>
  <si>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</si>
  <si>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</si>
  <si>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</si>
  <si>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</si>
  <si>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</si>
  <si>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</si>
  <si>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</si>
  <si>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</si>
  <si>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</si>
  <si>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</si>
  <si>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</si>
  <si>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</si>
  <si>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</si>
  <si>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</si>
  <si>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</si>
  <si>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</si>
  <si>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</si>
  <si>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</si>
  <si>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</si>
  <si>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</si>
  <si>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</si>
  <si>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</si>
  <si>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</si>
  <si>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</si>
  <si>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</si>
  <si>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</si>
  <si>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</si>
  <si>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</si>
  <si>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</si>
  <si>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</si>
  <si>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</si>
  <si>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</si>
  <si>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</si>
  <si>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</si>
  <si>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</si>
  <si>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</si>
  <si>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</si>
  <si>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</si>
  <si>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</si>
  <si>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</si>
  <si>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</si>
  <si>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</si>
  <si>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</si>
  <si>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</si>
  <si>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</si>
  <si>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</si>
  <si>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</si>
  <si>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</si>
  <si>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</si>
  <si>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</si>
  <si>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</si>
  <si>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</si>
  <si>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</si>
  <si>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</si>
  <si>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</si>
  <si>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</si>
  <si>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</si>
  <si>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</si>
  <si>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</si>
  <si>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</si>
  <si>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</si>
  <si>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</si>
  <si>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</si>
  <si>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</si>
  <si>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</si>
  <si>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</si>
  <si>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</si>
  <si>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</si>
  <si>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</si>
  <si>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</si>
  <si>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</si>
  <si>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</si>
  <si>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</si>
  <si>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</si>
  <si>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</si>
  <si>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</si>
  <si>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</si>
  <si>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</si>
  <si>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</si>
  <si>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</si>
  <si>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</si>
  <si>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</si>
  <si>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</si>
  <si>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</si>
  <si>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</si>
  <si>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</si>
  <si>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</si>
  <si>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</si>
  <si>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</si>
  <si>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</si>
  <si>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</si>
  <si>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</si>
  <si>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</si>
  <si>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</si>
  <si>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</si>
  <si>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</si>
  <si>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</si>
  <si>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</si>
  <si>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</si>
  <si>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</si>
  <si>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</si>
  <si>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</si>
  <si>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</si>
  <si>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</si>
  <si>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</si>
  <si>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</si>
  <si>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</si>
  <si>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</si>
  <si>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</si>
  <si>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</si>
  <si>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</si>
  <si>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</si>
  <si>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</si>
  <si>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</si>
  <si>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</si>
  <si>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</si>
  <si>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</si>
  <si>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</si>
  <si>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</si>
  <si>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</si>
  <si>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</si>
  <si>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</si>
  <si>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</si>
  <si>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</si>
  <si>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</si>
  <si>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</si>
  <si>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</si>
  <si>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</si>
  <si>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</si>
  <si>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</si>
  <si>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</si>
  <si>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</si>
  <si>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</si>
  <si>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</si>
  <si>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</si>
  <si>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</si>
  <si>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</si>
  <si>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</si>
  <si>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</si>
  <si>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</si>
  <si>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</si>
  <si>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</si>
  <si>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</si>
  <si>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</si>
  <si>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</si>
  <si>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</si>
  <si>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</si>
  <si>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</si>
  <si>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</si>
  <si>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</si>
  <si>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</si>
  <si>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</si>
  <si>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</si>
  <si>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</si>
  <si>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</si>
  <si>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</si>
  <si>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</si>
  <si>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</si>
  <si>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</si>
  <si>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</si>
  <si>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</si>
  <si>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</si>
  <si>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</si>
  <si>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</si>
  <si>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</si>
  <si>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</si>
  <si>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</si>
  <si>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</si>
  <si>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</si>
  <si>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</si>
  <si>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</si>
  <si>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</si>
  <si>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</si>
  <si>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</si>
  <si>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</si>
  <si>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</si>
  <si>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</si>
  <si>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</si>
  <si>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</si>
  <si>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</si>
  <si>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</si>
  <si>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</si>
  <si>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</si>
  <si>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</si>
  <si>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</si>
  <si>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</si>
  <si>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</si>
  <si>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</si>
  <si>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</si>
  <si>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</si>
  <si>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</si>
  <si>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</si>
  <si>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</si>
  <si>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</si>
  <si>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</si>
  <si>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</si>
  <si>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</si>
  <si>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</si>
  <si>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</si>
  <si>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</si>
  <si>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</si>
  <si>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</si>
  <si>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</si>
  <si>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</si>
  <si>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</si>
  <si>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</si>
  <si>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</si>
  <si>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</si>
  <si>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</si>
  <si>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</si>
  <si>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</si>
  <si>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</si>
  <si>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</si>
  <si>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</si>
  <si>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</si>
  <si>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</si>
  <si>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</si>
  <si>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</si>
  <si>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</si>
  <si>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</si>
  <si>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</si>
  <si>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</si>
  <si>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</si>
  <si>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</si>
  <si>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</si>
  <si>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</si>
  <si>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</si>
  <si>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</si>
  <si>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</si>
  <si>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</si>
  <si>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</si>
  <si>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</si>
  <si>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</si>
  <si>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</si>
  <si>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</si>
  <si>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</si>
  <si>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</si>
  <si>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</si>
  <si>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</si>
  <si>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</si>
  <si>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</si>
  <si>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</si>
  <si>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</si>
  <si>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</si>
  <si>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</si>
  <si>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</si>
  <si>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</si>
  <si>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</si>
  <si>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</si>
  <si>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</si>
  <si>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</si>
  <si>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</si>
  <si>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</si>
  <si>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</si>
  <si>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</si>
  <si>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</si>
  <si>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</si>
  <si>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</si>
  <si>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</si>
  <si>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</si>
  <si>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</si>
  <si>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</si>
  <si>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</si>
  <si>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</si>
  <si>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</si>
  <si>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</si>
  <si>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</si>
  <si>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</si>
  <si>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</si>
  <si>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</si>
  <si>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</si>
  <si>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</si>
  <si>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</si>
  <si>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</si>
  <si>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</si>
  <si>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</si>
  <si>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</si>
  <si>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</si>
  <si>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</si>
  <si>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</si>
  <si>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</si>
  <si>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</si>
  <si>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</si>
  <si>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</si>
  <si>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</si>
  <si>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</si>
  <si>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</si>
  <si>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</si>
  <si>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</si>
  <si>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</si>
  <si>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</si>
  <si>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</si>
  <si>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</si>
  <si>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</si>
  <si>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</si>
  <si>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</si>
  <si>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</si>
  <si>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</si>
  <si>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</si>
  <si>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</si>
  <si>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</si>
  <si>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</si>
  <si>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</si>
  <si>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</si>
  <si>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</si>
  <si>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</si>
  <si>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</si>
  <si>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</si>
  <si>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</si>
  <si>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</si>
  <si>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</si>
  <si>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</si>
  <si>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</si>
  <si>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</si>
  <si>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</si>
  <si>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</si>
  <si>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</si>
  <si>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</si>
  <si>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</si>
  <si>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</si>
  <si>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</si>
  <si>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</si>
  <si>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</si>
  <si>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</si>
  <si>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</si>
  <si>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</si>
  <si>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</si>
  <si>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</si>
  <si>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</si>
  <si>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</si>
  <si>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</si>
  <si>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</si>
  <si>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</si>
  <si>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</si>
  <si>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</si>
  <si>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</si>
  <si>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</si>
  <si>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</si>
  <si>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</si>
  <si>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</si>
  <si>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</si>
  <si>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</si>
  <si>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</si>
  <si>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</si>
  <si>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</si>
  <si>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</si>
  <si>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</si>
  <si>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</si>
  <si>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</si>
  <si>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</si>
  <si>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</si>
  <si>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</si>
  <si>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</si>
  <si>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</si>
  <si>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</si>
  <si>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</si>
  <si>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</si>
  <si>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</si>
  <si>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</si>
  <si>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</si>
  <si>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</si>
  <si>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</si>
  <si>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</si>
  <si>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</si>
  <si>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</si>
  <si>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</si>
  <si>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</si>
  <si>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</si>
  <si>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</si>
  <si>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</si>
  <si>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</si>
  <si>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</si>
  <si>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</si>
  <si>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</si>
  <si>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</si>
  <si>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</si>
  <si>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</si>
  <si>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</si>
  <si>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</si>
  <si>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</si>
  <si>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</si>
  <si>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</si>
  <si>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</si>
  <si>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</si>
  <si>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</si>
  <si>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</si>
  <si>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</si>
  <si>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</si>
  <si>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</si>
  <si>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</si>
  <si>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</si>
  <si>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</si>
  <si>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</si>
  <si>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</si>
  <si>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</si>
  <si>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</si>
  <si>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</si>
  <si>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</si>
  <si>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</si>
  <si>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</si>
  <si>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</si>
  <si>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</si>
  <si>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</si>
  <si>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</si>
  <si>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</si>
  <si>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</si>
  <si>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</si>
  <si>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</si>
  <si>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</si>
  <si>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</si>
  <si>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</si>
  <si>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</si>
  <si>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</si>
  <si>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</si>
  <si>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</si>
  <si>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</si>
  <si>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</si>
  <si>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</si>
  <si>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</si>
  <si>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</si>
  <si>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</si>
  <si>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</si>
  <si>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</si>
  <si>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</si>
  <si>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</si>
  <si>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</si>
  <si>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</si>
  <si>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</si>
  <si>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</si>
  <si>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</si>
  <si>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</si>
  <si>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</si>
  <si>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</si>
  <si>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</si>
  <si>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</si>
  <si>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</si>
  <si>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</si>
  <si>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</si>
  <si>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</si>
  <si>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</si>
  <si>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</si>
  <si>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</si>
  <si>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</si>
  <si>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</si>
  <si>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</si>
  <si>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</si>
  <si>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</si>
  <si>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</si>
  <si>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</si>
  <si>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</si>
  <si>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</si>
  <si>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</si>
  <si>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</si>
  <si>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</si>
  <si>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</si>
  <si>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</si>
  <si>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</si>
  <si>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</si>
  <si>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</si>
  <si>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</si>
  <si>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</si>
  <si>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</si>
  <si>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</si>
  <si>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</si>
  <si>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</si>
  <si>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</si>
  <si>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</si>
  <si>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</si>
  <si>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</si>
  <si>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</si>
  <si>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</si>
  <si>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</si>
  <si>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</si>
  <si>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</si>
  <si>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</si>
  <si>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</si>
  <si>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</si>
  <si>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</si>
  <si>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</si>
  <si>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</si>
  <si>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</si>
  <si>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</si>
  <si>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</si>
  <si>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</si>
  <si>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</si>
  <si>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</si>
  <si>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</si>
  <si>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</si>
  <si>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</si>
  <si>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</si>
  <si>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</si>
  <si>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</si>
  <si>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</si>
  <si>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</si>
  <si>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</si>
  <si>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</si>
  <si>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</si>
  <si>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</si>
  <si>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</si>
  <si>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</si>
  <si>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</si>
  <si>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</si>
  <si>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</si>
  <si>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</si>
  <si>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</si>
  <si>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</si>
  <si>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</si>
  <si>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</si>
  <si>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</si>
  <si>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</si>
  <si>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</si>
  <si>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</si>
  <si>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</si>
  <si>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</si>
  <si>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</si>
  <si>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</si>
  <si>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</si>
  <si>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</si>
  <si>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</si>
  <si>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</si>
  <si>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</si>
  <si>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</si>
  <si>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</si>
  <si>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</si>
  <si>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</si>
  <si>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</si>
  <si>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</si>
  <si>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</si>
  <si>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</si>
  <si>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</si>
  <si>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</si>
  <si>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</si>
  <si>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</si>
  <si>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</si>
  <si>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</si>
  <si>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</si>
  <si>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</si>
  <si>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</si>
  <si>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</si>
  <si>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</si>
  <si>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</si>
  <si>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</si>
  <si>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</si>
  <si>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</si>
  <si>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</si>
  <si>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</si>
  <si>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</si>
  <si>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</si>
  <si>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</si>
  <si>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</si>
  <si>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</si>
  <si>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</si>
  <si>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</si>
  <si>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</si>
  <si>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</si>
  <si>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</si>
  <si>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</si>
  <si>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</si>
  <si>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</si>
  <si>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</si>
  <si>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</si>
  <si>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</si>
  <si>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</si>
  <si>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</si>
  <si>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</si>
  <si>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</si>
  <si>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</si>
  <si>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</si>
  <si>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</si>
  <si>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</si>
  <si>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</si>
  <si>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</si>
  <si>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</si>
  <si>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</si>
  <si>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</si>
  <si>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</si>
  <si>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</si>
  <si>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</si>
  <si>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</si>
  <si>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</si>
  <si>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</si>
  <si>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</si>
  <si>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</si>
  <si>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</si>
  <si>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</si>
  <si>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</si>
  <si>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</si>
  <si>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</si>
  <si>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</si>
  <si>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</si>
  <si>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</si>
  <si>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</si>
  <si>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</si>
  <si>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</si>
  <si>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</si>
  <si>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</si>
  <si>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</si>
  <si>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</si>
  <si>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</si>
  <si>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</si>
  <si>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</si>
  <si>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</si>
  <si>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</si>
  <si>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</si>
  <si>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</si>
  <si>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</si>
  <si>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</si>
  <si>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</si>
  <si>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</si>
  <si>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</si>
  <si>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</si>
  <si>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</si>
  <si>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</si>
  <si>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</si>
  <si>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</si>
  <si>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</si>
  <si>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</si>
  <si>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</si>
  <si>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</si>
  <si>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</si>
  <si>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</si>
  <si>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</si>
  <si>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</si>
  <si>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</si>
  <si>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</si>
  <si>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</si>
  <si>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</si>
  <si>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</si>
  <si>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</si>
  <si>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</si>
  <si>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</si>
  <si>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</si>
  <si>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</si>
  <si>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</si>
  <si>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</si>
  <si>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</si>
  <si>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</si>
  <si>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</si>
  <si>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</si>
  <si>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</si>
  <si>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</si>
  <si>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</si>
  <si>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</si>
  <si>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</si>
  <si>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</si>
  <si>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</si>
  <si>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</si>
  <si>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</si>
  <si>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</si>
  <si>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</si>
  <si>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</si>
  <si>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</si>
  <si>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</si>
  <si>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</si>
  <si>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</si>
  <si>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</si>
  <si>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</si>
  <si>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</si>
  <si>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</si>
  <si>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</si>
  <si>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</si>
  <si>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</si>
  <si>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</si>
  <si>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</si>
  <si>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</si>
  <si>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</si>
  <si>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</si>
  <si>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</si>
  <si>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</si>
  <si>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</si>
  <si>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</si>
  <si>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</si>
  <si>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</si>
  <si>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</si>
  <si>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</si>
  <si>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</si>
  <si>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</si>
  <si>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</si>
  <si>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</si>
  <si>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</si>
  <si>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</si>
  <si>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</si>
  <si>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</si>
  <si>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</si>
  <si>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</si>
  <si>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</si>
  <si>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</si>
  <si>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</si>
  <si>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</si>
  <si>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</si>
  <si>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</si>
  <si>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</si>
  <si>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</si>
  <si>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</si>
  <si>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</si>
  <si>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</si>
  <si>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</si>
  <si>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</si>
  <si>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</si>
  <si>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</si>
  <si>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</si>
  <si>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</si>
  <si>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</si>
  <si>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</si>
  <si>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</si>
  <si>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</si>
  <si>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</si>
  <si>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</si>
  <si>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</si>
  <si>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</si>
  <si>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</si>
  <si>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</si>
  <si>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</si>
  <si>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</si>
  <si>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</si>
  <si>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</si>
  <si>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</si>
  <si>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</si>
  <si>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</si>
  <si>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</si>
  <si>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</si>
  <si>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</si>
  <si>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</si>
  <si>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</si>
  <si>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</si>
  <si>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</si>
  <si>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</si>
  <si>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</si>
  <si>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</si>
  <si>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</si>
  <si>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</si>
  <si>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</si>
  <si>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</si>
  <si>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</si>
  <si>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</si>
  <si>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</si>
  <si>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</si>
  <si>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</si>
  <si>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</si>
  <si>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</si>
  <si>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</si>
  <si>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</si>
  <si>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</si>
  <si>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</si>
  <si>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</si>
  <si>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</si>
  <si>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</si>
  <si>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</si>
  <si>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</si>
  <si>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</si>
  <si>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</si>
  <si>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</si>
  <si>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</si>
  <si>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</si>
  <si>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</si>
  <si>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</si>
  <si>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</si>
  <si>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</si>
  <si>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</si>
  <si>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</si>
  <si>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</si>
  <si>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</si>
  <si>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</si>
  <si>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</si>
  <si>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</si>
  <si>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</si>
  <si>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</si>
  <si>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</si>
  <si>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</si>
  <si>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</si>
  <si>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</si>
  <si>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</si>
  <si>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</si>
  <si>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</si>
  <si>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</si>
  <si>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</si>
  <si>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</si>
  <si>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</si>
  <si>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</si>
  <si>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</si>
  <si>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</si>
  <si>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</si>
  <si>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</si>
  <si>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</si>
  <si>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</si>
  <si>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</si>
  <si>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</si>
  <si>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</si>
  <si>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</si>
  <si>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</si>
  <si>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</si>
  <si>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</si>
  <si>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</si>
  <si>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</si>
  <si>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</si>
  <si>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</si>
  <si>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</si>
  <si>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</si>
  <si>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</si>
  <si>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</si>
  <si>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</si>
  <si>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</si>
  <si>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</si>
  <si>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</si>
  <si>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</si>
  <si>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</si>
  <si>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</si>
  <si>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</si>
  <si>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</si>
  <si>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</si>
  <si>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</si>
  <si>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</si>
  <si>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</si>
  <si>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</si>
  <si>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</si>
  <si>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</si>
  <si>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</si>
  <si>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</si>
  <si>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</si>
  <si>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</si>
  <si>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</si>
  <si>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</si>
  <si>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</si>
  <si>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</si>
  <si>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</si>
  <si>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</si>
  <si>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</si>
  <si>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</si>
  <si>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</si>
  <si>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</si>
  <si>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</si>
  <si>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</si>
  <si>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</si>
  <si>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</si>
  <si>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</si>
  <si>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</si>
  <si>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</si>
  <si>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</si>
  <si>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</si>
  <si>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</si>
  <si>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</si>
  <si>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</si>
  <si>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</si>
  <si>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</si>
  <si>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</si>
  <si>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</si>
  <si>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</si>
  <si>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</si>
  <si>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</si>
  <si>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</si>
  <si>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</si>
  <si>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</si>
  <si>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</si>
  <si>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</si>
  <si>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</si>
  <si>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</si>
  <si>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</si>
  <si>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</si>
  <si>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</si>
  <si>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</si>
  <si>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</si>
  <si>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</si>
  <si>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</si>
  <si>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</si>
  <si>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</si>
  <si>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</si>
  <si>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</si>
  <si>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</si>
  <si>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</si>
  <si>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</si>
  <si>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</si>
  <si>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</si>
  <si>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</si>
  <si>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</si>
  <si>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</si>
  <si>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</si>
  <si>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</si>
  <si>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</si>
  <si>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</si>
  <si>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</si>
  <si>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</si>
  <si>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</si>
  <si>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</si>
  <si>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</si>
  <si>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</si>
  <si>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</si>
  <si>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</si>
  <si>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</si>
  <si>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</si>
  <si>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</si>
  <si>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</si>
  <si>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</si>
  <si>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</si>
  <si>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</si>
  <si>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</si>
  <si>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</si>
  <si>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</si>
  <si>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</si>
  <si>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</si>
  <si>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</si>
  <si>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</si>
  <si>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</si>
  <si>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</si>
  <si>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</si>
  <si>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</si>
  <si>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</si>
  <si>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</si>
  <si>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</si>
  <si>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</si>
  <si>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</si>
  <si>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</si>
  <si>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</si>
  <si>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</si>
  <si>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</si>
  <si>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</si>
  <si>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</si>
  <si>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</si>
  <si>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</si>
  <si>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</si>
  <si>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</si>
  <si>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</si>
  <si>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</si>
  <si>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</si>
  <si>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</si>
  <si>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</si>
  <si>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</si>
  <si>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</si>
  <si>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</si>
  <si>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</si>
  <si>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</si>
  <si>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</si>
  <si>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</si>
  <si>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</si>
  <si>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</si>
  <si>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</si>
  <si>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</si>
  <si>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</si>
  <si>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</si>
  <si>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</si>
  <si>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</si>
  <si>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</si>
  <si>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</si>
  <si>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</si>
  <si>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</si>
  <si>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</si>
  <si>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</si>
  <si>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</si>
  <si>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</si>
  <si>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</si>
  <si>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</si>
  <si>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</si>
  <si>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</si>
  <si>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</si>
  <si>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</si>
  <si>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</si>
  <si>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</si>
  <si>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</si>
  <si>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</si>
  <si>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</si>
  <si>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</si>
  <si>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</si>
  <si>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</si>
  <si>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</si>
  <si>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</si>
  <si>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</si>
  <si>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</si>
  <si>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</si>
  <si>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</si>
  <si>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</si>
  <si>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</si>
  <si>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</si>
  <si>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</si>
  <si>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</si>
  <si>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</si>
  <si>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</si>
  <si>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</si>
  <si>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</si>
  <si>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</si>
  <si>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</si>
  <si>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</si>
  <si>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</si>
  <si>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</si>
  <si>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</si>
  <si>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</si>
  <si>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</si>
  <si>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</si>
  <si>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</si>
  <si>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</si>
  <si>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</si>
  <si>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</si>
  <si>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</si>
  <si>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</si>
  <si>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</si>
  <si>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</si>
  <si>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</si>
  <si>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</si>
  <si>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</si>
  <si>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</si>
  <si>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</si>
  <si>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</si>
  <si>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</si>
  <si>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</si>
  <si>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</si>
  <si>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</si>
  <si>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</si>
  <si>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</si>
  <si>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</si>
  <si>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</si>
  <si>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</si>
  <si>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</si>
  <si>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</si>
  <si>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</si>
  <si>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</si>
  <si>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</si>
  <si>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</si>
  <si>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</si>
  <si>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</si>
  <si>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</si>
  <si>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</si>
  <si>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</si>
  <si>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</si>
  <si>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</si>
  <si>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</si>
  <si>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</si>
  <si>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</si>
  <si>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</si>
  <si>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</si>
  <si>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</si>
  <si>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</si>
  <si>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</si>
  <si>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</si>
  <si>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</si>
  <si>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</si>
  <si>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</si>
  <si>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</si>
  <si>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</si>
  <si>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</si>
  <si>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</si>
  <si>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</si>
  <si>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</si>
  <si>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</si>
  <si>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</si>
  <si>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</si>
  <si>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</si>
  <si>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</si>
  <si>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</si>
  <si>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</si>
  <si>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</si>
  <si>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</si>
  <si>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</si>
  <si>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</si>
  <si>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</si>
  <si>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</si>
  <si>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</si>
  <si>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</si>
  <si>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</si>
  <si>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</si>
  <si>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</si>
  <si>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</si>
  <si>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</si>
  <si>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</si>
  <si>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</si>
  <si>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</si>
  <si>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</si>
  <si>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</si>
  <si>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</si>
  <si>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</si>
  <si>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</si>
  <si>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</si>
  <si>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</si>
  <si>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</si>
  <si>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</si>
  <si>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</si>
  <si>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</si>
  <si>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</si>
  <si>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</si>
  <si>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</si>
  <si>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</si>
  <si>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</si>
  <si>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</si>
  <si>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</si>
  <si>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</si>
  <si>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</si>
  <si>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</si>
  <si>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</si>
  <si>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</si>
  <si>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</si>
  <si>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</si>
  <si>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</si>
  <si>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</si>
  <si>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</si>
  <si>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</si>
  <si>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</si>
  <si>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</si>
  <si>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</si>
  <si>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</si>
  <si>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</si>
  <si>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</si>
  <si>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</si>
  <si>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</si>
  <si>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</si>
  <si>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</si>
  <si>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</si>
  <si>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</si>
  <si>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</si>
  <si>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</si>
  <si>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</si>
  <si>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</si>
  <si>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</si>
  <si>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</si>
  <si>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</si>
  <si>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</si>
  <si>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</si>
  <si>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</si>
  <si>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</si>
  <si>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</si>
  <si>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</si>
  <si>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</si>
  <si>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</si>
  <si>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</si>
  <si>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</si>
  <si>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</si>
  <si>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</si>
  <si>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</si>
  <si>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</si>
  <si>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</si>
  <si>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</si>
  <si>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</si>
  <si>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</si>
  <si>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</si>
  <si>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</si>
  <si>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</si>
  <si>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</si>
  <si>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</si>
  <si>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</si>
  <si>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</si>
  <si>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</si>
  <si>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</si>
  <si>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</si>
  <si>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</si>
  <si>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</si>
  <si>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</si>
  <si>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</si>
  <si>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</si>
  <si>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</si>
  <si>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</si>
  <si>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</si>
  <si>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</si>
  <si>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</si>
  <si>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</si>
  <si>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</si>
  <si>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</si>
  <si>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</si>
  <si>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</si>
  <si>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</si>
  <si>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</si>
  <si>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</si>
  <si>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</si>
  <si>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</si>
  <si>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</si>
  <si>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</si>
  <si>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</si>
  <si>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</si>
  <si>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</si>
  <si>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</si>
  <si>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</si>
  <si>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</si>
  <si>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</si>
  <si>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</si>
  <si>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</si>
  <si>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</si>
  <si>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</si>
  <si>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</si>
  <si>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</si>
  <si>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</si>
  <si>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</si>
  <si>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</si>
  <si>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</si>
  <si>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</si>
  <si>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</si>
  <si>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</si>
  <si>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</si>
  <si>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</si>
  <si>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</si>
  <si>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</si>
  <si>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</si>
  <si>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</si>
  <si>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</si>
  <si>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</si>
  <si>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</si>
  <si>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</si>
  <si>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</si>
  <si>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</si>
  <si>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</si>
  <si>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</si>
  <si>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</si>
  <si>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</si>
  <si>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</si>
  <si>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</si>
  <si>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</si>
  <si>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</si>
  <si>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</si>
  <si>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</si>
  <si>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</si>
  <si>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</si>
  <si>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</si>
  <si>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</si>
  <si>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</si>
  <si>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</si>
  <si>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</si>
  <si>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</si>
  <si>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</si>
  <si>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</si>
  <si>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</si>
  <si>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</si>
  <si>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</si>
  <si>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</si>
  <si>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</si>
  <si>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</si>
  <si>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</si>
  <si>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</si>
  <si>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</si>
  <si>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</si>
  <si>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</si>
  <si>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</si>
  <si>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</si>
  <si>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</si>
  <si>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</si>
  <si>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</si>
  <si>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</si>
  <si>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</si>
  <si>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</si>
  <si>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</si>
  <si>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</si>
  <si>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</si>
  <si>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</si>
  <si>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</si>
  <si>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</si>
  <si>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</si>
  <si>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</si>
  <si>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</si>
  <si>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</si>
  <si>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</si>
  <si>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</si>
  <si>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</si>
  <si>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</si>
  <si>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</si>
  <si>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</si>
  <si>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</si>
  <si>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</si>
  <si>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</si>
  <si>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</si>
  <si>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</si>
  <si>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</si>
  <si>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</si>
  <si>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</si>
  <si>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</si>
  <si>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</si>
  <si>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</si>
  <si>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</si>
  <si>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</si>
  <si>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</si>
  <si>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</si>
  <si>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</si>
  <si>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</si>
  <si>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</si>
  <si>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</si>
  <si>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</si>
  <si>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</si>
  <si>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</si>
  <si>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</si>
  <si>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</si>
  <si>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</si>
  <si>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</si>
  <si>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</si>
  <si>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</si>
  <si>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</si>
  <si>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</si>
  <si>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</si>
  <si>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</si>
  <si>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</si>
  <si>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</si>
  <si>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</si>
  <si>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</si>
  <si>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</si>
  <si>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</si>
  <si>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</si>
  <si>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</si>
  <si>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</si>
  <si>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</si>
  <si>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</si>
  <si>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</si>
  <si>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</si>
  <si>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</si>
  <si>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</si>
  <si>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</si>
  <si>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</si>
  <si>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</si>
  <si>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</si>
  <si>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</si>
  <si>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</si>
  <si>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</si>
  <si>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</si>
  <si>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</si>
  <si>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</si>
  <si>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</si>
  <si>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</si>
  <si>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</si>
  <si>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</si>
  <si>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</si>
  <si>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</si>
  <si>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</si>
  <si>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</si>
  <si>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</si>
  <si>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</si>
  <si>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</si>
  <si>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</si>
  <si>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</si>
  <si>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</si>
  <si>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</si>
  <si>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</si>
  <si>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</si>
  <si>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</si>
  <si>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</si>
  <si>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</si>
  <si>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</si>
  <si>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</si>
  <si>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</si>
  <si>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</si>
  <si>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</si>
  <si>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</si>
  <si>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</si>
  <si>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</si>
  <si>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</si>
  <si>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</si>
  <si>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</si>
  <si>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</si>
  <si>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</si>
  <si>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</si>
  <si>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</si>
  <si>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</si>
  <si>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</si>
  <si>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</si>
  <si>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</si>
  <si>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</si>
  <si>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</si>
  <si>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</si>
  <si>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</si>
  <si>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</si>
  <si>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</si>
  <si>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</si>
  <si>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</si>
  <si>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</si>
  <si>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</si>
  <si>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</si>
  <si>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</si>
  <si>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</si>
  <si>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</si>
  <si>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</si>
  <si>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</si>
  <si>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</si>
  <si>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</si>
  <si>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</si>
  <si>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</si>
  <si>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</si>
  <si>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</si>
  <si>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</si>
  <si>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</si>
  <si>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</si>
  <si>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</si>
  <si>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</si>
  <si>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</si>
  <si>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</si>
  <si>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</si>
  <si>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</si>
  <si>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</si>
  <si>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</si>
  <si>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</si>
  <si>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</si>
  <si>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</si>
  <si>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</si>
  <si>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</si>
  <si>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</si>
  <si>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</si>
  <si>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</si>
  <si>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</si>
  <si>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</si>
  <si>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</si>
  <si>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</si>
  <si>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</si>
  <si>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</si>
  <si>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</si>
  <si>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</si>
  <si>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</si>
  <si>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</si>
  <si>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</si>
  <si>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</si>
  <si>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</si>
  <si>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</si>
  <si>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</si>
  <si>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</si>
  <si>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</si>
  <si>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</si>
  <si>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</si>
  <si>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</si>
  <si>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</si>
  <si>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</si>
  <si>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</si>
  <si>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</si>
  <si>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</si>
  <si>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</si>
  <si>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</si>
  <si>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</si>
  <si>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</si>
  <si>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</si>
  <si>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</si>
  <si>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</si>
  <si>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</si>
  <si>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</si>
  <si>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</si>
  <si>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</si>
  <si>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</si>
  <si>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</si>
  <si>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</si>
  <si>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</si>
  <si>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</si>
  <si>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</si>
  <si>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</si>
  <si>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</si>
  <si>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</si>
  <si>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</si>
  <si>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</si>
  <si>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</si>
  <si>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</si>
  <si>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</si>
  <si>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</si>
  <si>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</si>
  <si>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</si>
  <si>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</si>
  <si>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</si>
  <si>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</si>
  <si>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</si>
  <si>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</si>
  <si>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</si>
  <si>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</si>
  <si>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</si>
  <si>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</si>
  <si>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</si>
  <si>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</si>
  <si>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</si>
  <si>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</si>
  <si>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</si>
  <si>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</si>
  <si>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</si>
  <si>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</si>
  <si>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</si>
  <si>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</si>
  <si>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</si>
  <si>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</si>
  <si>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</si>
  <si>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</si>
  <si>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</si>
  <si>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</si>
  <si>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</si>
  <si>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</si>
  <si>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</si>
  <si>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</si>
  <si>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</si>
  <si>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</si>
  <si>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</si>
  <si>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</si>
  <si>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</si>
  <si>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</si>
  <si>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</si>
  <si>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</si>
  <si>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</si>
  <si>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</si>
  <si>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</si>
  <si>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</si>
  <si>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</si>
  <si>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</si>
  <si>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</si>
  <si>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</si>
  <si>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</si>
  <si>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</si>
  <si>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</si>
  <si>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</si>
  <si>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</si>
  <si>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</si>
  <si>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</si>
  <si>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</si>
  <si>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</si>
  <si>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</si>
  <si>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</si>
  <si>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</si>
  <si>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</si>
  <si>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</si>
  <si>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</si>
  <si>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</si>
  <si>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</si>
  <si>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</si>
  <si>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</si>
  <si>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</si>
  <si>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</si>
  <si>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</si>
  <si>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</si>
  <si>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</si>
  <si>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</si>
  <si>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</si>
  <si>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</si>
  <si>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</si>
  <si>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</si>
  <si>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</si>
  <si>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</si>
  <si>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</si>
  <si>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</si>
  <si>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</si>
  <si>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</si>
  <si>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</si>
  <si>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</si>
  <si>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</si>
  <si>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</si>
  <si>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</si>
  <si>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</si>
  <si>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</si>
  <si>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</si>
  <si>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</si>
  <si>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</si>
  <si>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</si>
  <si>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</si>
  <si>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</si>
  <si>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</si>
  <si>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</si>
  <si>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</si>
  <si>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</si>
  <si>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</si>
  <si>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</si>
  <si>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</si>
  <si>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</si>
  <si>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</si>
  <si>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</si>
  <si>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</si>
  <si>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</si>
  <si>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</si>
  <si>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</si>
  <si>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</si>
  <si>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</si>
  <si>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</si>
  <si>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</si>
  <si>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</si>
  <si>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</si>
  <si>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</si>
  <si>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</si>
  <si>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</si>
  <si>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</si>
  <si>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</si>
  <si>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</si>
  <si>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</si>
  <si>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</si>
  <si>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</si>
  <si>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</si>
  <si>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</si>
  <si>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</si>
  <si>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</si>
  <si>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</si>
  <si>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</si>
  <si>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</si>
  <si>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</si>
  <si>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</si>
  <si>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</si>
  <si>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</si>
  <si>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</si>
  <si>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</si>
  <si>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</si>
  <si>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</si>
  <si>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</si>
  <si>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</si>
  <si>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</si>
  <si>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</si>
  <si>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</si>
  <si>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</si>
  <si>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</si>
  <si>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</si>
  <si>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</si>
  <si>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</si>
  <si>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</si>
  <si>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</si>
  <si>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</si>
  <si>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</si>
  <si>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</si>
  <si>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</si>
  <si>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</si>
  <si>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</si>
  <si>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</si>
  <si>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</si>
  <si>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</si>
  <si>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</si>
  <si>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</si>
  <si>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</si>
  <si>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</si>
  <si>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</si>
  <si>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</si>
  <si>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</si>
  <si>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</si>
  <si>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</si>
  <si>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</si>
  <si>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</si>
  <si>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</si>
  <si>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</si>
  <si>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</si>
  <si>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</si>
  <si>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</si>
  <si>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</si>
  <si>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</si>
  <si>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</si>
  <si>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</si>
  <si>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</si>
  <si>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</si>
  <si>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</si>
  <si>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</si>
  <si>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</si>
  <si>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</si>
  <si>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</si>
  <si>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</si>
  <si>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</si>
  <si>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</si>
  <si>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</si>
  <si>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</si>
  <si>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</si>
  <si>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</si>
  <si>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</si>
  <si>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</si>
  <si>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</si>
  <si>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</si>
  <si>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</si>
  <si>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</si>
  <si>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</si>
  <si>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</si>
  <si>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</si>
  <si>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</si>
  <si>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</si>
  <si>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</si>
  <si>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</si>
  <si>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</si>
  <si>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</si>
  <si>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</si>
  <si>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</si>
  <si>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</si>
  <si>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</si>
  <si>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</si>
  <si>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</si>
  <si>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</si>
  <si>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</si>
  <si>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</si>
  <si>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</si>
  <si>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</si>
  <si>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</si>
  <si>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</si>
  <si>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</si>
  <si>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</si>
  <si>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</si>
  <si>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</si>
  <si>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</si>
  <si>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</si>
  <si>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</si>
  <si>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</si>
  <si>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</si>
  <si>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</si>
  <si>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</si>
  <si>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</si>
  <si>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</si>
  <si>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</si>
  <si>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</si>
  <si>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</si>
  <si>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</si>
  <si>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</si>
  <si>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</si>
  <si>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</si>
  <si>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</si>
  <si>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</si>
  <si>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</si>
  <si>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</si>
  <si>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</si>
  <si>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</si>
  <si>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</si>
  <si>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</si>
  <si>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</si>
  <si>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</si>
  <si>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</si>
  <si>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</si>
  <si>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</si>
  <si>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</si>
  <si>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</si>
  <si>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</si>
  <si>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</si>
  <si>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</si>
  <si>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</si>
  <si>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</si>
  <si>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</si>
  <si>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</si>
  <si>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</si>
  <si>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</si>
  <si>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</si>
  <si>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</si>
  <si>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</si>
  <si>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</si>
  <si>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</si>
  <si>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</si>
  <si>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</si>
  <si>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</si>
  <si>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</si>
  <si>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</si>
  <si>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</si>
  <si>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</si>
  <si>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</si>
  <si>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</si>
  <si>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</si>
  <si>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</si>
  <si>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</si>
  <si>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</si>
  <si>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</si>
  <si>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</si>
  <si>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</si>
  <si>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</si>
  <si>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</si>
  <si>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</si>
  <si>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</si>
  <si>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</si>
  <si>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</si>
  <si>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</si>
  <si>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</si>
  <si>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</si>
  <si>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</si>
  <si>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</si>
  <si>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</si>
  <si>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</si>
  <si>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</si>
  <si>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</si>
  <si>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</si>
  <si>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</si>
  <si>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</si>
  <si>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</si>
  <si>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</si>
  <si>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</si>
  <si>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</si>
  <si>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</si>
  <si>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</si>
  <si>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</si>
  <si>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</si>
  <si>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</si>
  <si>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</si>
  <si>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</si>
  <si>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</si>
  <si>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</si>
  <si>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</si>
  <si>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</si>
  <si>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</si>
  <si>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</si>
  <si>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</si>
  <si>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</si>
  <si>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</si>
  <si>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</si>
  <si>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</si>
  <si>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</si>
  <si>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</si>
  <si>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</si>
  <si>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</si>
  <si>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</si>
  <si>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</si>
  <si>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</si>
  <si>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</si>
  <si>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</si>
  <si>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</si>
  <si>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</si>
  <si>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</si>
  <si>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</si>
  <si>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</si>
  <si>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</si>
  <si>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</si>
  <si>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</si>
  <si>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</si>
  <si>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</si>
  <si>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</si>
  <si>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</si>
  <si>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</si>
  <si>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</si>
  <si>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</si>
  <si>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</si>
  <si>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</si>
  <si>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</si>
  <si>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</si>
  <si>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</si>
  <si>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</si>
  <si>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</si>
  <si>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</si>
  <si>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</si>
  <si>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</si>
  <si>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</si>
  <si>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</si>
  <si>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</si>
  <si>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</si>
  <si>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</si>
  <si>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</si>
  <si>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</si>
  <si>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</si>
  <si>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</si>
  <si>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</si>
  <si>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</si>
  <si>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</si>
  <si>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</si>
  <si>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</si>
  <si>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</si>
  <si>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</si>
  <si>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</si>
  <si>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</si>
  <si>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</si>
  <si>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</si>
  <si>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</si>
  <si>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</si>
  <si>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</si>
  <si>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</si>
  <si>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</si>
  <si>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</si>
  <si>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</si>
  <si>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</si>
  <si>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</si>
  <si>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</si>
  <si>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</si>
  <si>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</si>
  <si>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</si>
  <si>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</si>
  <si>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</si>
  <si>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</si>
  <si>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</si>
  <si>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</si>
  <si>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</si>
  <si>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</si>
  <si>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</si>
  <si>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</si>
  <si>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</si>
  <si>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</si>
  <si>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</si>
  <si>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</si>
  <si>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</si>
  <si>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</si>
  <si>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</si>
  <si>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</si>
  <si>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</si>
  <si>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</si>
  <si>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</si>
  <si>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</si>
  <si>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</si>
  <si>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</si>
  <si>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</si>
  <si>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</si>
  <si>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</si>
  <si>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</si>
  <si>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</si>
  <si>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</si>
  <si>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</si>
  <si>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</si>
  <si>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</si>
  <si>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</si>
  <si>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</si>
  <si>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</si>
  <si>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</si>
  <si>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</si>
  <si>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</si>
  <si>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</si>
  <si>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</si>
  <si>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</si>
  <si>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</si>
  <si>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</si>
  <si>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</si>
  <si>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</si>
  <si>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</si>
  <si>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</si>
  <si>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</si>
  <si>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</si>
  <si>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</si>
  <si>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</si>
  <si>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</si>
  <si>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</si>
  <si>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</si>
  <si>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</si>
  <si>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</si>
  <si>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</si>
  <si>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</si>
  <si>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</si>
  <si>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</si>
  <si>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</si>
  <si>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</si>
  <si>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</si>
  <si>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</si>
  <si>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</si>
  <si>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</si>
  <si>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</si>
  <si>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</si>
  <si>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</si>
  <si>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</si>
  <si>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</si>
  <si>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</si>
  <si>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</si>
  <si>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</si>
  <si>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</si>
  <si>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</si>
  <si>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</si>
  <si>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</si>
  <si>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</si>
  <si>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</si>
  <si>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</si>
  <si>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</si>
  <si>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</si>
  <si>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</si>
  <si>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</si>
  <si>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</si>
  <si>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</si>
  <si>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</si>
  <si>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</si>
  <si>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</si>
  <si>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</si>
  <si>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</si>
  <si>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</si>
  <si>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</si>
  <si>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</si>
  <si>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</si>
  <si>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</si>
  <si>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</si>
  <si>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</si>
  <si>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</si>
  <si>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</si>
  <si>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</si>
  <si>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</si>
  <si>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</si>
  <si>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</si>
  <si>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</si>
  <si>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</si>
  <si>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</si>
  <si>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</si>
  <si>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</si>
  <si>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</si>
  <si>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</si>
  <si>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</si>
  <si>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</si>
  <si>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</si>
  <si>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</si>
  <si>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</si>
  <si>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</si>
  <si>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</si>
  <si>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</si>
  <si>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</si>
  <si>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</si>
  <si>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</si>
  <si>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</si>
  <si>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</si>
  <si>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</si>
  <si>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</si>
  <si>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</si>
  <si>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</si>
  <si>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</si>
  <si>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</si>
  <si>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</si>
  <si>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</si>
  <si>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</si>
  <si>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</si>
  <si>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</si>
  <si>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</si>
  <si>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</si>
  <si>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</si>
  <si>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</si>
  <si>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</si>
  <si>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</si>
  <si>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</si>
  <si>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</si>
  <si>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</si>
  <si>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</si>
  <si>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</si>
  <si>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</si>
  <si>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</si>
  <si>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</si>
  <si>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</si>
  <si>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</si>
  <si>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</si>
  <si>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</si>
  <si>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</si>
  <si>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</si>
  <si>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</si>
  <si>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</si>
  <si>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</si>
  <si>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</si>
  <si>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</si>
  <si>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</si>
  <si>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</si>
  <si>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</si>
  <si>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</si>
  <si>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</si>
  <si>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</si>
  <si>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</si>
  <si>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</si>
  <si>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</si>
  <si>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</si>
  <si>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</si>
  <si>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</si>
  <si>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</si>
  <si>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</si>
  <si>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</si>
  <si>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</si>
  <si>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</si>
  <si>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</si>
  <si>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</si>
  <si>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</si>
  <si>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</si>
  <si>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</si>
  <si>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</si>
  <si>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</si>
  <si>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</si>
  <si>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</si>
  <si>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</si>
  <si>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</si>
  <si>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</si>
  <si>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</si>
  <si>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</si>
  <si>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</si>
  <si>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</si>
  <si>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</si>
  <si>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</si>
  <si>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</si>
  <si>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</si>
  <si>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</si>
  <si>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</si>
  <si>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</si>
  <si>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</si>
  <si>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</si>
  <si>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</si>
  <si>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</si>
  <si>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</si>
  <si>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</si>
  <si>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</si>
  <si>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</si>
  <si>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</si>
  <si>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</si>
  <si>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</si>
  <si>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</si>
  <si>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</si>
  <si>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</si>
  <si>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</si>
  <si>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</si>
  <si>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</si>
  <si>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</si>
  <si>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</si>
  <si>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</si>
  <si>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</si>
  <si>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</si>
  <si>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</si>
  <si>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</si>
  <si>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</si>
  <si>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</si>
  <si>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</si>
  <si>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</si>
  <si>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</si>
  <si>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</si>
  <si>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</si>
  <si>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</si>
  <si>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</si>
  <si>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</si>
  <si>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</si>
  <si>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</si>
  <si>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</si>
  <si>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</si>
  <si>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</si>
  <si>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</si>
  <si>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</si>
  <si>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</si>
  <si>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</si>
  <si>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</si>
  <si>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</si>
  <si>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</si>
  <si>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</si>
  <si>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</si>
  <si>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</si>
  <si>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</si>
  <si>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</si>
  <si>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</si>
  <si>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</si>
  <si>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</si>
  <si>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</si>
  <si>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</si>
  <si>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</si>
  <si>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</si>
  <si>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</si>
  <si>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</si>
  <si>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</si>
  <si>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</si>
  <si>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</si>
  <si>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</si>
  <si>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</si>
  <si>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</si>
  <si>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</si>
  <si>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</si>
  <si>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</si>
  <si>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</si>
  <si>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</si>
  <si>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</si>
  <si>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</si>
  <si>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</si>
  <si>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</si>
  <si>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</si>
  <si>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</si>
  <si>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</si>
  <si>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</si>
  <si>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</si>
  <si>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</si>
  <si>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</si>
  <si>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</si>
  <si>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</si>
  <si>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</si>
  <si>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</si>
  <si>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</si>
  <si>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</si>
  <si>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</si>
  <si>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</si>
  <si>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</si>
  <si>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</si>
  <si>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</si>
  <si>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</si>
  <si>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</si>
  <si>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</si>
  <si>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</si>
  <si>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</si>
  <si>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</si>
  <si>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</si>
  <si>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</si>
  <si>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</si>
  <si>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</si>
  <si>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</si>
  <si>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</si>
  <si>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</si>
  <si>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</si>
  <si>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</si>
  <si>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</si>
  <si>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</si>
  <si>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</si>
  <si>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</si>
  <si>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</si>
  <si>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</si>
  <si>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</si>
  <si>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</si>
  <si>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</si>
  <si>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</si>
  <si>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</si>
  <si>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</si>
  <si>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</si>
  <si>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</si>
  <si>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</si>
  <si>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</si>
  <si>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</si>
  <si>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</si>
  <si>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</si>
  <si>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</si>
  <si>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</si>
  <si>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</si>
  <si>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</si>
  <si>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</si>
  <si>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</si>
  <si>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</si>
  <si>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</si>
  <si>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</si>
  <si>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</si>
  <si>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</si>
  <si>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</si>
  <si>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</si>
  <si>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</si>
  <si>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</si>
  <si>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</si>
  <si>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</si>
  <si>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</si>
  <si>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</si>
  <si>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</si>
  <si>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</si>
  <si>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</si>
  <si>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</si>
  <si>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</si>
  <si>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</si>
  <si>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</si>
  <si>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</si>
  <si>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</si>
  <si>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</si>
  <si>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</si>
  <si>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</si>
  <si>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</si>
  <si>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</si>
  <si>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</si>
  <si>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</si>
  <si>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</si>
  <si>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</si>
  <si>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</si>
  <si>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</si>
  <si>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</si>
  <si>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</si>
  <si>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</si>
  <si>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</si>
  <si>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</si>
  <si>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</si>
  <si>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</si>
  <si>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</si>
  <si>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</si>
  <si>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</si>
  <si>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</si>
  <si>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</si>
  <si>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</si>
  <si>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</si>
  <si>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</si>
  <si>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</si>
  <si>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</si>
  <si>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</si>
  <si>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</si>
  <si>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</si>
  <si>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</si>
  <si>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</si>
  <si>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</si>
  <si>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</si>
  <si>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</si>
  <si>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</si>
  <si>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</si>
  <si>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</si>
  <si>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</si>
  <si>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</si>
  <si>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</si>
  <si>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</si>
  <si>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</si>
  <si>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</si>
  <si>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</si>
  <si>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</si>
  <si>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</si>
  <si>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</si>
  <si>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</si>
  <si>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</si>
  <si>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</si>
  <si>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</si>
  <si>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</si>
  <si>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</si>
  <si>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</si>
  <si>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</si>
  <si>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</si>
  <si>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</si>
  <si>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</si>
  <si>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</si>
  <si>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</si>
  <si>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</si>
  <si>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</si>
  <si>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</si>
  <si>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</si>
  <si>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</si>
  <si>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</si>
  <si>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</si>
  <si>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</si>
  <si>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</si>
  <si>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</si>
  <si>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</si>
  <si>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</si>
  <si>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</si>
  <si>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</si>
  <si>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</si>
  <si>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</si>
  <si>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</si>
  <si>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</si>
  <si>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</si>
  <si>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</si>
  <si>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</si>
  <si>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</si>
  <si>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</si>
  <si>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</si>
  <si>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</si>
  <si>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</si>
  <si>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</si>
  <si>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</si>
  <si>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</si>
  <si>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</si>
  <si>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</si>
  <si>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</si>
  <si>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</si>
  <si>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</si>
  <si>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</si>
  <si>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</si>
  <si>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</si>
  <si>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</si>
  <si>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</si>
  <si>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</si>
  <si>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</si>
  <si>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</si>
  <si>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</si>
  <si>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</si>
  <si>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</si>
  <si>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</si>
  <si>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</si>
  <si>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</si>
  <si>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</si>
  <si>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</si>
  <si>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</si>
  <si>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</si>
  <si>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</si>
  <si>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</si>
  <si>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</si>
  <si>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</si>
  <si>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</si>
  <si>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</si>
  <si>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</si>
  <si>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</si>
  <si>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</si>
  <si>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</si>
  <si>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</si>
  <si>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</si>
  <si>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</si>
  <si>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</si>
  <si>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</si>
  <si>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</si>
  <si>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</si>
  <si>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</si>
  <si>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</si>
  <si>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</si>
  <si>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</si>
  <si>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</si>
  <si>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</si>
  <si>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</si>
  <si>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</si>
  <si>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</si>
  <si>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</si>
  <si>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</si>
  <si>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</si>
  <si>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</si>
  <si>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</si>
  <si>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</si>
  <si>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</si>
  <si>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</si>
  <si>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</si>
  <si>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</si>
  <si>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</si>
  <si>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</si>
  <si>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</si>
  <si>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</si>
  <si>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</si>
  <si>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</si>
  <si>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</si>
  <si>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</si>
  <si>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</si>
  <si>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</si>
  <si>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</si>
  <si>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</si>
  <si>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</si>
  <si>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</si>
  <si>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</si>
  <si>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</si>
  <si>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</si>
  <si>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</si>
  <si>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</si>
  <si>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</si>
  <si>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</si>
  <si>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</si>
  <si>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</si>
  <si>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</si>
  <si>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</si>
  <si>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</si>
  <si>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</si>
  <si>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</si>
  <si>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</si>
  <si>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</si>
  <si>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</si>
  <si>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</si>
  <si>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</si>
  <si>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</si>
  <si>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</si>
  <si>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</si>
  <si>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</si>
  <si>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</si>
  <si>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</si>
  <si>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</si>
  <si>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</si>
  <si>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</si>
  <si>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</si>
  <si>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</si>
  <si>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</si>
  <si>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</si>
  <si>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</si>
  <si>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</si>
  <si>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</si>
  <si>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</si>
  <si>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</si>
  <si>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</si>
  <si>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</si>
  <si>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</si>
  <si>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</si>
  <si>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</si>
  <si>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</si>
  <si>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</si>
  <si>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</si>
  <si>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</si>
  <si>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</si>
  <si>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</si>
  <si>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</si>
  <si>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</si>
  <si>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</si>
  <si>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</si>
  <si>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</si>
  <si>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</si>
  <si>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</si>
  <si>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</si>
  <si>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</si>
  <si>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</si>
  <si>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</si>
  <si>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</si>
  <si>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</si>
  <si>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</si>
  <si>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</si>
  <si>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</si>
  <si>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</si>
  <si>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</si>
  <si>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</si>
  <si>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</si>
  <si>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</si>
  <si>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</si>
  <si>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</si>
  <si>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</si>
  <si>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</si>
  <si>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</si>
  <si>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</si>
  <si>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</si>
  <si>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</si>
  <si>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</si>
  <si>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</si>
  <si>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</si>
  <si>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</si>
  <si>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</si>
  <si>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</si>
  <si>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</si>
  <si>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</si>
  <si>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</si>
  <si>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</si>
  <si>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</si>
  <si>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</si>
  <si>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</si>
  <si>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</si>
  <si>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</si>
  <si>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</si>
  <si>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</si>
  <si>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</si>
  <si>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</si>
  <si>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</si>
  <si>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</si>
  <si>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</si>
  <si>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</si>
  <si>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</si>
  <si>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</si>
  <si>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</si>
  <si>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</si>
  <si>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</si>
  <si>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</si>
  <si>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</si>
  <si>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</si>
  <si>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</si>
  <si>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</si>
  <si>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</si>
  <si>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</si>
  <si>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</si>
  <si>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</si>
  <si>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</si>
  <si>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</si>
  <si>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</si>
  <si>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</si>
  <si>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</si>
  <si>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</si>
  <si>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</si>
  <si>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</si>
  <si>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</si>
  <si>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</si>
  <si>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</si>
  <si>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</si>
  <si>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</si>
  <si>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</si>
  <si>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</si>
  <si>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</si>
  <si>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</si>
  <si>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</si>
  <si>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</si>
  <si>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</si>
  <si>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</si>
  <si>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</si>
  <si>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</si>
  <si>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</si>
  <si>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</si>
  <si>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</si>
  <si>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</si>
  <si>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</si>
  <si>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</si>
  <si>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</si>
  <si>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</si>
  <si>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</si>
  <si>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</si>
  <si>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</si>
  <si>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</si>
  <si>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</si>
  <si>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</si>
  <si>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</si>
  <si>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</si>
  <si>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</si>
  <si>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</si>
  <si>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</si>
  <si>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</si>
  <si>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</si>
  <si>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</si>
  <si>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</si>
  <si>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</si>
  <si>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</si>
  <si>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</si>
  <si>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</si>
  <si>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</si>
  <si>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</si>
  <si>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</si>
  <si>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</si>
  <si>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</si>
  <si>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</si>
  <si>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</si>
  <si>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</si>
  <si>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</si>
  <si>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</si>
  <si>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</si>
  <si>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</si>
  <si>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</si>
  <si>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</si>
  <si>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</si>
  <si>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</si>
  <si>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</si>
  <si>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</si>
  <si>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</si>
  <si>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</si>
  <si>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</si>
  <si>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</si>
  <si>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</si>
  <si>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</si>
  <si>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</si>
  <si>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</si>
  <si>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</si>
  <si>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</si>
  <si>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</si>
  <si>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</si>
  <si>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</si>
  <si>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</si>
  <si>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</si>
  <si>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</si>
  <si>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</si>
  <si>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</si>
  <si>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</si>
  <si>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</si>
  <si>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</si>
  <si>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</si>
  <si>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</si>
  <si>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</si>
  <si>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</si>
  <si>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</si>
  <si>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</si>
  <si>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</si>
  <si>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</si>
  <si>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</si>
  <si>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</si>
  <si>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</si>
  <si>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</si>
  <si>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</si>
  <si>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</si>
  <si>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</si>
  <si>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</si>
  <si>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</si>
  <si>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</si>
  <si>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</si>
  <si>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</si>
  <si>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</si>
  <si>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</si>
  <si>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</si>
  <si>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</si>
  <si>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</si>
  <si>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</si>
  <si>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</si>
  <si>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</si>
  <si>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</si>
  <si>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</si>
  <si>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</si>
  <si>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</si>
  <si>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</si>
  <si>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</si>
  <si>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</si>
  <si>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</si>
  <si>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</si>
  <si>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</si>
  <si>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</si>
  <si>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</si>
  <si>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</si>
  <si>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</si>
  <si>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</si>
  <si>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</si>
  <si>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</si>
  <si>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</si>
  <si>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</si>
  <si>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</si>
  <si>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</si>
  <si>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</si>
  <si>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</si>
  <si>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</si>
  <si>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</si>
  <si>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</si>
  <si>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</si>
  <si>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</si>
  <si>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</si>
  <si>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</si>
  <si>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</si>
  <si>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</si>
  <si>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</si>
  <si>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</si>
  <si>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</si>
  <si>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</si>
  <si>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</si>
  <si>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</si>
  <si>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</si>
  <si>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</si>
  <si>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</si>
  <si>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</si>
  <si>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</si>
  <si>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</si>
  <si>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</si>
  <si>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</si>
  <si>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</si>
  <si>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</si>
  <si>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</si>
  <si>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</si>
  <si>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</si>
  <si>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</si>
  <si>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</si>
  <si>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</si>
  <si>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</si>
  <si>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</si>
  <si>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</si>
  <si>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</si>
  <si>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</si>
  <si>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</si>
  <si>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</si>
  <si>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</si>
  <si>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</si>
  <si>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</si>
  <si>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</si>
  <si>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</si>
  <si>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</si>
  <si>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</si>
  <si>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</si>
  <si>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</si>
  <si>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</si>
  <si>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</si>
  <si>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</si>
  <si>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</si>
  <si>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</si>
  <si>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</si>
  <si>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</si>
  <si>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</si>
  <si>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</si>
  <si>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</si>
  <si>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</si>
  <si>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</si>
  <si>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</si>
  <si>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</si>
  <si>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</si>
  <si>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</si>
  <si>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</si>
  <si>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</si>
  <si>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</si>
  <si>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</si>
  <si>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</si>
  <si>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</si>
  <si>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</si>
  <si>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</si>
  <si>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</si>
  <si>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</si>
  <si>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</si>
  <si>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</si>
  <si>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</si>
  <si>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</si>
  <si>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</si>
  <si>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</si>
  <si>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</si>
  <si>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</si>
  <si>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</si>
  <si>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</si>
  <si>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</si>
  <si>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</si>
  <si>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</si>
  <si>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</si>
  <si>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</si>
  <si>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</si>
  <si>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</si>
  <si>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</si>
  <si>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</si>
  <si>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</si>
  <si>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</si>
  <si>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</si>
  <si>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</si>
  <si>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</si>
  <si>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</si>
  <si>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</si>
  <si>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</si>
  <si>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</si>
  <si>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</si>
  <si>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</si>
  <si>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</si>
  <si>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</si>
  <si>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</si>
  <si>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</si>
  <si>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</si>
  <si>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</si>
  <si>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</si>
  <si>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</si>
  <si>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</si>
  <si>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</si>
  <si>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</si>
  <si>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</si>
  <si>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</si>
  <si>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</si>
  <si>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</si>
  <si>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</si>
  <si>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</si>
  <si>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</si>
  <si>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</si>
  <si>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</si>
  <si>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</si>
  <si>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</si>
  <si>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</si>
  <si>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</si>
  <si>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</si>
  <si>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</si>
  <si>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</si>
  <si>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</si>
  <si>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</si>
  <si>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</si>
  <si>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</si>
  <si>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</si>
  <si>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</si>
  <si>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</si>
  <si>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</si>
  <si>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</si>
  <si>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</si>
  <si>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</si>
  <si>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</si>
  <si>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</si>
  <si>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</si>
  <si>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</si>
  <si>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</si>
  <si>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</si>
  <si>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</si>
  <si>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</si>
  <si>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</si>
  <si>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</si>
  <si>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</si>
  <si>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</si>
  <si>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</si>
  <si>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</si>
  <si>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</si>
  <si>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</si>
  <si>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</si>
  <si>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</si>
  <si>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</si>
  <si>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</si>
  <si>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</si>
  <si>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</si>
  <si>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</si>
  <si>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</si>
  <si>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</si>
  <si>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</si>
  <si>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</si>
  <si>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</si>
  <si>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</si>
  <si>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</si>
  <si>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</si>
  <si>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</si>
  <si>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</si>
  <si>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</si>
  <si>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</si>
  <si>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</si>
  <si>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</si>
  <si>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</si>
  <si>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</si>
  <si>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</si>
  <si>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</si>
  <si>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</si>
  <si>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</si>
  <si>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</si>
  <si>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</si>
  <si>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</si>
  <si>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</si>
  <si>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</si>
  <si>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</si>
  <si>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</si>
  <si>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</si>
  <si>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</si>
  <si>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</si>
  <si>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</si>
  <si>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</si>
  <si>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</si>
  <si>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</si>
  <si>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</si>
  <si>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</si>
  <si>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</si>
  <si>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</si>
  <si>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</si>
  <si>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</si>
  <si>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</si>
  <si>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</si>
  <si>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</si>
  <si>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</si>
  <si>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</si>
  <si>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</si>
  <si>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</si>
  <si>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</si>
  <si>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</si>
  <si>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</si>
  <si>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</si>
  <si>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</si>
  <si>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</si>
  <si>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</si>
  <si>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</si>
  <si>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</si>
  <si>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</si>
  <si>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</si>
  <si>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</si>
  <si>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</si>
  <si>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</si>
  <si>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</si>
  <si>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</si>
  <si>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</si>
  <si>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</si>
  <si>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</si>
  <si>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</si>
  <si>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</si>
  <si>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</si>
  <si>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</si>
  <si>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</si>
  <si>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</si>
  <si>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</si>
  <si>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</si>
  <si>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</si>
  <si>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</si>
  <si>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</si>
  <si>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</si>
  <si>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</si>
  <si>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</si>
  <si>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</si>
  <si>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</si>
  <si>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</si>
  <si>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</si>
  <si>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</si>
  <si>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</si>
  <si>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</si>
  <si>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</si>
  <si>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</si>
  <si>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</si>
  <si>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</si>
  <si>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</si>
  <si>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</si>
  <si>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</si>
  <si>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</si>
  <si>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</si>
  <si>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</si>
  <si>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</si>
  <si>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</si>
  <si>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</si>
  <si>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</si>
  <si>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</si>
  <si>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</si>
  <si>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</si>
  <si>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</si>
  <si>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</si>
  <si>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</si>
  <si>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</si>
  <si>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</si>
  <si>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</si>
  <si>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</si>
  <si>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</si>
  <si>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</si>
  <si>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</si>
  <si>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</si>
  <si>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</si>
  <si>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</si>
  <si>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</si>
  <si>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</si>
  <si>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</si>
  <si>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</si>
  <si>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</si>
  <si>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</si>
  <si>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</si>
  <si>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</si>
  <si>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</si>
  <si>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</si>
  <si>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</si>
  <si>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</si>
  <si>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</si>
  <si>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</si>
  <si>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</si>
  <si>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</si>
  <si>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</si>
  <si>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</si>
  <si>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</si>
  <si>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</si>
  <si>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</si>
  <si>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</si>
  <si>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</si>
  <si>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</si>
  <si>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</si>
  <si>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</si>
  <si>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</si>
  <si>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</si>
  <si>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</si>
  <si>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</si>
  <si>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</si>
  <si>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</si>
  <si>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</si>
  <si>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</si>
  <si>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</si>
  <si>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</si>
  <si>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</si>
  <si>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</si>
  <si>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</si>
  <si>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</si>
  <si>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</si>
  <si>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</si>
  <si>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</si>
  <si>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</si>
  <si>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</si>
  <si>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</si>
  <si>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</si>
  <si>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</si>
  <si>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</si>
  <si>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</si>
  <si>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</si>
  <si>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</si>
  <si>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</si>
  <si>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</si>
  <si>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</si>
  <si>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</si>
  <si>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</si>
  <si>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</si>
  <si>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</si>
  <si>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</si>
  <si>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</si>
  <si>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</si>
  <si>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</si>
  <si>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</si>
  <si>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</si>
  <si>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</si>
  <si>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</si>
  <si>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</si>
  <si>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</si>
  <si>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</si>
  <si>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</si>
  <si>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</si>
  <si>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</si>
  <si>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</si>
  <si>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</si>
  <si>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</si>
  <si>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</si>
  <si>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</si>
  <si>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</si>
  <si>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</si>
  <si>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</si>
  <si>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</si>
  <si>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</si>
  <si>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</si>
  <si>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</si>
  <si>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</si>
  <si>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</si>
  <si>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</si>
  <si>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</si>
  <si>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</si>
  <si>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</si>
  <si>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</si>
  <si>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</si>
  <si>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</si>
  <si>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</si>
  <si>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</si>
  <si>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</si>
  <si>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</si>
  <si>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</si>
  <si>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</si>
  <si>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</si>
  <si>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</si>
  <si>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</si>
  <si>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</si>
  <si>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</si>
  <si>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</si>
  <si>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</si>
  <si>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</si>
  <si>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</si>
  <si>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</si>
  <si>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</si>
  <si>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</si>
  <si>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</si>
  <si>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</si>
  <si>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</si>
  <si>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</si>
  <si>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</si>
  <si>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</si>
  <si>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</si>
  <si>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</si>
  <si>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</si>
  <si>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</si>
  <si>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</si>
  <si>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</si>
  <si>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</si>
  <si>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</si>
  <si>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</si>
  <si>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</si>
  <si>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</si>
  <si>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</si>
  <si>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</si>
  <si>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</si>
  <si>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</si>
  <si>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</si>
  <si>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</si>
  <si>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</si>
  <si>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</si>
  <si>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</si>
  <si>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</si>
  <si>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</si>
  <si>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</si>
  <si>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</si>
  <si>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</si>
  <si>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</si>
  <si>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</si>
  <si>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</si>
  <si>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</si>
  <si>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</si>
  <si>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</si>
  <si>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</si>
  <si>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</si>
  <si>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</si>
  <si>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</si>
  <si>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</si>
  <si>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</si>
  <si>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</si>
  <si>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</si>
  <si>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</si>
  <si>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</si>
  <si>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</si>
  <si>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</si>
  <si>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</si>
  <si>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</si>
  <si>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</si>
  <si>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</si>
  <si>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</si>
  <si>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</si>
  <si>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</si>
  <si>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</si>
  <si>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</si>
  <si>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</si>
  <si>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</si>
  <si>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</si>
  <si>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</si>
  <si>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</si>
  <si>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</si>
  <si>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</si>
  <si>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</si>
  <si>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</si>
  <si>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</si>
  <si>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</si>
  <si>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</si>
  <si>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</si>
  <si>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</si>
  <si>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</si>
  <si>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</si>
  <si>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</si>
  <si>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</si>
  <si>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</si>
  <si>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</si>
  <si>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</si>
  <si>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</si>
  <si>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</si>
  <si>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</si>
  <si>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</si>
  <si>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</si>
  <si>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</si>
  <si>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</si>
  <si>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</si>
  <si>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</si>
  <si>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</si>
  <si>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</si>
  <si>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</si>
  <si>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</si>
  <si>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</si>
  <si>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</si>
  <si>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</si>
  <si>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</si>
  <si>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</si>
  <si>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</si>
  <si>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</si>
  <si>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</si>
  <si>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</si>
  <si>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</si>
  <si>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</si>
  <si>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</si>
  <si>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</si>
  <si>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</si>
  <si>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</si>
  <si>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</si>
  <si>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</si>
  <si>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</si>
  <si>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</si>
  <si>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</si>
  <si>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</si>
  <si>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</si>
  <si>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</si>
  <si>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</si>
  <si>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</si>
  <si>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</si>
  <si>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</si>
  <si>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</si>
  <si>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</si>
  <si>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</si>
  <si>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</si>
  <si>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</si>
  <si>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</si>
  <si>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</si>
  <si>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</si>
  <si>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</si>
  <si>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</si>
  <si>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</si>
  <si>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</si>
  <si>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</si>
  <si>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</si>
  <si>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</si>
  <si>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</si>
  <si>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</si>
  <si>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</si>
  <si>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</si>
  <si>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</si>
  <si>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</si>
  <si>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</si>
  <si>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</si>
  <si>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</si>
  <si>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</si>
  <si>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</si>
  <si>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</si>
  <si>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</si>
  <si>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</si>
  <si>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</si>
  <si>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</si>
  <si>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</si>
  <si>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</si>
  <si>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</si>
  <si>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</si>
  <si>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</si>
  <si>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</si>
  <si>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</si>
  <si>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</si>
  <si>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</si>
  <si>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</si>
  <si>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</si>
  <si>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</si>
  <si>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</si>
  <si>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</si>
  <si>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</si>
  <si>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</si>
  <si>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</si>
  <si>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</si>
  <si>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</si>
  <si>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</si>
  <si>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</si>
  <si>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</si>
  <si>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</si>
  <si>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</si>
  <si>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</si>
  <si>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</si>
  <si>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</si>
  <si>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</si>
  <si>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</si>
  <si>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</si>
  <si>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</si>
  <si>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</si>
  <si>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</si>
  <si>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</si>
  <si>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</si>
  <si>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</si>
  <si>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</si>
  <si>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</si>
  <si>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</si>
  <si>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</si>
  <si>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</si>
  <si>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</si>
  <si>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</si>
  <si>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</si>
  <si>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</si>
  <si>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</si>
  <si>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</si>
  <si>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</si>
  <si>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</si>
  <si>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</si>
  <si>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</si>
  <si>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</si>
  <si>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</si>
  <si>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</si>
  <si>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</si>
  <si>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</si>
  <si>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</si>
  <si>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</si>
  <si>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</si>
  <si>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</si>
  <si>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</si>
  <si>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</si>
  <si>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</si>
  <si>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</si>
  <si>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</si>
  <si>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</si>
  <si>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</si>
  <si>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</si>
  <si>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</si>
  <si>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</si>
  <si>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</si>
  <si>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</si>
  <si>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</si>
  <si>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</si>
  <si>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</si>
  <si>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</si>
  <si>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</si>
  <si>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</si>
  <si>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</si>
  <si>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</si>
  <si>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</si>
  <si>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</si>
  <si>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</si>
  <si>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</si>
  <si>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</si>
  <si>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</si>
  <si>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</si>
  <si>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</si>
  <si>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</si>
  <si>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</si>
  <si>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</si>
  <si>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</si>
  <si>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</si>
  <si>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</si>
  <si>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</si>
  <si>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</si>
  <si>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</si>
  <si>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</si>
  <si>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</si>
  <si>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</si>
  <si>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</si>
  <si>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</si>
  <si>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</si>
  <si>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</si>
  <si>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</si>
  <si>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</si>
  <si>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</si>
  <si>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</si>
  <si>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</si>
  <si>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</si>
  <si>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</si>
  <si>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</si>
  <si>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</si>
  <si>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</si>
  <si>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</si>
  <si>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</si>
  <si>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</si>
  <si>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</si>
  <si>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</si>
  <si>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</si>
  <si>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</si>
  <si>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</si>
  <si>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</si>
  <si>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</si>
  <si>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</si>
  <si>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</si>
  <si>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</si>
  <si>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</si>
  <si>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</si>
  <si>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</si>
  <si>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</si>
  <si>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</si>
  <si>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</si>
  <si>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</si>
  <si>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</si>
  <si>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</si>
  <si>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</si>
  <si>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</si>
  <si>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</si>
  <si>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</si>
  <si>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</si>
  <si>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</si>
  <si>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</si>
  <si>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</si>
  <si>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</si>
  <si>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</si>
  <si>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</si>
  <si>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</si>
  <si>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</si>
  <si>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</si>
  <si>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</si>
  <si>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</si>
  <si>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</si>
  <si>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</si>
  <si>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</si>
  <si>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</si>
  <si>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</si>
  <si>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</si>
  <si>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</si>
  <si>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</si>
  <si>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</si>
  <si>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</si>
  <si>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</si>
  <si>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</si>
  <si>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</si>
  <si>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</si>
  <si>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</si>
  <si>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</si>
  <si>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</si>
  <si>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</si>
  <si>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</si>
  <si>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</si>
  <si>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</si>
  <si>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</si>
  <si>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</si>
  <si>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</si>
  <si>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</si>
  <si>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</si>
  <si>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</si>
  <si>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</si>
  <si>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</si>
  <si>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</si>
  <si>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</si>
  <si>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</si>
  <si>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</si>
  <si>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</si>
  <si>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</si>
  <si>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</si>
  <si>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</si>
  <si>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</si>
  <si>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</si>
  <si>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</si>
  <si>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</si>
  <si>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</si>
  <si>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</si>
  <si>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</si>
  <si>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</si>
  <si>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</si>
  <si>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</si>
  <si>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</si>
  <si>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</si>
  <si>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</si>
  <si>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</si>
  <si>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</si>
  <si>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</si>
  <si>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</si>
  <si>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</si>
  <si>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</si>
  <si>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</si>
  <si>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</si>
  <si>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</si>
  <si>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</si>
  <si>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</si>
  <si>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</si>
  <si>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</si>
  <si>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</si>
  <si>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</si>
  <si>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</si>
  <si>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</si>
  <si>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</si>
  <si>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</si>
  <si>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</si>
  <si>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</si>
  <si>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</si>
  <si>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</si>
  <si>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</si>
  <si>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</si>
  <si>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</si>
  <si>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</si>
  <si>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</si>
  <si>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</si>
  <si>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</si>
  <si>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</si>
  <si>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</si>
  <si>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</si>
  <si>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</si>
  <si>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</si>
  <si>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</si>
  <si>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</si>
  <si>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</si>
  <si>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</si>
  <si>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</si>
  <si>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</si>
  <si>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</si>
  <si>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</si>
  <si>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</si>
  <si>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</si>
  <si>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</si>
  <si>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</si>
  <si>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</si>
  <si>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</si>
  <si>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</si>
  <si>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</si>
  <si>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</si>
  <si>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</si>
  <si>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</si>
  <si>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</si>
  <si>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</si>
  <si>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</si>
  <si>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</si>
  <si>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</si>
  <si>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</si>
  <si>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</si>
  <si>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</si>
  <si>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</si>
  <si>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</si>
  <si>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</si>
  <si>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</si>
  <si>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</si>
  <si>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</si>
  <si>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</si>
  <si>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</si>
  <si>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</si>
  <si>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</si>
  <si>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</si>
  <si>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</si>
  <si>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</si>
  <si>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</si>
  <si>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</si>
  <si>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</si>
  <si>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</si>
  <si>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</si>
  <si>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</si>
  <si>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</si>
  <si>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</si>
  <si>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</si>
  <si>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</si>
  <si>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</si>
  <si>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</si>
  <si>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</si>
  <si>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</si>
  <si>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</si>
  <si>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</si>
  <si>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</si>
  <si>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</si>
  <si>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</si>
  <si>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</si>
  <si>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</si>
  <si>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</si>
  <si>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</si>
  <si>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</si>
  <si>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</si>
  <si>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</si>
  <si>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</si>
  <si>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</si>
  <si>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</si>
  <si>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</si>
  <si>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</si>
  <si>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</si>
  <si>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</si>
  <si>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</si>
  <si>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</si>
  <si>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</si>
  <si>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</si>
  <si>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</si>
  <si>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</si>
  <si>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</si>
  <si>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</si>
  <si>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</si>
  <si>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</si>
  <si>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</si>
  <si>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</si>
  <si>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</si>
  <si>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</si>
  <si>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</si>
  <si>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</si>
  <si>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</si>
  <si>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</si>
  <si>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</si>
  <si>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</si>
  <si>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</si>
  <si>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</si>
  <si>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</si>
  <si>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</si>
  <si>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</si>
  <si>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</si>
  <si>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</si>
  <si>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</si>
  <si>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</si>
  <si>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</si>
  <si>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</si>
  <si>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</si>
  <si>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</si>
  <si>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</si>
  <si>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</si>
  <si>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</si>
  <si>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</si>
  <si>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</si>
  <si>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</si>
  <si>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</si>
  <si>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</si>
  <si>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</si>
  <si>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</si>
  <si>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</si>
  <si>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</si>
  <si>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</si>
  <si>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</si>
  <si>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</si>
  <si>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</si>
  <si>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</si>
  <si>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</si>
  <si>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</si>
  <si>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</si>
  <si>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</si>
  <si>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</si>
  <si>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</si>
  <si>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</si>
  <si>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</si>
  <si>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</si>
  <si>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</si>
  <si>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</si>
  <si>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</si>
  <si>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</si>
  <si>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</si>
  <si>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</si>
  <si>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</si>
  <si>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</si>
  <si>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</si>
  <si>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</si>
  <si>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</si>
  <si>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</si>
  <si>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</si>
  <si>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</si>
  <si>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</si>
  <si>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</si>
  <si>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</si>
  <si>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</si>
  <si>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</si>
  <si>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</si>
  <si>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</si>
  <si>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</si>
  <si>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</si>
  <si>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</si>
  <si>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</si>
  <si>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</si>
  <si>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</si>
  <si>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</si>
  <si>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</si>
  <si>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</si>
  <si>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</si>
  <si>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</si>
  <si>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</si>
  <si>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</si>
  <si>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</si>
  <si>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</si>
  <si>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</si>
  <si>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</si>
  <si>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</si>
  <si>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</si>
  <si>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</si>
  <si>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</si>
  <si>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</si>
  <si>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</si>
  <si>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</si>
  <si>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</si>
  <si>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</si>
  <si>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</si>
  <si>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</si>
  <si>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</si>
  <si>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</si>
  <si>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</si>
  <si>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</si>
  <si>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</si>
  <si>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</si>
  <si>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</si>
  <si>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</si>
  <si>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</si>
  <si>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</si>
  <si>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</si>
  <si>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</si>
  <si>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</si>
  <si>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</si>
  <si>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</si>
  <si>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</si>
  <si>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</si>
  <si>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</si>
  <si>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</si>
  <si>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</si>
  <si>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</si>
  <si>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</si>
  <si>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</si>
  <si>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</si>
  <si>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</si>
  <si>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</si>
  <si>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</si>
  <si>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</si>
  <si>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</si>
  <si>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</si>
  <si>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</si>
  <si>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</si>
  <si>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</si>
  <si>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</si>
  <si>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</si>
  <si>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</si>
  <si>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</si>
  <si>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</si>
  <si>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</si>
  <si>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</si>
  <si>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</si>
  <si>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</si>
  <si>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</si>
  <si>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</si>
  <si>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</si>
  <si>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</si>
  <si>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</si>
  <si>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</si>
  <si>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</si>
  <si>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</si>
  <si>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</si>
  <si>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</si>
  <si>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</si>
  <si>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</si>
  <si>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</si>
  <si>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</si>
  <si>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</si>
  <si>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</si>
  <si>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</si>
  <si>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</si>
  <si>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</si>
  <si>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</si>
  <si>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</si>
  <si>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</si>
  <si>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</si>
  <si>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</si>
  <si>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</si>
  <si>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</si>
  <si>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</si>
  <si>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</si>
  <si>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</si>
  <si>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</si>
  <si>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</si>
  <si>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</si>
  <si>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</si>
  <si>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</si>
  <si>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</si>
  <si>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</si>
  <si>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</si>
  <si>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</si>
  <si>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</si>
  <si>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</si>
  <si>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</si>
  <si>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</si>
  <si>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</si>
  <si>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</si>
  <si>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</si>
  <si>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</si>
  <si>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</si>
  <si>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</si>
  <si>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</si>
  <si>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</si>
  <si>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</si>
  <si>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</si>
  <si>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</si>
  <si>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</si>
  <si>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</si>
  <si>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</si>
  <si>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</si>
  <si>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</si>
  <si>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</si>
  <si>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</si>
  <si>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</si>
  <si>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</si>
  <si>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</si>
  <si>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</si>
  <si>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</si>
  <si>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</si>
  <si>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</si>
  <si>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</si>
  <si>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</si>
  <si>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</si>
  <si>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</si>
  <si>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</si>
  <si>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</si>
  <si>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</si>
  <si>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</si>
  <si>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</si>
  <si>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</si>
  <si>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</si>
  <si>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</si>
  <si>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</si>
  <si>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</si>
  <si>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</si>
  <si>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</si>
  <si>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</si>
  <si>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</si>
  <si>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</si>
  <si>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</si>
  <si>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</si>
  <si>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</si>
  <si>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</si>
  <si>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</si>
  <si>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</si>
  <si>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</si>
  <si>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</si>
  <si>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</si>
  <si>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</si>
  <si>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</si>
  <si>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</si>
  <si>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</si>
  <si>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</si>
  <si>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</si>
  <si>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</si>
  <si>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</si>
  <si>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</si>
  <si>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</si>
  <si>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</si>
  <si>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</si>
  <si>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</si>
  <si>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</si>
  <si>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</si>
  <si>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</si>
  <si>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</si>
  <si>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</si>
  <si>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</si>
  <si>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</si>
  <si>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</si>
  <si>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</si>
  <si>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</si>
  <si>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</si>
  <si>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</si>
  <si>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</si>
  <si>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</si>
  <si>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</si>
  <si>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</si>
  <si>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</si>
  <si>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</si>
  <si>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</si>
  <si>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</si>
  <si>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</si>
  <si>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</si>
  <si>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</si>
  <si>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</si>
  <si>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</si>
  <si>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</si>
  <si>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</si>
  <si>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</si>
  <si>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</si>
  <si>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</si>
  <si>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</si>
  <si>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</si>
  <si>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</si>
  <si>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</si>
  <si>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</si>
  <si>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</si>
  <si>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</si>
  <si>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</si>
  <si>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</si>
  <si>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</si>
  <si>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</si>
  <si>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</si>
  <si>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</si>
  <si>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</si>
  <si>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</si>
  <si>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</si>
  <si>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</si>
  <si>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</si>
  <si>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</si>
  <si>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</si>
  <si>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</si>
  <si>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</si>
  <si>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</si>
  <si>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</si>
  <si>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</si>
  <si>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</si>
  <si>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</si>
  <si>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</si>
  <si>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</si>
  <si>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</si>
  <si>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</si>
  <si>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</si>
  <si>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</si>
  <si>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</si>
  <si>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</si>
  <si>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</si>
  <si>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</si>
  <si>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</si>
  <si>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</si>
  <si>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</si>
  <si>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</si>
  <si>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</si>
  <si>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</si>
  <si>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</si>
  <si>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</si>
  <si>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</si>
  <si>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</si>
  <si>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</si>
  <si>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</si>
  <si>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</si>
  <si>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</si>
  <si>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</si>
  <si>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</si>
  <si>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</si>
  <si>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</si>
  <si>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</si>
  <si>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</si>
  <si>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</si>
  <si>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</si>
  <si>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</si>
  <si>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</si>
  <si>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</si>
  <si>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</si>
  <si>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</si>
  <si>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</si>
  <si>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</si>
  <si>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</si>
  <si>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</si>
  <si>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</si>
  <si>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</si>
  <si>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</si>
  <si>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</si>
  <si>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</si>
  <si>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</si>
  <si>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</si>
  <si>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</si>
  <si>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</si>
  <si>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</si>
  <si>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</si>
  <si>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</si>
  <si>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</si>
  <si>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</si>
  <si>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</si>
  <si>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</si>
  <si>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</si>
  <si>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</si>
  <si>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</si>
  <si>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</si>
  <si>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</si>
  <si>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</si>
  <si>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</si>
  <si>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</si>
  <si>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</si>
  <si>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</si>
  <si>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</si>
  <si>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</si>
  <si>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</si>
  <si>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</si>
  <si>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</si>
  <si>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</si>
  <si>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</si>
  <si>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</si>
  <si>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</si>
  <si>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</si>
  <si>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</si>
  <si>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</si>
  <si>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</si>
  <si>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</si>
  <si>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</si>
  <si>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</si>
  <si>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</si>
  <si>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</si>
  <si>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</si>
  <si>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</si>
  <si>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</si>
  <si>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</si>
  <si>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</si>
  <si>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</si>
  <si>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</si>
  <si>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</si>
  <si>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</si>
  <si>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</si>
  <si>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</si>
  <si>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</si>
  <si>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</si>
  <si>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</si>
  <si>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</si>
  <si>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</si>
  <si>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</si>
  <si>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</si>
  <si>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</si>
  <si>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</si>
  <si>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</si>
  <si>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</si>
  <si>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</si>
  <si>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</si>
  <si>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</si>
  <si>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</si>
  <si>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</si>
  <si>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</si>
  <si>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</si>
  <si>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</si>
  <si>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</si>
  <si>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</si>
  <si>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</si>
  <si>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</si>
  <si>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</si>
  <si>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</si>
  <si>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</si>
  <si>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</si>
  <si>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</si>
  <si>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</si>
  <si>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</si>
  <si>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</si>
  <si>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</si>
  <si>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</si>
  <si>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</si>
  <si>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</si>
  <si>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</si>
  <si>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</si>
  <si>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</si>
  <si>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</si>
  <si>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</si>
  <si>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</si>
  <si>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</si>
  <si>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</si>
  <si>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</si>
  <si>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</si>
  <si>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</si>
  <si>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</si>
  <si>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</si>
  <si>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</si>
  <si>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</si>
  <si>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</si>
  <si>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</si>
  <si>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</si>
  <si>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</si>
  <si>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</si>
  <si>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</si>
  <si>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</si>
  <si>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</si>
  <si>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</si>
  <si>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</si>
  <si>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</si>
  <si>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</si>
  <si>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</si>
  <si>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</si>
  <si>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</si>
  <si>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</si>
  <si>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</si>
  <si>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</si>
  <si>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</si>
  <si>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</si>
  <si>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</si>
  <si>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</si>
  <si>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</si>
  <si>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</si>
  <si>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</si>
  <si>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</si>
  <si>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</si>
  <si>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</si>
  <si>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</si>
  <si>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</si>
  <si>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</si>
  <si>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</si>
  <si>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</si>
  <si>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</si>
  <si>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</si>
  <si>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</si>
  <si>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</si>
  <si>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</si>
  <si>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</si>
  <si>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</si>
  <si>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</si>
  <si>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</si>
  <si>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</si>
  <si>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</si>
  <si>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</si>
  <si>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</si>
  <si>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</si>
  <si>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</si>
  <si>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</si>
  <si>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</si>
  <si>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</si>
  <si>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</si>
  <si>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</si>
  <si>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</si>
  <si>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</si>
  <si>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</si>
  <si>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</si>
  <si>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</si>
  <si>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</si>
  <si>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</si>
  <si>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</si>
  <si>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</si>
  <si>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</si>
  <si>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</si>
  <si>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</si>
  <si>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</si>
  <si>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</si>
  <si>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</si>
  <si>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</si>
  <si>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</si>
  <si>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</si>
  <si>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</si>
  <si>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</si>
  <si>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</si>
  <si>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</si>
  <si>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</si>
  <si>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</si>
  <si>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</si>
  <si>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</si>
  <si>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</si>
  <si>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</si>
  <si>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</si>
  <si>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</si>
  <si>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</si>
  <si>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</si>
  <si>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</si>
  <si>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</si>
  <si>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</si>
  <si>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</si>
  <si>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</si>
  <si>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</si>
  <si>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</si>
  <si>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</si>
  <si>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</si>
  <si>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</si>
  <si>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</si>
  <si>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</si>
  <si>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</si>
  <si>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</si>
  <si>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</si>
  <si>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</si>
  <si>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</si>
  <si>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</si>
  <si>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</si>
  <si>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</si>
  <si>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</si>
  <si>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</si>
  <si>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</si>
  <si>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</si>
  <si>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</si>
  <si>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</si>
  <si>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</si>
  <si>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</si>
  <si>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</si>
  <si>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</si>
  <si>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</si>
  <si>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</si>
  <si>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</si>
  <si>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</si>
  <si>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</si>
  <si>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</si>
  <si>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</si>
  <si>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</si>
  <si>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</si>
  <si>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</si>
  <si>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</si>
  <si>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</si>
  <si>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</si>
  <si>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</si>
  <si>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</si>
  <si>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</si>
  <si>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</si>
  <si>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</si>
  <si>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</si>
  <si>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</si>
  <si>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</si>
  <si>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</si>
  <si>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</si>
  <si>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</si>
  <si>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</si>
  <si>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</si>
  <si>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</si>
  <si>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</si>
  <si>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</si>
  <si>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</si>
  <si>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</si>
  <si>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</si>
  <si>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</si>
  <si>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</si>
  <si>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</si>
  <si>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</si>
  <si>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</si>
  <si>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</si>
  <si>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</si>
  <si>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</si>
  <si>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</si>
  <si>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</si>
  <si>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</si>
  <si>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</si>
  <si>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</si>
  <si>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</si>
  <si>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</si>
  <si>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</si>
  <si>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</si>
  <si>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</si>
  <si>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</si>
  <si>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</si>
  <si>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</si>
  <si>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</si>
  <si>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</si>
  <si>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</si>
  <si>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</si>
  <si>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</si>
  <si>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</si>
  <si>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</si>
  <si>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</si>
  <si>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</si>
  <si>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</si>
  <si>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</si>
  <si>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</si>
  <si>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</si>
  <si>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</si>
  <si>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</si>
  <si>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</si>
  <si>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</si>
  <si>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</si>
  <si>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</si>
  <si>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</si>
  <si>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</si>
  <si>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</si>
  <si>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</si>
  <si>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</si>
  <si>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</si>
  <si>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</si>
  <si>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</si>
  <si>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</si>
  <si>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</si>
  <si>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</si>
  <si>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</si>
  <si>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</si>
  <si>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</si>
  <si>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</si>
  <si>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</si>
  <si>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</si>
  <si>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</si>
  <si>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</si>
  <si>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</si>
  <si>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</si>
  <si>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</si>
  <si>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</si>
  <si>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</si>
  <si>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</si>
  <si>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</si>
  <si>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</si>
  <si>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</si>
  <si>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</si>
  <si>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</si>
  <si>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</si>
  <si>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</si>
  <si>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</si>
  <si>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</si>
  <si>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</si>
  <si>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</si>
  <si>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</si>
  <si>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</si>
  <si>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</si>
  <si>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</si>
  <si>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</si>
  <si>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</si>
  <si>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</si>
  <si>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</si>
  <si>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</si>
  <si>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</si>
  <si>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</si>
  <si>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</si>
  <si>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</si>
  <si>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</si>
  <si>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</si>
  <si>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</si>
  <si>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</si>
  <si>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</si>
  <si>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</si>
  <si>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</si>
  <si>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</si>
  <si>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</si>
  <si>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</si>
  <si>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</si>
  <si>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</si>
  <si>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</si>
  <si>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</si>
  <si>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</si>
  <si>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</si>
  <si>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</si>
  <si>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</si>
  <si>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</si>
  <si>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</si>
  <si>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</si>
  <si>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</si>
  <si>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</si>
  <si>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</si>
  <si>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</si>
  <si>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</si>
  <si>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</si>
  <si>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</si>
  <si>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</si>
  <si>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</si>
  <si>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</si>
  <si>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</si>
  <si>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</si>
  <si>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</si>
  <si>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</si>
  <si>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</si>
  <si>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</si>
  <si>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</si>
  <si>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</si>
  <si>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</si>
  <si>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</si>
  <si>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</si>
  <si>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</si>
  <si>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</si>
  <si>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</si>
  <si>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</si>
  <si>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</si>
  <si>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</si>
  <si>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</si>
  <si>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</si>
  <si>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</si>
  <si>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</si>
  <si>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</si>
  <si>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</si>
  <si>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</si>
  <si>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</si>
  <si>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</si>
  <si>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</si>
  <si>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</si>
  <si>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</si>
  <si>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</si>
  <si>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</si>
  <si>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</si>
  <si>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</si>
  <si>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</si>
  <si>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</si>
  <si>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</si>
  <si>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</si>
  <si>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</si>
  <si>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</si>
  <si>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</si>
  <si>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</si>
  <si>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</si>
  <si>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</si>
  <si>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</si>
  <si>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</si>
  <si>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</si>
  <si>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</si>
  <si>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</si>
  <si>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</si>
  <si>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</si>
  <si>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</si>
  <si>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</si>
  <si>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</si>
  <si>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</si>
  <si>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</si>
  <si>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</si>
  <si>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</si>
  <si>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</si>
  <si>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</si>
  <si>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</si>
  <si>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</si>
  <si>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</si>
  <si>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</si>
  <si>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</si>
  <si>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</si>
  <si>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</si>
  <si>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</si>
  <si>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</si>
  <si>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</si>
  <si>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</si>
  <si>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</si>
  <si>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</si>
  <si>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</si>
  <si>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</si>
  <si>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</si>
  <si>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</si>
  <si>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</si>
  <si>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</si>
  <si>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</si>
  <si>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</si>
  <si>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</si>
  <si>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</si>
  <si>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</si>
  <si>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</si>
  <si>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</si>
  <si>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</si>
  <si>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</si>
  <si>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</si>
  <si>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</si>
  <si>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</si>
  <si>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</si>
  <si>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</si>
  <si>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</si>
  <si>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</si>
  <si>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</si>
  <si>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</si>
  <si>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</si>
  <si>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</si>
  <si>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</si>
  <si>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</si>
  <si>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</si>
  <si>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</si>
  <si>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</si>
  <si>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</si>
  <si>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</si>
  <si>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</si>
  <si>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</si>
  <si>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</si>
  <si>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</si>
  <si>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</si>
  <si>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</si>
  <si>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</si>
  <si>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</si>
  <si>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</si>
  <si>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</si>
  <si>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</si>
  <si>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</si>
  <si>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</si>
  <si>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</si>
  <si>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</si>
  <si>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</si>
  <si>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</si>
  <si>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</si>
  <si>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</si>
  <si>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</si>
  <si>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</si>
  <si>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</si>
  <si>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</si>
  <si>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</si>
  <si>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</si>
  <si>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</si>
  <si>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</si>
  <si>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</si>
  <si>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</si>
  <si>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</si>
  <si>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</si>
  <si>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</si>
  <si>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</si>
  <si>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</si>
  <si>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</si>
  <si>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</si>
  <si>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</si>
  <si>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</si>
  <si>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</si>
  <si>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</si>
  <si>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</si>
  <si>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</si>
  <si>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</si>
  <si>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</si>
  <si>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</si>
  <si>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</si>
  <si>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</si>
  <si>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</si>
  <si>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</si>
  <si>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</si>
  <si>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</si>
  <si>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</si>
  <si>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</si>
  <si>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</si>
  <si>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</si>
  <si>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</si>
  <si>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</si>
  <si>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</si>
  <si>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</si>
  <si>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</si>
  <si>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</si>
  <si>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</si>
  <si>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</si>
  <si>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</si>
  <si>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</si>
  <si>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</si>
  <si>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</si>
  <si>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</si>
  <si>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</si>
  <si>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</si>
  <si>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</si>
  <si>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</si>
  <si>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</si>
  <si>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</si>
  <si>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</si>
  <si>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</si>
  <si>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</si>
  <si>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</si>
  <si>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</si>
  <si>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</si>
  <si>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</si>
  <si>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</si>
  <si>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</si>
  <si>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</si>
  <si>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</si>
  <si>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</si>
  <si>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</si>
  <si>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</si>
  <si>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</si>
  <si>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</si>
  <si>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</si>
  <si>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</si>
  <si>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</si>
  <si>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</si>
  <si>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</si>
  <si>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</si>
  <si>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</si>
  <si>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</si>
  <si>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</si>
  <si>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</si>
  <si>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</si>
  <si>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</si>
  <si>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</si>
  <si>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</si>
  <si>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</si>
  <si>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</si>
  <si>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</si>
  <si>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</si>
  <si>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</si>
  <si>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</si>
  <si>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</si>
  <si>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</si>
  <si>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</si>
  <si>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</si>
  <si>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</si>
  <si>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</si>
  <si>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</si>
  <si>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</si>
  <si>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</si>
  <si>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</si>
  <si>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</si>
  <si>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</si>
  <si>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</si>
  <si>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</si>
  <si>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</si>
  <si>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</si>
  <si>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</si>
  <si>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</si>
  <si>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</si>
  <si>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</si>
  <si>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</si>
  <si>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</si>
  <si>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</si>
  <si>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</si>
  <si>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</si>
  <si>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</si>
  <si>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</si>
  <si>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</si>
  <si>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</si>
  <si>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</si>
  <si>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</si>
  <si>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</si>
  <si>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</si>
  <si>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</si>
  <si>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</si>
  <si>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</si>
  <si>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</si>
  <si>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</si>
  <si>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</si>
  <si>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</si>
  <si>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</si>
  <si>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</si>
  <si>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</si>
  <si>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</si>
  <si>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</si>
  <si>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</si>
  <si>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</si>
  <si>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</si>
  <si>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</si>
  <si>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</si>
  <si>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</si>
  <si>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</si>
  <si>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</si>
  <si>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</si>
  <si>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</si>
  <si>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</si>
  <si>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</si>
  <si>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</si>
  <si>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</si>
  <si>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</si>
  <si>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</si>
  <si>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</si>
  <si>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</si>
  <si>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</si>
  <si>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</si>
  <si>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</si>
  <si>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</si>
  <si>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</si>
  <si>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</si>
  <si>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</si>
  <si>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</si>
  <si>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</si>
  <si>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</si>
  <si>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</si>
  <si>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</si>
  <si>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</si>
  <si>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</si>
  <si>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</si>
  <si>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</si>
  <si>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</si>
  <si>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</si>
  <si>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</si>
  <si>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</si>
  <si>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</si>
  <si>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</si>
  <si>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</si>
  <si>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</si>
  <si>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</si>
  <si>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</si>
  <si>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</si>
  <si>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</si>
  <si>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</si>
  <si>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</si>
  <si>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</si>
  <si>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</si>
  <si>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</si>
  <si>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</si>
  <si>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</si>
  <si>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</si>
  <si>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</si>
  <si>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</si>
  <si>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</si>
  <si>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</si>
  <si>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</si>
  <si>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</si>
  <si>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</si>
  <si>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</si>
  <si>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</si>
  <si>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</si>
  <si>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</si>
  <si>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</si>
  <si>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</si>
  <si>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</si>
  <si>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</si>
  <si>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</si>
  <si>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</si>
  <si>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</si>
  <si>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</si>
  <si>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</si>
  <si>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</si>
  <si>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</si>
  <si>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</si>
  <si>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</si>
  <si>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</si>
  <si>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</si>
  <si>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</si>
  <si>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</si>
  <si>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</si>
  <si>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</si>
  <si>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</si>
  <si>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</si>
  <si>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</si>
  <si>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</si>
  <si>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</si>
  <si>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</si>
  <si>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</si>
  <si>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</si>
  <si>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</si>
  <si>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</si>
  <si>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</si>
  <si>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</si>
  <si>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</si>
  <si>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</si>
  <si>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</si>
  <si>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</si>
  <si>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</si>
  <si>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</si>
  <si>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</si>
  <si>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</si>
  <si>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</si>
  <si>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</si>
  <si>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</si>
  <si>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</si>
  <si>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</si>
  <si>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</si>
  <si>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</si>
  <si>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</si>
  <si>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</si>
  <si>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</si>
  <si>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</si>
  <si>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</si>
  <si>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</si>
  <si>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</si>
  <si>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</si>
  <si>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</si>
  <si>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</si>
  <si>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</si>
  <si>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</si>
  <si>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</si>
  <si>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</si>
  <si>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</si>
  <si>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</si>
  <si>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</si>
  <si>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</si>
  <si>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</si>
  <si>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</si>
  <si>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</si>
  <si>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</si>
  <si>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</si>
  <si>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</si>
  <si>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</si>
  <si>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</si>
  <si>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</si>
  <si>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</si>
  <si>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</si>
  <si>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</si>
  <si>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</si>
  <si>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</si>
  <si>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</si>
  <si>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</si>
  <si>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</si>
  <si>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</si>
  <si>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</si>
  <si>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</si>
  <si>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</si>
  <si>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</si>
  <si>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</si>
  <si>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</si>
  <si>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</si>
  <si>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</si>
  <si>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</si>
  <si>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</si>
  <si>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</si>
  <si>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</si>
  <si>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</si>
  <si>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</si>
  <si>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</si>
  <si>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</si>
  <si>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</si>
  <si>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</si>
  <si>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</si>
  <si>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</si>
  <si>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</si>
  <si>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</si>
  <si>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</si>
  <si>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</si>
  <si>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</si>
  <si>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</si>
  <si>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</si>
  <si>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</si>
  <si>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</si>
  <si>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</si>
  <si>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</si>
  <si>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</si>
  <si>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</si>
  <si>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</si>
  <si>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</si>
  <si>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</si>
  <si>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</si>
  <si>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</si>
  <si>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</si>
  <si>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</si>
  <si>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</si>
  <si>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</si>
  <si>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</si>
  <si>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</si>
  <si>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</si>
  <si>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</si>
  <si>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</si>
  <si>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</si>
  <si>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</si>
  <si>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</si>
  <si>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</si>
  <si>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</si>
  <si>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</si>
  <si>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</si>
  <si>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</si>
  <si>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</si>
  <si>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</si>
  <si>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</si>
  <si>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</si>
  <si>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</si>
  <si>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</si>
  <si>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</si>
  <si>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</si>
  <si>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</si>
  <si>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</si>
  <si>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</si>
  <si>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</si>
  <si>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</si>
  <si>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</si>
  <si>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</si>
  <si>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</si>
  <si>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</si>
  <si>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</si>
  <si>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</si>
  <si>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</si>
  <si>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</si>
  <si>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</si>
  <si>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</si>
  <si>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</si>
  <si>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</si>
  <si>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</si>
  <si>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</si>
  <si>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</si>
  <si>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</si>
  <si>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</si>
  <si>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</si>
  <si>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</si>
  <si>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</si>
  <si>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</si>
  <si>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</si>
  <si>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</si>
  <si>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</si>
  <si>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</si>
  <si>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</si>
  <si>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</si>
  <si>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</si>
  <si>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</si>
  <si>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</si>
  <si>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</si>
  <si>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</si>
  <si>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</si>
  <si>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</si>
  <si>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</si>
  <si>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</si>
  <si>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</si>
  <si>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</si>
  <si>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</si>
  <si>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</si>
  <si>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</si>
  <si>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</si>
  <si>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</si>
  <si>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</si>
  <si>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</si>
  <si>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</si>
  <si>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</si>
  <si>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</si>
  <si>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</si>
  <si>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</si>
  <si>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</si>
  <si>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</si>
  <si>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</si>
  <si>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</si>
  <si>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</si>
  <si>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</si>
  <si>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</si>
  <si>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</si>
  <si>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</si>
  <si>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</si>
  <si>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</si>
  <si>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</si>
  <si>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</si>
  <si>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</si>
  <si>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</si>
  <si>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</si>
  <si>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</si>
  <si>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</si>
  <si>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</si>
  <si>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</si>
  <si>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</si>
  <si>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</si>
  <si>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</si>
  <si>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</si>
  <si>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</si>
  <si>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</si>
  <si>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</si>
  <si>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</si>
  <si>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</si>
  <si>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</si>
  <si>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</si>
  <si>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</si>
  <si>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</si>
  <si>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</si>
  <si>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</si>
  <si>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</si>
  <si>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</si>
  <si>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</si>
  <si>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</si>
  <si>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</si>
  <si>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</si>
  <si>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</si>
  <si>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</si>
  <si>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</si>
  <si>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</si>
  <si>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</si>
  <si>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</si>
  <si>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</si>
  <si>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</si>
  <si>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</si>
  <si>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</si>
  <si>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</si>
  <si>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</si>
  <si>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</si>
  <si>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</si>
  <si>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</si>
  <si>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</si>
  <si>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</si>
  <si>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</si>
  <si>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</si>
  <si>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</si>
  <si>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</si>
  <si>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</si>
  <si>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</si>
  <si>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</si>
  <si>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</si>
  <si>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</si>
  <si>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</si>
  <si>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</si>
  <si>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</si>
  <si>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</si>
  <si>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</si>
  <si>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</si>
  <si>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</si>
  <si>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</si>
  <si>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</si>
  <si>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</si>
  <si>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</si>
  <si>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</si>
  <si>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</si>
  <si>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</si>
  <si>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</si>
  <si>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</si>
  <si>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</si>
  <si>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</si>
  <si>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</si>
  <si>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</si>
  <si>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</si>
  <si>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</si>
  <si>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</si>
  <si>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</si>
  <si>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</si>
  <si>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</si>
  <si>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</si>
  <si>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</si>
  <si>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</si>
  <si>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</si>
  <si>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</si>
  <si>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</si>
  <si>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</si>
  <si>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</si>
  <si>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</si>
  <si>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</si>
  <si>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</si>
  <si>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</si>
  <si>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</si>
  <si>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</si>
  <si>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</si>
  <si>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</si>
  <si>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</si>
  <si>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</si>
  <si>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</si>
  <si>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</si>
  <si>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</si>
  <si>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</si>
  <si>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</si>
  <si>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</si>
  <si>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</si>
  <si>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</si>
  <si>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</si>
  <si>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</si>
  <si>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</si>
  <si>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</si>
  <si>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</si>
  <si>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</si>
  <si>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</si>
  <si>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</si>
  <si>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</si>
  <si>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</si>
  <si>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</si>
  <si>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</si>
  <si>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</si>
  <si>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</si>
  <si>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</si>
  <si>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</si>
  <si>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</si>
  <si>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</si>
  <si>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</si>
  <si>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</si>
  <si>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</si>
  <si>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</si>
  <si>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</si>
  <si>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</si>
  <si>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</si>
  <si>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</si>
  <si>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</si>
  <si>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</si>
  <si>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</si>
  <si>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</si>
  <si>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</si>
  <si>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</si>
  <si>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</si>
  <si>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</si>
  <si>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</si>
  <si>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</si>
  <si>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</si>
  <si>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</si>
  <si>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</si>
  <si>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</si>
  <si>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</si>
  <si>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</si>
  <si>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</si>
  <si>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</si>
  <si>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</si>
  <si>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</si>
  <si>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</si>
  <si>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</si>
  <si>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</si>
  <si>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</si>
  <si>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</si>
  <si>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</si>
  <si>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</si>
  <si>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</si>
  <si>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</si>
  <si>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</si>
  <si>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</si>
  <si>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</si>
  <si>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</si>
  <si>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</si>
  <si>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</si>
  <si>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</si>
  <si>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</si>
  <si>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</si>
  <si>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</si>
  <si>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</si>
  <si>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</si>
  <si>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</si>
  <si>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</si>
  <si>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</si>
  <si>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</si>
  <si>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</si>
  <si>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</si>
  <si>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</si>
  <si>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</si>
  <si>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</si>
  <si>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</si>
  <si>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</si>
  <si>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</si>
  <si>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</si>
  <si>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</si>
  <si>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</si>
  <si>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</si>
  <si>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</si>
  <si>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</si>
  <si>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</si>
  <si>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</si>
  <si>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</si>
  <si>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</si>
  <si>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</si>
  <si>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</si>
  <si>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</si>
  <si>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</si>
  <si>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</si>
  <si>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</si>
  <si>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</si>
  <si>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</si>
  <si>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</si>
  <si>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</si>
  <si>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</si>
  <si>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</si>
  <si>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</si>
  <si>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</si>
  <si>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</si>
  <si>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</si>
  <si>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</si>
  <si>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</si>
  <si>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</si>
  <si>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</si>
  <si>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</si>
  <si>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</si>
  <si>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</si>
  <si>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</si>
  <si>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</si>
  <si>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</si>
  <si>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</si>
  <si>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</si>
  <si>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</si>
  <si>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</si>
  <si>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</si>
  <si>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</si>
  <si>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</si>
  <si>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</si>
  <si>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</si>
  <si>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</si>
  <si>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</si>
  <si>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</si>
  <si>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</si>
  <si>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</si>
  <si>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</si>
  <si>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</si>
  <si>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</si>
  <si>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</si>
  <si>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</si>
  <si>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</si>
  <si>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</si>
  <si>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</si>
  <si>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</si>
  <si>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</si>
  <si>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</si>
  <si>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</si>
  <si>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</si>
  <si>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</si>
  <si>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</si>
  <si>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</si>
  <si>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</si>
  <si>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</si>
  <si>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</si>
  <si>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</si>
  <si>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</si>
  <si>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</si>
  <si>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</si>
  <si>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</si>
  <si>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</si>
  <si>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</si>
  <si>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</si>
  <si>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</si>
  <si>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</si>
  <si>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</si>
  <si>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</si>
  <si>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</si>
  <si>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</si>
  <si>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</si>
  <si>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</si>
  <si>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</si>
  <si>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</si>
  <si>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</si>
  <si>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</si>
  <si>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</si>
  <si>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</si>
  <si>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</si>
  <si>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</si>
  <si>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</si>
  <si>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</si>
  <si>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</si>
  <si>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</si>
  <si>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</si>
  <si>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</si>
  <si>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</si>
  <si>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</si>
  <si>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</si>
  <si>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</si>
  <si>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</si>
  <si>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</si>
  <si>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</si>
  <si>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</si>
  <si>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</si>
  <si>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</si>
  <si>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</si>
  <si>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</si>
  <si>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</si>
  <si>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</si>
  <si>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</si>
  <si>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</si>
  <si>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</si>
  <si>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</si>
  <si>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</si>
  <si>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</si>
  <si>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</si>
  <si>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</si>
  <si>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</si>
  <si>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</si>
  <si>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</si>
  <si>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</si>
  <si>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</si>
  <si>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</si>
  <si>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</si>
  <si>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</si>
  <si>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</si>
  <si>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</si>
  <si>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</si>
  <si>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</si>
  <si>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</si>
  <si>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</si>
  <si>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</si>
  <si>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</si>
  <si>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</si>
  <si>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</si>
  <si>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</si>
  <si>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</si>
  <si>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</si>
  <si>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</si>
  <si>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</si>
  <si>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</si>
  <si>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</si>
  <si>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</si>
  <si>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</si>
  <si>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</si>
  <si>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</si>
  <si>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</si>
  <si>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</si>
  <si>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</si>
  <si>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</si>
  <si>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</si>
  <si>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</si>
  <si>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</si>
  <si>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</si>
  <si>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</si>
  <si>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</si>
  <si>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</si>
  <si>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</si>
  <si>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</si>
  <si>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</si>
  <si>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</si>
  <si>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</si>
  <si>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</si>
  <si>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</si>
  <si>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</si>
  <si>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</si>
  <si>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</si>
  <si>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</si>
  <si>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</si>
  <si>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</si>
  <si>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</si>
  <si>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</si>
  <si>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</si>
  <si>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</si>
  <si>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</si>
  <si>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</si>
  <si>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</si>
  <si>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</si>
  <si>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</si>
  <si>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</si>
  <si>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</si>
  <si>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</si>
  <si>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</si>
  <si>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</si>
  <si>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</si>
  <si>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</si>
  <si>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</si>
  <si>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</si>
  <si>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</si>
  <si>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</si>
  <si>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</si>
  <si>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</si>
  <si>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</si>
  <si>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</si>
  <si>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</si>
  <si>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</si>
  <si>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</si>
  <si>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</si>
  <si>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</si>
  <si>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</si>
  <si>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</si>
  <si>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</si>
  <si>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</si>
  <si>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</si>
  <si>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</si>
  <si>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</si>
  <si>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</si>
  <si>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</si>
  <si>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</si>
  <si>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</si>
  <si>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</si>
  <si>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</si>
  <si>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</si>
  <si>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</si>
  <si>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</si>
  <si>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</si>
  <si>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</si>
  <si>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</si>
  <si>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</si>
  <si>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</si>
  <si>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</si>
  <si>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</si>
  <si>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</si>
  <si>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</si>
  <si>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</si>
  <si>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</si>
  <si>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</si>
  <si>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</si>
  <si>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</si>
  <si>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</si>
  <si>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</si>
  <si>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</si>
  <si>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</si>
  <si>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</si>
  <si>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</si>
  <si>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</si>
  <si>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</si>
  <si>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</si>
  <si>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</si>
  <si>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</si>
  <si>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</si>
  <si>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</si>
  <si>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</si>
  <si>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</si>
  <si>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</si>
  <si>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</si>
  <si>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</si>
  <si>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</si>
  <si>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</si>
  <si>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</si>
  <si>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</si>
  <si>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</si>
  <si>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</si>
  <si>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</si>
  <si>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</si>
  <si>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</si>
  <si>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</si>
  <si>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</si>
  <si>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</si>
  <si>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</si>
  <si>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</si>
  <si>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</si>
  <si>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</si>
  <si>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</si>
  <si>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</si>
  <si>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</si>
  <si>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</si>
  <si>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</si>
  <si>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</si>
  <si>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</si>
  <si>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</si>
  <si>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</si>
  <si>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</si>
  <si>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</si>
  <si>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</si>
  <si>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</si>
  <si>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</si>
  <si>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</si>
  <si>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</si>
  <si>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</si>
  <si>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</si>
  <si>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</si>
  <si>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</si>
  <si>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</si>
  <si>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</si>
  <si>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</si>
  <si>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</si>
  <si>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</si>
  <si>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</si>
  <si>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</si>
  <si>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</si>
  <si>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</si>
  <si>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</si>
  <si>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</si>
  <si>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</si>
  <si>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</si>
  <si>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</si>
  <si>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</si>
  <si>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</si>
  <si>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</si>
  <si>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</si>
  <si>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</si>
  <si>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</si>
  <si>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</si>
  <si>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</si>
  <si>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</si>
  <si>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</si>
  <si>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</si>
  <si>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</si>
  <si>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</si>
  <si>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</si>
  <si>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</si>
  <si>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</si>
  <si>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</si>
  <si>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</si>
  <si>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</si>
  <si>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</si>
  <si>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</si>
  <si>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</si>
  <si>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</si>
  <si>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</si>
  <si>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</si>
  <si>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</si>
  <si>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</si>
  <si>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</si>
  <si>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</si>
  <si>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</si>
  <si>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</si>
  <si>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</si>
  <si>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</si>
  <si>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</si>
  <si>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</si>
  <si>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</si>
  <si>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</si>
  <si>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</si>
  <si>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</si>
  <si>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</si>
  <si>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</si>
  <si>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</si>
  <si>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</si>
  <si>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</si>
  <si>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</si>
  <si>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</si>
  <si>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</si>
  <si>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</si>
  <si>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</si>
  <si>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</si>
  <si>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</si>
  <si>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</si>
  <si>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</si>
  <si>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</si>
  <si>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</si>
  <si>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</si>
  <si>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</si>
  <si>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</si>
  <si>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</si>
  <si>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</si>
  <si>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</si>
  <si>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</si>
  <si>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</si>
  <si>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</si>
  <si>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</si>
  <si>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</si>
  <si>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</si>
  <si>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</si>
  <si>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</si>
  <si>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</si>
  <si>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</si>
  <si>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</si>
  <si>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</si>
  <si>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</si>
  <si>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</si>
  <si>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</si>
  <si>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</si>
  <si>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</si>
  <si>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</si>
  <si>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</si>
  <si>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</si>
  <si>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</si>
  <si>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</si>
  <si>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</si>
  <si>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</si>
  <si>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</si>
  <si>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</si>
  <si>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</si>
  <si>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</si>
  <si>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</si>
  <si>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</si>
  <si>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</si>
  <si>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</si>
  <si>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</si>
  <si>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</si>
  <si>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</si>
  <si>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</si>
  <si>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</si>
  <si>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</si>
  <si>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</si>
  <si>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</si>
  <si>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</si>
  <si>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</si>
  <si>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</si>
  <si>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</si>
  <si>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</si>
  <si>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</si>
  <si>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</si>
  <si>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</si>
  <si>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</si>
  <si>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</si>
  <si>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</si>
  <si>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</si>
  <si>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</si>
  <si>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</si>
  <si>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</si>
  <si>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</si>
  <si>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</si>
  <si>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</si>
  <si>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</si>
  <si>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</si>
  <si>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</si>
  <si>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</si>
  <si>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</si>
  <si>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</si>
  <si>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</si>
  <si>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</si>
  <si>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</si>
  <si>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</si>
  <si>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</si>
  <si>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</si>
  <si>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</si>
  <si>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</si>
  <si>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</si>
  <si>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</si>
  <si>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</si>
  <si>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</si>
  <si>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</si>
  <si>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</si>
  <si>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</si>
  <si>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</si>
  <si>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</si>
  <si>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</si>
  <si>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</si>
  <si>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</si>
  <si>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</si>
  <si>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</si>
  <si>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</si>
  <si>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</si>
  <si>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</si>
  <si>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</si>
  <si>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</si>
  <si>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</si>
  <si>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</si>
  <si>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</si>
  <si>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</si>
  <si>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</si>
  <si>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</si>
  <si>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</si>
  <si>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</si>
  <si>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</si>
  <si>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</si>
  <si>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</si>
  <si>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</si>
  <si>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</si>
  <si>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</si>
  <si>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</si>
  <si>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</si>
  <si>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</si>
  <si>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</si>
  <si>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</si>
  <si>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</si>
  <si>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</si>
  <si>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</si>
  <si>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</si>
  <si>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</si>
  <si>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</si>
  <si>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</si>
  <si>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</si>
  <si>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</si>
  <si>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</si>
  <si>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</si>
  <si>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</si>
  <si>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</si>
  <si>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</si>
  <si>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</si>
  <si>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</si>
  <si>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</si>
  <si>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</si>
  <si>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</si>
  <si>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</si>
  <si>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</si>
  <si>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</si>
  <si>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</si>
  <si>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</si>
  <si>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</si>
  <si>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</si>
  <si>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</si>
  <si>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</si>
  <si>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</si>
  <si>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</si>
  <si>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</si>
  <si>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</si>
  <si>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</si>
  <si>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</si>
  <si>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</si>
  <si>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</si>
  <si>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</si>
  <si>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</si>
  <si>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</si>
  <si>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</si>
  <si>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</si>
  <si>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</si>
  <si>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</si>
  <si>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</si>
  <si>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</si>
  <si>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</si>
  <si>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</si>
  <si>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</si>
  <si>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</si>
  <si>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</si>
  <si>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</si>
  <si>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</si>
  <si>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</si>
  <si>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</si>
  <si>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</si>
  <si>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</si>
  <si>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</si>
  <si>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</si>
  <si>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</si>
  <si>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</si>
  <si>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</si>
  <si>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</si>
  <si>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</si>
  <si>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</si>
  <si>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</si>
  <si>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</si>
  <si>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</si>
  <si>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</si>
  <si>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</si>
  <si>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</si>
  <si>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</si>
  <si>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</si>
  <si>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</si>
  <si>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</si>
  <si>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</si>
  <si>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</si>
  <si>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</si>
  <si>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</si>
  <si>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</si>
  <si>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</si>
  <si>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</si>
  <si>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</si>
  <si>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</si>
  <si>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</si>
  <si>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</si>
  <si>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</si>
  <si>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</si>
  <si>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</si>
  <si>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</si>
  <si>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</si>
  <si>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</si>
  <si>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</si>
  <si>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</si>
  <si>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</si>
  <si>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</si>
  <si>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</si>
  <si>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</si>
  <si>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</si>
  <si>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</si>
  <si>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</si>
  <si>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</si>
  <si>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</si>
  <si>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</si>
  <si>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</si>
  <si>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</si>
  <si>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</si>
  <si>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</si>
  <si>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</si>
  <si>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</si>
  <si>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</si>
  <si>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</si>
  <si>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</si>
  <si>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</si>
  <si>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</si>
  <si>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</si>
  <si>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</si>
  <si>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</si>
  <si>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</si>
  <si>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</si>
  <si>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</si>
  <si>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</si>
  <si>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</si>
  <si>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</si>
  <si>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</si>
  <si>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</si>
  <si>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</si>
  <si>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</si>
  <si>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</si>
  <si>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</si>
  <si>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</si>
  <si>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</si>
  <si>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</si>
  <si>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</si>
  <si>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</si>
  <si>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</si>
  <si>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</si>
  <si>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</si>
  <si>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</si>
  <si>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</si>
  <si>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</si>
  <si>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</si>
  <si>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</si>
  <si>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</si>
  <si>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</si>
  <si>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</si>
  <si>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</si>
  <si>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</si>
  <si>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</si>
  <si>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</si>
  <si>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</si>
  <si>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</si>
  <si>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</si>
  <si>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</si>
  <si>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</si>
  <si>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</si>
  <si>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</si>
  <si>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</si>
  <si>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</si>
  <si>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</si>
  <si>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</si>
  <si>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</si>
  <si>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</si>
  <si>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</si>
  <si>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</si>
  <si>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</si>
  <si>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</si>
  <si>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</si>
  <si>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</si>
  <si>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</si>
  <si>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</si>
  <si>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</si>
  <si>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</si>
  <si>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</si>
  <si>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</si>
  <si>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</si>
  <si>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</si>
  <si>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</si>
  <si>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</si>
  <si>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</si>
  <si>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</si>
  <si>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</si>
  <si>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</si>
  <si>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</si>
  <si>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</si>
  <si>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</si>
  <si>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</si>
  <si>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</si>
  <si>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</si>
  <si>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</si>
  <si>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</si>
  <si>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</si>
  <si>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</si>
  <si>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</si>
  <si>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</si>
  <si>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</si>
  <si>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</si>
  <si>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</si>
  <si>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</si>
  <si>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</si>
  <si>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</si>
  <si>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</si>
  <si>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</si>
  <si>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</si>
  <si>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</si>
  <si>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</si>
  <si>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</si>
  <si>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</si>
  <si>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</si>
  <si>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</si>
  <si>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</si>
  <si>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</si>
  <si>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</si>
  <si>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</si>
  <si>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</si>
  <si>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</si>
  <si>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</si>
  <si>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</si>
  <si>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</si>
  <si>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</si>
  <si>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</si>
  <si>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</si>
  <si>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</si>
  <si>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</si>
  <si>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</si>
  <si>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</si>
  <si>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</si>
  <si>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</si>
  <si>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</si>
  <si>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</si>
  <si>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</si>
  <si>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</si>
  <si>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</si>
  <si>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</si>
  <si>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</si>
  <si>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</si>
  <si>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</si>
  <si>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</si>
  <si>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</si>
  <si>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</si>
  <si>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</si>
  <si>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</si>
  <si>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</si>
  <si>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</si>
  <si>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</si>
  <si>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</si>
  <si>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</si>
  <si>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</si>
  <si>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</si>
  <si>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</si>
  <si>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</si>
  <si>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</si>
  <si>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</si>
  <si>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</si>
  <si>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</si>
  <si>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</si>
  <si>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</si>
  <si>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</si>
  <si>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</si>
  <si>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</si>
  <si>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</si>
  <si>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</si>
  <si>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</si>
  <si>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</si>
  <si>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</si>
  <si>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</si>
  <si>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</si>
  <si>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</si>
  <si>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</si>
  <si>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</si>
  <si>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</si>
  <si>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</si>
  <si>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</si>
  <si>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</si>
  <si>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</si>
  <si>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</si>
  <si>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</si>
  <si>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</si>
  <si>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</si>
  <si>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</si>
  <si>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</si>
  <si>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</si>
  <si>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</si>
  <si>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</si>
  <si>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</si>
  <si>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</si>
  <si>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</si>
  <si>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</si>
  <si>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</si>
  <si>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</si>
  <si>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</si>
  <si>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</si>
  <si>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</si>
  <si>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</si>
  <si>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</si>
  <si>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</si>
  <si>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</si>
  <si>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</si>
  <si>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</si>
  <si>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</si>
  <si>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</si>
  <si>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</si>
  <si>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</si>
  <si>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</si>
  <si>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</si>
  <si>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</si>
  <si>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</si>
  <si>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</si>
  <si>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</si>
  <si>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</si>
  <si>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</si>
  <si>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</si>
  <si>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</si>
  <si>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</si>
  <si>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</si>
  <si>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</si>
  <si>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</si>
  <si>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</si>
  <si>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</si>
  <si>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</si>
  <si>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</si>
  <si>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</si>
  <si>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</si>
  <si>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</si>
  <si>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</si>
  <si>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</si>
  <si>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</si>
  <si>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</si>
  <si>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</si>
  <si>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</si>
  <si>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</si>
  <si>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</si>
  <si>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</si>
  <si>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</si>
  <si>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</si>
  <si>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</si>
  <si>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</si>
  <si>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</si>
  <si>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</si>
  <si>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</si>
  <si>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</si>
  <si>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</si>
  <si>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</si>
  <si>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</si>
  <si>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</si>
  <si>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</si>
  <si>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</si>
  <si>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</si>
  <si>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</si>
  <si>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</si>
  <si>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</si>
  <si>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</si>
  <si>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</si>
  <si>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</si>
  <si>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</si>
  <si>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</si>
  <si>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</si>
  <si>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</si>
  <si>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</si>
  <si>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</si>
  <si>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</si>
  <si>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</si>
  <si>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</si>
  <si>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</si>
  <si>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</si>
  <si>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</si>
  <si>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</si>
  <si>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</si>
  <si>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</si>
  <si>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</si>
  <si>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</si>
  <si>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</si>
  <si>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</si>
  <si>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</si>
  <si>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</si>
  <si>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</si>
  <si>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</si>
  <si>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</si>
  <si>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</si>
  <si>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</si>
  <si>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</si>
  <si>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</si>
  <si>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</si>
  <si>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</si>
  <si>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</si>
  <si>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</si>
  <si>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</si>
  <si>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</si>
  <si>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</si>
  <si>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</si>
  <si>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</si>
  <si>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</si>
  <si>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</si>
  <si>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</si>
  <si>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</si>
  <si>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</si>
  <si>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</si>
  <si>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</si>
  <si>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</si>
  <si>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</si>
  <si>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</si>
  <si>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</si>
  <si>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</si>
  <si>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</si>
  <si>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</si>
  <si>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</si>
  <si>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</si>
  <si>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</si>
  <si>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</si>
  <si>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</si>
  <si>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</si>
  <si>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</si>
  <si>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</si>
  <si>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</si>
  <si>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</si>
  <si>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</si>
  <si>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</si>
  <si>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</si>
  <si>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</si>
  <si>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</si>
  <si>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</si>
  <si>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</si>
  <si>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</si>
  <si>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</si>
  <si>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</si>
  <si>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</si>
  <si>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</si>
  <si>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</si>
  <si>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</si>
  <si>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</si>
  <si>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</si>
  <si>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</si>
  <si>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</si>
  <si>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</si>
  <si>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</si>
  <si>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</si>
  <si>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</si>
  <si>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</si>
  <si>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</si>
  <si>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</si>
  <si>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</si>
  <si>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</si>
  <si>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</si>
  <si>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</si>
  <si>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</si>
  <si>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</si>
  <si>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</si>
  <si>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</si>
  <si>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</si>
  <si>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</si>
  <si>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</si>
  <si>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</si>
  <si>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</si>
  <si>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</si>
  <si>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</si>
  <si>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</si>
  <si>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</si>
  <si>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</si>
  <si>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</si>
  <si>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</si>
  <si>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</si>
  <si>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</si>
  <si>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</si>
  <si>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</si>
  <si>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</si>
  <si>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</si>
  <si>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</si>
  <si>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</si>
  <si>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</si>
  <si>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</si>
  <si>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</si>
  <si>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</si>
  <si>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</si>
  <si>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</si>
  <si>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</si>
  <si>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</si>
  <si>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</si>
  <si>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</si>
  <si>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</si>
  <si>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</si>
  <si>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</si>
  <si>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</si>
  <si>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</si>
  <si>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</si>
  <si>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</si>
  <si>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</si>
  <si>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</si>
  <si>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</si>
  <si>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</si>
  <si>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</si>
  <si>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</si>
  <si>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</si>
  <si>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</si>
  <si>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</si>
  <si>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</si>
  <si>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</si>
  <si>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</si>
  <si>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</si>
  <si>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</si>
  <si>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</si>
  <si>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</si>
  <si>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</si>
  <si>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</si>
  <si>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</si>
  <si>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</si>
  <si>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</si>
  <si>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</si>
  <si>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</si>
  <si>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</si>
  <si>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</si>
  <si>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</si>
  <si>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</si>
  <si>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</si>
  <si>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</si>
  <si>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</si>
  <si>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</si>
  <si>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</si>
  <si>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</si>
  <si>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</si>
  <si>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</si>
  <si>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</si>
  <si>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</si>
  <si>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</si>
  <si>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</si>
  <si>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</si>
  <si>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</si>
  <si>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</si>
  <si>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</si>
  <si>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</si>
  <si>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</si>
  <si>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</si>
  <si>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</si>
  <si>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</si>
  <si>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</si>
  <si>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</si>
  <si>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</si>
  <si>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</si>
  <si>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</si>
  <si>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</si>
  <si>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</si>
  <si>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</si>
  <si>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</si>
  <si>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</si>
  <si>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</si>
  <si>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</si>
  <si>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</si>
  <si>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</si>
  <si>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</si>
  <si>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</si>
  <si>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</si>
  <si>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</si>
  <si>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</si>
  <si>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</si>
  <si>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</si>
  <si>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</si>
  <si>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</si>
  <si>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</si>
  <si>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</si>
  <si>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</si>
  <si>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</si>
  <si>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</si>
  <si>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</si>
  <si>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</si>
  <si>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</si>
  <si>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</si>
  <si>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</si>
  <si>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</si>
  <si>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</si>
  <si>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</si>
  <si>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</si>
  <si>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</si>
  <si>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</si>
  <si>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</si>
  <si>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</si>
  <si>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</si>
  <si>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</si>
  <si>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</si>
  <si>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</si>
  <si>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</si>
  <si>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</si>
  <si>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</si>
  <si>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</si>
  <si>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</si>
  <si>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</si>
  <si>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</si>
  <si>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</si>
  <si>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</si>
  <si>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</si>
  <si>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</si>
  <si>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</si>
  <si>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</si>
  <si>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</si>
  <si>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</si>
  <si>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</si>
  <si>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</si>
  <si>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</si>
  <si>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</si>
  <si>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</si>
  <si>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</si>
  <si>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</si>
  <si>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</si>
  <si>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</si>
  <si>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</si>
  <si>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</si>
  <si>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</si>
  <si>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</si>
  <si>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</si>
  <si>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</si>
  <si>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</si>
  <si>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</si>
  <si>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</si>
  <si>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</si>
  <si>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</si>
  <si>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</si>
  <si>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</si>
  <si>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</si>
  <si>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</si>
  <si>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</si>
  <si>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</si>
  <si>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</si>
  <si>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</si>
  <si>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</si>
  <si>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</si>
  <si>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</si>
  <si>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</si>
  <si>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</si>
  <si>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</si>
  <si>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</si>
  <si>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</si>
  <si>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</si>
  <si>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</si>
  <si>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</si>
  <si>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</si>
  <si>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</si>
  <si>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</si>
  <si>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</si>
  <si>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</si>
  <si>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</si>
  <si>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</si>
  <si>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</si>
  <si>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</si>
  <si>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</si>
  <si>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</si>
  <si>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</si>
  <si>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</si>
  <si>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</si>
  <si>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</si>
  <si>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</si>
  <si>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</si>
  <si>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</si>
  <si>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</si>
  <si>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</si>
  <si>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</si>
  <si>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</si>
  <si>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</si>
  <si>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</si>
  <si>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</si>
  <si>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</si>
  <si>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</si>
  <si>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</si>
  <si>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</si>
  <si>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</si>
  <si>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</si>
  <si>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</si>
  <si>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</si>
  <si>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</si>
  <si>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</si>
  <si>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</si>
  <si>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</si>
  <si>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</si>
  <si>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</si>
  <si>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</si>
  <si>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</si>
  <si>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</si>
  <si>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</si>
  <si>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</si>
  <si>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</si>
  <si>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</si>
  <si>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</si>
  <si>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</si>
  <si>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</si>
  <si>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</si>
  <si>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</si>
  <si>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</si>
  <si>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</si>
  <si>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</si>
  <si>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</si>
  <si>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</si>
  <si>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</si>
  <si>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</si>
  <si>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</si>
  <si>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</si>
  <si>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</si>
  <si>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</si>
  <si>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</si>
  <si>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</si>
  <si>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</si>
  <si>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</si>
  <si>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</si>
  <si>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</si>
  <si>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</si>
  <si>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</si>
  <si>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</si>
  <si>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</si>
  <si>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</si>
  <si>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</si>
  <si>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</si>
  <si>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</si>
  <si>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</si>
  <si>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</si>
  <si>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</si>
  <si>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</si>
  <si>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</si>
  <si>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</si>
  <si>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</si>
  <si>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</si>
  <si>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</si>
  <si>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</si>
  <si>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</si>
  <si>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</si>
  <si>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</si>
  <si>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</si>
  <si>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</si>
  <si>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</si>
  <si>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</si>
  <si>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</si>
  <si>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</si>
  <si>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</si>
  <si>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</si>
  <si>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</si>
  <si>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</si>
  <si>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</si>
  <si>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</si>
  <si>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</si>
  <si>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</si>
  <si>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</si>
  <si>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</si>
  <si>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</si>
  <si>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</si>
  <si>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</si>
  <si>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</si>
  <si>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</si>
  <si>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</si>
  <si>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</si>
  <si>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</si>
  <si>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</si>
  <si>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</si>
  <si>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</si>
  <si>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</si>
  <si>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</si>
  <si>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</si>
  <si>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</si>
  <si>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</si>
  <si>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</si>
  <si>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</si>
  <si>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</si>
  <si>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</si>
  <si>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</si>
  <si>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</si>
  <si>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</si>
  <si>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</si>
  <si>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</si>
  <si>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</si>
  <si>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</si>
  <si>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</si>
  <si>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</si>
  <si>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</si>
  <si>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</si>
  <si>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</si>
  <si>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</si>
  <si>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</si>
  <si>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</si>
  <si>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</si>
  <si>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</si>
  <si>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</si>
  <si>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</si>
  <si>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</si>
  <si>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</si>
  <si>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</si>
  <si>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</si>
  <si>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</si>
  <si>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</si>
  <si>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</si>
  <si>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</si>
  <si>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</si>
  <si>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</si>
  <si>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</si>
  <si>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</si>
  <si>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</si>
  <si>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</si>
  <si>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</si>
  <si>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</si>
  <si>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</si>
  <si>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</si>
  <si>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</si>
  <si>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</si>
  <si>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</si>
  <si>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</si>
  <si>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</si>
  <si>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</si>
  <si>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</si>
  <si>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</si>
  <si>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</si>
  <si>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</si>
  <si>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</si>
  <si>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</si>
  <si>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</si>
  <si>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</si>
  <si>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</si>
  <si>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</si>
  <si>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</si>
  <si>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</si>
  <si>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</si>
  <si>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</si>
  <si>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</si>
  <si>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</si>
  <si>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</si>
  <si>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</si>
  <si>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</si>
  <si>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</si>
  <si>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</si>
  <si>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</si>
  <si>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</si>
  <si>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</si>
  <si>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</si>
  <si>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</si>
  <si>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</si>
  <si>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</si>
  <si>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</si>
  <si>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</si>
  <si>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</si>
  <si>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</si>
  <si>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</si>
  <si>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</si>
  <si>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</si>
  <si>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</si>
  <si>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</si>
  <si>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</si>
  <si>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</si>
  <si>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</si>
  <si>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</si>
  <si>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</si>
  <si>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</si>
  <si>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</si>
  <si>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</si>
  <si>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</si>
  <si>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</si>
  <si>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</si>
  <si>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</si>
  <si>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</si>
  <si>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</si>
  <si>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</si>
  <si>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</si>
  <si>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</si>
  <si>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</si>
  <si>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</si>
  <si>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</si>
  <si>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</si>
  <si>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</si>
  <si>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</si>
  <si>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</si>
  <si>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</si>
  <si>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</si>
  <si>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</si>
  <si>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</si>
  <si>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</si>
  <si>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</si>
  <si>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</si>
  <si>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</si>
  <si>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</si>
  <si>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</si>
  <si>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</si>
  <si>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</si>
  <si>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</si>
  <si>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</si>
  <si>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</si>
  <si>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</si>
  <si>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</si>
  <si>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</si>
  <si>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</si>
  <si>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</si>
  <si>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</si>
  <si>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</si>
  <si>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</si>
  <si>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</si>
  <si>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</si>
  <si>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</si>
  <si>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</si>
  <si>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</si>
  <si>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</si>
  <si>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</si>
  <si>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</si>
  <si>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</si>
  <si>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</si>
  <si>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</si>
  <si>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</si>
  <si>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</si>
  <si>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</si>
  <si>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</si>
  <si>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</si>
  <si>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</si>
  <si>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</si>
  <si>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</si>
  <si>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</si>
  <si>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</si>
  <si>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</si>
  <si>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</si>
  <si>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</si>
  <si>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</si>
  <si>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</si>
  <si>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</si>
  <si>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</si>
  <si>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</si>
  <si>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</si>
  <si>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</si>
  <si>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</si>
  <si>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</si>
  <si>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</si>
  <si>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</si>
  <si>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</si>
  <si>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</si>
  <si>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</si>
  <si>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</si>
  <si>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</si>
  <si>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</si>
  <si>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</si>
  <si>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</si>
  <si>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</si>
  <si>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</si>
  <si>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</si>
  <si>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</si>
  <si>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</si>
  <si>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</si>
  <si>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</si>
  <si>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</si>
  <si>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</si>
  <si>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</si>
  <si>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</si>
  <si>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</si>
  <si>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</si>
  <si>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</si>
  <si>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</si>
  <si>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</si>
  <si>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</si>
  <si>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</si>
  <si>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</si>
  <si>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</si>
  <si>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</si>
  <si>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</si>
  <si>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</si>
  <si>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</si>
  <si>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</si>
  <si>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</si>
  <si>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</si>
  <si>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</si>
  <si>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</si>
  <si>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</si>
  <si>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</si>
  <si>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</si>
  <si>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</si>
  <si>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</si>
  <si>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</si>
  <si>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</si>
  <si>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</si>
  <si>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</si>
  <si>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</si>
  <si>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</si>
  <si>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</si>
  <si>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</si>
  <si>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</si>
  <si>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</si>
  <si>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</si>
  <si>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</si>
  <si>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</si>
  <si>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</si>
  <si>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</si>
  <si>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</si>
  <si>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</si>
  <si>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</si>
  <si>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</si>
  <si>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</si>
  <si>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</si>
  <si>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</si>
  <si>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</si>
  <si>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</si>
  <si>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</si>
  <si>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</si>
  <si>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</si>
  <si>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</si>
  <si>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</si>
  <si>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</si>
  <si>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</si>
  <si>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</si>
  <si>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</si>
  <si>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</si>
  <si>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</si>
  <si>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</si>
  <si>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</si>
  <si>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</si>
  <si>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</si>
  <si>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</si>
  <si>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</si>
  <si>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</si>
  <si>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</si>
  <si>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</si>
  <si>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</si>
  <si>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</si>
  <si>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</si>
  <si>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</si>
  <si>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</si>
  <si>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</si>
  <si>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</si>
  <si>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</si>
  <si>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</si>
  <si>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</si>
  <si>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</si>
  <si>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</si>
  <si>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</si>
  <si>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</si>
  <si>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</si>
  <si>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</si>
  <si>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</si>
  <si>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</si>
  <si>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</si>
  <si>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</si>
  <si>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</si>
  <si>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</si>
  <si>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</si>
  <si>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</si>
  <si>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</si>
  <si>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</si>
  <si>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</si>
  <si>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</si>
  <si>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</si>
  <si>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</si>
  <si>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</si>
  <si>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</si>
  <si>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</si>
  <si>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</si>
  <si>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</si>
  <si>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</si>
  <si>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</si>
  <si>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</si>
  <si>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</si>
  <si>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</si>
  <si>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</si>
  <si>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</si>
  <si>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</si>
  <si>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</si>
  <si>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</si>
  <si>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</si>
  <si>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</si>
  <si>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</si>
  <si>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</si>
  <si>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</si>
  <si>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</si>
  <si>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</si>
  <si>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</si>
  <si>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</si>
  <si>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</si>
  <si>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</si>
  <si>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</si>
  <si>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</si>
  <si>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</si>
  <si>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</si>
  <si>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</si>
  <si>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</si>
  <si>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</si>
  <si>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</si>
  <si>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</si>
  <si>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</si>
  <si>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</si>
  <si>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</si>
  <si>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</si>
  <si>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</si>
  <si>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</si>
  <si>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</si>
  <si>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</si>
  <si>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</si>
  <si>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</si>
  <si>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</si>
  <si>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</si>
  <si>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</si>
  <si>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</si>
  <si>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</si>
  <si>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</si>
  <si>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</si>
  <si>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</si>
  <si>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</si>
  <si>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</si>
  <si>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</si>
  <si>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</si>
  <si>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</si>
  <si>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</si>
  <si>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</si>
  <si>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</si>
  <si>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</si>
  <si>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</si>
  <si>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</si>
  <si>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</si>
  <si>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</si>
  <si>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</si>
  <si>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</si>
  <si>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</si>
  <si>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</si>
  <si>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H001</t>
  </si>
  <si>
    <t>RT Europe COM</t>
  </si>
  <si>
    <t>H002</t>
  </si>
  <si>
    <t>RT Europe Hub COM</t>
  </si>
  <si>
    <t>H003</t>
  </si>
  <si>
    <t>RT Europe MED</t>
  </si>
  <si>
    <t>H004</t>
  </si>
  <si>
    <t>RT Europe Hub MED</t>
  </si>
  <si>
    <t>H005</t>
  </si>
  <si>
    <t>RT Germany Commercial</t>
  </si>
  <si>
    <t>H006</t>
  </si>
  <si>
    <t>RT Germany Field Force</t>
  </si>
  <si>
    <t>H007</t>
  </si>
  <si>
    <t>RT Germany Marketing</t>
  </si>
  <si>
    <t>H008</t>
  </si>
  <si>
    <t>RT Germany  Sales Promotion</t>
  </si>
  <si>
    <t>H009</t>
  </si>
  <si>
    <t>RT Ogsiveo Sales Promotion - Activities</t>
  </si>
  <si>
    <t>H010</t>
  </si>
  <si>
    <t>RT Ezmekly Sales Promotion - Activities</t>
  </si>
  <si>
    <t>H011</t>
  </si>
  <si>
    <t>RT Germany - General</t>
  </si>
  <si>
    <t>H012</t>
  </si>
  <si>
    <t>RT - General Management</t>
  </si>
  <si>
    <t>H013</t>
  </si>
  <si>
    <t>RT Germany - MAP</t>
  </si>
  <si>
    <t>H014</t>
  </si>
  <si>
    <t>RT Germany  - GAP</t>
  </si>
  <si>
    <t>H015</t>
  </si>
  <si>
    <t>RT Germany  - Business Ops</t>
  </si>
  <si>
    <t>H016</t>
  </si>
  <si>
    <t>RT Germany - Other Operating Expense</t>
  </si>
  <si>
    <t>H017</t>
  </si>
  <si>
    <t>RT Germany Medical &amp; local R&amp;D</t>
  </si>
  <si>
    <t>H018</t>
  </si>
  <si>
    <t>RT Germany  - Medical cost center</t>
  </si>
  <si>
    <t>H019</t>
  </si>
  <si>
    <t>RT Germany - Medical Non-R&amp;D Activities</t>
  </si>
  <si>
    <t>H020</t>
  </si>
  <si>
    <t>RT - Ogsiveo Medical Activities</t>
  </si>
  <si>
    <t>H021</t>
  </si>
  <si>
    <t>RT - Ezmekly Medical Activities</t>
  </si>
  <si>
    <t>H022</t>
  </si>
  <si>
    <t>RT Germany - Local R&amp;D - Studies</t>
  </si>
  <si>
    <t>H023</t>
  </si>
  <si>
    <t>RT Germany - Ogsiveo Local R&amp;D Studies</t>
  </si>
  <si>
    <t>H024</t>
  </si>
  <si>
    <t>RT Germany - Ezmekly Local R&amp;D Studies</t>
  </si>
  <si>
    <t>H000004407</t>
  </si>
  <si>
    <t>H00000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</si>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</sst>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4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23" xfId="79" applyNumberFormat="1" applyFont="1" applyBorder="1" applyAlignment="1"/>
    <xf numFmtId="0" fontId="0" fillId="0" borderId="0" xfId="0" applyBorder="1" applyAlignment="1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63" totalsRowShown="0">
  <sortState xmlns:xlrd2="http://schemas.microsoft.com/office/spreadsheetml/2017/richdata2" ref="A116:M1363">
    <sortCondition ref="D1:D1363"/>
  </sortState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63"/>
  <sheetViews>
    <sheetView tabSelected="1" topLeftCell="A1292" workbookViewId="0">
      <selection activeCell="H1292" sqref="H1292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>1+A115</f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>1+A116</f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>1+A117</f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>1+A118</f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>1+A119</f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>1+A120</f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>1+A121</f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>1+A122</f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>1+A123</f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>1+A124</f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>1+A125</f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>1+A126</f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>1+A127</f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>1+A128</f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>1+A129</f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>1+A131</f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>1+A132</f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>1+A133</f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>1+A134</f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>1+A135</f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>1+A136</f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>1+A137</f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>1+A138</f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>1+A139</f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>1+A140</f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>1+A141</f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>1+A142</f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>1+A143</f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>1+A144</f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>1+A145</f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>1+A146</f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>1+A147</f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>1+A148</f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>1+A149</f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>1+A150</f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>1+A151</f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>1+A152</f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>1+A153</f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>1+A154</f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>1+A155</f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>1+A156</f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>1+A157</f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>1+A158</f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>1+A159</f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>1+A160</f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>1+A161</f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>1+A162</f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>1+A163</f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>1+A164</f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>1+A165</f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>1+A166</f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>1+A167</f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>1+A168</f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>1+A169</f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>1+A170</f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>1+A171</f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>1+A172</f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>1+A173</f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>1+A174</f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>1+A175</f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>1+A176</f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>1+A177</f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>1+A178</f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>1+A179</f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>1+A180</f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>1+A181</f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>1+A182</f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>1+A183</f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>1+A184</f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>1+A185</f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>1+A186</f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>1+A187</f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>1+A188</f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>1+A189</f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>1+A190</f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>1+A191</f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>1+A192</f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>1+A193</f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>1+A195</f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>1+A196</f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>1+A197</f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>1+A198</f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>1+A199</f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>1+A200</f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>1+A201</f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>1+A202</f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>1+A203</f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>1+A204</f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>1+A205</f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>1+A206</f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>1+A207</f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>1+A208</f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>1+A209</f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>1+A210</f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>1+A211</f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>1+A212</f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>1+A213</f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>1+A214</f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>1+A215</f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>1+A216</f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>1+A217</f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>1+A218</f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>1+A219</f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>1+A220</f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>1+A221</f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>1+A222</f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>1+A223</f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>1+A224</f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>1+A225</f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>1+A226</f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>1+A227</f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>1+A228</f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>1+A229</f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>1+A230</f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>1+A231</f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>1+A232</f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>1+A233</f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>1+A234</f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>1+A235</f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>1+A236</f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>1+A237</f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>1+A238</f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>1+A239</f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>1+A240</f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>1+A241</f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>1+A242</f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>1+A243</f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>1+A244</f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>1+A245</f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>1+A246</f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>1+A247</f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>1+A248</f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>1+A249</f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>1+A250</f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>1+A251</f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>1+A252</f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>1+A253</f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>1+A254</f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>1+A255</f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>1+A256</f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>1+A257</f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>1+A259</f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>1+A260</f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>1+A261</f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>1+A262</f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>1+A263</f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>1+A264</f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>1+A265</f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>1+A266</f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>1+A267</f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>1+A268</f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>1+A269</f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>1+A270</f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>1+A271</f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>1+A272</f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>1+A273</f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>1+A274</f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>1+A275</f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>1+A276</f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>1+A277</f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>1+A278</f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>1+A279</f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>1+A280</f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>1+A281</f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>1+A282</f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>1+A283</f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>1+A284</f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>1+A285</f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>1+A286</f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>1+A287</f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>1+A288</f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>1+A289</f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>1+A290</f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>1+A291</f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>1+A292</f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>1+A293</f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>1+A294</f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>1+A295</f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>1+A296</f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>1+A297</f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>1+A298</f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>1+A299</f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>1+A300</f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>1+A301</f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>1+A302</f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>1+A303</f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>1+A304</f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>1+A305</f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>1+A306</f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>1+A307</f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>1+A308</f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>1+A309</f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>1+A310</f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>1+A311</f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>1+A312</f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>1+A313</f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>1+A314</f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>1+A315</f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>1+A316</f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>1+A317</f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>1+A318</f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>1+A319</f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>1+A320</f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>1+A321</f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>1+A323</f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>1+A324</f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>1+A325</f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>1+A326</f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>1+A327</f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>1+A328</f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>1+A329</f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>1+A330</f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>1+A331</f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>1+A332</f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>1+A333</f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>1+A334</f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>1+A335</f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>1+A336</f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>1+A337</f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>1+A338</f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>1+A339</f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>1+A340</f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>1+A341</f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>1+A342</f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>1+A343</f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>1+A344</f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>1+A345</f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>1+A346</f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>1+A347</f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>1+A348</f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>1+A349</f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>1+A350</f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>1+A351</f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>1+A352</f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>1+A353</f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>1+A354</f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>1+A355</f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>1+A356</f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>1+A357</f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>1+A358</f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>1+A359</f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>1+A360</f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>1+A361</f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>1+A362</f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>1+A363</f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>1+A364</f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>1+A365</f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>1+A366</f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>1+A367</f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>1+A368</f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>1+A369</f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>1+A370</f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>1+A371</f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>1+A372</f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>1+A373</f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>1+A374</f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>1+A375</f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>1+A376</f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>1+A377</f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>1+A378</f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>1+A379</f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>1+A380</f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>1+A381</f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>1+A382</f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>1+A383</f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>1+A384</f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>1+A385</f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>1+A387</f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>1+A388</f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>1+A389</f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>1+A390</f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>1+A391</f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>1+A392</f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>1+A393</f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>1+A394</f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>1+A395</f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>1+A396</f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>1+A397</f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>1+A398</f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>1+A399</f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>1+A400</f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>1+A401</f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>1+A402</f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>1+A403</f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>1+A404</f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>1+A405</f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>1+A406</f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>1+A407</f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>1+A408</f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>1+A409</f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>1+A410</f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>1+A411</f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>1+A412</f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>1+A413</f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>1+A414</f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>1+A415</f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>1+A416</f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>1+A417</f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>1+A418</f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>1+A419</f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>1+A420</f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>1+A421</f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>1+A422</f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>1+A423</f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>1+A424</f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>1+A425</f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>1+A426</f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>1+A427</f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>1+A428</f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>1+A429</f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>1+A430</f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>1+A431</f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>1+A432</f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>1+A433</f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>1+A434</f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>1+A435</f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>1+A436</f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>1+A437</f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>1+A438</f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>1+A439</f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>1+A440</f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>1+A441</f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>1+A442</f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>1+A443</f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>1+A444</f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>1+A445</f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>1+A446</f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>1+A447</f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>1+A448</f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>1+A449</f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>1+A451</f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>1+A452</f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>1+A453</f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>1+A454</f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>1+A455</f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>1+A456</f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>1+A457</f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>1+A458</f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>1+A459</f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>1+A460</f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>1+A461</f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>1+A462</f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>1+A463</f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>1+A464</f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>1+A465</f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>1+A466</f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>1+A467</f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>1+A468</f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>1+A469</f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>1+A470</f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>1+A471</f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>1+A472</f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>1+A473</f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>1+A474</f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>1+A475</f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>1+A476</f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>1+A477</f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>1+A478</f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>1+A479</f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>1+A480</f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>1+A481</f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>1+A482</f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>1+A483</f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>1+A484</f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>1+A485</f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>1+A486</f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>1+A487</f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>1+A488</f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>1+A489</f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>1+A490</f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>1+A491</f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>1+A492</f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>1+A493</f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>1+A494</f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>1+A495</f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>1+A496</f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>1+A497</f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>1+A498</f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>1+A499</f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>1+A500</f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>1+A501</f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>1+A502</f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>1+A503</f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>1+A504</f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>1+A505</f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>1+A506</f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>1+A507</f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>1+A508</f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>1+A509</f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>1+A510</f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>1+A511</f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>1+A512</f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>1+A513</f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>1+A515</f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>1+A516</f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>1+A517</f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>1+A518</f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>1+A519</f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>1+A520</f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>1+A521</f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>1+A522</f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>1+A523</f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>1+A524</f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>1+A525</f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>1+A526</f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>1+A527</f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>1+A528</f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>1+A529</f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>1+A530</f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>1+A531</f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>1+A532</f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>1+A533</f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>1+A534</f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>1+A535</f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>1+A536</f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>1+A537</f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>1+A538</f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>1+A539</f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>1+A540</f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>1+A541</f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>1+A542</f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>1+A543</f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>1+A544</f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>1+A545</f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>1+A546</f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>1+A547</f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63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>1+A548</f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>1+A549</f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36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>1+A550</f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>1+A551</f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>1+A552</f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>1+A553</f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>1+A554</f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>1+A555</f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>1+A556</f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>1+A557</f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>1+A558</f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>1+A559</f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>1+A560</f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>1+A561</f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>1+A562</f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>1+A563</f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>1+A564</f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>1+A565</f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>1+A566</f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>1+A567</f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>1+A568</f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>1+A569</f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>1+A570</f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>1+A571</f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>1+A572</f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>1+A573</f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>1+A574</f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>1+A575</f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>1+A576</f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>1+A577</f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>1+A579</f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>1+A580</f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>1+A581</f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>1+A582</f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>1+A583</f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>1+A584</f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>1+A585</f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>1+A586</f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>1+A587</f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>1+A588</f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>1+A589</f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>1+A590</f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>1+A591</f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>1+A592</f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>1+A593</f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>1+A594</f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>1+A595</f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>1+A596</f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>1+A597</f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>1+A598</f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>1+A599</f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>1+A600</f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>1+A601</f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>1+A602</f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>1+A603</f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>1+A604</f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>1+A605</f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>1+A606</f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>1+A607</f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>1+A608</f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>1+A609</f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>1+A610</f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>1+A611</f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>1+A612</f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>1+A613</f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>1+A614</f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>1+A615</f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>1+A616</f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>1+A617</f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>1+A618</f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>1+A619</f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>1+A620</f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>1+A621</f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>1+A622</f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>1+A623</f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>1+A624</f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>1+A625</f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>1+A626</f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>1+A627</f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>1+A628</f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>1+A629</f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>1+A630</f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>1+A631</f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>1+A632</f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>1+A633</f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>1+A634</f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>1+A635</f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>1+A636</f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>1+A637</f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>1+A638</f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>1+A639</f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>1+A640</f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>1+A641</f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>1+A643</f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>1+A644</f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>1+A645</f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>1+A646</f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>1+A647</f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>1+A648</f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>1+A649</f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>1+A650</f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>1+A651</f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>1+A652</f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>1+A653</f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>1+A654</f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>1+A655</f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>1+A656</f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>1+A657</f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>1+A658</f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>1+A659</f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>1+A660</f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>1+A661</f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>1+A662</f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>1+A663</f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>1+A664</f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>1+A665</f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>1+A666</f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>1+A667</f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>1+A668</f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>1+A669</f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>1+A670</f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>1+A671</f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>1+A672</f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>1+A673</f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>1+A674</f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>1+A675</f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>1+A676</f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>1+A677</f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>1+A678</f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>1+A679</f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>1+A680</f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>1+A681</f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>1+A682</f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>1+A683</f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>1+A684</f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>1+A685</f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>1+A686</f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>1+A687</f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>1+A688</f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>1+A689</f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>1+A690</f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>1+A691</f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>1+A692</f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>1+A693</f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>1+A694</f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>1+A695</f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>1+A696</f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>1+A697</f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>1+A698</f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>1+A699</f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>1+A700</f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>1+A701</f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>1+A702</f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>1+A703</f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>1+A704</f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>1+A705</f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>1+A707</f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>1+A708</f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>1+A709</f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>1+A710</f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>1+A711</f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>1+A712</f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>1+A713</f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>1+A714</f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>1+A715</f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>1+A716</f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>1+A717</f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>1+A718</f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>1+A719</f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>1+A720</f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>1+A721</f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>1+A722</f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>1+A723</f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>1+A724</f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>1+A725</f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>1+A726</f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>1+A727</f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>1+A728</f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>1+A729</f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>1+A730</f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>1+A731</f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>1+A732</f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>1+A733</f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>1+A734</f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>1+A735</f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>1+A736</f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>1+A737</f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>1+A738</f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>1+A739</f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>1+A740</f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>1+A741</f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>1+A742</f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>1+A743</f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>1+A744</f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>1+A745</f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>1+A746</f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>1+A747</f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>1+A748</f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>1+A749</f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>1+A750</f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>1+A751</f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>1+A752</f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>1+A753</f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>1+A754</f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>1+A755</f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>1+A756</f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>1+A757</f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>1+A758</f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>1+A759</f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>1+A760</f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>1+A761</f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>1+A762</f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>1+A763</f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>1+A764</f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>1+A765</f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>1+A766</f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>1+A767</f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>1+A768</f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>1+A769</f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>1+A771</f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>1+A772</f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>1+A773</f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>1+A774</f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>1+A775</f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>1+A776</f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>1+A777</f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>1+A778</f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>1+A779</f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>1+A780</f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>1+A781</f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>1+A782</f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>1+A783</f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>1+A784</f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>1+A785</f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>1+A786</f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>1+A787</f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>1+A788</f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>1+A789</f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>1+A790</f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>1+A791</f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>1+A792</f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>1+A793</f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>1+A794</f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>1+A795</f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>1+A796</f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>1+A797</f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>1+A798</f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>1+A799</f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>1+A800</f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>1+A801</f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>1+A802</f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>1+A803</f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>1+A804</f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>1+A805</f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>1+A806</f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>1+A807</f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>1+A808</f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>1+A809</f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>1+A810</f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>1+A811</f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>1+A812</f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>1+A813</f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>1+A814</f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>1+A815</f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>1+A816</f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>1+A817</f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>1+A818</f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>1+A819</f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>1+A820</f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>1+A821</f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>1+A822</f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>1+A823</f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>1+A824</f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>1+A825</f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>1+A826</f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>1+A827</f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>1+A828</f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>1+A829</f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>1+A830</f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>1+A831</f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>1+A832</f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>1+A833</f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>1+A835</f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>1+A836</f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>1+A837</f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>1+A838</f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>1+A839</f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>1+A840</f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>1+A841</f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>1+A842</f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>1+A843</f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>1+A844</f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>1+A845</f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>1+A846</f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>1+A847</f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>1+A848</f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>1+A849</f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>1+A850</f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>1+A851</f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>1+A852</f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>1+A853</f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>1+A854</f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>1+A855</f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>1+A856</f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>1+A857</f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>1+A858</f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>1+A859</f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>1+A860</f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>1+A861</f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>1+A862</f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>1+A863</f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>1+A864</f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>1+A865</f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>1+A866</f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>1+A867</f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>1+A868</f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>1+A869</f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>1+A870</f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>1+A871</f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>1+A872</f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>1+A873</f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>1+A874</f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>1+A875</f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>1+A876</f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>1+A877</f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>1+A878</f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>1+A879</f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>1+A880</f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>1+A881</f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>1+A882</f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>1+A883</f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>1+A884</f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>1+A885</f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>1+A886</f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>1+A887</f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>1+A888</f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>1+A889</f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>1+A890</f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>1+A891</f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>1+A892</f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>1+A893</f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>1+A894</f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>1+A895</f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>1+A896</f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>1+A897</f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>1+A899</f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>1+A900</f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>1+A901</f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>1+A902</f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>1+A903</f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>1+A904</f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>1+A905</f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>1+A906</f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>1+A907</f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>1+A908</f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>1+A909</f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>1+A910</f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>1+A911</f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>1+A912</f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>1+A913</f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>1+A914</f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>1+A915</f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>1+A916</f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>1+A917</f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>1+A918</f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>1+A919</f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>1+A920</f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>1+A921</f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>1+A922</f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>1+A923</f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>1+A924</f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>1+A925</f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>1+A929</f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>1+A930</f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>1+A931</f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>1+A932</f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>1+A933</f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>1+A934</f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>1+A935</f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>1+A936</f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>1+A937</f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>1+A938</f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>1+A939</f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>1+A940</f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>1+A941</f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>1+A942</f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>1+A943</f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>1+A944</f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>1+A945</f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>1+A946</f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>1+A947</f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>1+A948</f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>1+A949</f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>1+A950</f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>1+A951</f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>1+A952</f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>1+A953</f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>1+A954</f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>1+A955</f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>1+A956</f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>1+A957</f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>1+A958</f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>1+A959</f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>1+A960</f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>1+A961</f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>1+A962</f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>1+A963</f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>1+A964</f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>1+A965</f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>1+A966</f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>1+A967</f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>1+A968</f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>1+A969</f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>1+A970</f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>1+A971</f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>1+A972</f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>1+A973</f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>1+A974</f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>1+A975</f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>1+A976</f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>1+A977</f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>1+A978</f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>1+A979</f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>1+A980</f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>1+A981</f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>1+A982</f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>1+A983</f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>1+A984</f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>1+A985</f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>1+A986</f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>1+A987</f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>1+A988</f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>1+A989</f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>1+A990</f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>1+A991</f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>1+A993</f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>1+A994</f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>1+A995</f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>1+A996</f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>1+A997</f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>1+A998</f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>1+A999</f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>1+A1000</f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>1+A1001</f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>1+A1002</f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>1+A1003</f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>1+A1004</f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>1+A1005</f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>1+A1006</f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>1+A1007</f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>1+A1008</f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>1+A1009</f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>1+A1010</f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>1+A1011</f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>1+A1012</f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>1+A1013</f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>1+A1014</f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>1+A1015</f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>1+A1016</f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>1+A1017</f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>1+A1018</f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>1+A1019</f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>1+A1020</f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>1+A1021</f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>1+A1022</f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>1+A1023</f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>1+A1024</f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>1+A1025</f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>1+A1026</f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>1+A1027</f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>1+A1028</f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>1+A1029</f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>1+A1030</f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>1+A1031</f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>1+A1032</f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>1+A1033</f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>1+A1034</f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>1+A1035</f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>1+A1036</f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>1+A1037</f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>1+A1038</f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>1+A1039</f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>1+A1040</f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>1+A1041</f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>1+A1042</f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>1+A1043</f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>1+A1044</f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>1+A1045</f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>1+A1046</f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>1+A1047</f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>1+A1048</f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>1+A1049</f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>1+A1050</f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>1+A1051</f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>1+A1052</f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>1+A1053</f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>1+A1054</f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>1+A1055</f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>1+A1057</f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>1+A1058</f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>1+A1059</f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>1+A1060</f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>1+A1061</f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>1+A1062</f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>1+A1063</f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>1+A1064</f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>1+A1065</f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>1+A1066</f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>1+A1067</f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>1+A1068</f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>1+A1069</f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>1+A1070</f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>1+A1071</f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>1+A1072</f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>1+A1073</f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>1+A1074</f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>1+A1075</f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>1+A1076</f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>1+A1077</f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>1+A1078</f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>1+A1079</f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>1+A1080</f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>1+A1081</f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>1+A1082</f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>1+A1083</f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>1+A1084</f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>1+A1085</f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>1+A1086</f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>1+A1087</f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>1+A1088</f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>1+A1089</f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>1+A1090</f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>1+A1091</f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>1+A1092</f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>1+A1093</f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>1+A1094</f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>1+A1095</f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>1+A1096</f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>1+A1097</f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>1+A1098</f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>1+A1099</f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>1+A1100</f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>1+A1101</f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>1+A1102</f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>1+A1103</f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>1+A1104</f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>1+A1105</f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>1+A1106</f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>1+A1107</f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>1+A1108</f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>1+A1109</f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>1+A1110</f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>1+A1111</f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>1+A1112</f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>1+A1113</f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>1+A1114</f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>1+A1115</f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>1+A1116</f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>1+A1117</f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>1+A1118</f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>1+A1119</f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>1+A1121</f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>1+A1122</f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>1+A1123</f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>1+A1124</f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>1+A1125</f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>1+A1126</f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>1+A1127</f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>1+A1128</f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>1+A1129</f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>1+A1130</f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>1+A1131</f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>1+A1132</f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>1+A1133</f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>1+A1134</f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>1+A1135</f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>1+A1136</f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>1+A1137</f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>1+A1138</f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>1+A1139</f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>1+A1140</f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>1+A1141</f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>1+A1142</f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>1+A1143</f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>1+A1144</f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>1+A1145</f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>1+A1146</f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>1+A1147</f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>1+A1148</f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>1+A1149</f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>1+A1150</f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>1+A1151</f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>1+A1152</f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>1+A1153</f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>1+A1154</f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>1+A1155</f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>1+A1156</f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>1+A1157</f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>1+A1158</f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>1+A1159</f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>1+A1160</f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>1+A1161</f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>1+A1162</f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>1+A1163</f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>1+A1164</f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>1+A1165</f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>1+A1166</f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>1+A1167</f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>1+A1168</f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>1+A1169</f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>1+A1170</f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>1+A1171</f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>1+A1172</f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>1+A1173</f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>1+A1174</f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>1+A1175</f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>1+A1176</f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>1+A1177</f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>1+A1178</f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>1+A1179</f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>1+A1180</f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>1+A1181</f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>1+A1182</f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>1+A1183</f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>1+A1185</f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>1+A1186</f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>1+A1187</f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>1+A1188</f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>1+A1189</f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>1+A1190</f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>1+A1191</f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>1+A1192</f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>1+A1193</f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>1+A1194</f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>1+A1195</f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>1+A1196</f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>1+A1197</f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>1+A1198</f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>1+A1199</f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>1+A1200</f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>1+A1201</f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>1+A1202</f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>1+A1203</f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>1+A1204</f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>1+A1205</f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>1+A1206</f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>1+A1207</f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>1+A1208</f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>1+A1209</f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>1+A1210</f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>1+A1211</f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>1+A1212</f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>1+A1213</f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>1+A1214</f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>1+A1215</f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>1+A1216</f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>1+A1217</f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>1+A1218</f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>1+A1219</f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>1+A1220</f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>1+A1221</f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>1+A1222</f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>1+A1223</f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>1+A1224</f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>1+A1225</f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>1+A1226</f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>1+A1227</f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>1+A1228</f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>1+A1229</f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>1+A1230</f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>1+A1231</f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>1+A1232</f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>1+A1233</f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>1+A1234</f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>1+A1235</f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>1+A1236</f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>1+A1237</f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>1+A1238</f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>1+A1239</f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>1+A1240</f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>1+A1241</f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>1+A1242</f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>1+A1243</f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>1+A1244</f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>1+A1245</f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>1+A1246</f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>1+A1247</f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>1+A1249</f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>1+A1250</f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>1+A1251</f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>1+A1252</f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>1+A1253</f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>1+A1254</f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>1+A1255</f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>1+A1256</f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>1+A1257</f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>1+A1258</f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>1+A1259</f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>1+A1260</f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>1+A1261</f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>1+A1262</f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>1+A1263</f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>1+A1264</f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>1+A1265</f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>1+A1266</f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>1+A1267</f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>1+A1268</f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>1+A1269</f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>1+A1270</f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>1+A1271</f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>1+A1272</f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>1+A1273</f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>1+A1274</f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>1+A1275</f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>1+A1276</f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>1+A1277</f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>1+A1278</f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>1+A1279</f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>1+A1280</f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>1+A1281</f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>1+A1282</f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>1+A1283</f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>1+A1284</f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>1+A1285</f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>1+A1286</f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>1+A1287</f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>1+A1288</f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>1+A1289</f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>1+A1290</f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>1+A1291</f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>1+A1292</f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>1+A1293</f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>1+A1294</f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25">
      <c r="A1296" s="49">
        <f>1+A1295</f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25">
      <c r="A1297" s="49">
        <f>1+A1296</f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25">
      <c r="A1298" s="49">
        <f>1+A1297</f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25">
      <c r="A1299" s="49">
        <f>1+A1298</f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25">
      <c r="A1300" s="49">
        <f>1+A1299</f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25">
      <c r="A1301" s="49">
        <f>1+A1300</f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>1+A1301</f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25">
      <c r="A1303" s="49">
        <f>1+A1302</f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25">
      <c r="A1304" s="49">
        <f>1+A1303</f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25">
      <c r="A1305" s="49">
        <f>1+A1304</f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25">
      <c r="A1306" s="49">
        <f>1+A1305</f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25">
      <c r="A1307" s="49">
        <f>1+A1306</f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25">
      <c r="A1308" s="49">
        <f>1+A1307</f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25">
      <c r="A1309" s="49">
        <f>1+A1308</f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25">
      <c r="A1310" s="49">
        <f>1+A1309</f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25">
      <c r="A1311" s="49">
        <f>1+A1310</f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25">
      <c r="A1312" s="49">
        <f>1+A1311</f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25">
      <c r="A1313" s="49">
        <f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25">
      <c r="A1314" s="49">
        <f>1+A1313</f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>1+A1314</f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25">
      <c r="A1316" s="49">
        <f>1+A1315</f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x14ac:dyDescent="0.25">
      <c r="A1317" s="49">
        <f>1+A1316</f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x14ac:dyDescent="0.25">
      <c r="A1318" s="49">
        <f>1+A1317</f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x14ac:dyDescent="0.25">
      <c r="A1319" s="49">
        <f>1+A1318</f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x14ac:dyDescent="0.25">
      <c r="A1320" s="49">
        <f>1+A1319</f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x14ac:dyDescent="0.25">
      <c r="A1321" s="49">
        <f>1+A1320</f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x14ac:dyDescent="0.25">
      <c r="A1322" s="49">
        <f>1+A1321</f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x14ac:dyDescent="0.25">
      <c r="A1323" s="49">
        <f>1+A1322</f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25">
      <c r="A1324" s="49">
        <f>1+A1323</f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25">
      <c r="A1325" s="49">
        <f>1+A1324</f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25">
      <c r="A1326" s="49">
        <f>1+A1325</f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  <row r="1327" spans="1:13" x14ac:dyDescent="0.25">
      <c r="A1327" s="49">
        <f>1+A1326</f>
        <v>1325</v>
      </c>
      <c r="B1327" s="36" t="s">
        <v>3295</v>
      </c>
      <c r="C1327" s="9" t="s">
        <v>6667</v>
      </c>
      <c r="D1327" s="9" t="s">
        <v>6716</v>
      </c>
      <c r="E1327" s="9" t="s">
        <v>6669</v>
      </c>
      <c r="F1327" s="9" t="s">
        <v>6114</v>
      </c>
      <c r="G1327" s="36" t="s">
        <v>14</v>
      </c>
      <c r="H1327" s="36" t="str">
        <f>IFERROR(VLOOKUP(Table2[[#This Row], [Ticket]],Okey!A:B,2,0),"")</f>
        <v/>
      </c>
      <c r="J1327" s="36" t="str">
        <f>VLOOKUP(Table2[[#This Row], [Author]],People!A:B,2,0)</f>
        <v>HC</v>
      </c>
      <c r="M1327" s="36" t="s">
        <v>1613</v>
      </c>
    </row>
    <row r="1328" spans="1:13" x14ac:dyDescent="0.25">
      <c r="A1328" s="49">
        <f>1+A1327</f>
        <v>1326</v>
      </c>
      <c r="B1328" s="36" t="s">
        <v>3295</v>
      </c>
      <c r="C1328" s="36" t="s">
        <v>6667</v>
      </c>
      <c r="D1328" s="9" t="s">
        <v>6725</v>
      </c>
      <c r="E1328" s="9" t="s">
        <v>6671</v>
      </c>
      <c r="F1328" s="9" t="s">
        <v>6716</v>
      </c>
      <c r="G1328" s="36" t="s">
        <v>14</v>
      </c>
      <c r="H1328" s="36" t="str">
        <f>IFERROR(VLOOKUP(Table2[[#This Row], [Ticket]],Okey!A:B,2,0),"")</f>
        <v/>
      </c>
      <c r="J1328" s="36" t="str">
        <f>VLOOKUP(Table2[[#This Row], [Author]],People!A:B,2,0)</f>
        <v>HC</v>
      </c>
      <c r="M1328" s="36" t="s">
        <v>1613</v>
      </c>
    </row>
    <row r="1329" spans="1:13" x14ac:dyDescent="0.25">
      <c r="A1329" s="49">
        <f>1+A1328</f>
        <v>1327</v>
      </c>
      <c r="B1329" s="36" t="s">
        <v>3295</v>
      </c>
      <c r="C1329" s="36" t="s">
        <v>6667</v>
      </c>
      <c r="D1329" s="9" t="s">
        <v>6718</v>
      </c>
      <c r="E1329" s="9" t="s">
        <v>6673</v>
      </c>
      <c r="F1329" s="9" t="s">
        <v>6114</v>
      </c>
      <c r="G1329" s="36" t="s">
        <v>14</v>
      </c>
      <c r="H1329" s="36" t="str">
        <f>IFERROR(VLOOKUP(Table2[[#This Row], [Ticket]],Okey!A:B,2,0),"")</f>
        <v/>
      </c>
      <c r="J1329" s="36" t="str">
        <f>VLOOKUP(Table2[[#This Row], [Author]],People!A:B,2,0)</f>
        <v>HC</v>
      </c>
      <c r="M1329" s="36" t="s">
        <v>1613</v>
      </c>
    </row>
    <row r="1330" spans="1:13" x14ac:dyDescent="0.25">
      <c r="A1330" s="49">
        <f>1+A1329</f>
        <v>1328</v>
      </c>
      <c r="B1330" s="36" t="s">
        <v>3295</v>
      </c>
      <c r="C1330" s="36" t="s">
        <v>6667</v>
      </c>
      <c r="D1330" s="9" t="s">
        <v>6726</v>
      </c>
      <c r="E1330" s="9" t="s">
        <v>6675</v>
      </c>
      <c r="F1330" s="9" t="s">
        <v>6718</v>
      </c>
      <c r="G1330" s="36" t="s">
        <v>14</v>
      </c>
      <c r="H1330" s="36" t="str">
        <f>IFERROR(VLOOKUP(Table2[[#This Row], [Ticket]],Okey!A:B,2,0),"")</f>
        <v/>
      </c>
      <c r="J1330" s="36" t="str">
        <f>VLOOKUP(Table2[[#This Row], [Author]],People!A:B,2,0)</f>
        <v>HC</v>
      </c>
      <c r="M1330" s="36" t="s">
        <v>1613</v>
      </c>
    </row>
    <row r="1331" spans="1:13" x14ac:dyDescent="0.25">
      <c r="A1331" s="49">
        <f>1+A1330</f>
        <v>1329</v>
      </c>
      <c r="B1331" s="36" t="s">
        <v>3295</v>
      </c>
      <c r="C1331" s="36" t="s">
        <v>6667</v>
      </c>
      <c r="D1331" s="9" t="s">
        <v>6719</v>
      </c>
      <c r="E1331" s="9" t="s">
        <v>6677</v>
      </c>
      <c r="F1331" s="9" t="s">
        <v>6718</v>
      </c>
      <c r="G1331" s="36" t="s">
        <v>14</v>
      </c>
      <c r="H1331" s="36" t="str">
        <f>IFERROR(VLOOKUP(Table2[[#This Row], [Ticket]],Okey!A:B,2,0),"")</f>
        <v/>
      </c>
      <c r="J1331" s="36" t="str">
        <f>VLOOKUP(Table2[[#This Row], [Author]],People!A:B,2,0)</f>
        <v>HC</v>
      </c>
      <c r="M1331" s="36" t="s">
        <v>1613</v>
      </c>
    </row>
    <row r="1332" spans="1:13" x14ac:dyDescent="0.25">
      <c r="A1332" s="49">
        <f>1+A1331</f>
        <v>1330</v>
      </c>
      <c r="B1332" s="36" t="s">
        <v>3295</v>
      </c>
      <c r="C1332" s="36" t="s">
        <v>6667</v>
      </c>
      <c r="D1332" s="9" t="s">
        <v>6727</v>
      </c>
      <c r="E1332" s="9" t="s">
        <v>6679</v>
      </c>
      <c r="F1332" s="9" t="s">
        <v>6719</v>
      </c>
      <c r="G1332" s="36" t="s">
        <v>14</v>
      </c>
      <c r="H1332" s="36" t="str">
        <f>IFERROR(VLOOKUP(Table2[[#This Row], [Ticket]],Okey!A:B,2,0),"")</f>
        <v/>
      </c>
      <c r="J1332" s="36" t="str">
        <f>VLOOKUP(Table2[[#This Row], [Author]],People!A:B,2,0)</f>
        <v>HC</v>
      </c>
      <c r="M1332" s="36" t="s">
        <v>1613</v>
      </c>
    </row>
    <row r="1333" spans="1:13" x14ac:dyDescent="0.25">
      <c r="A1333" s="49">
        <f>1+A1332</f>
        <v>1331</v>
      </c>
      <c r="B1333" s="36" t="s">
        <v>3295</v>
      </c>
      <c r="C1333" s="36" t="s">
        <v>6667</v>
      </c>
      <c r="D1333" s="9" t="s">
        <v>6728</v>
      </c>
      <c r="E1333" s="9" t="s">
        <v>6681</v>
      </c>
      <c r="F1333" s="9" t="s">
        <v>6719</v>
      </c>
      <c r="G1333" s="36" t="s">
        <v>14</v>
      </c>
      <c r="H1333" s="36" t="str">
        <f>IFERROR(VLOOKUP(Table2[[#This Row], [Ticket]],Okey!A:B,2,0),"")</f>
        <v/>
      </c>
      <c r="J1333" s="36" t="str">
        <f>VLOOKUP(Table2[[#This Row], [Author]],People!A:B,2,0)</f>
        <v>HC</v>
      </c>
      <c r="M1333" s="36" t="s">
        <v>1613</v>
      </c>
    </row>
    <row r="1334" spans="1:13" x14ac:dyDescent="0.25">
      <c r="A1334" s="49">
        <f>1+A1333</f>
        <v>1332</v>
      </c>
      <c r="B1334" s="36" t="s">
        <v>3295</v>
      </c>
      <c r="C1334" s="36" t="s">
        <v>6667</v>
      </c>
      <c r="D1334" s="9" t="s">
        <v>6720</v>
      </c>
      <c r="E1334" s="9" t="s">
        <v>6683</v>
      </c>
      <c r="F1334" s="9" t="s">
        <v>6719</v>
      </c>
      <c r="G1334" s="36" t="s">
        <v>14</v>
      </c>
      <c r="H1334" s="36" t="str">
        <f>IFERROR(VLOOKUP(Table2[[#This Row], [Ticket]],Okey!A:B,2,0),"")</f>
        <v/>
      </c>
      <c r="J1334" s="36" t="str">
        <f>VLOOKUP(Table2[[#This Row], [Author]],People!A:B,2,0)</f>
        <v>HC</v>
      </c>
      <c r="M1334" s="36" t="s">
        <v>1613</v>
      </c>
    </row>
    <row r="1335" spans="1:13" x14ac:dyDescent="0.25">
      <c r="A1335" s="49">
        <f>1+A1334</f>
        <v>1333</v>
      </c>
      <c r="B1335" s="36" t="s">
        <v>3295</v>
      </c>
      <c r="C1335" s="36" t="s">
        <v>6667</v>
      </c>
      <c r="D1335" s="9" t="s">
        <v>6729</v>
      </c>
      <c r="E1335" s="9" t="s">
        <v>6685</v>
      </c>
      <c r="F1335" s="9" t="s">
        <v>6720</v>
      </c>
      <c r="G1335" s="36" t="s">
        <v>14</v>
      </c>
      <c r="H1335" s="36" t="str">
        <f>IFERROR(VLOOKUP(Table2[[#This Row], [Ticket]],Okey!A:B,2,0),"")</f>
        <v/>
      </c>
      <c r="J1335" s="36" t="str">
        <f>VLOOKUP(Table2[[#This Row], [Author]],People!A:B,2,0)</f>
        <v>HC</v>
      </c>
      <c r="M1335" s="36" t="s">
        <v>1613</v>
      </c>
    </row>
    <row r="1336" spans="1:13" x14ac:dyDescent="0.25">
      <c r="A1336" s="49">
        <f>1+A1335</f>
        <v>1334</v>
      </c>
      <c r="B1336" s="36" t="s">
        <v>3295</v>
      </c>
      <c r="C1336" s="36" t="s">
        <v>6667</v>
      </c>
      <c r="D1336" s="9" t="s">
        <v>6730</v>
      </c>
      <c r="E1336" s="9" t="s">
        <v>6687</v>
      </c>
      <c r="F1336" s="9" t="s">
        <v>6720</v>
      </c>
      <c r="G1336" s="36" t="s">
        <v>14</v>
      </c>
      <c r="H1336" s="36" t="str">
        <f>IFERROR(VLOOKUP(Table2[[#This Row], [Ticket]],Okey!A:B,2,0),"")</f>
        <v/>
      </c>
      <c r="J1336" s="36" t="str">
        <f>VLOOKUP(Table2[[#This Row], [Author]],People!A:B,2,0)</f>
        <v>HC</v>
      </c>
      <c r="M1336" s="36" t="s">
        <v>1613</v>
      </c>
    </row>
    <row r="1337" spans="1:13" x14ac:dyDescent="0.25">
      <c r="A1337" s="49">
        <f>1+A1336</f>
        <v>1335</v>
      </c>
      <c r="B1337" s="36" t="s">
        <v>3295</v>
      </c>
      <c r="C1337" s="36" t="s">
        <v>6667</v>
      </c>
      <c r="D1337" s="9" t="s">
        <v>6721</v>
      </c>
      <c r="E1337" s="9" t="s">
        <v>6689</v>
      </c>
      <c r="F1337" s="9" t="s">
        <v>6719</v>
      </c>
      <c r="G1337" s="36" t="s">
        <v>14</v>
      </c>
      <c r="H1337" s="36" t="str">
        <f>IFERROR(VLOOKUP(Table2[[#This Row], [Ticket]],Okey!A:B,2,0),"")</f>
        <v/>
      </c>
      <c r="J1337" s="36" t="str">
        <f>VLOOKUP(Table2[[#This Row], [Author]],People!A:B,2,0)</f>
        <v>HC</v>
      </c>
      <c r="M1337" s="36" t="s">
        <v>1613</v>
      </c>
    </row>
    <row r="1338" spans="1:13" x14ac:dyDescent="0.25">
      <c r="A1338" s="49">
        <f>1+A1337</f>
        <v>1336</v>
      </c>
      <c r="B1338" s="36" t="s">
        <v>3295</v>
      </c>
      <c r="C1338" s="36" t="s">
        <v>6667</v>
      </c>
      <c r="D1338" s="9" t="s">
        <v>6731</v>
      </c>
      <c r="E1338" s="9" t="s">
        <v>6691</v>
      </c>
      <c r="F1338" s="9" t="s">
        <v>6721</v>
      </c>
      <c r="G1338" s="36" t="s">
        <v>14</v>
      </c>
      <c r="H1338" s="36" t="str">
        <f>IFERROR(VLOOKUP(Table2[[#This Row], [Ticket]],Okey!A:B,2,0),"")</f>
        <v/>
      </c>
      <c r="J1338" s="36" t="str">
        <f>VLOOKUP(Table2[[#This Row], [Author]],People!A:B,2,0)</f>
        <v>HC</v>
      </c>
      <c r="M1338" s="36" t="s">
        <v>1613</v>
      </c>
    </row>
    <row r="1339" spans="1:13" x14ac:dyDescent="0.25">
      <c r="A1339" s="49">
        <f>1+A1338</f>
        <v>1337</v>
      </c>
      <c r="B1339" s="36" t="s">
        <v>3295</v>
      </c>
      <c r="C1339" s="36" t="s">
        <v>6667</v>
      </c>
      <c r="D1339" s="9" t="s">
        <v>6732</v>
      </c>
      <c r="E1339" s="9" t="s">
        <v>6693</v>
      </c>
      <c r="F1339" s="9" t="s">
        <v>6721</v>
      </c>
      <c r="G1339" s="36" t="s">
        <v>14</v>
      </c>
      <c r="H1339" s="36" t="str">
        <f>IFERROR(VLOOKUP(Table2[[#This Row], [Ticket]],Okey!A:B,2,0),"")</f>
        <v/>
      </c>
      <c r="J1339" s="36" t="str">
        <f>VLOOKUP(Table2[[#This Row], [Author]],People!A:B,2,0)</f>
        <v>HC</v>
      </c>
      <c r="M1339" s="36" t="s">
        <v>1613</v>
      </c>
    </row>
    <row r="1340" spans="1:13" x14ac:dyDescent="0.25">
      <c r="A1340" s="49">
        <f>1+A1339</f>
        <v>1338</v>
      </c>
      <c r="B1340" s="36" t="s">
        <v>3295</v>
      </c>
      <c r="C1340" s="36" t="s">
        <v>6667</v>
      </c>
      <c r="D1340" s="9" t="s">
        <v>6733</v>
      </c>
      <c r="E1340" s="9" t="s">
        <v>6695</v>
      </c>
      <c r="F1340" s="9" t="s">
        <v>6721</v>
      </c>
      <c r="G1340" s="36" t="s">
        <v>14</v>
      </c>
      <c r="H1340" s="36" t="str">
        <f>IFERROR(VLOOKUP(Table2[[#This Row], [Ticket]],Okey!A:B,2,0),"")</f>
        <v/>
      </c>
      <c r="J1340" s="36" t="str">
        <f>VLOOKUP(Table2[[#This Row], [Author]],People!A:B,2,0)</f>
        <v>HC</v>
      </c>
      <c r="M1340" s="36" t="s">
        <v>1613</v>
      </c>
    </row>
    <row r="1341" spans="1:13" x14ac:dyDescent="0.25">
      <c r="A1341" s="49">
        <f>1+A1340</f>
        <v>1339</v>
      </c>
      <c r="B1341" s="36" t="s">
        <v>3295</v>
      </c>
      <c r="C1341" s="36" t="s">
        <v>6667</v>
      </c>
      <c r="D1341" s="9" t="s">
        <v>6734</v>
      </c>
      <c r="E1341" s="9" t="s">
        <v>6697</v>
      </c>
      <c r="F1341" s="9" t="s">
        <v>6721</v>
      </c>
      <c r="G1341" s="36" t="s">
        <v>14</v>
      </c>
      <c r="H1341" s="36" t="str">
        <f>IFERROR(VLOOKUP(Table2[[#This Row], [Ticket]],Okey!A:B,2,0),"")</f>
        <v/>
      </c>
      <c r="J1341" s="36" t="str">
        <f>VLOOKUP(Table2[[#This Row], [Author]],People!A:B,2,0)</f>
        <v>HC</v>
      </c>
      <c r="M1341" s="36" t="s">
        <v>1613</v>
      </c>
    </row>
    <row r="1342" spans="1:13" x14ac:dyDescent="0.25">
      <c r="A1342" s="49">
        <f>1+A1341</f>
        <v>1340</v>
      </c>
      <c r="B1342" s="36" t="s">
        <v>3295</v>
      </c>
      <c r="C1342" s="36" t="s">
        <v>6667</v>
      </c>
      <c r="D1342" s="9" t="s">
        <v>6735</v>
      </c>
      <c r="E1342" s="9" t="s">
        <v>6699</v>
      </c>
      <c r="F1342" s="9" t="s">
        <v>6721</v>
      </c>
      <c r="G1342" s="36" t="s">
        <v>14</v>
      </c>
      <c r="H1342" s="36" t="str">
        <f>IFERROR(VLOOKUP(Table2[[#This Row], [Ticket]],Okey!A:B,2,0),"")</f>
        <v/>
      </c>
      <c r="J1342" s="36" t="str">
        <f>VLOOKUP(Table2[[#This Row], [Author]],People!A:B,2,0)</f>
        <v>HC</v>
      </c>
      <c r="M1342" s="36" t="s">
        <v>1613</v>
      </c>
    </row>
    <row r="1343" spans="1:13" x14ac:dyDescent="0.25">
      <c r="A1343" s="49">
        <f>1+A1342</f>
        <v>1341</v>
      </c>
      <c r="B1343" s="36" t="s">
        <v>3295</v>
      </c>
      <c r="C1343" s="36" t="s">
        <v>6667</v>
      </c>
      <c r="D1343" s="9" t="s">
        <v>6722</v>
      </c>
      <c r="E1343" s="9" t="s">
        <v>6701</v>
      </c>
      <c r="F1343" s="9" t="s">
        <v>6718</v>
      </c>
      <c r="G1343" s="36" t="s">
        <v>14</v>
      </c>
      <c r="H1343" s="36" t="str">
        <f>IFERROR(VLOOKUP(Table2[[#This Row], [Ticket]],Okey!A:B,2,0),"")</f>
        <v/>
      </c>
      <c r="J1343" s="36" t="str">
        <f>VLOOKUP(Table2[[#This Row], [Author]],People!A:B,2,0)</f>
        <v>HC</v>
      </c>
      <c r="M1343" s="36" t="s">
        <v>1613</v>
      </c>
    </row>
    <row r="1344" spans="1:13" x14ac:dyDescent="0.25">
      <c r="A1344" s="49">
        <f>1+A1343</f>
        <v>1342</v>
      </c>
      <c r="B1344" s="36" t="s">
        <v>3295</v>
      </c>
      <c r="C1344" s="36" t="s">
        <v>6667</v>
      </c>
      <c r="D1344" s="9" t="s">
        <v>6736</v>
      </c>
      <c r="E1344" s="9" t="s">
        <v>6703</v>
      </c>
      <c r="F1344" s="9" t="s">
        <v>6722</v>
      </c>
      <c r="G1344" s="36" t="s">
        <v>14</v>
      </c>
      <c r="H1344" s="36" t="str">
        <f>IFERROR(VLOOKUP(Table2[[#This Row], [Ticket]],Okey!A:B,2,0),"")</f>
        <v/>
      </c>
      <c r="J1344" s="36" t="str">
        <f>VLOOKUP(Table2[[#This Row], [Author]],People!A:B,2,0)</f>
        <v>HC</v>
      </c>
      <c r="M1344" s="36" t="s">
        <v>1613</v>
      </c>
    </row>
    <row r="1345" spans="1:13" x14ac:dyDescent="0.25">
      <c r="A1345" s="49">
        <f>1+A1344</f>
        <v>1343</v>
      </c>
      <c r="B1345" s="36" t="s">
        <v>3295</v>
      </c>
      <c r="C1345" s="36" t="s">
        <v>6667</v>
      </c>
      <c r="D1345" s="9" t="s">
        <v>6723</v>
      </c>
      <c r="E1345" s="9" t="s">
        <v>6705</v>
      </c>
      <c r="F1345" s="9" t="s">
        <v>6722</v>
      </c>
      <c r="G1345" s="36" t="s">
        <v>14</v>
      </c>
      <c r="H1345" s="36" t="str">
        <f>IFERROR(VLOOKUP(Table2[[#This Row], [Ticket]],Okey!A:B,2,0),"")</f>
        <v/>
      </c>
      <c r="J1345" s="36" t="str">
        <f>VLOOKUP(Table2[[#This Row], [Author]],People!A:B,2,0)</f>
        <v>HC</v>
      </c>
      <c r="M1345" s="36" t="s">
        <v>1613</v>
      </c>
    </row>
    <row r="1346" spans="1:13" x14ac:dyDescent="0.25">
      <c r="A1346" s="49">
        <f>1+A1345</f>
        <v>1344</v>
      </c>
      <c r="B1346" s="36" t="s">
        <v>3295</v>
      </c>
      <c r="C1346" s="36" t="s">
        <v>6667</v>
      </c>
      <c r="D1346" s="9" t="s">
        <v>6737</v>
      </c>
      <c r="E1346" s="9" t="s">
        <v>6707</v>
      </c>
      <c r="F1346" s="9" t="s">
        <v>6723</v>
      </c>
      <c r="G1346" s="36" t="s">
        <v>14</v>
      </c>
      <c r="H1346" s="36" t="str">
        <f>IFERROR(VLOOKUP(Table2[[#This Row], [Ticket]],Okey!A:B,2,0),"")</f>
        <v/>
      </c>
      <c r="J1346" s="36" t="str">
        <f>VLOOKUP(Table2[[#This Row], [Author]],People!A:B,2,0)</f>
        <v>HC</v>
      </c>
      <c r="M1346" s="36" t="s">
        <v>1613</v>
      </c>
    </row>
    <row r="1347" spans="1:13" x14ac:dyDescent="0.25">
      <c r="A1347" s="49">
        <f>1+A1346</f>
        <v>1345</v>
      </c>
      <c r="B1347" s="36" t="s">
        <v>3295</v>
      </c>
      <c r="C1347" s="36" t="s">
        <v>6667</v>
      </c>
      <c r="D1347" s="9" t="s">
        <v>6738</v>
      </c>
      <c r="E1347" s="9" t="s">
        <v>6709</v>
      </c>
      <c r="F1347" s="9" t="s">
        <v>6723</v>
      </c>
      <c r="G1347" s="36" t="s">
        <v>14</v>
      </c>
      <c r="H1347" s="36" t="str">
        <f>IFERROR(VLOOKUP(Table2[[#This Row], [Ticket]],Okey!A:B,2,0),"")</f>
        <v/>
      </c>
      <c r="J1347" s="36" t="str">
        <f>VLOOKUP(Table2[[#This Row], [Author]],People!A:B,2,0)</f>
        <v>HC</v>
      </c>
      <c r="M1347" s="36" t="s">
        <v>1613</v>
      </c>
    </row>
    <row r="1348" spans="1:13" x14ac:dyDescent="0.25">
      <c r="A1348" s="49">
        <f>1+A1347</f>
        <v>1346</v>
      </c>
      <c r="B1348" s="36" t="s">
        <v>3295</v>
      </c>
      <c r="C1348" s="36" t="s">
        <v>6667</v>
      </c>
      <c r="D1348" s="9" t="s">
        <v>6724</v>
      </c>
      <c r="E1348" s="9" t="s">
        <v>6711</v>
      </c>
      <c r="F1348" s="9" t="s">
        <v>6722</v>
      </c>
      <c r="G1348" s="36" t="s">
        <v>14</v>
      </c>
      <c r="H1348" s="36" t="str">
        <f>IFERROR(VLOOKUP(Table2[[#This Row], [Ticket]],Okey!A:B,2,0),"")</f>
        <v/>
      </c>
      <c r="J1348" s="36" t="str">
        <f>VLOOKUP(Table2[[#This Row], [Author]],People!A:B,2,0)</f>
        <v>HC</v>
      </c>
      <c r="M1348" s="36" t="s">
        <v>1613</v>
      </c>
    </row>
    <row r="1349" spans="1:13" x14ac:dyDescent="0.25">
      <c r="A1349" s="49">
        <f>1+A1348</f>
        <v>1347</v>
      </c>
      <c r="B1349" s="36" t="s">
        <v>3295</v>
      </c>
      <c r="C1349" s="36" t="s">
        <v>6667</v>
      </c>
      <c r="D1349" s="9" t="s">
        <v>6739</v>
      </c>
      <c r="E1349" s="9" t="s">
        <v>6713</v>
      </c>
      <c r="F1349" s="9" t="s">
        <v>6724</v>
      </c>
      <c r="G1349" s="36" t="s">
        <v>14</v>
      </c>
      <c r="H1349" s="36" t="str">
        <f>IFERROR(VLOOKUP(Table2[[#This Row], [Ticket]],Okey!A:B,2,0),"")</f>
        <v/>
      </c>
      <c r="J1349" s="36" t="str">
        <f>VLOOKUP(Table2[[#This Row], [Author]],People!A:B,2,0)</f>
        <v>HC</v>
      </c>
      <c r="M1349" s="36" t="s">
        <v>1613</v>
      </c>
    </row>
    <row r="1350" spans="1:13" x14ac:dyDescent="0.25">
      <c r="A1350" s="49">
        <f>1+A1349</f>
        <v>1348</v>
      </c>
      <c r="B1350" s="36" t="s">
        <v>3295</v>
      </c>
      <c r="C1350" s="36" t="s">
        <v>6667</v>
      </c>
      <c r="D1350" s="9" t="s">
        <v>6740</v>
      </c>
      <c r="E1350" s="9" t="s">
        <v>6715</v>
      </c>
      <c r="F1350" s="9" t="s">
        <v>6724</v>
      </c>
      <c r="G1350" s="36" t="s">
        <v>14</v>
      </c>
      <c r="H1350" s="36" t="str">
        <f>IFERROR(VLOOKUP(Table2[[#This Row], [Ticket]],Okey!A:B,2,0),"")</f>
        <v/>
      </c>
      <c r="J1350" s="36" t="str">
        <f>VLOOKUP(Table2[[#This Row], [Author]],People!A:B,2,0)</f>
        <v>HC</v>
      </c>
      <c r="M1350" s="36" t="s">
        <v>1613</v>
      </c>
    </row>
    <row r="1351" spans="1:13" x14ac:dyDescent="0.25">
      <c r="A1351" s="49">
        <f>1+A1350</f>
        <v>1349</v>
      </c>
      <c r="B1351" s="36" t="s">
        <v>3295</v>
      </c>
      <c r="C1351" s="9" t="s">
        <v>6743</v>
      </c>
      <c r="D1351" s="9" t="s">
        <v>6744</v>
      </c>
      <c r="E1351" s="9" t="s">
        <v>6747</v>
      </c>
      <c r="F1351" s="9" t="s">
        <v>6741</v>
      </c>
      <c r="G1351" s="36" t="s">
        <v>16</v>
      </c>
      <c r="H1351" s="36" t="str">
        <f>IFERROR(VLOOKUP(Table2[[#This Row], [Ticket]],Okey!A:B,2,0),"")</f>
        <v/>
      </c>
      <c r="J1351" s="36" t="str">
        <f>VLOOKUP(Table2[[#This Row], [Author]],People!A:B,2,0)</f>
        <v>MGF</v>
      </c>
      <c r="M1351" s="9" t="s">
        <v>4782</v>
      </c>
    </row>
    <row r="1352" spans="1:13" x14ac:dyDescent="0.25">
      <c r="A1352" s="49">
        <f>1+A1351</f>
        <v>1350</v>
      </c>
      <c r="B1352" s="36" t="s">
        <v>3295</v>
      </c>
      <c r="C1352" s="9" t="s">
        <v>6743</v>
      </c>
      <c r="D1352" s="9" t="s">
        <v>6745</v>
      </c>
      <c r="E1352" s="9" t="s">
        <v>6748</v>
      </c>
      <c r="F1352" s="9" t="s">
        <v>6741</v>
      </c>
      <c r="G1352" s="36" t="s">
        <v>16</v>
      </c>
      <c r="H1352" s="36" t="str">
        <f>IFERROR(VLOOKUP(Table2[[#This Row], [Ticket]],Okey!A:B,2,0),"")</f>
        <v/>
      </c>
      <c r="J1352" s="36" t="str">
        <f>VLOOKUP(Table2[[#This Row], [Author]],People!A:B,2,0)</f>
        <v>MGF</v>
      </c>
      <c r="M1352" s="9" t="s">
        <v>4782</v>
      </c>
    </row>
    <row r="1353" spans="1:13" x14ac:dyDescent="0.25">
      <c r="A1353" s="49">
        <f>1+A1352</f>
        <v>1351</v>
      </c>
      <c r="B1353" s="36" t="s">
        <v>3295</v>
      </c>
      <c r="C1353" s="9" t="s">
        <v>6743</v>
      </c>
      <c r="D1353" s="9" t="s">
        <v>6746</v>
      </c>
      <c r="E1353" s="9" t="s">
        <v>6749</v>
      </c>
      <c r="F1353" s="9" t="s">
        <v>6742</v>
      </c>
      <c r="G1353" s="36" t="s">
        <v>16</v>
      </c>
      <c r="H1353" s="36" t="str">
        <f>IFERROR(VLOOKUP(Table2[[#This Row], [Ticket]],Okey!A:B,2,0),"")</f>
        <v/>
      </c>
      <c r="J1353" s="36" t="str">
        <f>VLOOKUP(Table2[[#This Row], [Author]],People!A:B,2,0)</f>
        <v>MGF</v>
      </c>
      <c r="M1353" s="9" t="s">
        <v>4782</v>
      </c>
    </row>
    <row r="1354" spans="1:13" x14ac:dyDescent="0.25">
      <c r="A1354" s="49">
        <f>1+A1353</f>
        <v>1352</v>
      </c>
      <c r="B1354" s="36" t="s">
        <v>3295</v>
      </c>
      <c r="C1354" s="9" t="s">
        <v>6750</v>
      </c>
      <c r="D1354" s="9" t="s">
        <v>6719</v>
      </c>
      <c r="F1354" s="9" t="s">
        <v>6716</v>
      </c>
      <c r="G1354" s="9" t="s">
        <v>13</v>
      </c>
      <c r="H1354" s="36" t="str">
        <f>IFERROR(VLOOKUP(Table2[[#This Row], [Ticket]],Okey!A:B,2,0),"")</f>
        <v/>
      </c>
      <c r="J1354" s="36" t="str">
        <f>VLOOKUP(Table2[[#This Row], [Author]],People!A:B,2,0)</f>
        <v>HC</v>
      </c>
      <c r="M1354" s="9" t="s">
        <v>1613</v>
      </c>
    </row>
    <row r="1355" spans="1:13" x14ac:dyDescent="0.25">
      <c r="A1355" s="49">
        <f>1+A1354</f>
        <v>1353</v>
      </c>
      <c r="B1355" s="36" t="s">
        <v>3295</v>
      </c>
      <c r="C1355" s="9" t="s">
        <v>6758</v>
      </c>
      <c r="D1355" s="55" t="s">
        <v>6759</v>
      </c>
      <c r="E1355" s="9" t="s">
        <v>6751</v>
      </c>
      <c r="F1355" s="9" t="s">
        <v>5278</v>
      </c>
      <c r="G1355" s="9" t="s">
        <v>14</v>
      </c>
      <c r="H1355" s="36" t="str">
        <f>IFERROR(VLOOKUP(Table2[[#This Row], [Ticket]],Okey!A:B,2,0),"")</f>
        <v/>
      </c>
      <c r="J1355" s="36" t="str">
        <f>VLOOKUP(Table2[[#This Row],[Author]],People!A:B,2,0)</f>
        <v>LS</v>
      </c>
      <c r="M1355" s="9" t="s">
        <v>6356</v>
      </c>
    </row>
    <row r="1356" spans="1:13" x14ac:dyDescent="0.25">
      <c r="A1356" s="49">
        <f>1+A1355</f>
        <v>1354</v>
      </c>
      <c r="B1356" s="36" t="s">
        <v>3295</v>
      </c>
      <c r="C1356" s="36" t="s">
        <v>6758</v>
      </c>
      <c r="D1356" s="9" t="s">
        <v>6754</v>
      </c>
      <c r="E1356" s="9" t="s">
        <v>6751</v>
      </c>
      <c r="F1356" s="55" t="s">
        <v>6759</v>
      </c>
      <c r="G1356" s="36" t="s">
        <v>14</v>
      </c>
      <c r="H1356" s="36" t="str">
        <f>IFERROR(VLOOKUP(Table2[[#This Row], [Ticket]],Okey!A:B,2,0),"")</f>
        <v/>
      </c>
      <c r="J1356" s="36" t="str">
        <f>VLOOKUP(Table2[[#This Row], [Author]],People!A:B,2,0)</f>
        <v>LS</v>
      </c>
      <c r="M1356" s="36" t="s">
        <v>6356</v>
      </c>
    </row>
    <row r="1357" spans="1:13" x14ac:dyDescent="0.25">
      <c r="A1357" s="49">
        <f>1+A1356</f>
        <v>1355</v>
      </c>
      <c r="B1357" s="36" t="s">
        <v>3295</v>
      </c>
      <c r="C1357" s="36" t="s">
        <v>6758</v>
      </c>
      <c r="D1357" s="55" t="s">
        <v>6760</v>
      </c>
      <c r="E1357" s="9" t="s">
        <v>6752</v>
      </c>
      <c r="F1357" s="9" t="s">
        <v>5278</v>
      </c>
      <c r="G1357" s="36" t="s">
        <v>14</v>
      </c>
      <c r="H1357" s="36" t="str">
        <f>IFERROR(VLOOKUP(Table2[[#This Row], [Ticket]],Okey!A:B,2,0),"")</f>
        <v/>
      </c>
      <c r="J1357" s="36" t="str">
        <f>VLOOKUP(Table2[[#This Row], [Author]],People!A:B,2,0)</f>
        <v>LS</v>
      </c>
      <c r="M1357" s="36" t="s">
        <v>6356</v>
      </c>
    </row>
    <row r="1358" spans="1:13" x14ac:dyDescent="0.25">
      <c r="A1358" s="49">
        <f>1+A1357</f>
        <v>1356</v>
      </c>
      <c r="B1358" s="36" t="s">
        <v>3295</v>
      </c>
      <c r="C1358" s="36" t="s">
        <v>6758</v>
      </c>
      <c r="D1358" s="9" t="s">
        <v>6755</v>
      </c>
      <c r="E1358" s="9" t="s">
        <v>6752</v>
      </c>
      <c r="F1358" s="55" t="s">
        <v>6760</v>
      </c>
      <c r="G1358" s="36" t="s">
        <v>14</v>
      </c>
      <c r="H1358" s="36" t="str">
        <f>IFERROR(VLOOKUP(Table2[[#This Row], [Ticket]],Okey!A:B,2,0),"")</f>
        <v/>
      </c>
      <c r="J1358" s="36" t="str">
        <f>VLOOKUP(Table2[[#This Row], [Author]],People!A:B,2,0)</f>
        <v>LS</v>
      </c>
      <c r="M1358" s="36" t="s">
        <v>6356</v>
      </c>
    </row>
    <row r="1359" spans="1:13" x14ac:dyDescent="0.25">
      <c r="A1359" s="49">
        <f>1+A1358</f>
        <v>1357</v>
      </c>
      <c r="B1359" s="36" t="s">
        <v>3295</v>
      </c>
      <c r="C1359" s="36" t="s">
        <v>6758</v>
      </c>
      <c r="D1359" s="55" t="s">
        <v>6761</v>
      </c>
      <c r="E1359" s="9" t="s">
        <v>6753</v>
      </c>
      <c r="F1359" s="9" t="s">
        <v>5278</v>
      </c>
      <c r="G1359" s="36" t="s">
        <v>14</v>
      </c>
      <c r="H1359" s="36" t="str">
        <f>IFERROR(VLOOKUP(Table2[[#This Row], [Ticket]],Okey!A:B,2,0),"")</f>
        <v/>
      </c>
      <c r="J1359" s="36" t="str">
        <f>VLOOKUP(Table2[[#This Row], [Author]],People!A:B,2,0)</f>
        <v>LS</v>
      </c>
      <c r="M1359" s="36" t="s">
        <v>6356</v>
      </c>
    </row>
    <row r="1360" spans="1:13" x14ac:dyDescent="0.25">
      <c r="A1360" s="49">
        <f>1+A1359</f>
        <v>1358</v>
      </c>
      <c r="B1360" s="36" t="s">
        <v>3295</v>
      </c>
      <c r="C1360" s="36" t="s">
        <v>6758</v>
      </c>
      <c r="D1360" s="9" t="s">
        <v>6756</v>
      </c>
      <c r="E1360" s="9" t="s">
        <v>6753</v>
      </c>
      <c r="F1360" s="55" t="s">
        <v>6761</v>
      </c>
      <c r="G1360" s="36" t="s">
        <v>14</v>
      </c>
      <c r="H1360" s="36" t="str">
        <f>IFERROR(VLOOKUP(Table2[[#This Row], [Ticket]],Okey!A:B,2,0),"")</f>
        <v/>
      </c>
      <c r="J1360" s="36" t="str">
        <f>VLOOKUP(Table2[[#This Row], [Author]],People!A:B,2,0)</f>
        <v>LS</v>
      </c>
      <c r="M1360" s="36" t="s">
        <v>6356</v>
      </c>
    </row>
    <row r="1361" spans="1:13" x14ac:dyDescent="0.25">
      <c r="A1361" s="49">
        <f>1+A1360</f>
        <v>1359</v>
      </c>
      <c r="B1361" s="36" t="s">
        <v>3295</v>
      </c>
      <c r="C1361" s="36" t="s">
        <v>6758</v>
      </c>
      <c r="D1361" s="9" t="s">
        <v>6655</v>
      </c>
      <c r="E1361" s="9" t="s">
        <v>6757</v>
      </c>
      <c r="G1361" s="9" t="s">
        <v>15</v>
      </c>
      <c r="H1361" s="36" t="str">
        <f>IFERROR(VLOOKUP(Table2[[#This Row], [Ticket]],Okey!A:B,2,0),"")</f>
        <v/>
      </c>
      <c r="J1361" s="36" t="str">
        <f>VLOOKUP(Table2[[#This Row], [Author]],People!A:B,2,0)</f>
        <v>LS</v>
      </c>
      <c r="M1361" s="36" t="s">
        <v>6356</v>
      </c>
    </row>
    <row r="1362" spans="1:13" x14ac:dyDescent="0.25">
      <c r="A1362" s="49">
        <f>1+A1361</f>
        <v>1360</v>
      </c>
      <c r="B1362" s="36" t="s">
        <v>3295</v>
      </c>
      <c r="C1362" s="36" t="s">
        <v>6758</v>
      </c>
      <c r="D1362" s="9" t="s">
        <v>6652</v>
      </c>
      <c r="E1362" s="9" t="s">
        <v>6757</v>
      </c>
      <c r="G1362" s="36" t="s">
        <v>15</v>
      </c>
      <c r="H1362" s="36" t="str">
        <f>IFERROR(VLOOKUP(Table2[[#This Row], [Ticket]],Okey!A:B,2,0),"")</f>
        <v/>
      </c>
      <c r="J1362" s="36" t="str">
        <f>VLOOKUP(Table2[[#This Row], [Author]],People!A:B,2,0)</f>
        <v>LS</v>
      </c>
      <c r="M1362" s="36" t="s">
        <v>6356</v>
      </c>
    </row>
    <row r="1363" spans="1:13" x14ac:dyDescent="0.25">
      <c r="A1363" s="49">
        <f>1+A1362</f>
        <v>1361</v>
      </c>
      <c r="B1363" s="36" t="s">
        <v>3295</v>
      </c>
      <c r="C1363" s="9" t="s">
        <v>6763</v>
      </c>
      <c r="D1363" s="9" t="s">
        <v>6766</v>
      </c>
      <c r="E1363" s="9" t="s">
        <v>6762</v>
      </c>
      <c r="F1363" s="9" t="s">
        <v>6765</v>
      </c>
      <c r="G1363" s="36" t="s">
        <v>14</v>
      </c>
      <c r="H1363" s="36" t="str">
        <f>IFERROR(VLOOKUP(Table2[[#This Row], [Ticket]],Okey!A:B,2,0),"")</f>
        <v/>
      </c>
      <c r="J1363" s="36" t="str">
        <f>VLOOKUP(Table2[[#This Row], [Author]],People!A:B,2,0)</f>
        <v>LS</v>
      </c>
      <c r="M1363" s="9" t="s">
        <v>6764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E051-AC10-420E-A90C-1927C09EE0DF}">
  <dimension ref="A1:G6"/>
  <sheetViews>
    <sheetView workbookViewId="0">
      <selection activeCell="B6" sqref="B6"/>
    </sheetView>
  </sheetViews>
  <sheetFormatPr defaultRowHeight="15" x14ac:dyDescent="0.25"/>
  <cols>
    <col min="2" max="2" width="22.7109375" bestFit="1" customWidth="1"/>
    <col min="3" max="3" width="24.85546875" bestFit="1" customWidth="1"/>
  </cols>
  <sheetData>
    <row r="1" spans="1:7" x14ac:dyDescent="0.25">
      <c r="A1">
        <v>1000</v>
      </c>
    </row>
    <row r="2" spans="1:7" x14ac:dyDescent="0.25">
      <c r="A2" s="55" t="s">
        <v>6766</v>
      </c>
      <c r="B2" s="56" t="s">
        <v>6762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s="55" t="s">
        <v>6565</v>
      </c>
      <c r="B3" s="55" t="s">
        <v>6476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6" spans="1:7" x14ac:dyDescent="0.25">
      <c r="A6" s="56" t="s">
        <v>6765</v>
      </c>
      <c r="B6" s="55" t="s">
        <v>6766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D19C9-58C0-4783-A9D7-EAD4A5781678}">
  <dimension ref="A1:G25"/>
  <sheetViews>
    <sheetView workbookViewId="0">
      <selection activeCell="V36" sqref="V36"/>
    </sheetView>
  </sheetViews>
  <sheetFormatPr defaultRowHeight="15" x14ac:dyDescent="0.25"/>
  <cols>
    <col min="1" max="1" width="11.28515625" bestFit="1" customWidth="1"/>
    <col min="2" max="2" width="36.5703125" bestFit="1" customWidth="1"/>
  </cols>
  <sheetData>
    <row r="1" spans="1:7" x14ac:dyDescent="0.25">
      <c r="A1" s="55" t="s">
        <v>6759</v>
      </c>
    </row>
    <row r="8" spans="1:7" x14ac:dyDescent="0.25">
      <c r="A8">
        <v>1000</v>
      </c>
    </row>
    <row r="9" spans="1:7" x14ac:dyDescent="0.25">
      <c r="A9" t="s">
        <v>6759</v>
      </c>
      <c r="B9" t="s">
        <v>6751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6754</v>
      </c>
      <c r="B10" t="s">
        <v>6751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6760</v>
      </c>
      <c r="B11" t="s">
        <v>6752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6755</v>
      </c>
      <c r="B12" t="s">
        <v>6752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6761</v>
      </c>
      <c r="B13" t="s">
        <v>6753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6756</v>
      </c>
      <c r="B14" t="s">
        <v>6753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6655</v>
      </c>
      <c r="B15" t="s">
        <v>6757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6652</v>
      </c>
      <c r="B16" t="s">
        <v>6757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9" spans="1:2" x14ac:dyDescent="0.25">
      <c r="A19">
        <v>1000</v>
      </c>
    </row>
    <row r="20" spans="1:2" x14ac:dyDescent="0.25">
      <c r="A20" s="55" t="s">
        <v>5278</v>
      </c>
      <c r="B20" s="55" t="s">
        <v>6759</v>
      </c>
    </row>
    <row r="21" spans="1:2" x14ac:dyDescent="0.25">
      <c r="A21" s="55" t="s">
        <v>6759</v>
      </c>
      <c r="B21" s="55" t="s">
        <v>6754</v>
      </c>
    </row>
    <row r="22" spans="1:2" x14ac:dyDescent="0.25">
      <c r="A22" s="55" t="s">
        <v>5278</v>
      </c>
      <c r="B22" s="55" t="s">
        <v>6760</v>
      </c>
    </row>
    <row r="23" spans="1:2" x14ac:dyDescent="0.25">
      <c r="A23" s="55" t="s">
        <v>6760</v>
      </c>
      <c r="B23" s="55" t="s">
        <v>6755</v>
      </c>
    </row>
    <row r="24" spans="1:2" x14ac:dyDescent="0.25">
      <c r="A24" s="55" t="s">
        <v>5278</v>
      </c>
      <c r="B24" s="55" t="s">
        <v>6761</v>
      </c>
    </row>
    <row r="25" spans="1:2" x14ac:dyDescent="0.25">
      <c r="A25" s="55" t="s">
        <v>6761</v>
      </c>
      <c r="B25" s="55" t="s">
        <v>6756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4498-6F40-4BDC-A366-501BDB8269F1}">
  <dimension ref="A1:G54"/>
  <sheetViews>
    <sheetView topLeftCell="A16" workbookViewId="0">
      <selection activeCell="A30" sqref="A30:B54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6716</v>
      </c>
      <c r="B2" t="s">
        <v>6669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6725</v>
      </c>
      <c r="B3" t="s">
        <v>6671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6718</v>
      </c>
      <c r="B4" t="s">
        <v>6673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6726</v>
      </c>
      <c r="B5" t="s">
        <v>6675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6719</v>
      </c>
      <c r="B6" t="s">
        <v>6677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6727</v>
      </c>
      <c r="B7" t="s">
        <v>6679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6728</v>
      </c>
      <c r="B8" t="s">
        <v>6681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6720</v>
      </c>
      <c r="B9" t="s">
        <v>6683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6729</v>
      </c>
      <c r="B10" t="s">
        <v>6685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6730</v>
      </c>
      <c r="B11" t="s">
        <v>6687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6721</v>
      </c>
      <c r="B12" t="s">
        <v>6689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6731</v>
      </c>
      <c r="B13" t="s">
        <v>6691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6732</v>
      </c>
      <c r="B14" t="s">
        <v>6693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6733</v>
      </c>
      <c r="B15" t="s">
        <v>6695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6734</v>
      </c>
      <c r="B16" t="s">
        <v>6697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6735</v>
      </c>
      <c r="B17" t="s">
        <v>6699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6722</v>
      </c>
      <c r="B18" t="s">
        <v>6701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6736</v>
      </c>
      <c r="B19" t="s">
        <v>6703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6723</v>
      </c>
      <c r="B20" t="s">
        <v>6705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6737</v>
      </c>
      <c r="B21" t="s">
        <v>6707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6738</v>
      </c>
      <c r="B22" t="s">
        <v>6709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6724</v>
      </c>
      <c r="B23" t="s">
        <v>6711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6739</v>
      </c>
      <c r="B24" t="s">
        <v>6713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6740</v>
      </c>
      <c r="B25" t="s">
        <v>6715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6744</v>
      </c>
      <c r="B26" t="s">
        <v>6747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6745</v>
      </c>
      <c r="B27" t="s">
        <v>6748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6746</v>
      </c>
      <c r="B28" t="s">
        <v>6749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30" spans="1:7" x14ac:dyDescent="0.25">
      <c r="A30">
        <v>1000</v>
      </c>
    </row>
    <row r="31" spans="1:7" x14ac:dyDescent="0.25">
      <c r="A31" t="s">
        <v>6114</v>
      </c>
      <c r="B31" t="s">
        <v>6716</v>
      </c>
    </row>
    <row r="32" spans="1:7" x14ac:dyDescent="0.25">
      <c r="A32" t="s">
        <v>6716</v>
      </c>
      <c r="B32" t="s">
        <v>6725</v>
      </c>
    </row>
    <row r="33" spans="1:2" x14ac:dyDescent="0.25">
      <c r="A33" t="s">
        <v>6114</v>
      </c>
      <c r="B33" t="s">
        <v>6718</v>
      </c>
    </row>
    <row r="34" spans="1:2" x14ac:dyDescent="0.25">
      <c r="A34" t="s">
        <v>6718</v>
      </c>
      <c r="B34" t="s">
        <v>6726</v>
      </c>
    </row>
    <row r="35" spans="1:2" x14ac:dyDescent="0.25">
      <c r="A35" t="s">
        <v>6718</v>
      </c>
      <c r="B35" t="s">
        <v>6719</v>
      </c>
    </row>
    <row r="36" spans="1:2" x14ac:dyDescent="0.25">
      <c r="A36" t="s">
        <v>6719</v>
      </c>
      <c r="B36" t="s">
        <v>6727</v>
      </c>
    </row>
    <row r="37" spans="1:2" x14ac:dyDescent="0.25">
      <c r="A37" t="s">
        <v>6719</v>
      </c>
      <c r="B37" t="s">
        <v>6728</v>
      </c>
    </row>
    <row r="38" spans="1:2" x14ac:dyDescent="0.25">
      <c r="A38" t="s">
        <v>6719</v>
      </c>
      <c r="B38" t="s">
        <v>6720</v>
      </c>
    </row>
    <row r="39" spans="1:2" x14ac:dyDescent="0.25">
      <c r="A39" t="s">
        <v>6720</v>
      </c>
      <c r="B39" t="s">
        <v>6729</v>
      </c>
    </row>
    <row r="40" spans="1:2" x14ac:dyDescent="0.25">
      <c r="A40" t="s">
        <v>6720</v>
      </c>
      <c r="B40" t="s">
        <v>6730</v>
      </c>
    </row>
    <row r="41" spans="1:2" x14ac:dyDescent="0.25">
      <c r="A41" t="s">
        <v>6719</v>
      </c>
      <c r="B41" t="s">
        <v>6721</v>
      </c>
    </row>
    <row r="42" spans="1:2" x14ac:dyDescent="0.25">
      <c r="A42" t="s">
        <v>6721</v>
      </c>
      <c r="B42" t="s">
        <v>6731</v>
      </c>
    </row>
    <row r="43" spans="1:2" x14ac:dyDescent="0.25">
      <c r="A43" t="s">
        <v>6721</v>
      </c>
      <c r="B43" t="s">
        <v>6732</v>
      </c>
    </row>
    <row r="44" spans="1:2" x14ac:dyDescent="0.25">
      <c r="A44" t="s">
        <v>6721</v>
      </c>
      <c r="B44" t="s">
        <v>6733</v>
      </c>
    </row>
    <row r="45" spans="1:2" x14ac:dyDescent="0.25">
      <c r="A45" t="s">
        <v>6721</v>
      </c>
      <c r="B45" t="s">
        <v>6734</v>
      </c>
    </row>
    <row r="46" spans="1:2" x14ac:dyDescent="0.25">
      <c r="A46" t="s">
        <v>6721</v>
      </c>
      <c r="B46" t="s">
        <v>6735</v>
      </c>
    </row>
    <row r="47" spans="1:2" x14ac:dyDescent="0.25">
      <c r="A47" t="s">
        <v>6718</v>
      </c>
      <c r="B47" t="s">
        <v>6722</v>
      </c>
    </row>
    <row r="48" spans="1:2" x14ac:dyDescent="0.25">
      <c r="A48" t="s">
        <v>6722</v>
      </c>
      <c r="B48" t="s">
        <v>6736</v>
      </c>
    </row>
    <row r="49" spans="1:2" x14ac:dyDescent="0.25">
      <c r="A49" t="s">
        <v>6722</v>
      </c>
      <c r="B49" t="s">
        <v>6723</v>
      </c>
    </row>
    <row r="50" spans="1:2" x14ac:dyDescent="0.25">
      <c r="A50" t="s">
        <v>6723</v>
      </c>
      <c r="B50" t="s">
        <v>6737</v>
      </c>
    </row>
    <row r="51" spans="1:2" x14ac:dyDescent="0.25">
      <c r="A51" t="s">
        <v>6723</v>
      </c>
      <c r="B51" t="s">
        <v>6738</v>
      </c>
    </row>
    <row r="52" spans="1:2" x14ac:dyDescent="0.25">
      <c r="A52" t="s">
        <v>6722</v>
      </c>
      <c r="B52" t="s">
        <v>6724</v>
      </c>
    </row>
    <row r="53" spans="1:2" x14ac:dyDescent="0.25">
      <c r="A53" t="s">
        <v>6724</v>
      </c>
      <c r="B53" t="s">
        <v>6739</v>
      </c>
    </row>
    <row r="54" spans="1:2" x14ac:dyDescent="0.25">
      <c r="A54" t="s">
        <v>6724</v>
      </c>
      <c r="B54" t="s">
        <v>6740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160A-C61C-4D87-A707-E1ED03B2F0DC}">
  <dimension ref="A2:G25"/>
  <sheetViews>
    <sheetView workbookViewId="0">
      <selection activeCell="B2" sqref="B2:D25"/>
    </sheetView>
  </sheetViews>
  <sheetFormatPr defaultRowHeight="15" x14ac:dyDescent="0.25"/>
  <cols>
    <col min="2" max="2" width="11.28515625" bestFit="1" customWidth="1"/>
    <col min="3" max="3" width="38.5703125" bestFit="1" customWidth="1"/>
    <col min="4" max="4" width="11.28515625" bestFit="1" customWidth="1"/>
  </cols>
  <sheetData>
    <row r="2" spans="1:7" x14ac:dyDescent="0.25">
      <c r="A2" t="s">
        <v>6668</v>
      </c>
      <c r="B2" t="s">
        <v>6716</v>
      </c>
      <c r="C2" t="s">
        <v>6669</v>
      </c>
      <c r="D2" t="s">
        <v>6114</v>
      </c>
      <c r="E2" s="62" t="s">
        <v>6717</v>
      </c>
      <c r="F2">
        <v>4407</v>
      </c>
      <c r="G2" t="e">
        <v>#N/A</v>
      </c>
    </row>
    <row r="3" spans="1:7" x14ac:dyDescent="0.25">
      <c r="A3" t="s">
        <v>6670</v>
      </c>
      <c r="B3" t="s">
        <v>6725</v>
      </c>
      <c r="C3" t="s">
        <v>6671</v>
      </c>
      <c r="D3" t="s">
        <v>6716</v>
      </c>
      <c r="E3" s="62" t="s">
        <v>6717</v>
      </c>
      <c r="F3">
        <v>4408</v>
      </c>
      <c r="G3" t="s">
        <v>6716</v>
      </c>
    </row>
    <row r="4" spans="1:7" x14ac:dyDescent="0.25">
      <c r="A4" t="s">
        <v>6672</v>
      </c>
      <c r="B4" t="s">
        <v>6718</v>
      </c>
      <c r="C4" t="s">
        <v>6673</v>
      </c>
      <c r="D4" t="s">
        <v>6114</v>
      </c>
      <c r="E4" s="62" t="s">
        <v>6717</v>
      </c>
      <c r="F4">
        <v>4409</v>
      </c>
      <c r="G4" t="e">
        <v>#N/A</v>
      </c>
    </row>
    <row r="5" spans="1:7" x14ac:dyDescent="0.25">
      <c r="A5" t="s">
        <v>6674</v>
      </c>
      <c r="B5" t="s">
        <v>6726</v>
      </c>
      <c r="C5" t="s">
        <v>6675</v>
      </c>
      <c r="D5" t="s">
        <v>6718</v>
      </c>
      <c r="E5" s="62" t="s">
        <v>6717</v>
      </c>
      <c r="F5">
        <v>4410</v>
      </c>
      <c r="G5" t="s">
        <v>6718</v>
      </c>
    </row>
    <row r="6" spans="1:7" x14ac:dyDescent="0.25">
      <c r="A6" t="s">
        <v>6676</v>
      </c>
      <c r="B6" t="s">
        <v>6719</v>
      </c>
      <c r="C6" t="s">
        <v>6677</v>
      </c>
      <c r="D6" t="s">
        <v>6718</v>
      </c>
      <c r="E6" s="62" t="s">
        <v>6717</v>
      </c>
      <c r="F6">
        <v>4411</v>
      </c>
      <c r="G6" t="s">
        <v>6718</v>
      </c>
    </row>
    <row r="7" spans="1:7" x14ac:dyDescent="0.25">
      <c r="A7" t="s">
        <v>6678</v>
      </c>
      <c r="B7" t="s">
        <v>6727</v>
      </c>
      <c r="C7" t="s">
        <v>6679</v>
      </c>
      <c r="D7" t="s">
        <v>6719</v>
      </c>
      <c r="E7" s="62" t="s">
        <v>6717</v>
      </c>
      <c r="F7">
        <v>4412</v>
      </c>
      <c r="G7" t="s">
        <v>6719</v>
      </c>
    </row>
    <row r="8" spans="1:7" x14ac:dyDescent="0.25">
      <c r="A8" t="s">
        <v>6680</v>
      </c>
      <c r="B8" t="s">
        <v>6728</v>
      </c>
      <c r="C8" t="s">
        <v>6681</v>
      </c>
      <c r="D8" t="s">
        <v>6719</v>
      </c>
      <c r="E8" s="62" t="s">
        <v>6717</v>
      </c>
      <c r="F8">
        <v>4413</v>
      </c>
      <c r="G8" t="s">
        <v>6719</v>
      </c>
    </row>
    <row r="9" spans="1:7" x14ac:dyDescent="0.25">
      <c r="A9" t="s">
        <v>6682</v>
      </c>
      <c r="B9" t="s">
        <v>6720</v>
      </c>
      <c r="C9" t="s">
        <v>6683</v>
      </c>
      <c r="D9" t="s">
        <v>6719</v>
      </c>
      <c r="E9" s="62" t="s">
        <v>6717</v>
      </c>
      <c r="F9">
        <v>4414</v>
      </c>
      <c r="G9" t="s">
        <v>6719</v>
      </c>
    </row>
    <row r="10" spans="1:7" x14ac:dyDescent="0.25">
      <c r="A10" t="s">
        <v>6684</v>
      </c>
      <c r="B10" t="s">
        <v>6729</v>
      </c>
      <c r="C10" t="s">
        <v>6685</v>
      </c>
      <c r="D10" t="s">
        <v>6720</v>
      </c>
      <c r="E10" s="62" t="s">
        <v>6717</v>
      </c>
      <c r="F10">
        <v>4415</v>
      </c>
      <c r="G10" t="s">
        <v>6720</v>
      </c>
    </row>
    <row r="11" spans="1:7" x14ac:dyDescent="0.25">
      <c r="A11" t="s">
        <v>6686</v>
      </c>
      <c r="B11" t="s">
        <v>6730</v>
      </c>
      <c r="C11" t="s">
        <v>6687</v>
      </c>
      <c r="D11" t="s">
        <v>6720</v>
      </c>
      <c r="E11" s="62" t="s">
        <v>6717</v>
      </c>
      <c r="F11">
        <v>4416</v>
      </c>
      <c r="G11" t="s">
        <v>6720</v>
      </c>
    </row>
    <row r="12" spans="1:7" x14ac:dyDescent="0.25">
      <c r="A12" t="s">
        <v>6688</v>
      </c>
      <c r="B12" t="s">
        <v>6721</v>
      </c>
      <c r="C12" t="s">
        <v>6689</v>
      </c>
      <c r="D12" t="s">
        <v>6719</v>
      </c>
      <c r="E12" s="62" t="s">
        <v>6717</v>
      </c>
      <c r="F12">
        <v>4417</v>
      </c>
      <c r="G12" t="s">
        <v>6719</v>
      </c>
    </row>
    <row r="13" spans="1:7" x14ac:dyDescent="0.25">
      <c r="A13" t="s">
        <v>6690</v>
      </c>
      <c r="B13" t="s">
        <v>6731</v>
      </c>
      <c r="C13" t="s">
        <v>6691</v>
      </c>
      <c r="D13" t="s">
        <v>6721</v>
      </c>
      <c r="E13" s="62" t="s">
        <v>6717</v>
      </c>
      <c r="F13">
        <v>4418</v>
      </c>
      <c r="G13" t="s">
        <v>6721</v>
      </c>
    </row>
    <row r="14" spans="1:7" x14ac:dyDescent="0.25">
      <c r="A14" t="s">
        <v>6692</v>
      </c>
      <c r="B14" t="s">
        <v>6732</v>
      </c>
      <c r="C14" t="s">
        <v>6693</v>
      </c>
      <c r="D14" t="s">
        <v>6721</v>
      </c>
      <c r="E14" s="62" t="s">
        <v>6717</v>
      </c>
      <c r="F14">
        <v>4419</v>
      </c>
      <c r="G14" t="s">
        <v>6721</v>
      </c>
    </row>
    <row r="15" spans="1:7" x14ac:dyDescent="0.25">
      <c r="A15" t="s">
        <v>6694</v>
      </c>
      <c r="B15" t="s">
        <v>6733</v>
      </c>
      <c r="C15" t="s">
        <v>6695</v>
      </c>
      <c r="D15" t="s">
        <v>6721</v>
      </c>
      <c r="E15" s="62" t="s">
        <v>6717</v>
      </c>
      <c r="F15">
        <v>4420</v>
      </c>
      <c r="G15" t="s">
        <v>6721</v>
      </c>
    </row>
    <row r="16" spans="1:7" x14ac:dyDescent="0.25">
      <c r="A16" t="s">
        <v>6696</v>
      </c>
      <c r="B16" t="s">
        <v>6734</v>
      </c>
      <c r="C16" t="s">
        <v>6697</v>
      </c>
      <c r="D16" t="s">
        <v>6721</v>
      </c>
      <c r="E16" s="62" t="s">
        <v>6717</v>
      </c>
      <c r="F16">
        <v>4421</v>
      </c>
      <c r="G16" t="s">
        <v>6721</v>
      </c>
    </row>
    <row r="17" spans="1:7" x14ac:dyDescent="0.25">
      <c r="A17" t="s">
        <v>6698</v>
      </c>
      <c r="B17" t="s">
        <v>6735</v>
      </c>
      <c r="C17" t="s">
        <v>6699</v>
      </c>
      <c r="D17" t="s">
        <v>6721</v>
      </c>
      <c r="E17" s="62" t="s">
        <v>6717</v>
      </c>
      <c r="F17">
        <v>4422</v>
      </c>
      <c r="G17" t="s">
        <v>6721</v>
      </c>
    </row>
    <row r="18" spans="1:7" x14ac:dyDescent="0.25">
      <c r="A18" t="s">
        <v>6700</v>
      </c>
      <c r="B18" t="s">
        <v>6722</v>
      </c>
      <c r="C18" t="s">
        <v>6701</v>
      </c>
      <c r="D18" t="s">
        <v>6718</v>
      </c>
      <c r="E18" s="62" t="s">
        <v>6717</v>
      </c>
      <c r="F18">
        <v>4423</v>
      </c>
      <c r="G18" t="s">
        <v>6718</v>
      </c>
    </row>
    <row r="19" spans="1:7" x14ac:dyDescent="0.25">
      <c r="A19" t="s">
        <v>6702</v>
      </c>
      <c r="B19" t="s">
        <v>6736</v>
      </c>
      <c r="C19" t="s">
        <v>6703</v>
      </c>
      <c r="D19" t="s">
        <v>6722</v>
      </c>
      <c r="E19" s="62" t="s">
        <v>6717</v>
      </c>
      <c r="F19">
        <v>4424</v>
      </c>
      <c r="G19" t="s">
        <v>6722</v>
      </c>
    </row>
    <row r="20" spans="1:7" x14ac:dyDescent="0.25">
      <c r="A20" t="s">
        <v>6704</v>
      </c>
      <c r="B20" t="s">
        <v>6723</v>
      </c>
      <c r="C20" t="s">
        <v>6705</v>
      </c>
      <c r="D20" t="s">
        <v>6722</v>
      </c>
      <c r="E20" s="62" t="s">
        <v>6717</v>
      </c>
      <c r="F20">
        <v>4425</v>
      </c>
      <c r="G20" t="s">
        <v>6722</v>
      </c>
    </row>
    <row r="21" spans="1:7" x14ac:dyDescent="0.25">
      <c r="A21" t="s">
        <v>6706</v>
      </c>
      <c r="B21" t="s">
        <v>6737</v>
      </c>
      <c r="C21" t="s">
        <v>6707</v>
      </c>
      <c r="D21" t="s">
        <v>6723</v>
      </c>
      <c r="E21" s="62" t="s">
        <v>6717</v>
      </c>
      <c r="F21">
        <v>4426</v>
      </c>
      <c r="G21" t="s">
        <v>6723</v>
      </c>
    </row>
    <row r="22" spans="1:7" x14ac:dyDescent="0.25">
      <c r="A22" t="s">
        <v>6708</v>
      </c>
      <c r="B22" t="s">
        <v>6738</v>
      </c>
      <c r="C22" t="s">
        <v>6709</v>
      </c>
      <c r="D22" t="s">
        <v>6723</v>
      </c>
      <c r="E22" s="62" t="s">
        <v>6717</v>
      </c>
      <c r="F22">
        <v>4427</v>
      </c>
      <c r="G22" t="s">
        <v>6723</v>
      </c>
    </row>
    <row r="23" spans="1:7" x14ac:dyDescent="0.25">
      <c r="A23" t="s">
        <v>6710</v>
      </c>
      <c r="B23" t="s">
        <v>6724</v>
      </c>
      <c r="C23" t="s">
        <v>6711</v>
      </c>
      <c r="D23" t="s">
        <v>6722</v>
      </c>
      <c r="E23" s="62" t="s">
        <v>6717</v>
      </c>
      <c r="F23">
        <v>4428</v>
      </c>
      <c r="G23" t="s">
        <v>6722</v>
      </c>
    </row>
    <row r="24" spans="1:7" x14ac:dyDescent="0.25">
      <c r="A24" t="s">
        <v>6712</v>
      </c>
      <c r="B24" t="s">
        <v>6739</v>
      </c>
      <c r="C24" t="s">
        <v>6713</v>
      </c>
      <c r="D24" t="s">
        <v>6724</v>
      </c>
      <c r="E24" s="62" t="s">
        <v>6717</v>
      </c>
      <c r="F24">
        <v>4429</v>
      </c>
      <c r="G24" t="s">
        <v>6724</v>
      </c>
    </row>
    <row r="25" spans="1:7" x14ac:dyDescent="0.25">
      <c r="A25" t="s">
        <v>6714</v>
      </c>
      <c r="B25" t="s">
        <v>6740</v>
      </c>
      <c r="C25" t="s">
        <v>6715</v>
      </c>
      <c r="D25" t="s">
        <v>6724</v>
      </c>
      <c r="E25" s="62" t="s">
        <v>6717</v>
      </c>
      <c r="F25">
        <v>4430</v>
      </c>
      <c r="G25" t="s">
        <v>6724</v>
      </c>
    </row>
  </sheetData>
  <autoFilter ref="A1:G1" xr:uid="{7B2A160A-C61C-4D87-A707-E1ED03B2F0DC}">
    <sortState xmlns:xlrd2="http://schemas.microsoft.com/office/spreadsheetml/2017/richdata2" ref="A2:G25">
      <sortCondition ref="B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25">
      <c r="A6">
        <v>1000</v>
      </c>
    </row>
    <row r="7" spans="1:7" x14ac:dyDescent="0.25">
      <c r="A7" s="55" t="s">
        <v>6662</v>
      </c>
      <c r="B7" t="s">
        <v>6664</v>
      </c>
    </row>
    <row r="8" spans="1:7" x14ac:dyDescent="0.25">
      <c r="A8" s="55" t="s">
        <v>6662</v>
      </c>
      <c r="B8" t="s">
        <v>6665</v>
      </c>
    </row>
    <row r="9" spans="1:7" x14ac:dyDescent="0.25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B55" sqref="B55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  <row r="55" spans="1:2" x14ac:dyDescent="0.25">
      <c r="A55" s="5" t="s">
        <v>6764</v>
      </c>
      <c r="B55" s="36" t="s">
        <v>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MGF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MGF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MGF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LS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LS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LS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LS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LS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LS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LS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LS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str">
        <f>VLOOKUP(Table2[[#This Row], [Author]],People!A:B,2,0)</f>
        <v>LS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3</vt:i4>
      </vt:variant>
    </vt:vector>
  </HeadingPairs>
  <TitlesOfParts>
    <vt:vector size="19" baseType="lpstr">
      <vt:lpstr>pvt</vt:lpstr>
      <vt:lpstr>STUCT1</vt:lpstr>
      <vt:lpstr>Sheet7</vt:lpstr>
      <vt:lpstr>Sheet6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2025-10-07T13:42:15Z</dcterms:modified>
</cp:coreProperties>
</file>