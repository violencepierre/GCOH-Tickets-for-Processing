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5258FAEA-D567-4D6D-AF1C-47A08EC84153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1" sheetId="28" r:id="rId3"/>
    <sheet name="Names" sheetId="5" r:id="rId4"/>
    <sheet name="NEW NODES" sheetId="6" r:id="rId5"/>
    <sheet name="People" sheetId="7" r:id="rId6"/>
    <sheet name="2023" sheetId="8" state="hidden" r:id="rId7"/>
    <sheet name="2024" sheetId="19" state="hidden" r:id="rId8"/>
    <sheet name="old" sheetId="27" state="hidden" r:id="rId9"/>
    <sheet name="Sectors" sheetId="9" r:id="rId10"/>
    <sheet name="Okey" sheetId="10" r:id="rId11"/>
    <sheet name="KPI" sheetId="12" r:id="rId12"/>
  </sheets>
  <definedNames>
    <definedName name="_xlnm._FilterDatabase" localSheetId="6">'2023'!$A$1:$M$1</definedName>
    <definedName name="_xlnm._FilterDatabase" localSheetId="3">Names!$A$237:$G$388</definedName>
    <definedName name="_xlnm._FilterDatabase" localSheetId="5">People!$A$1:$B$1</definedName>
    <definedName name="_xlnm._FilterDatabase" localSheetId="1">STUCT1!#REF!</definedName>
  </definedNames>
  <calcPr calcId="181029"/>
  <pivotCaches>
    <pivotCache cacheId="57" r:id="rId1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0" i="1" l="1"/>
  <c r="A23" i="1"/>
  <c r="A24" i="1" s="1"/>
  <c r="A25" i="1" s="1"/>
  <c r="H25" i="1"/>
  <c r="H24" i="1"/>
  <c r="H23" i="1"/>
  <c r="H22" i="1"/>
  <c r="H21" i="1"/>
  <c r="A22" i="1"/>
  <c r="A21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</calcChain>
</file>

<file path=xl/sharedStrings.xml><?xml version="1.0" encoding="utf-8"?>
<sst xmlns="http://schemas.openxmlformats.org/spreadsheetml/2006/main" count="42640" uniqueCount="7919">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</sst>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5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25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25"/>
  <sheetViews>
    <sheetView tabSelected="1" workbookViewId="0">
      <selection activeCell="K38" sqref="K38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>
        <f>IFERROR(VLOOKUP(Table2[[#This Row], [Ticket]],Okey!A:B,2,0),"")</f>
        <v>0</v>
      </c>
      <c r="J3" s="36" t="s">
        <v>17</v>
      </c>
      <c r="K3" s="9" t="s">
        <v>7909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>
        <f>IFERROR(VLOOKUP(Table2[[#This Row], [Ticket]],Okey!A:B,2,0),"")</f>
        <v>0</v>
      </c>
      <c r="J4" s="36" t="s">
        <v>17</v>
      </c>
      <c r="K4" s="36" t="s">
        <v>7909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>
        <f>IFERROR(VLOOKUP(Table2[[#This Row], [Ticket]],Okey!A:B,2,0),"")</f>
        <v>0</v>
      </c>
      <c r="J5" s="36" t="s">
        <v>17</v>
      </c>
      <c r="K5" s="36" t="s">
        <v>7909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>
        <f>IFERROR(VLOOKUP(Table2[[#This Row], [Ticket]],Okey!A:B,2,0),"")</f>
        <v>0</v>
      </c>
      <c r="J6" s="36" t="s">
        <v>17</v>
      </c>
      <c r="K6" s="36" t="s">
        <v>7909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>
        <f>IFERROR(VLOOKUP(Table2[[#This Row], [Ticket]],Okey!A:B,2,0),"")</f>
        <v>0</v>
      </c>
      <c r="J7" s="36" t="s">
        <v>17</v>
      </c>
      <c r="K7" s="36" t="s">
        <v>7909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>
        <f>IFERROR(VLOOKUP(Table2[[#This Row], [Ticket]],Okey!A:B,2,0),"")</f>
        <v>0</v>
      </c>
      <c r="J8" s="36" t="s">
        <v>17</v>
      </c>
      <c r="K8" s="36" t="s">
        <v>7909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>
        <f>IFERROR(VLOOKUP(Table2[[#This Row], [Ticket]],Okey!A:B,2,0),"")</f>
        <v>0</v>
      </c>
      <c r="J9" s="36" t="s">
        <v>17</v>
      </c>
      <c r="K9" s="36" t="s">
        <v>7909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>
        <f>IFERROR(VLOOKUP(Table2[[#This Row], [Ticket]],Okey!A:B,2,0),"")</f>
        <v>0</v>
      </c>
      <c r="J10" s="36" t="s">
        <v>17</v>
      </c>
      <c r="K10" s="36" t="s">
        <v>7909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>
        <f>IFERROR(VLOOKUP(Table2[[#This Row], [Ticket]],Okey!A:B,2,0),"")</f>
        <v>0</v>
      </c>
      <c r="J11" s="36" t="s">
        <v>17</v>
      </c>
      <c r="K11" s="36" t="s">
        <v>7909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>
        <f>IFERROR(VLOOKUP(Table2[[#This Row], [Ticket]],Okey!A:B,2,0),"")</f>
        <v>0</v>
      </c>
      <c r="J12" s="36" t="s">
        <v>17</v>
      </c>
      <c r="K12" s="36" t="s">
        <v>7909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>
        <f>IFERROR(VLOOKUP(Table2[[#This Row], [Ticket]],Okey!A:B,2,0),"")</f>
        <v>0</v>
      </c>
      <c r="J13" s="36" t="s">
        <v>17</v>
      </c>
      <c r="K13" s="36" t="s">
        <v>7909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>
        <f>IFERROR(VLOOKUP(Table2[[#This Row], [Ticket]],Okey!A:B,2,0),"")</f>
        <v>0</v>
      </c>
      <c r="J14" s="36" t="s">
        <v>17</v>
      </c>
      <c r="K14" s="36" t="s">
        <v>7909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>
        <f>IFERROR(VLOOKUP(Table2[[#This Row], [Ticket]],Okey!A:B,2,0),"")</f>
        <v>0</v>
      </c>
      <c r="J15" s="36" t="s">
        <v>17</v>
      </c>
      <c r="K15" s="36" t="s">
        <v>7909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>
        <f>IFERROR(VLOOKUP(Table2[[#This Row], [Ticket]],Okey!A:B,2,0),"")</f>
        <v>0</v>
      </c>
      <c r="J16" s="36" t="s">
        <v>17</v>
      </c>
      <c r="K16" s="36" t="s">
        <v>7909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>
        <f>IFERROR(VLOOKUP(Table2[[#This Row], [Ticket]],Okey!A:B,2,0),"")</f>
        <v>0</v>
      </c>
      <c r="J17" s="36" t="s">
        <v>17</v>
      </c>
      <c r="K17" s="36" t="s">
        <v>7909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>
        <f>IFERROR(VLOOKUP(Table2[[#This Row], [Ticket]],Okey!A:B,2,0),"")</f>
        <v>0</v>
      </c>
      <c r="J18" s="36" t="s">
        <v>17</v>
      </c>
      <c r="K18" s="36" t="s">
        <v>7909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>
        <f>IFERROR(VLOOKUP(Table2[[#This Row], [Ticket]],Okey!A:B,2,0),"")</f>
        <v>0</v>
      </c>
      <c r="J19" s="36" t="s">
        <v>17</v>
      </c>
      <c r="K19" s="36" t="s">
        <v>7909</v>
      </c>
      <c r="M19" s="36" t="s">
        <v>4777</v>
      </c>
    </row>
    <row r="20" spans="1:13" x14ac:dyDescent="0.25">
      <c r="A20" s="42">
        <f t="shared" ref="A20:A25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>
        <f>IFERROR(VLOOKUP(Table2[[#This Row], [Ticket]],Okey!A:B,2,0),"")</f>
        <v>0</v>
      </c>
      <c r="J20" s="36" t="s">
        <v>17</v>
      </c>
      <c r="K20" s="36" t="s">
        <v>7909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9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9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9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J24" s="36" t="s">
        <v>17</v>
      </c>
      <c r="K24" s="36" t="s">
        <v>7909</v>
      </c>
      <c r="M24" s="36" t="s">
        <v>4782</v>
      </c>
    </row>
    <row r="25" spans="1:13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J25" s="36" t="s">
        <v>17</v>
      </c>
      <c r="K25" s="36" t="s">
        <v>7909</v>
      </c>
      <c r="M25" s="36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#VALUE!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#VALUE!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#VALUE!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#VALUE!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#VALUE!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#VALUE!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#VALUE!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#VALUE!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#VALUE!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#VALUE!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#VALUE!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#VALUE!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#VALUE!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#VALUE!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#VALUE!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#VALUE!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#VALUE!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#VALUE!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#VALUE!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#VALUE!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#VALUE!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#VALUE!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#VALUE!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#VALUE!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#VALUE!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#VALUE!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e">
        <f>VLOOKUP(Table2[[#This Row], [Author]],People!A:B,2,0)</f>
        <v>#VALUE!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e">
        <f>VLOOKUP(Table2[[#This Row], [Author]],People!A:B,2,0)</f>
        <v>#VALUE!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#VALUE!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#VALUE!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#VALUE!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#VALUE!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#VALUE!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#VALUE!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#VALUE!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#VALUE!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#VALUE!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#VALUE!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#VALUE!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#VALUE!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#VALUE!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#VALUE!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#VALUE!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#VALUE!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#VALUE!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#VALUE!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#VALUE!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#VALUE!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#VALUE!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#VALUE!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#VALUE!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#VALUE!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#VALUE!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#VALUE!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#VALUE!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#VALUE!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#VALUE!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#VALUE!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#VALUE!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#VALUE!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#VALUE!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#VALUE!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#VALUE!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#VALUE!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#VALUE!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#VALUE!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#VALUE!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#VALUE!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#VALUE!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#VALUE!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#VALUE!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#VALUE!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#VALUE!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#VALUE!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#VALUE!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#VALUE!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#VALUE!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#VALUE!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#VALUE!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#VALUE!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#VALUE!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#VALUE!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#VALUE!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#VALUE!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#VALUE!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#VALUE!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#VALUE!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#VALUE!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#VALUE!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#VALUE!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#VALUE!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#VALUE!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#VALUE!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#VALUE!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#VALUE!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#VALUE!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#VALUE!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#VALUE!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#VALUE!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#VALUE!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#VALUE!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#VALUE!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#VALUE!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#VALUE!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#VALUE!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#VALUE!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#VALUE!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#VALUE!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#VALUE!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#VALUE!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#VALUE!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#VALUE!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#VALUE!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#VALUE!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#VALUE!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#VALUE!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#VALUE!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#VALUE!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#VALUE!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#VALUE!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#VALUE!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#VALUE!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#VALUE!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#VALUE!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#VALUE!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#VALUE!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#VALUE!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e">
        <f>VLOOKUP(Table2[[#This Row], [Author]],People!A:B,2,0)</f>
        <v>#VALUE!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pvt</vt:lpstr>
      <vt:lpstr>STUCT1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2025-12-08T13:26:12Z</dcterms:modified>
</cp:coreProperties>
</file>