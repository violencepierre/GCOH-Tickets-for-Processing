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3F1C865E-A7D1-434C-A9FC-4B48ED9328FB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7" sheetId="34" r:id="rId3"/>
    <sheet name="Sheet6" sheetId="33" r:id="rId4"/>
    <sheet name="Sheet5" sheetId="32" r:id="rId5"/>
    <sheet name="Sheet4" sheetId="31" r:id="rId6"/>
    <sheet name="Sheet3" sheetId="30" r:id="rId7"/>
    <sheet name="Sheet2" sheetId="29" r:id="rId8"/>
    <sheet name="Sheet1" sheetId="28" r:id="rId9"/>
    <sheet name="Names" sheetId="5" r:id="rId10"/>
    <sheet name="NEW NODES" sheetId="6" r:id="rId11"/>
    <sheet name="People" sheetId="7" r:id="rId12"/>
    <sheet name="2023" sheetId="8" state="hidden" r:id="rId13"/>
    <sheet name="2024" sheetId="19" state="hidden" r:id="rId14"/>
    <sheet name="old" sheetId="27" state="hidden" r:id="rId15"/>
    <sheet name="Sectors" sheetId="9" r:id="rId16"/>
    <sheet name="Okey" sheetId="10" r:id="rId17"/>
    <sheet name="KPI" sheetId="12" r:id="rId18"/>
  </sheets>
  <definedNames>
    <definedName name="_xlnm._FilterDatabase" localSheetId="12">'2023'!$A$1:$M$1</definedName>
    <definedName name="_xlnm._FilterDatabase" localSheetId="9">Names!$A$237:$G$388</definedName>
    <definedName name="_xlnm._FilterDatabase" localSheetId="11">People!$A$1:$B$1</definedName>
    <definedName name="_xlnm._FilterDatabase" localSheetId="1">STUCT1!#REF!</definedName>
  </definedNames>
  <calcPr calcId="181029"/>
  <pivotCaches>
    <pivotCache cacheId="0" r:id="rId19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53" i="1" l="1"/>
  <c r="H153" i="1"/>
  <c r="B56" i="32"/>
  <c r="B55" i="32"/>
  <c r="B54" i="32"/>
  <c r="B53" i="32"/>
  <c r="B52" i="32"/>
  <c r="B51" i="32"/>
  <c r="B50" i="32"/>
  <c r="B49" i="32"/>
  <c r="B48" i="32"/>
  <c r="B47" i="32"/>
  <c r="B46" i="32"/>
  <c r="B45" i="32"/>
  <c r="B44" i="32"/>
  <c r="B43" i="32"/>
  <c r="B42" i="32"/>
  <c r="B41" i="32"/>
  <c r="B40" i="32"/>
  <c r="B39" i="32"/>
  <c r="B38" i="32"/>
  <c r="B37" i="32"/>
  <c r="B36" i="32"/>
  <c r="B35" i="32"/>
  <c r="B34" i="32"/>
  <c r="B33" i="32"/>
  <c r="B32" i="32"/>
  <c r="B31" i="32"/>
  <c r="B30" i="32"/>
  <c r="B29" i="32"/>
  <c r="B28" i="32"/>
  <c r="B27" i="32"/>
  <c r="B26" i="32"/>
  <c r="B25" i="32"/>
  <c r="B24" i="32"/>
  <c r="B23" i="32"/>
  <c r="B22" i="32"/>
  <c r="B21" i="32"/>
  <c r="B20" i="32"/>
  <c r="B19" i="32"/>
  <c r="B18" i="32"/>
  <c r="B17" i="32"/>
  <c r="B16" i="32"/>
  <c r="B15" i="32"/>
  <c r="B14" i="32"/>
  <c r="B13" i="32"/>
  <c r="B12" i="32"/>
  <c r="B11" i="32"/>
  <c r="B10" i="32"/>
  <c r="B9" i="32"/>
  <c r="B8" i="32"/>
  <c r="B7" i="32"/>
  <c r="B6" i="32"/>
  <c r="B5" i="32"/>
  <c r="B4" i="32"/>
  <c r="B3" i="32"/>
  <c r="B2" i="32"/>
  <c r="B1" i="32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5" i="31"/>
  <c r="A14" i="31"/>
  <c r="A13" i="31"/>
  <c r="A12" i="31"/>
  <c r="A11" i="31"/>
  <c r="A10" i="31"/>
  <c r="A9" i="31"/>
  <c r="A8" i="31"/>
  <c r="A7" i="31"/>
  <c r="A6" i="31"/>
  <c r="A5" i="31"/>
  <c r="A4" i="31"/>
  <c r="A3" i="31"/>
  <c r="A2" i="31"/>
  <c r="A1" i="31"/>
  <c r="C4" i="31"/>
  <c r="C5" i="31" s="1"/>
  <c r="C6" i="31" s="1"/>
  <c r="C7" i="31" s="1"/>
  <c r="C8" i="31" s="1"/>
  <c r="C9" i="31" s="1"/>
  <c r="C10" i="31" s="1"/>
  <c r="C11" i="31" s="1"/>
  <c r="C12" i="31" s="1"/>
  <c r="C13" i="31" s="1"/>
  <c r="C14" i="31" s="1"/>
  <c r="C15" i="31" s="1"/>
  <c r="C16" i="31" s="1"/>
  <c r="C17" i="31" s="1"/>
  <c r="C18" i="31" s="1"/>
  <c r="C19" i="31" s="1"/>
  <c r="C20" i="31" s="1"/>
  <c r="C21" i="31" s="1"/>
  <c r="C22" i="31" s="1"/>
  <c r="C23" i="31" s="1"/>
  <c r="C24" i="31" s="1"/>
  <c r="C25" i="31" s="1"/>
  <c r="C26" i="31" s="1"/>
  <c r="C27" i="31" s="1"/>
  <c r="C28" i="31" s="1"/>
  <c r="C29" i="31" s="1"/>
  <c r="C30" i="31" s="1"/>
  <c r="C31" i="31" s="1"/>
  <c r="C32" i="31" s="1"/>
  <c r="C33" i="31" s="1"/>
  <c r="C34" i="31" s="1"/>
  <c r="C35" i="31" s="1"/>
  <c r="C3" i="31"/>
  <c r="C2" i="31"/>
  <c r="H148" i="1"/>
  <c r="H149" i="1"/>
  <c r="H150" i="1"/>
  <c r="H151" i="1"/>
  <c r="H152" i="1"/>
  <c r="H54" i="1"/>
  <c r="H55" i="1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I3" i="30"/>
  <c r="I2" i="30"/>
  <c r="C26" i="30"/>
  <c r="C25" i="30"/>
  <c r="C24" i="30"/>
  <c r="C23" i="30"/>
  <c r="C22" i="30"/>
  <c r="C21" i="30"/>
  <c r="C20" i="30"/>
  <c r="C19" i="30"/>
  <c r="C18" i="30"/>
  <c r="C17" i="30"/>
  <c r="C16" i="30"/>
  <c r="C15" i="30"/>
  <c r="C14" i="30"/>
  <c r="C13" i="30"/>
  <c r="C12" i="30"/>
  <c r="C11" i="30"/>
  <c r="C10" i="30"/>
  <c r="C9" i="30"/>
  <c r="C8" i="30"/>
  <c r="C7" i="30"/>
  <c r="C6" i="30"/>
  <c r="C5" i="30"/>
  <c r="C4" i="30"/>
  <c r="C3" i="30"/>
  <c r="C2" i="30"/>
  <c r="C1" i="30"/>
  <c r="G2" i="30"/>
  <c r="G3" i="30" s="1"/>
  <c r="G4" i="30" s="1"/>
  <c r="G5" i="30" s="1"/>
  <c r="G6" i="30" s="1"/>
  <c r="G7" i="30" s="1"/>
  <c r="G8" i="30" s="1"/>
  <c r="G9" i="30" s="1"/>
  <c r="G10" i="30" s="1"/>
  <c r="G11" i="30" s="1"/>
  <c r="G12" i="30" s="1"/>
  <c r="G13" i="30" s="1"/>
  <c r="G14" i="30" s="1"/>
  <c r="G15" i="30" s="1"/>
  <c r="G16" i="30" s="1"/>
  <c r="G17" i="30" s="1"/>
  <c r="G18" i="30" s="1"/>
  <c r="G19" i="30" s="1"/>
  <c r="G20" i="30" s="1"/>
  <c r="G21" i="30" s="1"/>
  <c r="G22" i="30" s="1"/>
  <c r="G23" i="30" s="1"/>
  <c r="G24" i="30" s="1"/>
  <c r="G25" i="30" s="1"/>
  <c r="G26" i="30" s="1"/>
  <c r="H25" i="1"/>
  <c r="H24" i="1"/>
  <c r="H23" i="1"/>
  <c r="H22" i="1"/>
  <c r="H21" i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L112" i="1"/>
  <c r="L116" i="1"/>
  <c r="L91" i="1"/>
  <c r="L73" i="1"/>
  <c r="L131" i="1"/>
  <c r="L75" i="1"/>
  <c r="L61" i="1"/>
  <c r="L115" i="1"/>
  <c r="L138" i="1"/>
  <c r="L99" i="1"/>
  <c r="L141" i="1"/>
  <c r="L96" i="1"/>
  <c r="L117" i="1"/>
  <c r="L108" i="1"/>
  <c r="L139" i="1"/>
  <c r="L106" i="1"/>
  <c r="L95" i="1"/>
  <c r="L148" i="1"/>
  <c r="L57" i="1"/>
  <c r="L62" i="1"/>
  <c r="L66" i="1"/>
  <c r="L137" i="1"/>
  <c r="L135" i="1"/>
  <c r="L101" i="1"/>
  <c r="L114" i="1"/>
  <c r="L97" i="1"/>
  <c r="L64" i="1"/>
  <c r="L142" i="1"/>
  <c r="L109" i="1"/>
  <c r="L92" i="1"/>
  <c r="L59" i="1"/>
  <c r="L89" i="1"/>
  <c r="L111" i="1"/>
  <c r="L58" i="1"/>
  <c r="L90" i="1"/>
  <c r="L88" i="1"/>
  <c r="L79" i="1"/>
  <c r="L63" i="1"/>
  <c r="L150" i="1"/>
  <c r="L134" i="1"/>
  <c r="L80" i="1"/>
  <c r="L84" i="1"/>
  <c r="L87" i="1"/>
  <c r="L144" i="1"/>
  <c r="L98" i="1"/>
  <c r="L104" i="1"/>
  <c r="L78" i="1"/>
  <c r="L128" i="1"/>
  <c r="L107" i="1"/>
  <c r="L149" i="1"/>
  <c r="L132" i="1"/>
  <c r="L124" i="1"/>
  <c r="L133" i="1"/>
  <c r="L151" i="1"/>
  <c r="L113" i="1"/>
  <c r="L56" i="1"/>
  <c r="L74" i="1"/>
  <c r="L118" i="1"/>
  <c r="L152" i="1"/>
  <c r="L121" i="1"/>
  <c r="L119" i="1"/>
  <c r="L102" i="1"/>
  <c r="L85" i="1"/>
  <c r="L68" i="1"/>
  <c r="L146" i="1"/>
  <c r="L81" i="1"/>
  <c r="L143" i="1"/>
  <c r="L126" i="1"/>
  <c r="L93" i="1"/>
  <c r="L76" i="1"/>
  <c r="L122" i="1"/>
  <c r="L120" i="1"/>
  <c r="L94" i="1"/>
  <c r="L70" i="1"/>
  <c r="L71" i="1"/>
  <c r="L123" i="1"/>
  <c r="L82" i="1"/>
  <c r="L140" i="1"/>
  <c r="L145" i="1"/>
  <c r="L83" i="1"/>
  <c r="L72" i="1"/>
  <c r="L129" i="1"/>
  <c r="L67" i="1"/>
  <c r="L100" i="1"/>
  <c r="L125" i="1"/>
  <c r="L136" i="1"/>
  <c r="L105" i="1"/>
  <c r="L103" i="1"/>
  <c r="L86" i="1"/>
  <c r="L69" i="1"/>
  <c r="L147" i="1"/>
  <c r="L130" i="1"/>
  <c r="L65" i="1"/>
  <c r="L127" i="1"/>
  <c r="L110" i="1"/>
  <c r="L77" i="1"/>
  <c r="L60" i="1"/>
</calcChain>
</file>

<file path=xl/sharedStrings.xml><?xml version="1.0" encoding="utf-8"?>
<sst xmlns="http://schemas.openxmlformats.org/spreadsheetml/2006/main" count="44947" uniqueCount="8085">
  <si>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</si>
  <si>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</si>
  <si>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</si>
  <si>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</si>
  <si>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</si>
  <si>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</si>
  <si>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</si>
  <si>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</si>
  <si>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</si>
  <si>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</si>
  <si>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</si>
  <si>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</si>
  <si>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</si>
  <si>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</si>
  <si>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</si>
  <si>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</si>
  <si>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</si>
  <si>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</si>
  <si>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</si>
  <si>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</si>
  <si>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</si>
  <si>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</si>
  <si>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</si>
  <si>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</si>
  <si>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</si>
  <si>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</si>
  <si>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</si>
  <si>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</si>
  <si>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</si>
  <si>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</si>
  <si>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</si>
  <si>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</si>
  <si>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</si>
  <si>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</si>
  <si>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</si>
  <si>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</si>
  <si>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</si>
  <si>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</si>
  <si>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</si>
  <si>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</si>
  <si>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</si>
  <si>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</si>
  <si>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</si>
  <si>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</si>
  <si>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</si>
  <si>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</si>
  <si>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</si>
  <si>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</si>
  <si>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</si>
  <si>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</si>
  <si>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</si>
  <si>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</si>
  <si>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</si>
  <si>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</si>
  <si>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</si>
  <si>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</si>
  <si>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</si>
  <si>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</si>
  <si>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</si>
  <si>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</si>
  <si>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</si>
  <si>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</si>
  <si>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</si>
  <si>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</si>
  <si>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</si>
  <si>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</si>
  <si>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</si>
  <si>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</si>
  <si>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</si>
  <si>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</si>
  <si>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</si>
  <si>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</si>
  <si>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</si>
  <si>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</si>
  <si>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</si>
  <si>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</si>
  <si>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</si>
  <si>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</si>
  <si>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</si>
  <si>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</si>
  <si>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</si>
  <si>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</si>
  <si>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</si>
  <si>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</si>
  <si>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</si>
  <si>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</si>
  <si>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</si>
  <si>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</si>
  <si>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</si>
  <si>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</si>
  <si>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</si>
  <si>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</si>
  <si>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</si>
  <si>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</si>
  <si>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</si>
  <si>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</si>
  <si>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</si>
  <si>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</si>
  <si>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</si>
  <si>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</si>
  <si>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</si>
  <si>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</si>
  <si>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</si>
  <si>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</si>
  <si>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</si>
  <si>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</si>
  <si>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</si>
  <si>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</si>
  <si>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</si>
  <si>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</si>
  <si>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</si>
  <si>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</si>
  <si>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</si>
  <si>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</si>
  <si>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</si>
  <si>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</si>
  <si>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</si>
  <si>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</si>
  <si>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</si>
  <si>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</si>
  <si>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</si>
  <si>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</si>
  <si>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</si>
  <si>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</si>
  <si>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</si>
  <si>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</si>
  <si>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</si>
  <si>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</si>
  <si>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</si>
  <si>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</si>
  <si>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</si>
  <si>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</si>
  <si>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</si>
  <si>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</si>
  <si>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</si>
  <si>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</si>
  <si>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</si>
  <si>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</si>
  <si>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</si>
  <si>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</si>
  <si>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</si>
  <si>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</si>
  <si>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</si>
  <si>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</si>
  <si>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</si>
  <si>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</si>
  <si>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</si>
  <si>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</si>
  <si>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</si>
  <si>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</si>
  <si>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</si>
  <si>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</si>
  <si>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</si>
  <si>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</si>
  <si>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</si>
  <si>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</si>
  <si>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</si>
  <si>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</si>
  <si>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</si>
  <si>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</si>
  <si>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</si>
  <si>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</si>
  <si>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</si>
  <si>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</si>
  <si>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</si>
  <si>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</si>
  <si>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</si>
  <si>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</si>
  <si>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</si>
  <si>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</si>
  <si>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</si>
  <si>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</si>
  <si>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</si>
  <si>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</si>
  <si>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</si>
  <si>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</si>
  <si>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</si>
  <si>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</si>
  <si>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</si>
  <si>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</si>
  <si>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</si>
  <si>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</si>
  <si>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</si>
  <si>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</si>
  <si>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</si>
  <si>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</si>
  <si>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</si>
  <si>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</si>
  <si>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</si>
  <si>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</si>
  <si>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</si>
  <si>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</si>
  <si>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</si>
  <si>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</si>
  <si>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</si>
  <si>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</si>
  <si>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</si>
  <si>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</si>
  <si>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</si>
  <si>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</si>
  <si>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</si>
  <si>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</si>
  <si>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</si>
  <si>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</si>
  <si>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</si>
  <si>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</si>
  <si>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</si>
  <si>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</si>
  <si>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</si>
  <si>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</si>
  <si>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</si>
  <si>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</si>
  <si>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</si>
  <si>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</si>
  <si>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</si>
  <si>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</si>
  <si>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</si>
  <si>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</si>
  <si>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</si>
  <si>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</si>
  <si>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</si>
  <si>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</si>
  <si>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</si>
  <si>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</si>
  <si>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</si>
  <si>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</si>
  <si>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</si>
  <si>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</si>
  <si>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</si>
  <si>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</si>
  <si>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</si>
  <si>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</si>
  <si>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</si>
  <si>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</si>
  <si>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</si>
  <si>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</si>
  <si>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</si>
  <si>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</si>
  <si>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</si>
  <si>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</si>
  <si>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</si>
  <si>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</si>
  <si>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</si>
  <si>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</si>
  <si>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</si>
  <si>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</si>
  <si>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</si>
  <si>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</si>
  <si>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</si>
  <si>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</si>
  <si>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</si>
  <si>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</si>
  <si>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</si>
  <si>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</si>
  <si>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</si>
  <si>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</si>
  <si>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</si>
  <si>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</si>
  <si>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</si>
  <si>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</si>
  <si>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</si>
  <si>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</si>
  <si>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</si>
  <si>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</si>
  <si>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</si>
  <si>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</si>
  <si>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</si>
  <si>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</si>
  <si>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</si>
  <si>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</si>
  <si>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</si>
  <si>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</si>
  <si>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</si>
  <si>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</si>
  <si>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</si>
  <si>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</si>
  <si>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</si>
  <si>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</si>
  <si>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</si>
  <si>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</si>
  <si>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</si>
  <si>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</si>
  <si>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</si>
  <si>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</si>
  <si>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</si>
  <si>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</si>
  <si>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</si>
  <si>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</si>
  <si>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</si>
  <si>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</si>
  <si>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</si>
  <si>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</si>
  <si>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</si>
  <si>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</si>
  <si>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</si>
  <si>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</si>
  <si>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</si>
  <si>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</si>
  <si>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</si>
  <si>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</si>
  <si>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</si>
  <si>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</si>
  <si>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</si>
  <si>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</si>
  <si>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</si>
  <si>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</si>
  <si>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</si>
  <si>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</si>
  <si>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</si>
  <si>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</si>
  <si>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</si>
  <si>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</si>
  <si>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</si>
  <si>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</si>
  <si>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</si>
  <si>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</si>
  <si>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</si>
  <si>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</si>
  <si>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</si>
  <si>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</si>
  <si>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</si>
  <si>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</si>
  <si>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</si>
  <si>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</si>
  <si>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</si>
  <si>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</si>
  <si>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</si>
  <si>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</si>
  <si>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</si>
  <si>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</si>
  <si>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</si>
  <si>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</si>
  <si>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</si>
  <si>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</si>
  <si>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</si>
  <si>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</si>
  <si>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</si>
  <si>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</si>
  <si>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</si>
  <si>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</si>
  <si>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</si>
  <si>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</si>
  <si>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</si>
  <si>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</si>
  <si>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</si>
  <si>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</si>
  <si>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</si>
  <si>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</si>
  <si>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</si>
  <si>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</si>
  <si>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</si>
  <si>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</si>
  <si>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</si>
  <si>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</si>
  <si>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</si>
  <si>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</si>
  <si>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</si>
  <si>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</si>
  <si>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</si>
  <si>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</si>
  <si>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</si>
  <si>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</si>
  <si>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</si>
  <si>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</si>
  <si>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</si>
  <si>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</si>
  <si>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</si>
  <si>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</si>
  <si>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</si>
  <si>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</si>
  <si>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</si>
  <si>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</si>
  <si>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</si>
  <si>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</si>
  <si>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</si>
  <si>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</si>
  <si>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</si>
  <si>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</si>
  <si>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</si>
  <si>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</si>
  <si>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</si>
  <si>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</si>
  <si>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</si>
  <si>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</si>
  <si>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</si>
  <si>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</si>
  <si>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</si>
  <si>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</si>
  <si>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</si>
  <si>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</si>
  <si>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</si>
  <si>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</si>
  <si>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</si>
  <si>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</si>
  <si>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</si>
  <si>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</si>
  <si>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</si>
  <si>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</si>
  <si>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</si>
  <si>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</si>
  <si>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</si>
  <si>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</si>
  <si>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</si>
  <si>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</si>
  <si>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</si>
  <si>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</si>
  <si>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</si>
  <si>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</si>
  <si>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</si>
  <si>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</si>
  <si>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</si>
  <si>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</si>
  <si>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</si>
  <si>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</si>
  <si>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</si>
  <si>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</si>
  <si>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</si>
  <si>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</si>
  <si>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</si>
  <si>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</si>
  <si>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</si>
  <si>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</si>
  <si>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</si>
  <si>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</si>
  <si>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</si>
  <si>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</si>
  <si>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</si>
  <si>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</si>
  <si>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</si>
  <si>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</si>
  <si>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</si>
  <si>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</si>
  <si>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</si>
  <si>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</si>
  <si>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</si>
  <si>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</si>
  <si>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</si>
  <si>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</si>
  <si>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</si>
  <si>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</si>
  <si>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</si>
  <si>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</si>
  <si>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</si>
  <si>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</si>
  <si>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</si>
  <si>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</si>
  <si>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</si>
  <si>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</si>
  <si>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</si>
  <si>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</si>
  <si>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</si>
  <si>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</si>
  <si>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</si>
  <si>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</si>
  <si>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</si>
  <si>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</si>
  <si>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</si>
  <si>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</si>
  <si>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</si>
  <si>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</si>
  <si>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</si>
  <si>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</si>
  <si>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</si>
  <si>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</si>
  <si>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</si>
  <si>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</si>
  <si>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</si>
  <si>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</si>
  <si>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</si>
  <si>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</si>
  <si>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</si>
  <si>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</si>
  <si>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</si>
  <si>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</si>
  <si>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</si>
  <si>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</si>
  <si>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</si>
  <si>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</si>
  <si>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</si>
  <si>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</si>
  <si>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</si>
  <si>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</si>
  <si>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</si>
  <si>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</si>
  <si>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</si>
  <si>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</si>
  <si>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</si>
  <si>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</si>
  <si>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</si>
  <si>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</si>
  <si>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</si>
  <si>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</si>
  <si>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</si>
  <si>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</si>
  <si>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</si>
  <si>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</si>
  <si>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</si>
  <si>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</si>
  <si>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</si>
  <si>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</si>
  <si>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</si>
  <si>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</si>
  <si>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</si>
  <si>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</si>
  <si>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</si>
  <si>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</si>
  <si>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</si>
  <si>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</si>
  <si>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</si>
  <si>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</si>
  <si>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</si>
  <si>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</si>
  <si>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</si>
  <si>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</si>
  <si>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</si>
  <si>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</si>
  <si>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</si>
  <si>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</si>
  <si>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</si>
  <si>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</si>
  <si>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</si>
  <si>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</si>
  <si>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</si>
  <si>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</si>
  <si>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</si>
  <si>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</si>
  <si>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</si>
  <si>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</si>
  <si>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</si>
  <si>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</si>
  <si>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</si>
  <si>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</si>
  <si>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</si>
  <si>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</si>
  <si>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</si>
  <si>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</si>
  <si>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</si>
  <si>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</si>
  <si>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</si>
  <si>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</si>
  <si>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</si>
  <si>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</si>
  <si>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</si>
  <si>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</si>
  <si>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</si>
  <si>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</si>
  <si>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</si>
  <si>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</si>
  <si>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</si>
  <si>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</si>
  <si>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</si>
  <si>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</si>
  <si>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</si>
  <si>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</si>
  <si>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</si>
  <si>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</si>
  <si>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</si>
  <si>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</si>
  <si>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</si>
  <si>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</si>
  <si>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</si>
  <si>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</si>
  <si>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</si>
  <si>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</si>
  <si>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</si>
  <si>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</si>
  <si>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</si>
  <si>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</si>
  <si>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</si>
  <si>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</si>
  <si>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</si>
  <si>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</si>
  <si>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</si>
  <si>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</si>
  <si>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</si>
  <si>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</si>
  <si>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</si>
  <si>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</si>
  <si>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</si>
  <si>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</si>
  <si>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</si>
  <si>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</si>
  <si>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</si>
  <si>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</si>
  <si>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</si>
  <si>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</si>
  <si>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</si>
  <si>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</si>
  <si>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</si>
  <si>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</si>
  <si>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</si>
  <si>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</si>
  <si>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</si>
  <si>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</si>
  <si>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</si>
  <si>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</si>
  <si>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</si>
  <si>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</si>
  <si>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</si>
  <si>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</si>
  <si>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</si>
  <si>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</si>
  <si>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</si>
  <si>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</si>
  <si>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</si>
  <si>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</si>
  <si>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</si>
  <si>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</si>
  <si>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</si>
  <si>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</si>
  <si>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</si>
  <si>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</si>
  <si>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</si>
  <si>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</si>
  <si>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</si>
  <si>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</si>
  <si>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</si>
  <si>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</si>
  <si>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</si>
  <si>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</si>
  <si>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</si>
  <si>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</si>
  <si>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</si>
  <si>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</si>
  <si>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</si>
  <si>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</si>
  <si>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</si>
  <si>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</si>
  <si>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</si>
  <si>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</si>
  <si>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</si>
  <si>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</si>
  <si>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</si>
  <si>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</si>
  <si>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</si>
  <si>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</si>
  <si>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</si>
  <si>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</si>
  <si>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</si>
  <si>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</si>
  <si>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</si>
  <si>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</si>
  <si>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</si>
  <si>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</si>
  <si>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</si>
  <si>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</si>
  <si>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</si>
  <si>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</si>
  <si>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</si>
  <si>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</si>
  <si>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</si>
  <si>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</si>
  <si>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</si>
  <si>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</si>
  <si>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</si>
  <si>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</si>
  <si>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</si>
  <si>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</si>
  <si>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</si>
  <si>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</si>
  <si>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</si>
  <si>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</si>
  <si>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</si>
  <si>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</si>
  <si>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</si>
  <si>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</si>
  <si>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</si>
  <si>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</si>
  <si>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</si>
  <si>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</si>
  <si>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</si>
  <si>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</si>
  <si>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</si>
  <si>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</si>
  <si>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</si>
  <si>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</si>
  <si>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</si>
  <si>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</si>
  <si>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</si>
  <si>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</si>
  <si>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</si>
  <si>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</si>
  <si>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</si>
  <si>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</si>
  <si>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</si>
  <si>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</si>
  <si>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</si>
  <si>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</si>
  <si>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</si>
  <si>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</si>
  <si>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</si>
  <si>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</si>
  <si>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</si>
  <si>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</si>
  <si>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</si>
  <si>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</si>
  <si>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</si>
  <si>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</si>
  <si>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</si>
  <si>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</si>
  <si>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</si>
  <si>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</si>
  <si>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</si>
  <si>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</si>
  <si>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</si>
  <si>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</si>
  <si>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</si>
  <si>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</si>
  <si>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</si>
  <si>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</si>
  <si>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</si>
  <si>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</si>
  <si>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</si>
  <si>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</si>
  <si>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</si>
  <si>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</si>
  <si>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</si>
  <si>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</si>
  <si>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</si>
  <si>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</si>
  <si>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</si>
  <si>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</si>
  <si>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</si>
  <si>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</si>
  <si>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</si>
  <si>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</si>
  <si>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</si>
  <si>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</si>
  <si>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</si>
  <si>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</si>
  <si>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</si>
  <si>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</si>
  <si>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</si>
  <si>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</si>
  <si>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</si>
  <si>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</si>
  <si>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</si>
  <si>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</si>
  <si>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</si>
  <si>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</si>
  <si>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</si>
  <si>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</si>
  <si>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</si>
  <si>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</si>
  <si>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</si>
  <si>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</si>
  <si>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</si>
  <si>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</si>
  <si>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</si>
  <si>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</si>
  <si>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</si>
  <si>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</si>
  <si>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</si>
  <si>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</si>
  <si>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</si>
  <si>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</si>
  <si>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</si>
  <si>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</si>
  <si>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</si>
  <si>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</si>
  <si>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</si>
  <si>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</si>
  <si>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</si>
  <si>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</si>
  <si>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</si>
  <si>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</si>
  <si>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</si>
  <si>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</si>
  <si>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</si>
  <si>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</si>
  <si>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</si>
  <si>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</si>
  <si>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</si>
  <si>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</si>
  <si>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</si>
  <si>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</si>
  <si>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</si>
  <si>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</si>
  <si>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</si>
  <si>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</si>
  <si>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</si>
  <si>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</si>
  <si>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</si>
  <si>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</si>
  <si>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</si>
  <si>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</si>
  <si>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</si>
  <si>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</si>
  <si>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</si>
  <si>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</si>
  <si>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</si>
  <si>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</si>
  <si>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</si>
  <si>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</si>
  <si>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</si>
  <si>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</si>
  <si>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</si>
  <si>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</si>
  <si>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</si>
  <si>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</si>
  <si>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</si>
  <si>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</si>
  <si>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</si>
  <si>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</si>
  <si>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</si>
  <si>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</si>
  <si>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</si>
  <si>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</si>
  <si>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</si>
  <si>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</si>
  <si>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</si>
  <si>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</si>
  <si>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</si>
  <si>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</si>
  <si>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</si>
  <si>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</si>
  <si>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</si>
  <si>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</si>
  <si>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</si>
  <si>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</si>
  <si>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</si>
  <si>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</si>
  <si>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</si>
  <si>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</si>
  <si>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</si>
  <si>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</si>
  <si>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</si>
  <si>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</si>
  <si>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</si>
  <si>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</si>
  <si>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</si>
  <si>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</si>
  <si>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</si>
  <si>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</si>
  <si>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</si>
  <si>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</si>
  <si>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</si>
  <si>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</si>
  <si>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</si>
  <si>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</si>
  <si>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</si>
  <si>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</si>
  <si>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</si>
  <si>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</si>
  <si>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</si>
  <si>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</si>
  <si>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</si>
  <si>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</si>
  <si>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</si>
  <si>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</si>
  <si>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</si>
  <si>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</si>
  <si>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</si>
  <si>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</si>
  <si>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</si>
  <si>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</si>
  <si>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</si>
  <si>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</si>
  <si>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</si>
  <si>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</si>
  <si>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</si>
  <si>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</si>
  <si>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</si>
  <si>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</si>
  <si>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</si>
  <si>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</si>
  <si>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</si>
  <si>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</si>
  <si>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</si>
  <si>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</si>
  <si>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</si>
  <si>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</si>
  <si>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</si>
  <si>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</si>
  <si>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</si>
  <si>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</si>
  <si>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</si>
  <si>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</si>
  <si>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</si>
  <si>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</si>
  <si>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</si>
  <si>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</si>
  <si>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</si>
  <si>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</si>
  <si>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</si>
  <si>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</si>
  <si>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</si>
  <si>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</si>
  <si>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</si>
  <si>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</si>
  <si>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</si>
  <si>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</si>
  <si>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</si>
  <si>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</si>
  <si>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</si>
  <si>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</si>
  <si>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</si>
  <si>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</si>
  <si>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</si>
  <si>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</si>
  <si>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</si>
  <si>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</si>
  <si>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</si>
  <si>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</si>
  <si>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</si>
  <si>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</si>
  <si>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</si>
  <si>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</si>
  <si>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</si>
  <si>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</si>
  <si>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</si>
  <si>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</si>
  <si>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</si>
  <si>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</si>
  <si>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</si>
  <si>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</si>
  <si>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</si>
  <si>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</si>
  <si>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</si>
  <si>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</si>
  <si>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</si>
  <si>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</si>
  <si>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</si>
  <si>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</si>
  <si>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</si>
  <si>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</si>
  <si>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</si>
  <si>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</si>
  <si>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</si>
  <si>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</si>
  <si>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</si>
  <si>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</si>
  <si>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</si>
  <si>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</si>
  <si>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</si>
  <si>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</si>
  <si>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</si>
  <si>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</si>
  <si>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</si>
  <si>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</si>
  <si>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</si>
  <si>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</si>
  <si>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</si>
  <si>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</si>
  <si>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</si>
  <si>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</si>
  <si>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</si>
  <si>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</si>
  <si>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</si>
  <si>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</si>
  <si>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</si>
  <si>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</si>
  <si>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</si>
  <si>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</si>
  <si>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</si>
  <si>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</si>
  <si>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</si>
  <si>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</si>
  <si>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</si>
  <si>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</si>
  <si>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</si>
  <si>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</si>
  <si>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</si>
  <si>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</si>
  <si>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</si>
  <si>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</si>
  <si>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</si>
  <si>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</si>
  <si>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</si>
  <si>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</si>
  <si>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</si>
  <si>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</si>
  <si>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</si>
  <si>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</si>
  <si>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</si>
  <si>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</si>
  <si>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</si>
  <si>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</si>
  <si>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</si>
  <si>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</si>
  <si>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</si>
  <si>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</si>
  <si>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</si>
  <si>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</si>
  <si>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</si>
  <si>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</si>
  <si>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</si>
  <si>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</si>
  <si>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</si>
  <si>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</si>
  <si>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</si>
  <si>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</si>
  <si>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</si>
  <si>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</si>
  <si>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</si>
  <si>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</si>
  <si>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</si>
  <si>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</si>
  <si>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</si>
  <si>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</si>
  <si>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</si>
  <si>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</si>
  <si>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</si>
  <si>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</si>
  <si>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</si>
  <si>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</si>
  <si>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</si>
  <si>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</si>
  <si>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</si>
  <si>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</si>
  <si>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</si>
  <si>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</si>
  <si>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</si>
  <si>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</si>
  <si>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</si>
  <si>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</si>
  <si>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</si>
  <si>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</si>
  <si>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</si>
  <si>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</si>
  <si>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</si>
  <si>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</si>
  <si>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</si>
  <si>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</si>
  <si>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</si>
  <si>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</si>
  <si>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</si>
  <si>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</si>
  <si>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</si>
  <si>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</si>
  <si>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</si>
  <si>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</si>
  <si>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</si>
  <si>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</si>
  <si>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</si>
  <si>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</si>
  <si>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</si>
  <si>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</si>
  <si>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</si>
  <si>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</si>
  <si>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</si>
  <si>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</si>
  <si>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</si>
  <si>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</si>
  <si>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</si>
  <si>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</si>
  <si>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</si>
  <si>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</si>
  <si>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</si>
  <si>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</si>
  <si>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</si>
  <si>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</si>
  <si>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</si>
  <si>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</si>
  <si>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</si>
  <si>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</si>
  <si>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</si>
  <si>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</si>
  <si>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</si>
  <si>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</si>
  <si>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</si>
  <si>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</si>
  <si>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</si>
  <si>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</si>
  <si>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</si>
  <si>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</si>
  <si>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</si>
  <si>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</si>
  <si>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</si>
  <si>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</si>
  <si>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</si>
  <si>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</si>
  <si>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</si>
  <si>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</si>
  <si>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</si>
  <si>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</si>
  <si>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</si>
  <si>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</si>
  <si>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</si>
  <si>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</si>
  <si>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</si>
  <si>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</si>
  <si>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</si>
  <si>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</si>
  <si>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</si>
  <si>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</si>
  <si>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</si>
  <si>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</si>
  <si>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</si>
  <si>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</si>
  <si>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</si>
  <si>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</si>
  <si>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</si>
  <si>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</si>
  <si>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</si>
  <si>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</si>
  <si>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</si>
  <si>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</si>
  <si>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</si>
  <si>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</si>
  <si>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</si>
  <si>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</si>
  <si>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</si>
  <si>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</si>
  <si>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</si>
  <si>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</si>
  <si>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</si>
  <si>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</si>
  <si>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</si>
  <si>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</si>
  <si>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</si>
  <si>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</si>
  <si>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</si>
  <si>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</si>
  <si>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</si>
  <si>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</si>
  <si>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</si>
  <si>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</si>
  <si>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</si>
  <si>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</si>
  <si>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</si>
  <si>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</si>
  <si>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</si>
  <si>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</si>
  <si>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</si>
  <si>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</si>
  <si>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</si>
  <si>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</si>
  <si>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</si>
  <si>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</si>
  <si>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</si>
  <si>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</si>
  <si>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</si>
  <si>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</si>
  <si>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</si>
  <si>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</si>
  <si>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</si>
  <si>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</si>
  <si>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</si>
  <si>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</si>
  <si>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</si>
  <si>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</si>
  <si>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</si>
  <si>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</si>
  <si>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</si>
  <si>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</si>
  <si>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</si>
  <si>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</si>
  <si>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</si>
  <si>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</si>
  <si>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</si>
  <si>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</si>
  <si>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</si>
  <si>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</si>
  <si>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</si>
  <si>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</si>
  <si>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</si>
  <si>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</si>
  <si>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</si>
  <si>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</si>
  <si>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</si>
  <si>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</si>
  <si>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</si>
  <si>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</si>
  <si>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</si>
  <si>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</si>
  <si>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</si>
  <si>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</si>
  <si>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</si>
  <si>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</si>
  <si>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</si>
  <si>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</si>
  <si>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</si>
  <si>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</si>
  <si>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</si>
  <si>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</si>
  <si>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</si>
  <si>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</si>
  <si>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</si>
  <si>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</si>
  <si>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</si>
  <si>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</si>
  <si>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</si>
  <si>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</si>
  <si>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</si>
  <si>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</si>
  <si>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</si>
  <si>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</si>
  <si>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</si>
  <si>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</si>
  <si>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</si>
  <si>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</si>
  <si>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</si>
  <si>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</si>
  <si>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</si>
  <si>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</si>
  <si>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</si>
  <si>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</si>
  <si>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</si>
  <si>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</si>
  <si>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</si>
  <si>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</si>
  <si>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</si>
  <si>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</si>
  <si>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</si>
  <si>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</si>
  <si>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</si>
  <si>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</si>
  <si>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</si>
  <si>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</si>
  <si>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</si>
  <si>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</si>
  <si>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</si>
  <si>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</si>
  <si>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</si>
  <si>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</si>
  <si>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</si>
  <si>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</si>
  <si>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</si>
  <si>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</si>
  <si>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</si>
  <si>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</si>
  <si>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</si>
  <si>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</si>
  <si>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</si>
  <si>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</si>
  <si>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</si>
  <si>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</si>
  <si>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</si>
  <si>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</si>
  <si>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</si>
  <si>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</si>
  <si>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</si>
  <si>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</si>
  <si>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</si>
  <si>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</si>
  <si>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</si>
  <si>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</si>
  <si>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</si>
  <si>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</si>
  <si>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</si>
  <si>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</si>
  <si>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</si>
  <si>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</si>
  <si>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</si>
  <si>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</si>
  <si>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</si>
  <si>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</si>
  <si>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</si>
  <si>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</si>
  <si>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</si>
  <si>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</si>
  <si>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</si>
  <si>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</si>
  <si>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</si>
  <si>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</si>
  <si>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</si>
  <si>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</si>
  <si>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</si>
  <si>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</si>
  <si>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</si>
  <si>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</si>
  <si>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</si>
  <si>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</si>
  <si>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</si>
  <si>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</si>
  <si>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</si>
  <si>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</si>
  <si>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</si>
  <si>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</si>
  <si>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</si>
  <si>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</si>
  <si>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</si>
  <si>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</si>
  <si>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</si>
  <si>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</si>
  <si>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</si>
  <si>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</si>
  <si>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</si>
  <si>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</si>
  <si>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</si>
  <si>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</si>
  <si>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</si>
  <si>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</si>
  <si>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</si>
  <si>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</si>
  <si>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</si>
  <si>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</si>
  <si>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</si>
  <si>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</si>
  <si>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</si>
  <si>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</si>
  <si>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</si>
  <si>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</si>
  <si>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</si>
  <si>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</si>
  <si>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</si>
  <si>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</si>
  <si>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</si>
  <si>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</si>
  <si>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</si>
  <si>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</si>
  <si>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</si>
  <si>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</si>
  <si>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</si>
  <si>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</si>
  <si>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</si>
  <si>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</si>
  <si>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</si>
  <si>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</si>
  <si>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</si>
  <si>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</si>
  <si>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</si>
  <si>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</si>
  <si>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</si>
  <si>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</si>
  <si>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</si>
  <si>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</si>
  <si>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</si>
  <si>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</si>
  <si>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</si>
  <si>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</si>
  <si>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</si>
  <si>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</si>
  <si>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</si>
  <si>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</si>
  <si>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</si>
  <si>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</si>
  <si>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</si>
  <si>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</si>
  <si>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</si>
  <si>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</si>
  <si>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</si>
  <si>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</si>
  <si>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</si>
  <si>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</si>
  <si>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</si>
  <si>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</si>
  <si>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</si>
  <si>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</si>
  <si>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</si>
  <si>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</si>
  <si>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</si>
  <si>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</si>
  <si>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</si>
  <si>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</si>
  <si>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</si>
  <si>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</si>
  <si>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</si>
  <si>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</si>
  <si>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</si>
  <si>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</si>
  <si>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</si>
  <si>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</si>
  <si>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</si>
  <si>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</si>
  <si>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</si>
  <si>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</si>
  <si>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</si>
  <si>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</si>
  <si>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</si>
  <si>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</si>
  <si>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</si>
  <si>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</si>
  <si>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</si>
  <si>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</si>
  <si>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</si>
  <si>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</si>
  <si>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</si>
  <si>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</si>
  <si>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</si>
  <si>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</si>
  <si>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</si>
  <si>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</si>
  <si>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</si>
  <si>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</si>
  <si>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</si>
  <si>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</si>
  <si>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</si>
  <si>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</si>
  <si>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</si>
  <si>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</si>
  <si>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</si>
  <si>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</si>
  <si>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</si>
  <si>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</si>
  <si>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</si>
  <si>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</si>
  <si>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</si>
  <si>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</si>
  <si>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</si>
  <si>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</si>
  <si>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</si>
  <si>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</si>
  <si>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</si>
  <si>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</si>
  <si>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</si>
  <si>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</si>
  <si>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</si>
  <si>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</si>
  <si>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</si>
  <si>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</si>
  <si>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</si>
  <si>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</si>
  <si>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</si>
  <si>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</si>
  <si>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</si>
  <si>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</si>
  <si>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</si>
  <si>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</si>
  <si>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</si>
  <si>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</si>
  <si>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</si>
  <si>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</si>
  <si>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</si>
  <si>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</si>
  <si>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</si>
  <si>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</si>
  <si>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</si>
  <si>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</si>
  <si>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</si>
  <si>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</si>
  <si>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</si>
  <si>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</si>
  <si>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</si>
  <si>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</si>
  <si>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</si>
  <si>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</si>
  <si>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</si>
  <si>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</si>
  <si>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</si>
  <si>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</si>
  <si>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</si>
  <si>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</si>
  <si>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</si>
  <si>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</si>
  <si>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</si>
  <si>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</si>
  <si>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</si>
  <si>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</si>
  <si>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</si>
  <si>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</si>
  <si>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</si>
  <si>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</si>
  <si>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</si>
  <si>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</si>
  <si>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</si>
  <si>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</si>
  <si>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</si>
  <si>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</si>
  <si>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</si>
  <si>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</si>
  <si>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</si>
  <si>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</si>
  <si>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</si>
  <si>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</si>
  <si>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</si>
  <si>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</si>
  <si>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</si>
  <si>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</si>
  <si>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</si>
  <si>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</si>
  <si>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</si>
  <si>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</si>
  <si>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</si>
  <si>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</si>
  <si>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</si>
  <si>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</si>
  <si>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</si>
  <si>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</si>
  <si>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</si>
  <si>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</si>
  <si>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</si>
  <si>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</si>
  <si>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</si>
  <si>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</si>
  <si>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</si>
  <si>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</si>
  <si>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</si>
  <si>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</si>
  <si>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</si>
  <si>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</si>
  <si>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</si>
  <si>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</si>
  <si>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</si>
  <si>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</si>
  <si>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</si>
  <si>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</si>
  <si>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</si>
  <si>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</si>
  <si>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</si>
  <si>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</si>
  <si>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</si>
  <si>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</si>
  <si>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</si>
  <si>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</si>
  <si>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</si>
  <si>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</si>
  <si>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</si>
  <si>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</si>
  <si>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</si>
  <si>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</si>
  <si>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</si>
  <si>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</si>
  <si>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</si>
  <si>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</si>
  <si>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</si>
  <si>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</si>
  <si>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</si>
  <si>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</si>
  <si>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</si>
  <si>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</si>
  <si>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</si>
  <si>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</si>
  <si>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</si>
  <si>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</si>
  <si>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</si>
  <si>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</si>
  <si>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</si>
  <si>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</si>
  <si>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</si>
  <si>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</si>
  <si>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</si>
  <si>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</si>
  <si>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</si>
  <si>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</si>
  <si>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</si>
  <si>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</si>
  <si>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</si>
  <si>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</si>
  <si>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</si>
  <si>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</si>
  <si>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</si>
  <si>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</si>
  <si>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</si>
  <si>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</si>
  <si>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</si>
  <si>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</si>
  <si>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</si>
  <si>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</si>
  <si>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</si>
  <si>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</si>
  <si>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</si>
  <si>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</si>
  <si>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</si>
  <si>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</si>
  <si>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</si>
  <si>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</si>
  <si>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</si>
  <si>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</si>
  <si>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</si>
  <si>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</si>
  <si>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</si>
  <si>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</si>
  <si>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</si>
  <si>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</si>
  <si>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</si>
  <si>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</si>
  <si>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</si>
  <si>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</si>
  <si>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</si>
  <si>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</si>
  <si>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</si>
  <si>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</si>
  <si>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</si>
  <si>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</si>
  <si>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</si>
  <si>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</si>
  <si>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</si>
  <si>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</si>
  <si>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</si>
  <si>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</si>
  <si>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</si>
  <si>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</si>
  <si>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</si>
  <si>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</si>
  <si>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</si>
  <si>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</si>
  <si>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</si>
  <si>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</si>
  <si>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</si>
  <si>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</si>
  <si>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</si>
  <si>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</si>
  <si>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</si>
  <si>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</si>
  <si>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</si>
  <si>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</si>
  <si>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</si>
  <si>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</si>
  <si>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</si>
  <si>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</si>
  <si>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</si>
  <si>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</si>
  <si>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</si>
  <si>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</si>
  <si>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</si>
  <si>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</si>
  <si>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</si>
  <si>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</si>
  <si>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</si>
  <si>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</si>
  <si>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</si>
  <si>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</si>
  <si>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</si>
  <si>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</si>
  <si>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</si>
  <si>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</si>
  <si>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</si>
  <si>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</si>
  <si>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</si>
  <si>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</si>
  <si>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</si>
  <si>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</si>
  <si>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</si>
  <si>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</si>
  <si>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</si>
  <si>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</si>
  <si>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</si>
  <si>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</si>
  <si>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</si>
  <si>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</si>
  <si>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</si>
  <si>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</si>
  <si>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</si>
  <si>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</si>
  <si>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</si>
  <si>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</si>
  <si>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</si>
  <si>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</si>
  <si>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</si>
  <si>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</si>
  <si>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</si>
  <si>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</si>
  <si>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</si>
  <si>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</si>
  <si>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</si>
  <si>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</si>
  <si>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</si>
  <si>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</si>
  <si>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</si>
  <si>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</si>
  <si>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</si>
  <si>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</si>
  <si>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</si>
  <si>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</si>
  <si>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</si>
  <si>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</si>
  <si>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</si>
  <si>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</si>
  <si>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</si>
  <si>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</si>
  <si>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</si>
  <si>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</si>
  <si>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</si>
  <si>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</si>
  <si>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</si>
  <si>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</si>
  <si>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</si>
  <si>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</si>
  <si>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</si>
  <si>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</si>
  <si>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</si>
  <si>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</si>
  <si>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</si>
  <si>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</si>
  <si>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</si>
  <si>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</si>
  <si>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</si>
  <si>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</si>
  <si>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</si>
  <si>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</si>
  <si>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</si>
  <si>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</si>
  <si>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</si>
  <si>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</si>
  <si>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</si>
  <si>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</si>
  <si>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</si>
  <si>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</si>
  <si>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</si>
  <si>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</si>
  <si>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</si>
  <si>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</si>
  <si>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</si>
  <si>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</si>
  <si>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</si>
  <si>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</si>
  <si>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</si>
  <si>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</si>
  <si>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</si>
  <si>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</si>
  <si>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</si>
  <si>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</si>
  <si>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</si>
  <si>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</si>
  <si>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</si>
  <si>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</si>
  <si>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</si>
  <si>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</si>
  <si>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</si>
  <si>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</si>
  <si>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</si>
  <si>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</si>
  <si>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</si>
  <si>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</si>
  <si>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</si>
  <si>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</si>
  <si>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</si>
  <si>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</si>
  <si>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</si>
  <si>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</si>
  <si>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</si>
  <si>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</si>
  <si>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</si>
  <si>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</si>
  <si>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</si>
  <si>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</si>
  <si>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</si>
  <si>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</si>
  <si>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</si>
  <si>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</si>
  <si>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</si>
  <si>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</si>
  <si>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</si>
  <si>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</si>
  <si>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</si>
  <si>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</si>
  <si>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</si>
  <si>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</si>
  <si>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</si>
  <si>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</si>
  <si>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</si>
  <si>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</si>
  <si>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</si>
  <si>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</si>
  <si>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</si>
  <si>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</si>
  <si>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</si>
  <si>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</si>
  <si>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</si>
  <si>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</si>
  <si>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</si>
  <si>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</si>
  <si>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</si>
  <si>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</si>
  <si>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</si>
  <si>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</si>
  <si>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</si>
  <si>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</si>
  <si>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</si>
  <si>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</si>
  <si>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</si>
  <si>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</si>
  <si>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</si>
  <si>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</si>
  <si>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</si>
  <si>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</si>
  <si>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</si>
  <si>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</si>
  <si>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</si>
  <si>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</si>
  <si>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</si>
  <si>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</si>
  <si>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</si>
  <si>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</si>
  <si>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</si>
  <si>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</si>
  <si>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</si>
  <si>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</si>
  <si>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</si>
  <si>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</si>
  <si>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</si>
  <si>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</si>
  <si>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</si>
  <si>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</si>
  <si>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</si>
  <si>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</si>
  <si>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</si>
  <si>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</si>
  <si>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</si>
  <si>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</si>
  <si>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</si>
  <si>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</si>
  <si>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</si>
  <si>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</si>
  <si>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</si>
  <si>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</si>
  <si>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</si>
  <si>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</si>
  <si>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</si>
  <si>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</si>
  <si>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</si>
  <si>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</si>
  <si>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</si>
  <si>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</si>
  <si>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</si>
  <si>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</si>
  <si>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</si>
  <si>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</si>
  <si>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</si>
  <si>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</si>
  <si>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</si>
  <si>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</si>
  <si>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</si>
  <si>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</si>
  <si>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</si>
  <si>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</si>
  <si>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</si>
  <si>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</si>
  <si>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</si>
  <si>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</si>
  <si>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</si>
  <si>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</si>
  <si>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</si>
  <si>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</si>
  <si>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</si>
  <si>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</si>
  <si>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</si>
  <si>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</si>
  <si>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</si>
  <si>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</si>
  <si>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</si>
  <si>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</si>
  <si>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</si>
  <si>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</si>
  <si>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</si>
  <si>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</si>
  <si>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</si>
  <si>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</si>
  <si>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</si>
  <si>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</si>
  <si>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</si>
  <si>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</si>
  <si>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</si>
  <si>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</si>
  <si>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</si>
  <si>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</si>
  <si>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</si>
  <si>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</si>
  <si>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</si>
  <si>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</si>
  <si>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</si>
  <si>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</si>
  <si>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</si>
  <si>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</si>
  <si>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</si>
  <si>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</si>
  <si>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</si>
  <si>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</si>
  <si>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</si>
  <si>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</si>
  <si>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</si>
  <si>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</si>
  <si>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</si>
  <si>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</si>
  <si>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</si>
  <si>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</si>
  <si>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</si>
  <si>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</si>
  <si>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</si>
  <si>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</si>
  <si>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</si>
  <si>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</si>
  <si>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</si>
  <si>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</si>
  <si>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</si>
  <si>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</si>
  <si>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</si>
  <si>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</si>
  <si>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</si>
  <si>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</si>
  <si>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</si>
  <si>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</si>
  <si>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</si>
  <si>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</si>
  <si>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</si>
  <si>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</si>
  <si>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</si>
  <si>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</si>
  <si>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</si>
  <si>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</si>
  <si>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</si>
  <si>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</si>
  <si>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</si>
  <si>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</si>
  <si>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</si>
  <si>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</si>
  <si>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</si>
  <si>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</si>
  <si>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</si>
  <si>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</si>
  <si>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</si>
  <si>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</si>
  <si>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</si>
  <si>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</si>
  <si>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</si>
  <si>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</si>
  <si>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</si>
  <si>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</si>
  <si>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</si>
  <si>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</si>
  <si>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</si>
  <si>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</si>
  <si>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</si>
  <si>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</si>
  <si>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</si>
  <si>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</si>
  <si>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</si>
  <si>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</si>
  <si>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</si>
  <si>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</si>
  <si>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</si>
  <si>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</si>
  <si>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</si>
  <si>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</si>
  <si>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</si>
  <si>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</si>
  <si>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</si>
  <si>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</si>
  <si>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</si>
  <si>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</si>
  <si>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</si>
  <si>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</si>
  <si>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</si>
  <si>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</si>
  <si>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</si>
  <si>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</si>
  <si>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</si>
  <si>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</si>
  <si>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</si>
  <si>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</si>
  <si>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</si>
  <si>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</si>
  <si>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</si>
  <si>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</si>
  <si>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</si>
  <si>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</si>
  <si>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</si>
  <si>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</si>
  <si>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</si>
  <si>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</si>
  <si>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</si>
  <si>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</si>
  <si>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</si>
  <si>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</si>
  <si>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</si>
  <si>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</si>
  <si>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</si>
  <si>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</si>
  <si>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</si>
  <si>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</si>
  <si>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</si>
  <si>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</si>
  <si>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</si>
  <si>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</si>
  <si>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</si>
  <si>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</si>
  <si>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</si>
  <si>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</si>
  <si>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</si>
  <si>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</si>
  <si>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</si>
  <si>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</si>
  <si>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</si>
  <si>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</si>
  <si>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</si>
  <si>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</si>
  <si>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</si>
  <si>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</si>
  <si>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</si>
  <si>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</si>
  <si>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</si>
  <si>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</si>
  <si>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</si>
  <si>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</si>
  <si>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</si>
  <si>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</si>
  <si>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</si>
  <si>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</si>
  <si>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</si>
  <si>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</si>
  <si>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</si>
  <si>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</si>
  <si>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</si>
  <si>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</si>
  <si>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</si>
  <si>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</si>
  <si>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</si>
  <si>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</si>
  <si>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</si>
  <si>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</si>
  <si>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</si>
  <si>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</si>
  <si>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</si>
  <si>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</si>
  <si>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</si>
  <si>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</si>
  <si>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</si>
  <si>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</si>
  <si>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</si>
  <si>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</si>
  <si>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</si>
  <si>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</si>
  <si>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</si>
  <si>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</si>
  <si>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</si>
  <si>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</si>
  <si>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</si>
  <si>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</si>
  <si>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</si>
  <si>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</si>
  <si>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</si>
  <si>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</si>
  <si>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</si>
  <si>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</si>
  <si>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</si>
  <si>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</si>
  <si>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</si>
  <si>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</si>
  <si>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</si>
  <si>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</si>
  <si>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</si>
  <si>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</si>
  <si>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</si>
  <si>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</si>
  <si>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</si>
  <si>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</si>
  <si>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</si>
  <si>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</si>
  <si>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</si>
  <si>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</si>
  <si>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</si>
  <si>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</si>
  <si>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</si>
  <si>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</si>
  <si>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</si>
  <si>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</si>
  <si>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</si>
  <si>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</si>
  <si>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</si>
  <si>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</si>
  <si>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</si>
  <si>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</si>
  <si>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</si>
  <si>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</si>
  <si>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</si>
  <si>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</si>
  <si>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</si>
  <si>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</si>
  <si>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</si>
  <si>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</si>
  <si>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</si>
  <si>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</si>
  <si>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</si>
  <si>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</si>
  <si>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</si>
  <si>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</si>
  <si>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</si>
  <si>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</si>
  <si>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</si>
  <si>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</si>
  <si>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</si>
  <si>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</si>
  <si>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</si>
  <si>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</si>
  <si>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</si>
  <si>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</si>
  <si>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</si>
  <si>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</si>
  <si>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</si>
  <si>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</si>
  <si>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</si>
  <si>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</si>
  <si>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</si>
  <si>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</si>
  <si>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</si>
  <si>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</si>
  <si>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</si>
  <si>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</si>
  <si>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</si>
  <si>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</si>
  <si>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</si>
  <si>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</si>
  <si>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</si>
  <si>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</si>
  <si>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</si>
  <si>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</si>
  <si>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</si>
  <si>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</si>
  <si>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</si>
  <si>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</si>
  <si>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</si>
  <si>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</si>
  <si>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</si>
  <si>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</si>
  <si>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</si>
  <si>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</si>
  <si>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</si>
  <si>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</si>
  <si>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</si>
  <si>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</si>
  <si>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</si>
  <si>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</si>
  <si>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</si>
  <si>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</si>
  <si>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</si>
  <si>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</si>
  <si>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</si>
  <si>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</si>
  <si>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</si>
  <si>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</si>
  <si>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</si>
  <si>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</si>
  <si>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</si>
  <si>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</si>
  <si>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</si>
  <si>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</si>
  <si>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</si>
  <si>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</si>
  <si>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</si>
  <si>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</si>
  <si>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</si>
  <si>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</si>
  <si>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</si>
  <si>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</si>
  <si>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</si>
  <si>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</si>
  <si>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</si>
  <si>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</si>
  <si>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</si>
  <si>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</si>
  <si>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</si>
  <si>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</si>
  <si>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</si>
  <si>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</si>
  <si>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</si>
  <si>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</si>
  <si>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</si>
  <si>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</si>
  <si>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</si>
  <si>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</si>
  <si>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</si>
  <si>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</si>
  <si>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</si>
  <si>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</si>
  <si>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</si>
  <si>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</si>
  <si>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</si>
  <si>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</si>
  <si>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</si>
  <si>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</si>
  <si>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</si>
  <si>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</si>
  <si>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</si>
  <si>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</si>
  <si>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</si>
  <si>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</si>
  <si>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</si>
  <si>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</si>
  <si>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</si>
  <si>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</si>
  <si>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</si>
  <si>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</si>
  <si>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</si>
  <si>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</si>
  <si>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</si>
  <si>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</si>
  <si>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</si>
  <si>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</si>
  <si>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</si>
  <si>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</si>
  <si>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</si>
  <si>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</si>
  <si>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</si>
  <si>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</si>
  <si>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</si>
  <si>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</si>
  <si>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</si>
  <si>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</si>
  <si>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</si>
  <si>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</si>
  <si>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</si>
  <si>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</si>
  <si>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</si>
  <si>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</si>
  <si>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</si>
  <si>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</si>
  <si>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</si>
  <si>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</si>
  <si>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</si>
  <si>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</si>
  <si>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</si>
  <si>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</si>
  <si>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</si>
  <si>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</si>
  <si>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</si>
  <si>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</si>
  <si>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</si>
  <si>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</si>
  <si>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</si>
  <si>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</si>
  <si>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</si>
  <si>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</si>
  <si>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</si>
  <si>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</si>
  <si>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</si>
  <si>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</si>
  <si>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</si>
  <si>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</si>
  <si>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</si>
  <si>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</si>
  <si>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</si>
  <si>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</si>
  <si>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</si>
  <si>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</si>
  <si>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</si>
  <si>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</si>
  <si>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</si>
  <si>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</si>
  <si>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</si>
  <si>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</si>
  <si>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</si>
  <si>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</si>
  <si>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</si>
  <si>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</si>
  <si>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</si>
  <si>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</si>
  <si>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</si>
  <si>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</si>
  <si>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</si>
  <si>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</si>
  <si>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</si>
  <si>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</si>
  <si>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</si>
  <si>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</si>
  <si>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</si>
  <si>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</si>
  <si>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</si>
  <si>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</si>
  <si>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</si>
  <si>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</si>
  <si>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</si>
  <si>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</si>
  <si>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</si>
  <si>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</si>
  <si>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</si>
  <si>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</si>
  <si>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</si>
  <si>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</si>
  <si>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</si>
  <si>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</si>
  <si>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</si>
  <si>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</si>
  <si>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</si>
  <si>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</si>
  <si>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</si>
  <si>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</si>
  <si>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</si>
  <si>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</si>
  <si>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</si>
  <si>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</si>
  <si>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</si>
  <si>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</si>
  <si>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</si>
  <si>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</si>
  <si>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</si>
  <si>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</si>
  <si>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</si>
  <si>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</si>
  <si>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</si>
  <si>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</si>
  <si>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</si>
  <si>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</si>
  <si>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</si>
  <si>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</si>
  <si>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</si>
  <si>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</si>
  <si>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</si>
  <si>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</si>
  <si>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</si>
  <si>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</si>
  <si>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</si>
  <si>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</si>
  <si>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</si>
  <si>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</si>
  <si>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</si>
  <si>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</si>
  <si>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</si>
  <si>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</si>
  <si>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</si>
  <si>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</si>
  <si>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</si>
  <si>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</si>
  <si>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</si>
  <si>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</si>
  <si>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</si>
  <si>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</si>
  <si>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</si>
  <si>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</si>
  <si>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</si>
  <si>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</si>
  <si>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</si>
  <si>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</si>
  <si>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</si>
  <si>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</si>
  <si>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</si>
  <si>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</si>
  <si>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</si>
  <si>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</si>
  <si>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</si>
  <si>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</si>
  <si>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</si>
  <si>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</si>
  <si>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</si>
  <si>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</si>
  <si>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</si>
  <si>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</si>
  <si>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</si>
  <si>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</si>
  <si>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</si>
  <si>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</si>
  <si>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</si>
  <si>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</si>
  <si>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</si>
  <si>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</si>
  <si>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</si>
  <si>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</si>
  <si>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</si>
  <si>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</si>
  <si>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</si>
  <si>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</si>
  <si>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</si>
  <si>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</si>
  <si>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</si>
  <si>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</si>
  <si>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</si>
  <si>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</si>
  <si>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</si>
  <si>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</si>
  <si>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</si>
  <si>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</si>
  <si>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</si>
  <si>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</si>
  <si>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</si>
  <si>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</si>
  <si>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</si>
  <si>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</si>
  <si>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</si>
  <si>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</si>
  <si>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</si>
  <si>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</si>
  <si>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</si>
  <si>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</si>
  <si>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</si>
  <si>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</si>
  <si>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</si>
  <si>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</si>
  <si>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</si>
  <si>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</si>
  <si>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</si>
  <si>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</si>
  <si>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</si>
  <si>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</si>
  <si>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</si>
  <si>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</si>
  <si>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</si>
  <si>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</si>
  <si>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</si>
  <si>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</si>
  <si>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</si>
  <si>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</si>
  <si>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</si>
  <si>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</si>
  <si>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</si>
  <si>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</si>
  <si>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</si>
  <si>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</si>
  <si>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</si>
  <si>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</si>
  <si>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</si>
  <si>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</si>
  <si>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</si>
  <si>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</si>
  <si>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</si>
  <si>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</si>
  <si>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</si>
  <si>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</si>
  <si>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</si>
  <si>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</si>
  <si>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</si>
  <si>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</si>
  <si>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</si>
  <si>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</si>
  <si>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</si>
  <si>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</si>
  <si>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</si>
  <si>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</si>
  <si>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</si>
  <si>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</si>
  <si>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</si>
  <si>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</si>
  <si>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</si>
  <si>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</si>
  <si>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</si>
  <si>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</si>
  <si>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</si>
  <si>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</si>
  <si>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</si>
  <si>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</si>
  <si>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</si>
  <si>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</si>
  <si>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</si>
  <si>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</si>
  <si>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</si>
  <si>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</si>
  <si>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</si>
  <si>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</si>
  <si>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</si>
  <si>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</si>
  <si>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</si>
  <si>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</si>
  <si>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</si>
  <si>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</si>
  <si>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</si>
  <si>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</si>
  <si>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</si>
  <si>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</si>
  <si>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</si>
  <si>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</si>
  <si>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</si>
  <si>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</si>
  <si>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</si>
  <si>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</si>
  <si>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</si>
  <si>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</si>
  <si>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</si>
  <si>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</si>
  <si>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</si>
  <si>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</si>
  <si>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</si>
  <si>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</si>
  <si>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</si>
  <si>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</si>
  <si>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</si>
  <si>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</si>
  <si>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</si>
  <si>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</si>
  <si>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</si>
  <si>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</si>
  <si>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</si>
  <si>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</si>
  <si>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</si>
  <si>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</si>
  <si>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</si>
  <si>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</si>
  <si>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</si>
  <si>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</si>
  <si>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</si>
  <si>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</si>
  <si>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</si>
  <si>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</si>
  <si>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</si>
  <si>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</si>
  <si>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</si>
  <si>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</si>
  <si>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</si>
  <si>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</si>
  <si>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</si>
  <si>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</si>
  <si>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</si>
  <si>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</si>
  <si>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</si>
  <si>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</si>
  <si>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</si>
  <si>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</si>
  <si>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</si>
  <si>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</si>
  <si>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</si>
  <si>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</si>
  <si>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</si>
  <si>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</si>
  <si>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</si>
  <si>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</si>
  <si>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</si>
  <si>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</si>
  <si>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</si>
  <si>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</si>
  <si>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</si>
  <si>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</si>
  <si>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</si>
  <si>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</si>
  <si>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</si>
  <si>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</si>
  <si>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</si>
  <si>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</si>
  <si>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</si>
  <si>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</si>
  <si>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</si>
  <si>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</si>
  <si>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</si>
  <si>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</si>
  <si>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</si>
  <si>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</si>
  <si>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</si>
  <si>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</si>
  <si>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</si>
  <si>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</si>
  <si>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</si>
  <si>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</si>
  <si>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</si>
  <si>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</si>
  <si>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</si>
  <si>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</si>
  <si>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</si>
  <si>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</si>
  <si>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</si>
  <si>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</si>
  <si>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</si>
  <si>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</si>
  <si>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</si>
  <si>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</si>
  <si>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</si>
  <si>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</si>
  <si>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</si>
  <si>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</si>
  <si>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</si>
  <si>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</si>
  <si>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</si>
  <si>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</si>
  <si>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</si>
  <si>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</si>
  <si>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</si>
  <si>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</si>
  <si>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</si>
  <si>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</si>
  <si>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</si>
  <si>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</si>
  <si>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</si>
  <si>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</si>
  <si>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</si>
  <si>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</si>
  <si>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</si>
  <si>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</si>
  <si>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</si>
  <si>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</si>
  <si>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</si>
  <si>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</si>
  <si>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</si>
  <si>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</si>
  <si>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</si>
  <si>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</si>
  <si>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</si>
  <si>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</si>
  <si>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</si>
  <si>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</si>
  <si>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</si>
  <si>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</si>
  <si>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</si>
  <si>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</si>
  <si>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</si>
  <si>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</si>
  <si>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</si>
  <si>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</si>
  <si>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</si>
  <si>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</si>
  <si>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</si>
  <si>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</si>
  <si>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</si>
  <si>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</si>
  <si>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</si>
  <si>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</si>
  <si>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</si>
  <si>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</si>
  <si>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</si>
  <si>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</si>
  <si>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</si>
  <si>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</si>
  <si>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</si>
  <si>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</si>
  <si>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</si>
  <si>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</si>
  <si>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</si>
  <si>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</si>
  <si>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</si>
  <si>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</si>
  <si>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</si>
  <si>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</si>
  <si>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</si>
  <si>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</si>
  <si>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</si>
  <si>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</si>
  <si>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</si>
  <si>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</si>
  <si>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</si>
  <si>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</si>
  <si>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</si>
  <si>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</si>
  <si>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</si>
  <si>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</si>
  <si>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</si>
  <si>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</si>
  <si>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</si>
  <si>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</si>
  <si>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</si>
  <si>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</si>
  <si>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</si>
  <si>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</si>
  <si>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</si>
  <si>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</si>
  <si>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</si>
  <si>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</si>
  <si>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</si>
  <si>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</si>
  <si>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</si>
  <si>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</si>
  <si>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</si>
  <si>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</si>
  <si>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</si>
  <si>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</si>
  <si>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</si>
  <si>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</si>
  <si>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</si>
  <si>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</si>
  <si>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</si>
  <si>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</si>
  <si>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</si>
  <si>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</si>
  <si>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</si>
  <si>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</si>
  <si>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</si>
  <si>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</si>
  <si>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</si>
  <si>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</si>
  <si>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</si>
  <si>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</si>
  <si>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</si>
  <si>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</si>
  <si>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</si>
  <si>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</si>
  <si>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</si>
  <si>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</si>
  <si>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</si>
  <si>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</si>
  <si>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</si>
  <si>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</si>
  <si>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</si>
  <si>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</si>
  <si>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</si>
  <si>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</si>
  <si>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</si>
  <si>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</si>
  <si>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</si>
  <si>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</si>
  <si>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</si>
  <si>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</si>
  <si>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</si>
  <si>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</si>
  <si>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</si>
  <si>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</si>
  <si>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</si>
  <si>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</si>
  <si>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</si>
  <si>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</si>
  <si>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</si>
  <si>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</si>
  <si>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</si>
  <si>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</si>
  <si>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</si>
  <si>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</si>
  <si>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</si>
  <si>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</si>
  <si>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</si>
  <si>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</si>
  <si>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</si>
  <si>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</si>
  <si>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</si>
  <si>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</si>
  <si>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</si>
  <si>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</si>
  <si>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</si>
  <si>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</si>
  <si>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</si>
  <si>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</si>
  <si>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</si>
  <si>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</si>
  <si>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</si>
  <si>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</si>
  <si>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</si>
  <si>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</si>
  <si>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</si>
  <si>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</si>
  <si>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</si>
  <si>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</si>
  <si>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</si>
  <si>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</si>
  <si>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</si>
  <si>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</si>
  <si>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</si>
  <si>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</si>
  <si>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</si>
  <si>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</si>
  <si>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</si>
  <si>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</si>
  <si>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</si>
  <si>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</si>
  <si>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</si>
  <si>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</si>
  <si>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</si>
  <si>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</si>
  <si>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</si>
  <si>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</si>
  <si>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</si>
  <si>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</si>
  <si>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</si>
  <si>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</si>
  <si>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</si>
  <si>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</si>
  <si>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</si>
  <si>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</si>
  <si>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</si>
  <si>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</si>
  <si>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</si>
  <si>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</si>
  <si>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</si>
  <si>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</si>
  <si>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</si>
  <si>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</si>
  <si>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</si>
  <si>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</si>
  <si>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</si>
  <si>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</si>
  <si>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</si>
  <si>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</si>
  <si>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</si>
  <si>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</si>
  <si>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</si>
  <si>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</si>
  <si>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</si>
  <si>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</si>
  <si>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</si>
  <si>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</si>
  <si>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</si>
  <si>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</si>
  <si>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</si>
  <si>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</si>
  <si>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</si>
  <si>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</si>
  <si>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</si>
  <si>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</si>
  <si>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</si>
  <si>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</si>
  <si>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</si>
  <si>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</si>
  <si>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</si>
  <si>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</si>
  <si>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</si>
  <si>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</si>
  <si>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</si>
  <si>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</si>
  <si>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</si>
  <si>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</si>
  <si>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</si>
  <si>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</si>
  <si>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</si>
  <si>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</si>
  <si>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</si>
  <si>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</si>
  <si>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</si>
  <si>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</si>
  <si>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</si>
  <si>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</si>
  <si>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</si>
  <si>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</si>
  <si>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</si>
  <si>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</si>
  <si>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</si>
  <si>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</si>
  <si>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</si>
  <si>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</si>
  <si>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</si>
  <si>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</si>
  <si>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</si>
  <si>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</si>
  <si>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</si>
  <si>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</si>
  <si>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</si>
  <si>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</si>
  <si>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</si>
  <si>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</si>
  <si>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</si>
  <si>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</si>
  <si>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</si>
  <si>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</si>
  <si>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</si>
  <si>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</si>
  <si>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</si>
  <si>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</si>
  <si>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</si>
  <si>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</si>
  <si>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</si>
  <si>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</si>
  <si>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</si>
  <si>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</si>
  <si>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</si>
  <si>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</si>
  <si>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</si>
  <si>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</si>
  <si>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</si>
  <si>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</si>
  <si>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</si>
  <si>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</si>
  <si>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</si>
  <si>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</si>
  <si>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</si>
  <si>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</si>
  <si>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</si>
  <si>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</si>
  <si>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</si>
  <si>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</si>
  <si>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</si>
  <si>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</si>
  <si>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</si>
  <si>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</si>
  <si>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</si>
  <si>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</si>
  <si>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</si>
  <si>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</si>
  <si>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</si>
  <si>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</si>
  <si>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</si>
  <si>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</si>
  <si>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</si>
  <si>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</si>
  <si>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</si>
  <si>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</si>
  <si>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</si>
  <si>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</si>
  <si>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</si>
  <si>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</si>
  <si>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</si>
  <si>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</si>
  <si>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</si>
  <si>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</si>
  <si>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</si>
  <si>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</si>
  <si>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</si>
  <si>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</si>
  <si>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</si>
  <si>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</si>
  <si>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</si>
  <si>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</si>
  <si>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</si>
  <si>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</si>
  <si>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</si>
  <si>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</si>
  <si>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</si>
  <si>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</si>
  <si>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</si>
  <si>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</si>
  <si>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</si>
  <si>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</si>
  <si>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</si>
  <si>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</si>
  <si>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</si>
  <si>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</si>
  <si>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</si>
  <si>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</si>
  <si>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</si>
  <si>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</si>
  <si>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</si>
  <si>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</si>
  <si>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</si>
  <si>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</si>
  <si>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</si>
  <si>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</si>
  <si>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</si>
  <si>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</si>
  <si>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</si>
  <si>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</si>
  <si>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</si>
  <si>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</si>
  <si>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</si>
  <si>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</si>
  <si>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</si>
  <si>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</si>
  <si>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</si>
  <si>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</si>
  <si>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</si>
  <si>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</si>
  <si>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</si>
  <si>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</si>
  <si>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</si>
  <si>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</si>
  <si>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</si>
  <si>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</si>
  <si>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</si>
  <si>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</si>
  <si>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</si>
  <si>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</si>
  <si>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</si>
  <si>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</si>
  <si>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</si>
  <si>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</si>
  <si>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</si>
  <si>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</si>
  <si>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</si>
  <si>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</si>
  <si>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</si>
  <si>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</si>
  <si>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</si>
  <si>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</si>
  <si>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</si>
  <si>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</si>
  <si>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</si>
  <si>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</si>
  <si>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</si>
  <si>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</si>
  <si>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</si>
  <si>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</si>
  <si>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</si>
  <si>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</si>
  <si>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</si>
  <si>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</si>
  <si>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</si>
  <si>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</si>
  <si>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</si>
  <si>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</si>
  <si>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</si>
  <si>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</si>
  <si>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</si>
  <si>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</si>
  <si>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</si>
  <si>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</si>
  <si>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</si>
  <si>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</si>
  <si>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</si>
  <si>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</si>
  <si>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</si>
  <si>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</si>
  <si>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</si>
  <si>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</si>
  <si>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</si>
  <si>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</si>
  <si>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</si>
  <si>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</si>
  <si>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</si>
  <si>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</si>
  <si>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</si>
  <si>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</si>
  <si>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</si>
  <si>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</si>
  <si>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</si>
  <si>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</si>
  <si>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</si>
  <si>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</si>
  <si>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</si>
  <si>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</si>
  <si>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</si>
  <si>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</si>
  <si>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</si>
  <si>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</si>
  <si>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</si>
  <si>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</si>
  <si>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</si>
  <si>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</si>
  <si>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</si>
  <si>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</si>
  <si>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</si>
  <si>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</si>
  <si>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</si>
  <si>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</si>
  <si>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</si>
  <si>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</si>
  <si>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</si>
  <si>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</si>
  <si>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</si>
  <si>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</si>
  <si>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</si>
  <si>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</si>
  <si>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</si>
  <si>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</si>
  <si>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</si>
  <si>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</si>
  <si>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</si>
  <si>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</si>
  <si>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</si>
  <si>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</si>
  <si>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</si>
  <si>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</si>
  <si>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</si>
  <si>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</si>
  <si>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</si>
  <si>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</si>
  <si>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</si>
  <si>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</si>
  <si>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</si>
  <si>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</si>
  <si>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</si>
  <si>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</si>
  <si>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</si>
  <si>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</si>
  <si>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</si>
  <si>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</si>
  <si>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</si>
  <si>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</si>
  <si>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</si>
  <si>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</si>
  <si>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</si>
  <si>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</si>
  <si>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</si>
  <si>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</si>
  <si>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</si>
  <si>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</si>
  <si>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</si>
  <si>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</si>
  <si>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</si>
  <si>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</si>
  <si>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</si>
  <si>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</si>
  <si>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</si>
  <si>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</si>
  <si>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</si>
  <si>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</si>
  <si>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</si>
  <si>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</si>
  <si>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</si>
  <si>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</si>
  <si>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</si>
  <si>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</si>
  <si>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</si>
  <si>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</si>
  <si>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</si>
  <si>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</si>
  <si>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</si>
  <si>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</si>
  <si>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</si>
  <si>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</si>
  <si>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</si>
  <si>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</si>
  <si>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</si>
  <si>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</si>
  <si>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</si>
  <si>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</si>
  <si>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</si>
  <si>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</si>
  <si>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</si>
  <si>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</si>
  <si>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</si>
  <si>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</si>
  <si>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</si>
  <si>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</si>
  <si>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</si>
  <si>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</si>
  <si>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</si>
  <si>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</si>
  <si>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</si>
  <si>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</si>
  <si>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</si>
  <si>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</si>
  <si>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</si>
  <si>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</si>
  <si>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</si>
  <si>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</si>
  <si>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</si>
  <si>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</si>
  <si>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</si>
  <si>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</si>
  <si>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</si>
  <si>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</si>
  <si>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</si>
  <si>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</si>
  <si>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</si>
  <si>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</si>
  <si>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</si>
  <si>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</si>
  <si>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</si>
  <si>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</si>
  <si>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</si>
  <si>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</si>
  <si>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</si>
  <si>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</si>
  <si>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</si>
  <si>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</si>
  <si>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</si>
  <si>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</si>
  <si>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</si>
  <si>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</si>
  <si>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</si>
  <si>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</si>
  <si>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</si>
  <si>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</si>
  <si>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</si>
  <si>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</si>
  <si>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</si>
  <si>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</si>
  <si>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</si>
  <si>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</si>
  <si>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</si>
  <si>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</si>
  <si>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</si>
  <si>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</si>
  <si>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</si>
  <si>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</si>
  <si>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</si>
  <si>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</si>
  <si>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</si>
  <si>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</si>
  <si>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</si>
  <si>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</si>
  <si>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</si>
  <si>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</si>
  <si>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</si>
  <si>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</si>
  <si>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</si>
  <si>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</si>
  <si>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</si>
  <si>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</si>
  <si>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</si>
  <si>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</si>
  <si>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</si>
  <si>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</si>
  <si>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</si>
  <si>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</si>
  <si>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</si>
  <si>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</si>
  <si>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</si>
  <si>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</si>
  <si>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</si>
  <si>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</si>
  <si>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</si>
  <si>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</si>
  <si>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</si>
  <si>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</si>
  <si>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</si>
  <si>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</si>
  <si>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</si>
  <si>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</si>
  <si>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</si>
  <si>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</si>
  <si>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</si>
  <si>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</si>
  <si>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</si>
  <si>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</si>
  <si>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</si>
  <si>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</si>
  <si>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</si>
  <si>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</si>
  <si>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</si>
  <si>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</si>
  <si>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</si>
  <si>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</si>
  <si>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</si>
  <si>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</si>
  <si>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</si>
  <si>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</si>
  <si>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</si>
  <si>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</si>
  <si>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</si>
  <si>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</si>
  <si>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</si>
  <si>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</si>
  <si>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</si>
  <si>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</si>
  <si>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</si>
  <si>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</si>
  <si>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</si>
  <si>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</si>
  <si>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</si>
  <si>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</si>
  <si>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</si>
  <si>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</si>
  <si>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</si>
  <si>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</si>
  <si>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</si>
  <si>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</si>
  <si>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</si>
  <si>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</si>
  <si>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</si>
  <si>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</si>
  <si>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</si>
  <si>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</si>
  <si>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</si>
  <si>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</si>
  <si>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</si>
  <si>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</si>
  <si>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</si>
  <si>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</si>
  <si>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</si>
  <si>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</si>
  <si>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</si>
  <si>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</si>
  <si>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</si>
  <si>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</si>
  <si>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</si>
  <si>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</si>
  <si>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</si>
  <si>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</si>
  <si>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</si>
  <si>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</si>
  <si>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</si>
  <si>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</si>
  <si>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</si>
  <si>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</si>
  <si>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</si>
  <si>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</si>
  <si>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</si>
  <si>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</si>
  <si>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</si>
  <si>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</si>
  <si>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</si>
  <si>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</si>
  <si>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</si>
  <si>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</si>
  <si>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</si>
  <si>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</si>
  <si>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</si>
  <si>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</si>
  <si>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</si>
  <si>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</si>
  <si>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</si>
  <si>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</si>
  <si>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</si>
  <si>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</si>
  <si>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</si>
  <si>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</si>
  <si>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</si>
  <si>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</si>
  <si>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</si>
  <si>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</si>
  <si>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</si>
  <si>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</si>
  <si>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</si>
  <si>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</si>
  <si>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</si>
  <si>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</si>
  <si>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</si>
  <si>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</si>
  <si>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</si>
  <si>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</si>
  <si>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</si>
  <si>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</si>
  <si>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</si>
  <si>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</si>
  <si>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</si>
  <si>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</si>
  <si>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</si>
  <si>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</si>
  <si>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</si>
  <si>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</si>
  <si>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</si>
  <si>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</si>
  <si>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</si>
  <si>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</si>
  <si>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</si>
  <si>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</si>
  <si>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</si>
  <si>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</si>
  <si>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</si>
  <si>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</si>
  <si>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</si>
  <si>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</si>
  <si>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</si>
  <si>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</si>
  <si>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</si>
  <si>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</si>
  <si>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</si>
  <si>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</si>
  <si>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</si>
  <si>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</si>
  <si>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</si>
  <si>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</si>
  <si>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</si>
  <si>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</si>
  <si>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</si>
  <si>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</si>
  <si>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</si>
  <si>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</si>
  <si>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</si>
  <si>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</si>
  <si>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</si>
  <si>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</si>
  <si>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</si>
  <si>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</si>
  <si>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</si>
  <si>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</si>
  <si>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</si>
  <si>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</si>
  <si>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</si>
  <si>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</si>
  <si>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</si>
  <si>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</si>
  <si>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</si>
  <si>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</si>
  <si>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</si>
  <si>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</si>
  <si>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</si>
  <si>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</si>
  <si>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</si>
  <si>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</si>
  <si>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</si>
  <si>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</si>
  <si>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</si>
  <si>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</si>
  <si>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</si>
  <si>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</si>
  <si>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</si>
  <si>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</si>
  <si>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</si>
  <si>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</si>
  <si>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</si>
  <si>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</si>
  <si>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</si>
  <si>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</si>
  <si>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</si>
  <si>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</si>
  <si>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</si>
  <si>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</si>
  <si>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</si>
  <si>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</si>
  <si>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</si>
  <si>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</si>
  <si>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</si>
  <si>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</si>
  <si>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</si>
  <si>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</si>
  <si>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</si>
  <si>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</si>
  <si>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</si>
  <si>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</si>
  <si>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</si>
  <si>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</si>
  <si>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</si>
  <si>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</si>
  <si>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</si>
  <si>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</si>
  <si>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</si>
  <si>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</si>
  <si>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</si>
  <si>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</si>
  <si>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</si>
  <si>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</si>
  <si>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</si>
  <si>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</si>
  <si>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</si>
  <si>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</si>
  <si>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</si>
  <si>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</si>
  <si>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</si>
  <si>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</si>
  <si>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</si>
  <si>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</si>
  <si>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</si>
  <si>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</si>
  <si>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</si>
  <si>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</si>
  <si>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</si>
  <si>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</si>
  <si>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</si>
  <si>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</si>
  <si>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</si>
  <si>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</si>
  <si>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</si>
  <si>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</si>
  <si>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</si>
  <si>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</si>
  <si>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</si>
  <si>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</si>
  <si>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</si>
  <si>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</si>
  <si>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</si>
  <si>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</si>
  <si>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</si>
  <si>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</si>
  <si>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</si>
  <si>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</si>
  <si>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</si>
  <si>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</si>
  <si>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</si>
  <si>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</si>
  <si>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</si>
  <si>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</si>
  <si>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</si>
  <si>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</si>
  <si>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</si>
  <si>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</si>
  <si>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</si>
  <si>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</si>
  <si>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</si>
  <si>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</si>
  <si>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</si>
  <si>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</si>
  <si>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</si>
  <si>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</si>
  <si>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</si>
  <si>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</si>
  <si>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</si>
  <si>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</si>
  <si>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</si>
  <si>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</si>
  <si>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</si>
  <si>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</si>
  <si>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</si>
  <si>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</si>
  <si>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</si>
  <si>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</si>
  <si>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</si>
  <si>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</si>
  <si>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</si>
  <si>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</si>
  <si>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</si>
  <si>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</si>
  <si>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</si>
  <si>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</si>
  <si>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</si>
  <si>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</si>
  <si>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</si>
  <si>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</si>
  <si>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</si>
  <si>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</si>
  <si>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</si>
  <si>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</si>
  <si>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</si>
  <si>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</si>
  <si>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</si>
  <si>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</si>
  <si>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</si>
  <si>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</si>
  <si>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</si>
  <si>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</si>
  <si>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</si>
  <si>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</si>
  <si>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</si>
  <si>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</si>
  <si>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</si>
  <si>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</si>
  <si>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</si>
  <si>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</si>
  <si>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</si>
  <si>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</si>
  <si>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</si>
  <si>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</si>
  <si>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</si>
  <si>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</si>
  <si>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</si>
  <si>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</si>
  <si>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</si>
  <si>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</si>
  <si>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</si>
  <si>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</si>
  <si>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</si>
  <si>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</si>
  <si>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</si>
  <si>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</si>
  <si>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</si>
  <si>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</si>
  <si>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</si>
  <si>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</si>
  <si>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</si>
  <si>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</si>
  <si>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</si>
  <si>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</si>
  <si>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</si>
  <si>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</si>
  <si>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</si>
  <si>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</si>
  <si>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</si>
  <si>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</si>
  <si>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</si>
  <si>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</si>
  <si>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</si>
  <si>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</si>
  <si>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</si>
  <si>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</si>
  <si>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</si>
  <si>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</si>
  <si>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</si>
  <si>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</si>
  <si>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</si>
  <si>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</si>
  <si>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</si>
  <si>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</si>
  <si>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</si>
  <si>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</si>
  <si>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</si>
  <si>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</si>
  <si>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</si>
  <si>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</si>
  <si>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</si>
  <si>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</si>
  <si>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</si>
  <si>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</si>
  <si>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</si>
  <si>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</si>
  <si>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</si>
  <si>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</si>
  <si>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</si>
  <si>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</si>
  <si>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</si>
  <si>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</si>
  <si>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</si>
  <si>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</si>
  <si>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</si>
  <si>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</si>
  <si>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</si>
  <si>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</si>
  <si>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</si>
  <si>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</si>
  <si>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</si>
  <si>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</si>
  <si>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</si>
  <si>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</si>
  <si>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</si>
  <si>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</si>
  <si>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</si>
  <si>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</si>
  <si>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</si>
  <si>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</si>
  <si>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</si>
  <si>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</si>
  <si>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</si>
  <si>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</si>
  <si>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</si>
  <si>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</si>
  <si>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</si>
  <si>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</si>
  <si>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</si>
  <si>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</si>
  <si>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</si>
  <si>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</si>
  <si>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</si>
  <si>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</si>
  <si>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</si>
  <si>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</si>
  <si>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</si>
  <si>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</si>
  <si>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</si>
  <si>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</si>
  <si>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</si>
  <si>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</si>
  <si>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</si>
  <si>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</si>
  <si>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</si>
  <si>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</si>
  <si>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</si>
  <si>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</si>
  <si>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</si>
  <si>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</si>
  <si>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</si>
  <si>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</si>
  <si>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</si>
  <si>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</si>
  <si>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</si>
  <si>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</si>
  <si>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</si>
  <si>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</si>
  <si>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</si>
  <si>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</si>
  <si>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</si>
  <si>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</si>
  <si>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</si>
  <si>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</si>
  <si>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</si>
  <si>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</si>
  <si>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</si>
  <si>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</si>
  <si>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</si>
  <si>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</si>
  <si>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</si>
  <si>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</si>
  <si>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</si>
  <si>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</si>
  <si>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</si>
  <si>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</si>
  <si>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</si>
  <si>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</si>
  <si>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</si>
  <si>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</si>
  <si>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</si>
  <si>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</si>
  <si>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</si>
  <si>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</si>
  <si>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</si>
  <si>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</si>
  <si>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</si>
  <si>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</si>
  <si>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</si>
  <si>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</si>
  <si>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</si>
  <si>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</si>
  <si>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</si>
  <si>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</si>
  <si>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</si>
  <si>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</si>
  <si>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</si>
  <si>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</si>
  <si>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</si>
  <si>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</si>
  <si>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</si>
  <si>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</si>
  <si>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</si>
  <si>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</si>
  <si>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</si>
  <si>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</si>
  <si>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</si>
  <si>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</si>
  <si>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</si>
  <si>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</si>
  <si>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</si>
  <si>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</si>
  <si>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</si>
  <si>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</si>
  <si>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</si>
  <si>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</si>
  <si>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</si>
  <si>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</si>
  <si>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</si>
  <si>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</si>
  <si>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</si>
  <si>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</si>
  <si>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</si>
  <si>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</si>
  <si>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</si>
  <si>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</si>
  <si>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</si>
  <si>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</si>
  <si>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</si>
  <si>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</si>
  <si>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</si>
  <si>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</si>
  <si>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</si>
  <si>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</si>
  <si>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</si>
  <si>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</si>
  <si>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</si>
  <si>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</si>
  <si>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</si>
  <si>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</si>
  <si>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</si>
  <si>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</si>
  <si>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</si>
  <si>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</si>
  <si>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</si>
  <si>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</si>
  <si>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</si>
  <si>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</si>
  <si>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</si>
  <si>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</si>
  <si>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</si>
  <si>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</si>
  <si>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</si>
  <si>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</si>
  <si>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</si>
  <si>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</si>
  <si>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</si>
  <si>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</si>
  <si>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</si>
  <si>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</si>
  <si>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</si>
  <si>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</si>
  <si>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</si>
  <si>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</si>
  <si>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</si>
  <si>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</si>
  <si>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</si>
  <si>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</si>
  <si>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</si>
  <si>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</si>
  <si>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</si>
  <si>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</si>
  <si>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</si>
  <si>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</si>
  <si>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</si>
  <si>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</si>
  <si>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</si>
  <si>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</si>
  <si>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</si>
  <si>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</si>
  <si>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</si>
  <si>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</si>
  <si>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</si>
  <si>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</si>
  <si>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</si>
  <si>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</si>
  <si>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</si>
  <si>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</si>
  <si>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</si>
  <si>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</si>
  <si>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</si>
  <si>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</si>
  <si>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</si>
  <si>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</si>
  <si>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</si>
  <si>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</si>
  <si>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</si>
  <si>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</si>
  <si>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</si>
  <si>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</si>
  <si>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</si>
  <si>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</si>
  <si>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</si>
  <si>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</si>
  <si>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</si>
  <si>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</si>
  <si>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</si>
  <si>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</si>
  <si>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</si>
  <si>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</si>
  <si>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</si>
  <si>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</si>
  <si>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</si>
  <si>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</si>
  <si>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</si>
  <si>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</si>
  <si>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</si>
  <si>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</si>
  <si>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</si>
  <si>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</si>
  <si>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</si>
  <si>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</si>
  <si>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</si>
  <si>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</si>
  <si>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</si>
  <si>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</si>
  <si>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</si>
  <si>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</si>
  <si>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</si>
  <si>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</si>
  <si>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</si>
  <si>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</si>
  <si>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</si>
  <si>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</si>
  <si>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</si>
  <si>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</si>
  <si>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</si>
  <si>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</si>
  <si>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</si>
  <si>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</si>
  <si>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</si>
  <si>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</si>
  <si>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</si>
  <si>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</si>
  <si>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</si>
  <si>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</si>
  <si>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</si>
  <si>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</si>
  <si>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</si>
  <si>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</si>
  <si>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</si>
  <si>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</si>
  <si>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</si>
  <si>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</si>
  <si>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</si>
  <si>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</si>
  <si>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</si>
  <si>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</si>
  <si>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</si>
  <si>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</si>
  <si>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</si>
  <si>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</si>
  <si>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</si>
  <si>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</si>
  <si>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</si>
  <si>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</si>
  <si>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</si>
  <si>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</si>
  <si>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</si>
  <si>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</si>
  <si>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</si>
  <si>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</si>
  <si>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</si>
  <si>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</si>
  <si>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</si>
  <si>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</si>
  <si>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</si>
  <si>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</si>
  <si>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</si>
  <si>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</si>
  <si>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</si>
  <si>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</si>
  <si>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</si>
  <si>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</si>
  <si>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</si>
  <si>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</si>
  <si>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</si>
  <si>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</si>
  <si>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</si>
  <si>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</si>
  <si>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</si>
  <si>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</si>
  <si>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</si>
  <si>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</si>
  <si>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</si>
  <si>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</si>
  <si>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</si>
  <si>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</si>
  <si>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</si>
  <si>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</si>
  <si>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</si>
  <si>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</si>
  <si>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</si>
  <si>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</si>
  <si>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</si>
  <si>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</si>
  <si>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</si>
  <si>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</si>
  <si>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</si>
  <si>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</si>
  <si>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</si>
  <si>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</si>
  <si>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</si>
  <si>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</si>
  <si>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</si>
  <si>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</si>
  <si>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</si>
  <si>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</si>
  <si>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</si>
  <si>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</si>
  <si>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</si>
  <si>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</si>
  <si>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</si>
  <si>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</si>
  <si>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</si>
  <si>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</si>
  <si>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</si>
  <si>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</si>
  <si>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</si>
  <si>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</si>
  <si>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</si>
  <si>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</si>
  <si>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</si>
  <si>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</si>
  <si>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</si>
  <si>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</si>
  <si>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</si>
  <si>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</si>
  <si>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</si>
  <si>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</si>
  <si>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</si>
  <si>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</si>
  <si>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</si>
  <si>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</si>
  <si>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</si>
  <si>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</si>
  <si>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</si>
  <si>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</si>
  <si>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</si>
  <si>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</si>
  <si>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</si>
  <si>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</si>
  <si>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</si>
  <si>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</si>
  <si>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</si>
  <si>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</si>
  <si>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</si>
  <si>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</si>
  <si>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</si>
  <si>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</si>
  <si>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</si>
  <si>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</si>
  <si>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</si>
  <si>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</si>
  <si>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</si>
  <si>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</si>
  <si>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</si>
  <si>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</si>
  <si>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</si>
  <si>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</si>
  <si>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</si>
  <si>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</si>
  <si>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</si>
  <si>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</si>
  <si>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</si>
  <si>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</si>
  <si>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</si>
  <si>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</si>
  <si>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</si>
  <si>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</si>
  <si>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</si>
  <si>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</si>
  <si>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</si>
  <si>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</si>
  <si>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</si>
  <si>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</si>
  <si>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</si>
  <si>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</si>
  <si>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</si>
  <si>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</si>
  <si>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</si>
  <si>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</si>
  <si>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</si>
  <si>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</si>
  <si>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</si>
  <si>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</si>
  <si>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</si>
  <si>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</si>
  <si>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</si>
  <si>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</si>
  <si>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</si>
  <si>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</si>
  <si>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</si>
  <si>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</si>
  <si>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</si>
  <si>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</si>
  <si>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</si>
  <si>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</si>
  <si>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</si>
  <si>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</si>
  <si>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</si>
  <si>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</si>
  <si>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</si>
  <si>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</si>
  <si>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</si>
  <si>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</si>
  <si>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</si>
  <si>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</si>
  <si>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</si>
  <si>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</si>
  <si>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</si>
  <si>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</si>
  <si>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</si>
  <si>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</si>
  <si>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</si>
  <si>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</si>
  <si>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</si>
  <si>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</si>
  <si>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</si>
  <si>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</si>
  <si>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</si>
  <si>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</si>
  <si>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</si>
  <si>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</si>
  <si>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</si>
  <si>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</si>
  <si>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</si>
  <si>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</si>
  <si>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</si>
  <si>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</si>
  <si>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</si>
  <si>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</si>
  <si>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</si>
  <si>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</si>
  <si>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</si>
  <si>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</si>
  <si>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</si>
  <si>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</si>
  <si>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</si>
  <si>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</si>
  <si>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</si>
  <si>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</si>
  <si>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</si>
  <si>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</si>
  <si>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</si>
  <si>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</si>
  <si>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</si>
  <si>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</si>
  <si>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</si>
  <si>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</si>
  <si>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</si>
  <si>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</si>
  <si>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</si>
  <si>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</si>
  <si>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</si>
  <si>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</si>
  <si>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</si>
  <si>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</si>
  <si>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</si>
  <si>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</si>
  <si>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</si>
  <si>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</si>
  <si>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</si>
  <si>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</si>
  <si>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</si>
  <si>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</si>
  <si>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</si>
  <si>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</si>
  <si>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</si>
  <si>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</si>
  <si>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</si>
  <si>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</si>
  <si>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</si>
  <si>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</si>
  <si>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</si>
  <si>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</si>
  <si>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</si>
  <si>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</si>
  <si>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</si>
  <si>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</si>
  <si>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</si>
  <si>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</si>
  <si>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</si>
  <si>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</si>
  <si>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</si>
  <si>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</si>
  <si>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</si>
  <si>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</si>
  <si>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</si>
  <si>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</si>
  <si>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</si>
  <si>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</si>
  <si>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</si>
  <si>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</si>
  <si>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</si>
  <si>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</si>
  <si>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</si>
  <si>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</si>
  <si>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</si>
  <si>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</si>
  <si>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</si>
  <si>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</si>
  <si>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</si>
  <si>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</si>
  <si>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</si>
  <si>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</si>
  <si>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</si>
  <si>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</si>
  <si>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</si>
  <si>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</si>
  <si>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</si>
  <si>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</si>
  <si>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</si>
  <si>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</si>
  <si>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</si>
  <si>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</si>
  <si>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</si>
  <si>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</si>
  <si>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</si>
  <si>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</si>
  <si>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</si>
  <si>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</si>
  <si>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</si>
  <si>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</si>
  <si>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</si>
  <si>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</si>
  <si>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</si>
  <si>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</si>
  <si>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</si>
  <si>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</si>
  <si>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</si>
  <si>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</si>
  <si>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</si>
  <si>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</si>
  <si>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</si>
  <si>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</si>
  <si>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</si>
  <si>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</si>
  <si>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</si>
  <si>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</si>
  <si>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</si>
  <si>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</si>
  <si>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</si>
  <si>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</si>
  <si>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</si>
  <si>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</si>
  <si>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</si>
  <si>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</si>
  <si>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</si>
  <si>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</si>
  <si>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</si>
  <si>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</si>
  <si>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</si>
  <si>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</si>
  <si>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</si>
  <si>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</si>
  <si>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</si>
  <si>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</si>
  <si>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</si>
  <si>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</si>
  <si>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</si>
  <si>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</si>
  <si>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</si>
  <si>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</si>
  <si>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</si>
  <si>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</si>
  <si>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</si>
  <si>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</si>
  <si>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</si>
  <si>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</si>
  <si>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</si>
  <si>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</si>
  <si>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</si>
  <si>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</si>
  <si>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</si>
  <si>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</si>
  <si>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</si>
  <si>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</si>
  <si>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</si>
  <si>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</si>
  <si>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</si>
  <si>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</si>
  <si>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</si>
  <si>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</si>
  <si>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</si>
  <si>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</si>
  <si>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</si>
  <si>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</si>
  <si>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</si>
  <si>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</si>
  <si>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</si>
  <si>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</si>
  <si>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</si>
  <si>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</si>
  <si>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</si>
  <si>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</si>
  <si>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</si>
  <si>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</si>
  <si>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</si>
  <si>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</si>
  <si>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</si>
  <si>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</si>
  <si>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</si>
  <si>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</si>
  <si>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</si>
  <si>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</si>
  <si>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</si>
  <si>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</si>
  <si>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</si>
  <si>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</si>
  <si>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</si>
  <si>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</si>
  <si>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</si>
  <si>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</si>
  <si>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</si>
  <si>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</si>
  <si>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</si>
  <si>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</si>
  <si>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</si>
  <si>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</si>
  <si>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</si>
  <si>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</si>
  <si>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</si>
  <si>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</si>
  <si>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</si>
  <si>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</si>
  <si>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</si>
  <si>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</si>
  <si>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</si>
  <si>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</si>
  <si>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</si>
  <si>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</si>
  <si>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</si>
  <si>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</si>
  <si>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</si>
  <si>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</si>
  <si>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</si>
  <si>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</si>
  <si>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</si>
  <si>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</si>
  <si>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</si>
  <si>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</si>
  <si>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</si>
  <si>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</si>
  <si>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</si>
  <si>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</si>
  <si>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</si>
  <si>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</si>
  <si>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</si>
  <si>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</si>
  <si>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</si>
  <si>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</si>
  <si>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</si>
  <si>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</si>
  <si>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</si>
  <si>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</si>
  <si>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</si>
  <si>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</si>
  <si>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</si>
  <si>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</si>
  <si>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</si>
  <si>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</si>
  <si>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</si>
  <si>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</si>
  <si>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</si>
  <si>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</si>
  <si>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</si>
  <si>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</si>
  <si>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</si>
  <si>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</si>
  <si>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</si>
  <si>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</si>
  <si>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</si>
  <si>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</si>
  <si>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</si>
  <si>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</si>
  <si>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</si>
  <si>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</si>
  <si>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</si>
  <si>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</si>
  <si>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</si>
  <si>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</si>
  <si>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</si>
  <si>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</si>
  <si>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</si>
  <si>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</si>
  <si>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</si>
  <si>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</si>
  <si>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</si>
  <si>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</si>
  <si>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</si>
  <si>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</si>
  <si>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</si>
  <si>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</si>
  <si>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</si>
  <si>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</si>
  <si>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</si>
  <si>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</si>
  <si>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</si>
  <si>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</si>
  <si>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</si>
  <si>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</si>
  <si>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</si>
  <si>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</si>
  <si>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</si>
  <si>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</si>
  <si>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</si>
  <si>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</si>
  <si>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</si>
  <si>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</si>
  <si>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</si>
  <si>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</si>
  <si>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</si>
  <si>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</si>
  <si>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</si>
  <si>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</si>
  <si>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</si>
  <si>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</si>
  <si>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</si>
  <si>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</si>
  <si>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</si>
  <si>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</si>
  <si>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</si>
  <si>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</si>
  <si>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</si>
  <si>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</si>
  <si>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</si>
  <si>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</si>
  <si>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</si>
  <si>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</si>
  <si>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</si>
  <si>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</si>
  <si>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</si>
  <si>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</si>
  <si>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</si>
  <si>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</si>
  <si>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</si>
  <si>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</si>
  <si>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</si>
  <si>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</si>
  <si>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</si>
  <si>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</si>
  <si>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</si>
  <si>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</si>
  <si>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</si>
  <si>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</si>
  <si>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</si>
  <si>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</si>
  <si>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</si>
  <si>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</si>
  <si>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</si>
  <si>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</si>
  <si>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</si>
  <si>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</si>
  <si>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</si>
  <si>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</si>
  <si>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</si>
  <si>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</si>
  <si>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</si>
  <si>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</si>
  <si>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</si>
  <si>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</si>
  <si>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</si>
  <si>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</si>
  <si>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</si>
  <si>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</si>
  <si>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</si>
  <si>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</si>
  <si>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</si>
  <si>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</si>
  <si>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</si>
  <si>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</si>
  <si>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</si>
  <si>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</si>
  <si>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</si>
  <si>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</si>
  <si>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</si>
  <si>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</si>
  <si>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</si>
  <si>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</si>
  <si>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</si>
  <si>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</si>
  <si>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</si>
  <si>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</si>
  <si>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</si>
  <si>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</si>
  <si>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</si>
  <si>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</si>
  <si>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</si>
  <si>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</si>
  <si>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</si>
  <si>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</si>
  <si>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</si>
  <si>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</si>
  <si>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</si>
  <si>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</si>
  <si>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</si>
  <si>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</si>
  <si>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</si>
  <si>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</si>
  <si>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</si>
  <si>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</si>
  <si>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</si>
  <si>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</si>
  <si>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</si>
  <si>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</si>
  <si>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</si>
  <si>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</si>
  <si>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</si>
  <si>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</si>
  <si>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</si>
  <si>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</si>
  <si>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</si>
  <si>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</si>
  <si>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</si>
  <si>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</si>
  <si>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</si>
  <si>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</si>
  <si>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</si>
  <si>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</si>
  <si>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</si>
  <si>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</si>
  <si>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</si>
  <si>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</si>
  <si>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</si>
  <si>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</si>
  <si>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</si>
  <si>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</si>
  <si>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</si>
  <si>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</si>
  <si>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</si>
  <si>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</si>
  <si>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</si>
  <si>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</si>
  <si>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</si>
  <si>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</si>
  <si>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</si>
  <si>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</si>
  <si>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</si>
  <si>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</si>
  <si>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</si>
  <si>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</si>
  <si>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</si>
  <si>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</si>
  <si>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</si>
  <si>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</si>
  <si>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</si>
  <si>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</si>
  <si>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</si>
  <si>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</si>
  <si>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</si>
  <si>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</si>
  <si>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</si>
  <si>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</si>
  <si>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</si>
  <si>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</si>
  <si>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</si>
  <si>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</si>
  <si>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</si>
  <si>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</si>
  <si>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</si>
  <si>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</si>
  <si>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</si>
  <si>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</si>
  <si>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</si>
  <si>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</si>
  <si>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</si>
  <si>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</si>
  <si>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</si>
  <si>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</si>
  <si>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</si>
  <si>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</si>
  <si>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</si>
  <si>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</si>
  <si>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</si>
  <si>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</si>
  <si>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</si>
  <si>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</si>
  <si>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</si>
  <si>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</si>
  <si>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</si>
  <si>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</si>
  <si>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</si>
  <si>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</si>
  <si>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</si>
  <si>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</si>
  <si>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</si>
  <si>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</si>
  <si>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</si>
  <si>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</si>
  <si>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</si>
  <si>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</si>
  <si>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</si>
  <si>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</si>
  <si>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</si>
  <si>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</si>
  <si>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</si>
  <si>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</si>
  <si>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</si>
  <si>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</si>
  <si>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</si>
  <si>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</si>
  <si>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</si>
  <si>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</si>
  <si>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</si>
  <si>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</si>
  <si>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</si>
  <si>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</si>
  <si>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</si>
  <si>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</si>
  <si>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</si>
  <si>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</si>
  <si>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</si>
  <si>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</si>
  <si>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</si>
  <si>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</si>
  <si>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</si>
  <si>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</si>
  <si>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</si>
  <si>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</si>
  <si>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</si>
  <si>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</si>
  <si>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</si>
  <si>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</si>
  <si>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</si>
  <si>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</si>
  <si>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</si>
  <si>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</si>
  <si>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</si>
  <si>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</si>
  <si>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</si>
  <si>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</si>
  <si>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</si>
  <si>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</si>
  <si>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</si>
  <si>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</si>
  <si>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</si>
  <si>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</si>
  <si>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</si>
  <si>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</si>
  <si>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</si>
  <si>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</si>
  <si>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</si>
  <si>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</si>
  <si>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</si>
  <si>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</si>
  <si>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</si>
  <si>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</si>
  <si>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</si>
  <si>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</si>
  <si>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</si>
  <si>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</si>
  <si>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</si>
  <si>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</si>
  <si>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</si>
  <si>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</si>
  <si>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</si>
  <si>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</si>
  <si>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</si>
  <si>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</si>
  <si>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</si>
  <si>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</si>
  <si>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</si>
  <si>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</si>
  <si>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</si>
  <si>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</si>
  <si>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</si>
  <si>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</si>
  <si>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</si>
  <si>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</si>
  <si>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</si>
  <si>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</si>
  <si>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</si>
  <si>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</si>
  <si>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</si>
  <si>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</si>
  <si>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</si>
  <si>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</si>
  <si>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</si>
  <si>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</si>
  <si>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</si>
  <si>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</si>
  <si>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</si>
  <si>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</si>
  <si>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</si>
  <si>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</si>
  <si>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</si>
  <si>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</si>
  <si>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</si>
  <si>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</si>
  <si>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</si>
  <si>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</si>
  <si>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</si>
  <si>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</si>
  <si>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</si>
  <si>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</si>
  <si>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</si>
  <si>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</si>
  <si>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</si>
  <si>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</si>
  <si>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</si>
  <si>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</si>
  <si>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</si>
  <si>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</si>
  <si>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</si>
  <si>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</si>
  <si>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</si>
  <si>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</si>
  <si>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</si>
  <si>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</si>
  <si>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</si>
  <si>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</si>
  <si>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</si>
  <si>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</si>
  <si>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</si>
  <si>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</si>
  <si>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</si>
  <si>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</si>
  <si>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</si>
  <si>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</si>
  <si>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</si>
  <si>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</si>
  <si>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</si>
  <si>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</si>
  <si>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</si>
  <si>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</si>
  <si>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</si>
  <si>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</si>
  <si>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</si>
  <si>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</si>
  <si>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</si>
  <si>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</si>
  <si>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</si>
  <si>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</si>
  <si>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</si>
  <si>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</si>
  <si>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</si>
  <si>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</si>
  <si>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</si>
  <si>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</si>
  <si>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</si>
  <si>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</si>
  <si>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</si>
  <si>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</si>
  <si>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</si>
  <si>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</si>
  <si>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</si>
  <si>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</si>
  <si>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</si>
  <si>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</si>
  <si>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</si>
  <si>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</si>
  <si>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</si>
  <si>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</si>
  <si>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</si>
  <si>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</si>
  <si>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</si>
  <si>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</si>
  <si>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</si>
  <si>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</si>
  <si>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</si>
  <si>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</si>
  <si>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</si>
  <si>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</si>
  <si>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</si>
  <si>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</si>
  <si>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</si>
  <si>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</si>
  <si>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</si>
  <si>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</si>
  <si>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</si>
  <si>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</si>
  <si>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</si>
  <si>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</si>
  <si>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</si>
  <si>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</si>
  <si>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</si>
  <si>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</si>
  <si>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</si>
  <si>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</si>
  <si>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</si>
  <si>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</si>
  <si>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</si>
  <si>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</si>
  <si>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</si>
  <si>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</si>
  <si>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</si>
  <si>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</si>
  <si>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</si>
  <si>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</si>
  <si>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</si>
  <si>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</si>
  <si>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</si>
  <si>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</si>
  <si>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</si>
  <si>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</si>
  <si>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</si>
  <si>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</si>
  <si>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</si>
  <si>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</si>
  <si>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</si>
  <si>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</si>
  <si>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</si>
  <si>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</si>
  <si>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</si>
  <si>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</si>
  <si>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</si>
  <si>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</si>
  <si>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</si>
  <si>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</si>
  <si>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</si>
  <si>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</si>
  <si>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</si>
  <si>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</si>
  <si>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</si>
  <si>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</si>
  <si>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</si>
  <si>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</si>
  <si>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</si>
  <si>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</si>
  <si>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</si>
  <si>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</si>
  <si>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</si>
  <si>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</si>
  <si>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</si>
  <si>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</si>
  <si>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</si>
  <si>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</si>
  <si>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</si>
  <si>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</si>
  <si>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</si>
  <si>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</si>
  <si>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</si>
  <si>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</si>
  <si>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</si>
  <si>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</si>
  <si>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</si>
  <si>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</si>
  <si>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</si>
  <si>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</si>
  <si>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</si>
  <si>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</si>
  <si>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</si>
  <si>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</si>
  <si>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</si>
  <si>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</si>
  <si>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</si>
  <si>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</si>
  <si>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</si>
  <si>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</si>
  <si>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</si>
  <si>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</si>
  <si>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</si>
  <si>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</si>
  <si>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</si>
  <si>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</si>
  <si>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</si>
  <si>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</si>
  <si>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</si>
  <si>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</si>
  <si>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</si>
  <si>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</si>
  <si>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</si>
  <si>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</si>
  <si>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</si>
  <si>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</si>
  <si>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</si>
  <si>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</si>
  <si>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</si>
  <si>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</si>
  <si>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</si>
  <si>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</si>
  <si>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</si>
  <si>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</si>
  <si>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</si>
  <si>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</si>
  <si>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</si>
  <si>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</si>
  <si>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</si>
  <si>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</si>
  <si>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</si>
  <si>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</si>
  <si>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</si>
  <si>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</si>
  <si>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</si>
  <si>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</si>
  <si>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</si>
  <si>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</si>
  <si>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</si>
  <si>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</si>
  <si>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</si>
  <si>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</si>
  <si>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</si>
  <si>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</si>
  <si>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</si>
  <si>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</si>
  <si>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</si>
  <si>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</si>
  <si>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</si>
  <si>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</si>
  <si>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</si>
  <si>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</si>
  <si>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</si>
  <si>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</si>
  <si>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</si>
  <si>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</si>
  <si>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</si>
  <si>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</si>
  <si>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</si>
  <si>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</si>
  <si>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</si>
  <si>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</si>
  <si>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</si>
  <si>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</si>
  <si>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</si>
  <si>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</si>
  <si>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</si>
  <si>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</si>
  <si>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</si>
  <si>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</si>
  <si>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</si>
  <si>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</si>
  <si>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</si>
  <si>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</si>
  <si>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</si>
  <si>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</si>
  <si>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</si>
  <si>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</si>
  <si>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</si>
  <si>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</si>
  <si>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</si>
  <si>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</si>
  <si>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</si>
  <si>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</si>
  <si>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</si>
  <si>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</si>
  <si>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</si>
  <si>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</si>
  <si>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</si>
  <si>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</si>
  <si>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</si>
  <si>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</si>
  <si>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</si>
  <si>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</si>
  <si>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</si>
  <si>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</si>
  <si>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</si>
  <si>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</si>
  <si>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</si>
  <si>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</si>
  <si>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</si>
  <si>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</si>
  <si>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</si>
  <si>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</si>
  <si>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</si>
  <si>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</si>
  <si>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</si>
  <si>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</si>
  <si>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</si>
  <si>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</si>
  <si>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</si>
  <si>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</si>
  <si>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</si>
  <si>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</si>
  <si>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</si>
  <si>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</si>
  <si>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</si>
  <si>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</si>
  <si>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</si>
  <si>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</si>
  <si>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</si>
  <si>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</si>
  <si>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</si>
  <si>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</si>
  <si>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</si>
  <si>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</si>
  <si>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</si>
  <si>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</si>
  <si>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</si>
  <si>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</si>
  <si>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</si>
  <si>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</si>
  <si>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</si>
  <si>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</si>
  <si>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</si>
  <si>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</si>
  <si>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</si>
  <si>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</si>
  <si>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</si>
  <si>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</si>
  <si>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</si>
  <si>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</si>
  <si>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</si>
  <si>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</si>
  <si>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</si>
  <si>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</si>
  <si>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</si>
  <si>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</si>
  <si>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</si>
  <si>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</si>
  <si>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</si>
  <si>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</si>
  <si>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</si>
  <si>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</si>
  <si>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</si>
  <si>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</si>
  <si>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</si>
  <si>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</si>
  <si>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</si>
  <si>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</si>
  <si>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</si>
  <si>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</si>
  <si>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</si>
  <si>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</si>
  <si>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</si>
  <si>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</si>
  <si>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</si>
  <si>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</si>
  <si>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</si>
  <si>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</si>
  <si>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</si>
  <si>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</si>
  <si>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</si>
  <si>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</si>
  <si>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</si>
  <si>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</si>
  <si>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</si>
  <si>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</si>
  <si>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</si>
  <si>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</si>
  <si>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</si>
  <si>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</si>
  <si>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</si>
  <si>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</si>
  <si>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</si>
  <si>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</si>
  <si>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</si>
  <si>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</si>
  <si>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</si>
  <si>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</si>
  <si>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</si>
  <si>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</si>
  <si>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</si>
  <si>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</si>
  <si>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</si>
  <si>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</si>
  <si>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</si>
  <si>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</si>
  <si>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</si>
  <si>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</si>
  <si>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</si>
  <si>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</si>
  <si>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</si>
  <si>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</si>
  <si>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</si>
  <si>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</si>
  <si>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</si>
  <si>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</si>
  <si>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</si>
  <si>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</si>
  <si>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</si>
  <si>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</si>
  <si>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</si>
  <si>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</si>
  <si>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</si>
  <si>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</si>
  <si>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</si>
  <si>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</si>
  <si>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</si>
  <si>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</si>
  <si>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</si>
  <si>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</si>
  <si>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</si>
  <si>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</si>
  <si>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</si>
  <si>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</si>
  <si>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</si>
  <si>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</si>
  <si>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</si>
  <si>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</si>
  <si>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</si>
  <si>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</si>
  <si>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</si>
  <si>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</si>
  <si>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</si>
  <si>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</si>
  <si>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</si>
  <si>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</si>
  <si>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</si>
  <si>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</si>
  <si>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</si>
  <si>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</si>
  <si>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</si>
  <si>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</si>
  <si>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</si>
  <si>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</si>
  <si>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</si>
  <si>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</si>
  <si>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</si>
  <si>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</si>
  <si>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</si>
  <si>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</si>
  <si>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</si>
  <si>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</si>
  <si>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</si>
  <si>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</si>
  <si>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</si>
  <si>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</si>
  <si>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</si>
  <si>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</si>
  <si>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</si>
  <si>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</si>
  <si>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</si>
  <si>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</si>
  <si>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</si>
  <si>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</si>
  <si>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</si>
  <si>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</si>
  <si>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</si>
  <si>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</si>
  <si>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</si>
  <si>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</si>
  <si>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</si>
  <si>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</si>
  <si>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</si>
  <si>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</si>
  <si>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</si>
  <si>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</si>
  <si>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</si>
  <si>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</si>
  <si>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</si>
  <si>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</si>
  <si>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</si>
  <si>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</si>
  <si>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</si>
  <si>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</si>
  <si>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</si>
  <si>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</si>
  <si>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</si>
  <si>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</si>
  <si>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</si>
  <si>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</si>
  <si>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</si>
  <si>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</si>
  <si>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</si>
  <si>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</si>
  <si>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</si>
  <si>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</si>
  <si>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</si>
  <si>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</si>
  <si>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</si>
  <si>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</si>
  <si>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</si>
  <si>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</si>
  <si>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</si>
  <si>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</si>
  <si>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</si>
  <si>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</si>
  <si>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</si>
  <si>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</si>
  <si>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</si>
  <si>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</si>
  <si>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</si>
  <si>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</si>
  <si>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</si>
  <si>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</si>
  <si>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</si>
  <si>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</si>
  <si>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</si>
  <si>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</si>
  <si>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</si>
  <si>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</si>
  <si>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</si>
  <si>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</si>
  <si>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</si>
  <si>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</si>
  <si>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</si>
  <si>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</si>
  <si>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</si>
  <si>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</si>
  <si>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</si>
  <si>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</si>
  <si>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</si>
  <si>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</si>
  <si>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</si>
  <si>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</si>
  <si>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</si>
  <si>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</si>
  <si>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</si>
  <si>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</si>
  <si>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</si>
  <si>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</si>
  <si>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</si>
  <si>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</si>
  <si>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</si>
  <si>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</si>
  <si>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</si>
  <si>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</si>
  <si>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</si>
  <si>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</si>
  <si>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</si>
  <si>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</si>
  <si>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</si>
  <si>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</si>
  <si>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</si>
  <si>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</si>
  <si>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</si>
  <si>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</si>
  <si>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</si>
  <si>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</si>
  <si>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</si>
  <si>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</si>
  <si>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</si>
  <si>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</si>
  <si>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</si>
  <si>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</si>
  <si>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</si>
  <si>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</si>
  <si>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</si>
  <si>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</si>
  <si>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</si>
  <si>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</si>
  <si>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</si>
  <si>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</si>
  <si>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</si>
  <si>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</si>
  <si>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</si>
  <si>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</si>
  <si>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</si>
  <si>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</si>
  <si>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</si>
  <si>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</si>
  <si>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</si>
  <si>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</si>
  <si>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</si>
  <si>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</si>
  <si>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</si>
  <si>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</si>
  <si>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</si>
  <si>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</si>
  <si>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</si>
  <si>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</si>
  <si>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</si>
  <si>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</si>
  <si>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</si>
  <si>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</si>
  <si>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</si>
  <si>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</si>
  <si>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</si>
  <si>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</si>
  <si>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</si>
  <si>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</si>
  <si>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</si>
  <si>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</si>
  <si>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</si>
  <si>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</si>
  <si>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</si>
  <si>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</si>
  <si>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</si>
  <si>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</si>
  <si>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</si>
  <si>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</si>
  <si>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</si>
  <si>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</si>
  <si>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</si>
  <si>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</si>
  <si>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</si>
  <si>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</si>
  <si>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</si>
  <si>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</si>
  <si>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</si>
  <si>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</si>
  <si>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</si>
  <si>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</si>
  <si>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</si>
  <si>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</si>
  <si>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</si>
  <si>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</si>
  <si>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</si>
  <si>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</si>
  <si>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</si>
  <si>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</si>
  <si>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</si>
  <si>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</si>
  <si>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</si>
  <si>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</si>
  <si>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</si>
  <si>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</si>
  <si>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</si>
  <si>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</si>
  <si>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</si>
  <si>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</si>
  <si>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</si>
  <si>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</si>
  <si>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</si>
  <si>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</si>
  <si>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</si>
  <si>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</si>
  <si>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</si>
  <si>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</si>
  <si>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</si>
  <si>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</si>
  <si>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</si>
  <si>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</si>
  <si>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</si>
  <si>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</si>
  <si>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</si>
  <si>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</si>
  <si>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</si>
  <si>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</si>
  <si>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</si>
  <si>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</si>
  <si>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</si>
  <si>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</si>
  <si>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</si>
  <si>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</si>
  <si>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</si>
  <si>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</si>
  <si>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</si>
  <si>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</si>
  <si>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</si>
  <si>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</si>
  <si>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</si>
  <si>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</si>
  <si>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</si>
  <si>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</si>
  <si>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</si>
  <si>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</si>
  <si>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</si>
  <si>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</si>
  <si>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</si>
  <si>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</si>
  <si>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</si>
  <si>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</si>
  <si>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</si>
  <si>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</si>
  <si>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</si>
  <si>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</si>
  <si>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</si>
  <si>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</si>
  <si>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</si>
  <si>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</si>
  <si>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</si>
  <si>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</si>
  <si>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</si>
  <si>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</si>
  <si>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</si>
  <si>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</si>
  <si>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</si>
  <si>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</si>
  <si>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</si>
  <si>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</si>
  <si>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</si>
  <si>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</si>
  <si>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</si>
  <si>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</si>
  <si>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</si>
  <si>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</si>
  <si>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</si>
  <si>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</si>
  <si>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</si>
  <si>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</si>
  <si>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</si>
  <si>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</si>
  <si>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</si>
  <si>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</si>
  <si>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</si>
  <si>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</si>
  <si>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</si>
  <si>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</si>
  <si>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</si>
  <si>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</si>
  <si>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</si>
  <si>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</si>
  <si>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</si>
  <si>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</si>
  <si>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</si>
  <si>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</si>
  <si>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</si>
  <si>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</si>
  <si>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</si>
  <si>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</si>
  <si>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</si>
  <si>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</si>
  <si>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</si>
  <si>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</si>
  <si>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</si>
  <si>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</si>
  <si>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</si>
  <si>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</si>
  <si>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</si>
  <si>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</si>
  <si>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</si>
  <si>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</si>
  <si>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</si>
  <si>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</si>
  <si>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</si>
  <si>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</si>
  <si>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</si>
  <si>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</si>
  <si>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</si>
  <si>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</si>
  <si>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</si>
  <si>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</si>
  <si>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</si>
  <si>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</si>
  <si>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</si>
  <si>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</si>
  <si>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</si>
  <si>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</si>
  <si>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</si>
  <si>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</si>
  <si>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</si>
  <si>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</si>
  <si>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</si>
  <si>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</si>
  <si>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</si>
  <si>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</si>
  <si>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</si>
  <si>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</si>
  <si>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</si>
  <si>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</si>
  <si>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</si>
  <si>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</si>
  <si>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</si>
  <si>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</si>
  <si>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</si>
  <si>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</si>
  <si>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</si>
  <si>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</si>
  <si>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</si>
  <si>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</si>
  <si>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</si>
  <si>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</si>
  <si>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</si>
  <si>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</si>
  <si>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</si>
  <si>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</si>
  <si>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</si>
  <si>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</si>
  <si>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</si>
  <si>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</si>
  <si>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</si>
  <si>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</si>
  <si>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</si>
  <si>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</si>
  <si>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</si>
  <si>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</si>
  <si>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</si>
  <si>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</si>
  <si>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</si>
  <si>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</si>
  <si>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</si>
  <si>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</si>
  <si>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</si>
  <si>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</si>
  <si>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</si>
  <si>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</si>
  <si>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</si>
  <si>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</si>
  <si>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</si>
  <si>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</si>
  <si>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</si>
  <si>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</si>
  <si>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</si>
  <si>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</si>
  <si>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</si>
  <si>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</si>
  <si>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</si>
  <si>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</si>
  <si>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</si>
  <si>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</si>
  <si>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</si>
  <si>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</si>
  <si>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</si>
  <si>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</si>
  <si>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</si>
  <si>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</si>
  <si>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</si>
  <si>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</si>
  <si>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</si>
  <si>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</si>
  <si>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</si>
  <si>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</si>
  <si>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</si>
  <si>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</si>
  <si>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</si>
  <si>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</si>
  <si>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</si>
  <si>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</si>
  <si>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</si>
  <si>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</si>
  <si>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</si>
  <si>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</si>
  <si>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</si>
  <si>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</si>
  <si>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</si>
  <si>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</si>
  <si>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</si>
  <si>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</si>
  <si>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</si>
  <si>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</si>
  <si>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</si>
  <si>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</si>
  <si>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</si>
  <si>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</si>
  <si>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</si>
  <si>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</si>
  <si>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</si>
  <si>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</si>
  <si>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</si>
  <si>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</si>
  <si>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</si>
  <si>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</si>
  <si>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</si>
  <si>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</si>
  <si>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</si>
  <si>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</si>
  <si>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</si>
  <si>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</si>
  <si>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</si>
  <si>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</si>
  <si>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</si>
  <si>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</si>
  <si>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</si>
  <si>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</si>
  <si>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</si>
  <si>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</si>
  <si>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</si>
  <si>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</si>
  <si>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</si>
  <si>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</si>
  <si>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</si>
  <si>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</si>
  <si>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</si>
  <si>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</si>
  <si>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</si>
  <si>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</si>
  <si>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</si>
  <si>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</si>
  <si>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</si>
  <si>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</si>
  <si>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</si>
  <si>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</si>
  <si>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</si>
  <si>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</si>
  <si>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</si>
  <si>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</si>
  <si>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</si>
  <si>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</si>
  <si>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</si>
  <si>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</si>
  <si>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</si>
  <si>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</si>
  <si>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</si>
  <si>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</si>
  <si>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</si>
  <si>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</si>
  <si>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</si>
  <si>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</si>
  <si>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</si>
  <si>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</si>
  <si>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</si>
  <si>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</si>
  <si>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</si>
  <si>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</si>
  <si>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</si>
  <si>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</si>
  <si>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</si>
  <si>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</si>
  <si>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</si>
  <si>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</si>
  <si>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</si>
  <si>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</si>
  <si>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</si>
  <si>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</si>
  <si>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</si>
  <si>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</si>
  <si>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</si>
  <si>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</si>
  <si>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</si>
  <si>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</si>
  <si>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</si>
  <si>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</si>
  <si>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</si>
  <si>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</si>
  <si>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</si>
  <si>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</si>
  <si>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</si>
  <si>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</si>
  <si>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</si>
  <si>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</si>
  <si>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</si>
  <si>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</si>
  <si>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</si>
  <si>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</si>
  <si>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</si>
  <si>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</si>
  <si>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</si>
  <si>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</si>
  <si>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</si>
  <si>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</si>
  <si>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</si>
  <si>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</si>
  <si>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</si>
  <si>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</si>
  <si>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</si>
  <si>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</si>
  <si>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</si>
  <si>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</si>
  <si>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</si>
  <si>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</si>
  <si>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</si>
  <si>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</si>
  <si>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</si>
  <si>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</si>
  <si>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</si>
  <si>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</si>
  <si>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</si>
  <si>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</si>
  <si>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</si>
  <si>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</si>
  <si>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</si>
  <si>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</si>
  <si>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</si>
  <si>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</si>
  <si>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</si>
  <si>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</si>
  <si>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</si>
  <si>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</si>
  <si>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</si>
  <si>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</si>
  <si>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</si>
  <si>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</si>
  <si>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</si>
  <si>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</si>
  <si>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</si>
  <si>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</si>
  <si>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</si>
  <si>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</si>
  <si>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</si>
  <si>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</si>
  <si>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</si>
  <si>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</si>
  <si>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</si>
  <si>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</si>
  <si>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</si>
  <si>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</si>
  <si>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</si>
  <si>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</si>
  <si>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</si>
  <si>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</si>
  <si>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</si>
  <si>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</si>
  <si>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</si>
  <si>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</si>
  <si>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</si>
  <si>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</si>
  <si>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</si>
  <si>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</si>
  <si>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</si>
  <si>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</si>
  <si>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</si>
  <si>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</si>
  <si>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</si>
  <si>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</si>
  <si>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</si>
  <si>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</si>
  <si>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</si>
  <si>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</si>
  <si>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</si>
  <si>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</si>
  <si>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</si>
  <si>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</si>
  <si>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</si>
  <si>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</si>
  <si>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</si>
  <si>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</si>
  <si>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</si>
  <si>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</si>
  <si>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</si>
  <si>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</si>
  <si>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</si>
  <si>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</si>
  <si>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</si>
  <si>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</si>
  <si>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</si>
  <si>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</si>
  <si>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</si>
  <si>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</si>
  <si>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</si>
  <si>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</si>
  <si>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</si>
  <si>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</si>
  <si>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</si>
  <si>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</si>
  <si>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</si>
  <si>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</si>
  <si>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</si>
  <si>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</si>
  <si>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</si>
  <si>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</si>
  <si>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</si>
  <si>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</si>
  <si>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</si>
  <si>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</si>
  <si>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</si>
  <si>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</si>
  <si>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</si>
  <si>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</si>
  <si>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</si>
  <si>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</si>
  <si>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</si>
  <si>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</si>
  <si>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</si>
  <si>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</si>
  <si>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</si>
  <si>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</si>
  <si>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</si>
  <si>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</si>
  <si>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</si>
  <si>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</si>
  <si>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</si>
  <si>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</si>
  <si>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</si>
  <si>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</si>
  <si>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</si>
  <si>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</si>
  <si>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</si>
  <si>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</si>
  <si>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</si>
  <si>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</si>
  <si>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</si>
  <si>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</si>
  <si>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</si>
  <si>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</si>
  <si>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</si>
  <si>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</si>
  <si>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</si>
  <si>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</si>
  <si>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</si>
  <si>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</si>
  <si>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</si>
  <si>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</si>
  <si>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</si>
  <si>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</si>
  <si>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</si>
  <si>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</si>
  <si>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</si>
  <si>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</si>
  <si>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</si>
  <si>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</si>
  <si>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</si>
  <si>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</si>
  <si>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</si>
  <si>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</si>
  <si>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</si>
  <si>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</si>
  <si>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</si>
  <si>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</si>
  <si>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</si>
  <si>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</si>
  <si>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</si>
  <si>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</si>
  <si>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</si>
  <si>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</si>
  <si>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</si>
  <si>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</si>
  <si>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</si>
  <si>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</si>
  <si>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</si>
  <si>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</si>
  <si>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</si>
  <si>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</si>
  <si>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</si>
  <si>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</si>
  <si>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</si>
  <si>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</si>
  <si>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</si>
  <si>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</si>
  <si>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</si>
  <si>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</si>
  <si>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</si>
  <si>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</si>
  <si>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</si>
  <si>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</si>
  <si>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</si>
  <si>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</si>
  <si>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</si>
  <si>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</si>
  <si>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</si>
  <si>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</si>
  <si>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</si>
  <si>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</si>
  <si>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</si>
  <si>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</si>
  <si>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</si>
  <si>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</si>
  <si>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</si>
  <si>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</si>
  <si>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</si>
  <si>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</si>
  <si>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</si>
  <si>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</si>
  <si>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</si>
  <si>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</si>
  <si>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</si>
  <si>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</si>
  <si>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</si>
  <si>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</si>
  <si>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</si>
  <si>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</si>
  <si>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</si>
  <si>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</si>
  <si>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</si>
  <si>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</si>
  <si>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</si>
  <si>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</si>
  <si>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</si>
  <si>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</si>
  <si>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</si>
  <si>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</si>
  <si>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</si>
  <si>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</si>
  <si>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</si>
  <si>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</si>
  <si>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</si>
  <si>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</si>
  <si>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</si>
  <si>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</si>
  <si>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</si>
  <si>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</si>
  <si>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</si>
  <si>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</si>
  <si>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</si>
  <si>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</si>
  <si>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</si>
  <si>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</si>
  <si>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</si>
  <si>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</si>
  <si>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</si>
  <si>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</si>
  <si>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</si>
  <si>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</si>
  <si>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</si>
  <si>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</si>
  <si>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</si>
  <si>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</si>
  <si>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</si>
  <si>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</si>
  <si>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</si>
  <si>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</si>
  <si>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</si>
  <si>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</si>
  <si>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</si>
  <si>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</si>
  <si>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</si>
  <si>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</si>
  <si>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</si>
  <si>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</si>
  <si>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</si>
  <si>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</si>
  <si>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</si>
  <si>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</si>
  <si>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</si>
  <si>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</si>
  <si>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</si>
  <si>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</si>
  <si>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</si>
  <si>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</si>
  <si>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</si>
  <si>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</si>
  <si>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</si>
  <si>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</si>
  <si>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</si>
  <si>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</si>
  <si>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</si>
  <si>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</si>
  <si>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</si>
  <si>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</si>
  <si>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</si>
  <si>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</si>
  <si>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</si>
  <si>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</si>
  <si>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</si>
  <si>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</si>
  <si>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</si>
  <si>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</si>
  <si>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</si>
  <si>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</si>
  <si>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</si>
  <si>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</si>
  <si>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</si>
  <si>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</si>
  <si>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</si>
  <si>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</si>
  <si>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</si>
  <si>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</si>
  <si>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</si>
  <si>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</si>
  <si>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</si>
  <si>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</si>
  <si>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</si>
  <si>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</si>
  <si>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</si>
  <si>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</si>
  <si>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</si>
  <si>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</si>
  <si>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</si>
  <si>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</si>
  <si>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</si>
  <si>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</si>
  <si>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</si>
  <si>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</si>
  <si>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</si>
  <si>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</si>
  <si>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</si>
  <si>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</si>
  <si>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</si>
  <si>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</si>
  <si>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</si>
  <si>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</si>
  <si>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</si>
  <si>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</si>
  <si>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</si>
  <si>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</si>
  <si>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</si>
  <si>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</si>
  <si>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</si>
  <si>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</si>
  <si>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</si>
  <si>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</si>
  <si>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</si>
  <si>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</si>
  <si>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</si>
  <si>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</si>
  <si>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</si>
  <si>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</si>
  <si>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</si>
  <si>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</si>
  <si>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</si>
  <si>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</si>
  <si>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</si>
  <si>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</si>
  <si>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</si>
  <si>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</si>
  <si>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</si>
  <si>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</si>
  <si>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</si>
  <si>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</si>
  <si>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</si>
  <si>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</si>
  <si>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</si>
  <si>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</si>
  <si>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</si>
  <si>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</si>
  <si>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</si>
  <si>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</si>
  <si>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</si>
  <si>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</si>
  <si>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</si>
  <si>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</si>
  <si>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</si>
  <si>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</si>
  <si>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</si>
  <si>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</si>
  <si>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</si>
  <si>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</si>
  <si>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</si>
  <si>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</si>
  <si>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</si>
  <si>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</si>
  <si>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</si>
  <si>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</si>
  <si>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</si>
  <si>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</si>
  <si>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</si>
  <si>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</si>
  <si>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</si>
  <si>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</si>
  <si>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</si>
  <si>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</si>
  <si>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</si>
  <si>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</si>
  <si>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</si>
  <si>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</si>
  <si>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</si>
  <si>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</si>
  <si>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</si>
  <si>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</si>
  <si>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</si>
  <si>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</si>
  <si>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</si>
  <si>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</si>
  <si>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</si>
  <si>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</si>
  <si>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</si>
  <si>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</si>
  <si>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</si>
  <si>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</si>
  <si>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</si>
  <si>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</si>
  <si>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</si>
  <si>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</si>
  <si>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</si>
  <si>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</si>
  <si>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</si>
  <si>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</si>
  <si>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</si>
  <si>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</si>
  <si>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</si>
  <si>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</si>
  <si>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</si>
  <si>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</si>
  <si>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</si>
  <si>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</si>
  <si>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</si>
  <si>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</si>
  <si>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</si>
  <si>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</si>
  <si>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</si>
  <si>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</si>
  <si>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</si>
  <si>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</si>
  <si>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</si>
  <si>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</si>
  <si>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</si>
  <si>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</si>
  <si>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</si>
  <si>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</si>
  <si>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</si>
  <si>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</si>
  <si>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</si>
  <si>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</si>
  <si>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</si>
  <si>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</si>
  <si>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</si>
  <si>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</si>
  <si>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</si>
  <si>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</si>
  <si>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</si>
  <si>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</si>
  <si>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</si>
  <si>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</si>
  <si>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</si>
  <si>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</si>
  <si>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</si>
  <si>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</si>
  <si>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</si>
  <si>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</si>
  <si>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</si>
  <si>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</si>
  <si>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</si>
  <si>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</si>
  <si>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</si>
  <si>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</si>
  <si>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</si>
  <si>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</si>
  <si>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</si>
  <si>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</si>
  <si>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</si>
  <si>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</si>
  <si>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</si>
  <si>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</si>
  <si>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</si>
  <si>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</si>
  <si>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</si>
  <si>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</si>
  <si>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</si>
  <si>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</si>
  <si>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</si>
  <si>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</si>
  <si>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</si>
  <si>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</si>
  <si>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</si>
  <si>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</si>
  <si>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</si>
  <si>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</si>
  <si>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</si>
  <si>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</si>
  <si>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</si>
  <si>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</si>
  <si>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</si>
  <si>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</si>
  <si>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</si>
  <si>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</si>
  <si>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</si>
  <si>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</si>
  <si>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</si>
  <si>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</si>
  <si>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</si>
  <si>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</si>
  <si>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</si>
  <si>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</si>
  <si>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</si>
  <si>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</si>
  <si>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</si>
  <si>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</si>
  <si>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</si>
  <si>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</si>
  <si>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</si>
  <si>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</si>
  <si>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</si>
  <si>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</si>
  <si>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</si>
  <si>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</si>
  <si>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</si>
  <si>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</si>
  <si>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</si>
  <si>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</si>
  <si>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</si>
  <si>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</si>
  <si>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</si>
  <si>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</si>
  <si>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</si>
  <si>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</si>
  <si>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</si>
  <si>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</si>
  <si>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</si>
  <si>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</si>
  <si>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</si>
  <si>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</si>
  <si>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</si>
  <si>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</si>
  <si>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</si>
  <si>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</si>
  <si>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</si>
  <si>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</si>
  <si>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</si>
  <si>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</si>
  <si>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</si>
  <si>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</si>
  <si>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</si>
  <si>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</si>
  <si>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</si>
  <si>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</si>
  <si>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</si>
  <si>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</si>
  <si>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</si>
  <si>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</si>
  <si>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</si>
  <si>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</si>
  <si>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</si>
  <si>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</si>
  <si>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</si>
  <si>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</si>
  <si>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</si>
  <si>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</si>
  <si>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</si>
  <si>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</si>
  <si>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</si>
  <si>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</si>
  <si>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</si>
  <si>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</si>
  <si>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</si>
  <si>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</si>
  <si>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</si>
  <si>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</si>
  <si>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</si>
  <si>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</si>
  <si>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</si>
  <si>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</si>
  <si>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</si>
  <si>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</si>
  <si>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</si>
  <si>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</si>
  <si>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</si>
  <si>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</si>
  <si>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</si>
  <si>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</si>
  <si>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</si>
  <si>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</si>
  <si>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</si>
  <si>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</si>
  <si>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</si>
  <si>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</si>
  <si>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</si>
  <si>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</si>
  <si>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</si>
  <si>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</si>
  <si>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</si>
  <si>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</si>
  <si>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</si>
  <si>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</si>
  <si>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</si>
  <si>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</si>
  <si>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</si>
  <si>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</si>
  <si>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</si>
  <si>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</si>
  <si>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</si>
  <si>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</si>
  <si>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</si>
  <si>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</si>
  <si>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</si>
  <si>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</si>
  <si>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</si>
  <si>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</si>
  <si>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</si>
  <si>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</si>
  <si>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</si>
  <si>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</si>
  <si>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</si>
  <si>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</si>
  <si>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</si>
  <si>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</si>
  <si>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</si>
  <si>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</si>
  <si>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</si>
  <si>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</si>
  <si>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</si>
  <si>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</si>
  <si>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</si>
  <si>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</si>
  <si>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</si>
  <si>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</si>
  <si>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</si>
  <si>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</si>
  <si>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</si>
  <si>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</si>
  <si>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</si>
  <si>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</si>
  <si>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</si>
  <si>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</si>
  <si>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</si>
  <si>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</si>
  <si>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</si>
  <si>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</si>
  <si>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</si>
  <si>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</si>
  <si>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</si>
  <si>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</si>
  <si>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</si>
  <si>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</si>
  <si>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</si>
  <si>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</si>
  <si>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</si>
  <si>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</si>
  <si>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</si>
  <si>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</si>
  <si>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</si>
  <si>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</si>
  <si>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</si>
  <si>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</si>
  <si>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</si>
  <si>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</si>
  <si>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</si>
  <si>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</si>
  <si>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</si>
  <si>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</si>
  <si>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</si>
  <si>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</si>
  <si>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</si>
  <si>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</si>
  <si>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</si>
  <si>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</si>
  <si>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</si>
  <si>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</si>
  <si>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</si>
  <si>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</si>
  <si>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</si>
  <si>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</si>
  <si>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</si>
  <si>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</si>
  <si>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</si>
  <si>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</si>
  <si>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</si>
  <si>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</si>
  <si>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</si>
  <si>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</si>
  <si>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</si>
  <si>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</si>
  <si>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</si>
  <si>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</si>
  <si>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</si>
  <si>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</si>
  <si>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</si>
  <si>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</si>
  <si>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</si>
  <si>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</si>
  <si>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</si>
  <si>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</si>
  <si>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</si>
  <si>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</si>
  <si>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</si>
  <si>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</si>
  <si>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</si>
  <si>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</si>
  <si>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</si>
  <si>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</si>
  <si>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</si>
  <si>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</si>
  <si>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</si>
  <si>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</si>
  <si>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</si>
  <si>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</si>
  <si>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</si>
  <si>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</si>
  <si>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</si>
  <si>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</si>
  <si>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</si>
  <si>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</si>
  <si>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</si>
  <si>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</si>
  <si>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</si>
  <si>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</si>
  <si>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</si>
  <si>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</si>
  <si>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</si>
  <si>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</si>
  <si>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</si>
  <si>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</si>
  <si>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</si>
  <si>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</si>
  <si>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</si>
  <si>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</si>
  <si>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</si>
  <si>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</si>
  <si>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</si>
  <si>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</si>
  <si>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</si>
  <si>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</si>
  <si>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</si>
  <si>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</si>
  <si>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</si>
  <si>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</si>
  <si>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</si>
  <si>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</si>
  <si>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</si>
  <si>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</si>
  <si>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</si>
  <si>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</si>
  <si>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</si>
  <si>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</si>
  <si>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</si>
  <si>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</si>
  <si>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</si>
  <si>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</si>
  <si>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</si>
  <si>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</si>
  <si>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</si>
  <si>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</si>
  <si>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</si>
  <si>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</si>
  <si>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</si>
  <si>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</si>
  <si>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</si>
  <si>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</si>
  <si>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</si>
  <si>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</si>
  <si>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</si>
  <si>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</si>
  <si>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</si>
  <si>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</si>
  <si>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</si>
  <si>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</si>
  <si>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</si>
  <si>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</si>
  <si>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</si>
  <si>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</si>
  <si>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</si>
  <si>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</si>
  <si>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</si>
  <si>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</si>
  <si>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</si>
  <si>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</si>
  <si>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</si>
  <si>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</si>
  <si>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</si>
  <si>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</si>
  <si>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</si>
  <si>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</si>
  <si>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</si>
  <si>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</si>
  <si>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</si>
  <si>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</si>
  <si>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</si>
  <si>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</si>
  <si>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</si>
  <si>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</si>
  <si>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</si>
  <si>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</si>
  <si>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</si>
  <si>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</si>
  <si>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</si>
  <si>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</si>
  <si>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</si>
  <si>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</si>
  <si>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</si>
  <si>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</si>
  <si>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</si>
  <si>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</si>
  <si>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</si>
  <si>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</si>
  <si>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</si>
  <si>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</si>
  <si>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</si>
  <si>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</si>
  <si>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</si>
  <si>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</si>
  <si>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</si>
  <si>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</si>
  <si>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</si>
  <si>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</si>
  <si>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</si>
  <si>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</si>
  <si>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</si>
  <si>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</si>
  <si>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</si>
  <si>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</si>
  <si>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</si>
  <si>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</si>
  <si>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</si>
  <si>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</si>
  <si>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</si>
  <si>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</si>
  <si>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</si>
  <si>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</si>
  <si>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</si>
  <si>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</si>
  <si>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</si>
  <si>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</si>
  <si>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</si>
  <si>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</si>
  <si>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</si>
  <si>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</si>
  <si>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</si>
  <si>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</si>
  <si>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</si>
  <si>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</si>
  <si>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</si>
  <si>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</si>
  <si>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</si>
  <si>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</si>
  <si>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</si>
  <si>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</si>
  <si>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</si>
  <si>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</si>
  <si>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</si>
  <si>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</si>
  <si>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</si>
  <si>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</si>
  <si>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</si>
  <si>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</si>
  <si>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</si>
  <si>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</si>
  <si>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</si>
  <si>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</si>
  <si>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</si>
  <si>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</si>
  <si>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</si>
  <si>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</si>
  <si>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</si>
  <si>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</si>
  <si>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</si>
  <si>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</si>
  <si>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</si>
  <si>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</si>
  <si>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</si>
  <si>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</si>
  <si>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</si>
  <si>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</si>
  <si>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</si>
  <si>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</si>
  <si>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</si>
  <si>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</si>
  <si>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</si>
  <si>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</si>
  <si>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</si>
  <si>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</si>
  <si>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</si>
  <si>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</si>
  <si>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</si>
  <si>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</si>
  <si>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</si>
  <si>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</si>
  <si>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</si>
  <si>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</si>
  <si>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</si>
  <si>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</si>
  <si>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</si>
  <si>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</si>
  <si>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</si>
  <si>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</si>
  <si>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</si>
  <si>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</si>
  <si>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</si>
  <si>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</si>
  <si>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</si>
  <si>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</si>
  <si>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</si>
  <si>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</si>
  <si>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</si>
  <si>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</si>
  <si>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</si>
  <si>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</si>
  <si>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</si>
  <si>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</si>
  <si>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</si>
  <si>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</si>
  <si>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</si>
  <si>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</si>
  <si>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</si>
  <si>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</si>
  <si>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</si>
  <si>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</si>
  <si>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</si>
  <si>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</si>
  <si>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</si>
  <si>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</si>
  <si>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</si>
  <si>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</si>
  <si>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</si>
  <si>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</si>
  <si>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</si>
  <si>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</si>
  <si>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</si>
  <si>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</si>
  <si>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</si>
  <si>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</si>
  <si>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</si>
  <si>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</si>
  <si>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</si>
  <si>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</si>
  <si>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</si>
  <si>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</si>
  <si>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</si>
  <si>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</si>
  <si>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</si>
  <si>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</si>
  <si>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</si>
  <si>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</si>
  <si>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</si>
  <si>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</si>
  <si>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</si>
  <si>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</si>
  <si>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</si>
  <si>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</si>
  <si>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</si>
  <si>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</si>
  <si>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</si>
  <si>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</si>
  <si>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</si>
  <si>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</si>
  <si>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</si>
  <si>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</si>
  <si>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</si>
  <si>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</si>
  <si>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</si>
  <si>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</si>
  <si>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</si>
  <si>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</si>
  <si>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</si>
  <si>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</si>
  <si>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</si>
  <si>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</si>
  <si>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</si>
  <si>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</si>
  <si>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</si>
  <si>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</si>
  <si>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</si>
  <si>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</si>
  <si>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</si>
  <si>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</si>
  <si>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</si>
  <si>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</si>
  <si>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</si>
  <si>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</si>
  <si>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</si>
  <si>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</si>
  <si>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</si>
  <si>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</si>
  <si>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</si>
  <si>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</si>
  <si>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</si>
  <si>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</si>
  <si>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</si>
  <si>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</si>
  <si>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</si>
  <si>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</si>
  <si>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</si>
  <si>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</si>
  <si>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</si>
  <si>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</si>
  <si>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</si>
  <si>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</si>
  <si>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</si>
  <si>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</si>
  <si>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</si>
  <si>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</si>
  <si>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</si>
  <si>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</si>
  <si>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</si>
  <si>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</si>
  <si>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</si>
  <si>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</si>
  <si>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</si>
  <si>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</si>
  <si>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</si>
  <si>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</si>
  <si>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</si>
  <si>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</si>
  <si>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</si>
  <si>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</si>
  <si>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</si>
  <si>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</si>
  <si>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</si>
  <si>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</si>
  <si>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</si>
  <si>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</si>
  <si>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</si>
  <si>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</si>
  <si>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</si>
  <si>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</si>
  <si>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</si>
  <si>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</si>
  <si>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</si>
  <si>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</si>
  <si>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</si>
  <si>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</si>
  <si>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</si>
  <si>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</si>
  <si>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</si>
  <si>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</si>
  <si>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</si>
  <si>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</si>
  <si>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</si>
  <si>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</si>
  <si>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</si>
  <si>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</si>
  <si>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</si>
  <si>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</si>
  <si>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</si>
  <si>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</si>
  <si>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</si>
  <si>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</si>
  <si>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</si>
  <si>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</si>
  <si>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</si>
  <si>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</si>
  <si>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</si>
  <si>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</si>
  <si>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</si>
  <si>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</si>
  <si>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</si>
  <si>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</si>
  <si>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</si>
  <si>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</si>
  <si>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</si>
  <si>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</si>
  <si>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</si>
  <si>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</si>
  <si>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</si>
  <si>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</si>
  <si>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</si>
  <si>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</si>
  <si>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</si>
  <si>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</si>
  <si>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</si>
  <si>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</si>
  <si>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</si>
  <si>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</si>
  <si>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</si>
  <si>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</si>
  <si>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</si>
  <si>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</si>
  <si>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</si>
  <si>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</si>
  <si>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</si>
  <si>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</si>
  <si>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</si>
  <si>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</si>
  <si>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</si>
  <si>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</si>
  <si>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</si>
  <si>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</si>
  <si>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</si>
  <si>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</si>
  <si>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</si>
  <si>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</si>
  <si>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</si>
  <si>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</si>
  <si>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</si>
  <si>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</si>
  <si>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</si>
  <si>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</si>
  <si>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</si>
  <si>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</si>
  <si>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</si>
  <si>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</si>
  <si>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</si>
  <si>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</si>
  <si>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</si>
  <si>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</si>
  <si>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</si>
  <si>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</si>
  <si>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</si>
  <si>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</si>
  <si>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</si>
  <si>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</si>
  <si>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</si>
  <si>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</si>
  <si>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</si>
  <si>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</si>
  <si>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</si>
  <si>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</si>
  <si>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</si>
  <si>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</si>
  <si>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</si>
  <si>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</si>
  <si>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</si>
  <si>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</si>
  <si>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</si>
  <si>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</si>
  <si>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</si>
  <si>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</si>
  <si>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</si>
  <si>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</si>
  <si>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</si>
  <si>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</si>
  <si>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</si>
  <si>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</si>
  <si>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</si>
  <si>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</si>
  <si>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</si>
  <si>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</si>
  <si>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</si>
  <si>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</si>
  <si>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</si>
  <si>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</si>
  <si>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</si>
  <si>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</si>
  <si>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</si>
  <si>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</si>
  <si>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</si>
  <si>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</si>
  <si>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</si>
  <si>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</si>
  <si>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</si>
  <si>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</si>
  <si>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</si>
  <si>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</si>
  <si>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</si>
  <si>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</si>
  <si>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</si>
  <si>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</si>
  <si>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</si>
  <si>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</si>
  <si>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</si>
  <si>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</si>
  <si>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</si>
  <si>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</si>
  <si>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</si>
  <si>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</si>
  <si>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</si>
  <si>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</si>
  <si>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</si>
  <si>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</si>
  <si>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</si>
  <si>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</si>
  <si>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</si>
  <si>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</si>
  <si>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</si>
  <si>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</si>
  <si>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</si>
  <si>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</si>
  <si>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</si>
  <si>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</si>
  <si>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</si>
  <si>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</si>
  <si>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</si>
  <si>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</si>
  <si>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</si>
  <si>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</si>
  <si>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</si>
  <si>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</si>
  <si>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</si>
  <si>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</si>
  <si>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</si>
  <si>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</si>
  <si>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</si>
  <si>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</si>
  <si>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</si>
  <si>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</si>
  <si>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</si>
  <si>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</si>
  <si>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</si>
  <si>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</si>
  <si>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</si>
  <si>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</si>
  <si>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</si>
  <si>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</si>
  <si>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</si>
  <si>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</si>
  <si>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</si>
  <si>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</si>
  <si>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</si>
  <si>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</si>
  <si>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</si>
  <si>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</si>
  <si>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</si>
  <si>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</si>
  <si>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</si>
  <si>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</si>
  <si>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</si>
  <si>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</si>
  <si>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</si>
  <si>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</si>
  <si>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</si>
  <si>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</si>
  <si>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</si>
  <si>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</si>
  <si>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</si>
  <si>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</si>
  <si>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</si>
  <si>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</si>
  <si>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</si>
  <si>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</si>
  <si>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</si>
  <si>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</si>
  <si>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</si>
  <si>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</si>
  <si>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</si>
  <si>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</si>
  <si>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</si>
  <si>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</si>
  <si>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</si>
  <si>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</si>
  <si>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</si>
  <si>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</si>
  <si>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</si>
  <si>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</si>
  <si>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</si>
  <si>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</si>
  <si>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</si>
  <si>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</si>
  <si>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</si>
  <si>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</si>
  <si>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</si>
  <si>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</si>
  <si>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</si>
  <si>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</si>
  <si>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</si>
  <si>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</si>
  <si>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</si>
  <si>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</si>
  <si>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</si>
  <si>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</si>
  <si>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</si>
  <si>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</si>
  <si>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</si>
  <si>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</si>
  <si>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</si>
  <si>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</si>
  <si>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</si>
  <si>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</si>
  <si>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</si>
  <si>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</si>
  <si>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</si>
  <si>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</si>
  <si>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</si>
  <si>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</si>
  <si>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</si>
  <si>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</si>
  <si>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</si>
  <si>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</si>
  <si>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</si>
  <si>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</si>
  <si>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</si>
  <si>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</si>
  <si>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</si>
  <si>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</si>
  <si>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</si>
  <si>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</si>
  <si>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</si>
  <si>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</si>
  <si>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</si>
  <si>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</si>
  <si>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</si>
  <si>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</si>
  <si>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</si>
  <si>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</si>
  <si>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</si>
  <si>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</si>
  <si>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</si>
  <si>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</si>
  <si>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</si>
  <si>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</si>
  <si>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</si>
  <si>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</si>
  <si>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</si>
  <si>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</si>
  <si>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</si>
  <si>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</si>
  <si>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</si>
  <si>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</si>
  <si>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</si>
  <si>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</si>
  <si>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</si>
  <si>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</si>
  <si>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</si>
  <si>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</si>
  <si>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</si>
  <si>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</si>
  <si>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</si>
  <si>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</si>
  <si>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</si>
  <si>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</si>
  <si>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</si>
  <si>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</si>
  <si>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</si>
  <si>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</si>
  <si>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</si>
  <si>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</si>
  <si>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</si>
  <si>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</si>
  <si>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</si>
  <si>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</si>
  <si>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</si>
  <si>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</si>
  <si>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</si>
  <si>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</si>
  <si>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</si>
  <si>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</si>
  <si>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</si>
  <si>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</si>
  <si>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</si>
  <si>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</si>
  <si>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</si>
  <si>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</si>
  <si>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</si>
  <si>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</si>
  <si>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</si>
  <si>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</si>
  <si>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</si>
  <si>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</si>
  <si>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</si>
  <si>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</si>
  <si>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</si>
  <si>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</si>
  <si>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</si>
  <si>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</si>
  <si>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</si>
  <si>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</si>
  <si>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</si>
  <si>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</si>
  <si>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</si>
  <si>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</si>
  <si>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</si>
  <si>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</si>
  <si>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</si>
  <si>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</si>
  <si>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</si>
  <si>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</si>
  <si>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</si>
  <si>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</si>
  <si>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</si>
  <si>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</si>
  <si>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</si>
  <si>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</si>
  <si>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</si>
  <si>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</si>
  <si>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</si>
  <si>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</si>
  <si>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</si>
  <si>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</si>
  <si>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</si>
  <si>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</si>
  <si>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</si>
  <si>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</si>
  <si>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</si>
  <si>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</si>
  <si>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</si>
  <si>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</si>
  <si>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</si>
  <si>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</si>
  <si>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</si>
  <si>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</si>
  <si>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</si>
  <si>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</si>
  <si>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</si>
  <si>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</si>
  <si>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</si>
  <si>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</si>
  <si>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</si>
  <si>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</si>
  <si>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</si>
  <si>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</si>
  <si>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</si>
  <si>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</si>
  <si>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</si>
  <si>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</si>
  <si>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</si>
  <si>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</si>
  <si>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</si>
  <si>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</si>
  <si>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</si>
  <si>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</si>
  <si>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</si>
  <si>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</si>
  <si>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</si>
  <si>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</si>
  <si>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</si>
  <si>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</si>
  <si>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</si>
  <si>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</si>
  <si>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</si>
  <si>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</si>
  <si>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</si>
  <si>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</si>
  <si>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</si>
  <si>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</si>
  <si>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</si>
  <si>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</si>
  <si>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</si>
  <si>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</si>
  <si>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</si>
  <si>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</si>
  <si>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</si>
  <si>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</si>
  <si>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</si>
  <si>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</si>
  <si>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</si>
  <si>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</si>
  <si>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</si>
  <si>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</si>
  <si>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</si>
  <si>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</si>
  <si>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</si>
  <si>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</si>
  <si>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</si>
  <si>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</si>
  <si>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</si>
  <si>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</si>
  <si>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</si>
  <si>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</si>
  <si>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</si>
  <si>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</si>
  <si>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</si>
  <si>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</si>
  <si>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</si>
  <si>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</si>
  <si>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</si>
  <si>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</si>
  <si>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</si>
  <si>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</si>
  <si>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</si>
  <si>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</si>
  <si>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</si>
  <si>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</si>
  <si>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</si>
  <si>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</si>
  <si>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</si>
  <si>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</si>
  <si>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</si>
  <si>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</si>
  <si>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</si>
  <si>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</si>
  <si>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</si>
  <si>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</si>
  <si>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</si>
  <si>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</si>
  <si>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</si>
  <si>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</si>
  <si>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</si>
  <si>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</si>
  <si>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</si>
  <si>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</si>
  <si>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</si>
  <si>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</si>
  <si>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</si>
  <si>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</si>
  <si>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</si>
  <si>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</si>
  <si>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</si>
  <si>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</si>
  <si>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</si>
  <si>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</si>
  <si>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</si>
  <si>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</si>
  <si>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</si>
  <si>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</si>
  <si>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</si>
  <si>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</si>
  <si>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</si>
  <si>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</si>
  <si>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</si>
  <si>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</si>
  <si>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</si>
  <si>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</si>
  <si>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</si>
  <si>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</si>
  <si>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</si>
  <si>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</si>
  <si>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</si>
  <si>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</si>
  <si>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</si>
  <si>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</si>
  <si>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</si>
  <si>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</si>
  <si>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</si>
  <si>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</si>
  <si>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</si>
  <si>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</si>
  <si>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</si>
  <si>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</si>
  <si>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</si>
  <si>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</si>
  <si>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</si>
  <si>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</si>
  <si>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</si>
  <si>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</si>
  <si>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</si>
  <si>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</si>
  <si>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</si>
  <si>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</si>
  <si>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</si>
  <si>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</si>
  <si>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</si>
  <si>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</si>
  <si>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</si>
  <si>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</si>
  <si>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</si>
  <si>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</si>
  <si>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</si>
  <si>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</si>
  <si>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</si>
  <si>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</si>
  <si>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</si>
  <si>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</si>
  <si>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</si>
  <si>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</si>
  <si>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</si>
  <si>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</si>
  <si>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</si>
  <si>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</si>
  <si>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</si>
  <si>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</si>
  <si>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</si>
  <si>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</si>
  <si>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</si>
  <si>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</si>
  <si>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</si>
  <si>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</si>
  <si>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</si>
  <si>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</si>
  <si>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</si>
  <si>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</si>
  <si>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</si>
  <si>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</si>
  <si>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</si>
  <si>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</si>
  <si>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</si>
  <si>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</si>
  <si>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</si>
  <si>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</si>
  <si>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</si>
  <si>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</si>
  <si>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</si>
  <si>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</si>
  <si>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</si>
  <si>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</si>
  <si>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</si>
  <si>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</si>
  <si>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</si>
  <si>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</si>
  <si>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</si>
  <si>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</si>
  <si>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</si>
  <si>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</si>
  <si>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</si>
  <si>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</si>
  <si>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</si>
  <si>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</si>
  <si>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</si>
  <si>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</si>
  <si>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</si>
  <si>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</si>
  <si>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</si>
  <si>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</si>
  <si>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</si>
  <si>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</si>
  <si>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</si>
  <si>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</si>
  <si>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</si>
  <si>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</si>
  <si>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</si>
  <si>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</si>
  <si>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</si>
  <si>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</si>
  <si>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</si>
  <si>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</si>
  <si>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</si>
  <si>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</si>
  <si>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</si>
  <si>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</si>
  <si>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</si>
  <si>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</si>
  <si>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</si>
  <si>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</si>
  <si>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</si>
  <si>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</si>
  <si>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</si>
  <si>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</si>
  <si>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</si>
  <si>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</si>
  <si>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</si>
  <si>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</si>
  <si>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</si>
  <si>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</si>
  <si>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</si>
  <si>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</si>
  <si>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</si>
  <si>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</si>
  <si>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</si>
  <si>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</si>
  <si>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</si>
  <si>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</si>
  <si>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</si>
  <si>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</si>
  <si>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</si>
  <si>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</si>
  <si>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</si>
  <si>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</si>
  <si>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</si>
  <si>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</si>
  <si>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</si>
  <si>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</si>
  <si>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</si>
  <si>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</si>
  <si>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</si>
  <si>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</si>
  <si>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</si>
  <si>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</si>
  <si>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</si>
  <si>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</si>
  <si>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</si>
  <si>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</si>
  <si>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</si>
  <si>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</si>
  <si>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</si>
  <si>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</si>
  <si>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</si>
  <si>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</si>
  <si>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</si>
  <si>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</si>
  <si>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</si>
  <si>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</si>
  <si>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</si>
  <si>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</si>
  <si>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</si>
  <si>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</si>
  <si>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</si>
  <si>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</si>
  <si>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</si>
  <si>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</si>
  <si>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</si>
  <si>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</si>
  <si>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</si>
  <si>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</si>
  <si>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</si>
  <si>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</si>
  <si>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</si>
  <si>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</si>
  <si>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</si>
  <si>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</si>
  <si>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</si>
  <si>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</si>
  <si>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</si>
  <si>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</si>
  <si>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</si>
  <si>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</si>
  <si>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</si>
  <si>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</si>
  <si>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</si>
  <si>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</si>
  <si>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</si>
  <si>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</si>
  <si>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</si>
  <si>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</si>
  <si>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</si>
  <si>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</si>
  <si>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</si>
  <si>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</si>
  <si>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</si>
  <si>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</si>
  <si>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</si>
  <si>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</si>
  <si>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</si>
  <si>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</si>
  <si>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</si>
  <si>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</si>
  <si>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</si>
  <si>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</si>
  <si>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</si>
  <si>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</si>
  <si>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</si>
  <si>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</si>
  <si>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</si>
  <si>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</si>
  <si>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</si>
  <si>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</si>
  <si>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</si>
  <si>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</si>
  <si>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</si>
  <si>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</si>
  <si>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</si>
  <si>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</si>
  <si>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</si>
  <si>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</si>
  <si>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</si>
  <si>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</si>
  <si>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</si>
  <si>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</si>
  <si>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</si>
  <si>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</si>
  <si>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</si>
  <si>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</si>
  <si>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</si>
  <si>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</si>
  <si>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</si>
  <si>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</si>
  <si>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</si>
  <si>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</si>
  <si>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</si>
  <si>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</si>
  <si>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</si>
  <si>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</si>
  <si>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</si>
  <si>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</si>
  <si>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</si>
  <si>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</si>
  <si>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</si>
  <si>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</si>
  <si>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</si>
  <si>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</si>
  <si>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</si>
  <si>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</si>
  <si>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</si>
  <si>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</si>
  <si>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</si>
  <si>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</si>
  <si>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</si>
  <si>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</si>
  <si>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</si>
  <si>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</si>
  <si>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</si>
  <si>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</si>
  <si>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</si>
  <si>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</si>
  <si>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</si>
  <si>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</si>
  <si>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</si>
  <si>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</si>
  <si>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</si>
  <si>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</si>
  <si>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</si>
  <si>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</si>
  <si>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</si>
  <si>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</si>
  <si>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</si>
  <si>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</si>
  <si>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</si>
  <si>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</si>
  <si>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</si>
  <si>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</si>
  <si>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</si>
  <si>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</si>
  <si>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</si>
  <si>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</si>
  <si>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</si>
  <si>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</si>
  <si>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</si>
  <si>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</si>
  <si>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</si>
  <si>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</si>
  <si>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</si>
  <si>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</si>
  <si>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</si>
  <si>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</si>
  <si>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</si>
  <si>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</si>
  <si>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</si>
  <si>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</si>
  <si>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</si>
  <si>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</si>
  <si>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</si>
  <si>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</si>
  <si>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</si>
  <si>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</si>
  <si>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</si>
  <si>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</si>
  <si>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</si>
  <si>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</si>
  <si>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</si>
  <si>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</si>
  <si>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</si>
  <si>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</si>
  <si>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</si>
  <si>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</si>
  <si>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</si>
  <si>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</si>
  <si>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</si>
  <si>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</si>
  <si>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</si>
  <si>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</si>
  <si>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</si>
  <si>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</si>
  <si>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</si>
  <si>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</si>
  <si>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</si>
  <si>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</si>
  <si>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</si>
  <si>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</si>
  <si>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</si>
  <si>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</si>
  <si>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</si>
  <si>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</si>
  <si>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</si>
  <si>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</si>
  <si>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</si>
  <si>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</si>
  <si>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</si>
  <si>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</si>
  <si>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</si>
  <si>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</si>
  <si>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</si>
  <si>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</si>
  <si>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</si>
  <si>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</si>
  <si>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</si>
  <si>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</si>
  <si>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</si>
  <si>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</si>
  <si>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</si>
  <si>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</si>
  <si>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</si>
  <si>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</si>
  <si>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</si>
  <si>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</si>
  <si>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</si>
  <si>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</si>
  <si>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</si>
  <si>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</si>
  <si>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</si>
  <si>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</si>
  <si>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</si>
  <si>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</si>
  <si>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</si>
  <si>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</si>
  <si>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</si>
  <si>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</si>
  <si>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</si>
  <si>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</si>
  <si>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</si>
  <si>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</si>
  <si>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</si>
  <si>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</si>
  <si>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</si>
  <si>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</si>
  <si>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</si>
  <si>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</si>
  <si>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</si>
  <si>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</si>
  <si>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</si>
  <si>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</si>
  <si>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</si>
  <si>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</si>
  <si>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</si>
  <si>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</si>
  <si>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</si>
  <si>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</si>
  <si>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</si>
  <si>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</si>
  <si>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</si>
  <si>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</si>
  <si>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</si>
  <si>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</si>
  <si>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</si>
  <si>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</si>
  <si>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</si>
  <si>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</si>
  <si>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</si>
  <si>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</si>
  <si>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</si>
  <si>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</si>
  <si>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</si>
  <si>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</si>
  <si>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</si>
  <si>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</si>
  <si>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</si>
  <si>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</si>
  <si>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</si>
  <si>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</si>
  <si>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</si>
  <si>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</si>
  <si>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</si>
  <si>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</si>
  <si>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</si>
  <si>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</si>
  <si>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</si>
  <si>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</si>
  <si>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</si>
  <si>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</si>
  <si>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</si>
  <si>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</si>
  <si>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</si>
  <si>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</si>
  <si>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</si>
  <si>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</si>
  <si>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</si>
  <si>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</si>
  <si>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</si>
  <si>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</si>
  <si>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</si>
  <si>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</si>
  <si>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</si>
  <si>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</si>
  <si>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</si>
  <si>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</si>
  <si>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</si>
  <si>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</si>
  <si>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</si>
  <si>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</si>
  <si>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</si>
  <si>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</si>
  <si>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</si>
  <si>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</si>
  <si>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</si>
  <si>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</si>
  <si>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</si>
  <si>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</si>
  <si>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</si>
  <si>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</si>
  <si>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</si>
  <si>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</si>
  <si>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</si>
  <si>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</si>
  <si>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</si>
  <si>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</si>
  <si>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</si>
  <si>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</si>
  <si>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</si>
  <si>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</si>
  <si>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</si>
  <si>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</si>
  <si>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</si>
  <si>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</si>
  <si>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</si>
  <si>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</si>
  <si>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</si>
  <si>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</si>
  <si>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</si>
  <si>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</si>
  <si>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</si>
  <si>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</si>
  <si>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</si>
  <si>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</si>
  <si>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</si>
  <si>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</si>
  <si>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</si>
  <si>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</si>
  <si>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</si>
  <si>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</si>
  <si>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</si>
  <si>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</si>
  <si>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</si>
  <si>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</si>
  <si>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</si>
  <si>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</si>
  <si>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</si>
  <si>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</si>
  <si>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</si>
  <si>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</si>
  <si>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</si>
  <si>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</si>
  <si>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</si>
  <si>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</si>
  <si>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</si>
  <si>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</si>
  <si>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</si>
  <si>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</si>
  <si>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</si>
  <si>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</si>
  <si>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</si>
  <si>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</si>
  <si>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</si>
  <si>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</si>
  <si>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</si>
  <si>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</si>
  <si>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</si>
  <si>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</si>
  <si>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</si>
  <si>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</si>
  <si>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</si>
  <si>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</si>
  <si>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</si>
  <si>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</si>
  <si>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</si>
  <si>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</si>
  <si>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</si>
  <si>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</si>
  <si>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</si>
  <si>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</si>
  <si>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</si>
  <si>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</si>
  <si>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</si>
  <si>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</si>
  <si>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</si>
  <si>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</si>
  <si>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</si>
  <si>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</si>
  <si>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</si>
  <si>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</si>
  <si>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</si>
  <si>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</si>
  <si>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</si>
  <si>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</si>
  <si>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</si>
  <si>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</si>
  <si>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</si>
  <si>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</si>
  <si>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</si>
  <si>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</si>
  <si>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</si>
  <si>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</si>
  <si>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</si>
  <si>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</si>
  <si>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</si>
  <si>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</si>
  <si>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</si>
  <si>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</si>
  <si>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</si>
  <si>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</si>
  <si>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</si>
  <si>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</si>
  <si>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</si>
  <si>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</si>
  <si>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</si>
  <si>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</si>
  <si>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</si>
  <si>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</si>
  <si>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</si>
  <si>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</si>
  <si>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</si>
  <si>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</si>
  <si>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</si>
  <si>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</si>
  <si>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</si>
  <si>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</si>
  <si>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</si>
  <si>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</si>
  <si>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</si>
  <si>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</si>
  <si>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</si>
  <si>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</si>
  <si>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</si>
  <si>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</si>
  <si>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</si>
  <si>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</si>
  <si>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</si>
  <si>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</si>
  <si>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</si>
  <si>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</si>
  <si>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</si>
  <si>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</si>
  <si>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</si>
  <si>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</si>
  <si>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</si>
  <si>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</si>
  <si>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</si>
  <si>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</si>
  <si>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</si>
  <si>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</si>
  <si>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</si>
  <si>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</si>
  <si>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</si>
  <si>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</si>
  <si>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</si>
  <si>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</si>
  <si>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</si>
  <si>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</si>
  <si>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</si>
  <si>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</si>
  <si>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</si>
  <si>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</si>
  <si>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</si>
  <si>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</si>
  <si>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</si>
  <si>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</si>
  <si>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</si>
  <si>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</si>
  <si>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</si>
  <si>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</si>
  <si>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</si>
  <si>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</si>
  <si>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</si>
  <si>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</si>
  <si>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</si>
  <si>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</si>
  <si>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</si>
  <si>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</si>
  <si>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</si>
  <si>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</si>
  <si>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</si>
  <si>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</si>
  <si>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</si>
  <si>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</si>
  <si>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</si>
  <si>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</si>
  <si>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</si>
  <si>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</si>
  <si>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</si>
  <si>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</si>
  <si>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</si>
  <si>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</si>
  <si>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</si>
  <si>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</si>
  <si>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</si>
  <si>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</si>
  <si>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</si>
  <si>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</si>
  <si>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</si>
  <si>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</si>
  <si>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</si>
  <si>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</si>
  <si>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</si>
  <si>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</si>
  <si>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</si>
  <si>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</si>
  <si>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</si>
  <si>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</si>
  <si>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</si>
  <si>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</si>
  <si>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</si>
  <si>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</si>
  <si>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</si>
  <si>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</si>
  <si>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</si>
  <si>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</si>
  <si>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</si>
  <si>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</si>
  <si>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</si>
  <si>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</si>
  <si>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</si>
  <si>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</si>
  <si>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</si>
  <si>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</si>
  <si>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</si>
  <si>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</si>
  <si>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</si>
  <si>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</si>
  <si>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</si>
  <si>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</si>
  <si>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</si>
  <si>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</si>
  <si>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</si>
  <si>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</si>
  <si>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</si>
  <si>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</si>
  <si>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</si>
  <si>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</si>
  <si>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</si>
  <si>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</si>
  <si>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</si>
  <si>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</si>
  <si>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</si>
  <si>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</si>
  <si>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</si>
  <si>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</si>
  <si>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</si>
  <si>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</si>
  <si>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</si>
  <si>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</si>
  <si>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</si>
  <si>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</si>
  <si>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</si>
  <si>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</si>
  <si>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</si>
  <si>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</si>
  <si>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</si>
  <si>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</si>
  <si>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</si>
  <si>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</si>
  <si>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</si>
  <si>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</si>
  <si>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</si>
  <si>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</si>
  <si>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</si>
  <si>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</si>
  <si>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</si>
  <si>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</si>
  <si>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</si>
  <si>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</si>
  <si>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</si>
  <si>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</si>
  <si>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</si>
  <si>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</si>
  <si>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</si>
  <si>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</si>
  <si>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</si>
  <si>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</si>
  <si>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</si>
  <si>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</si>
  <si>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</si>
  <si>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</si>
  <si>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</si>
  <si>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</si>
  <si>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</si>
  <si>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</si>
  <si>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</si>
  <si>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</si>
  <si>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</si>
  <si>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</si>
  <si>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</si>
  <si>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</si>
  <si>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</si>
  <si>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</si>
  <si>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</si>
  <si>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</si>
  <si>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</si>
  <si>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</si>
  <si>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</si>
  <si>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</si>
  <si>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</si>
  <si>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</si>
  <si>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</si>
  <si>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</si>
  <si>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</si>
  <si>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</si>
  <si>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</si>
  <si>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</si>
  <si>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</si>
  <si>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</si>
  <si>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</si>
  <si>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</si>
  <si>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</si>
  <si>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</si>
  <si>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</si>
  <si>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</si>
  <si>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</si>
  <si>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</si>
  <si>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</si>
  <si>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</si>
  <si>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</si>
  <si>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</si>
  <si>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</si>
  <si>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</si>
  <si>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</si>
  <si>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</si>
  <si>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</si>
  <si>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</si>
  <si>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</si>
  <si>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</si>
  <si>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</si>
  <si>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</si>
  <si>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</si>
  <si>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</si>
  <si>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</si>
  <si>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</si>
  <si>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</si>
  <si>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</si>
  <si>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</si>
  <si>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</si>
  <si>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</si>
  <si>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</si>
  <si>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</si>
  <si>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</si>
  <si>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</si>
  <si>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</si>
  <si>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</si>
  <si>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</si>
  <si>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</si>
  <si>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</si>
  <si>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</si>
  <si>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</si>
  <si>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</si>
  <si>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</si>
  <si>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</si>
  <si>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</si>
  <si>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</si>
  <si>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</si>
  <si>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</si>
  <si>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</si>
  <si>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</si>
  <si>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</si>
  <si>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</si>
  <si>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</si>
  <si>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</si>
  <si>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</si>
  <si>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</si>
  <si>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</si>
  <si>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</si>
  <si>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</si>
  <si>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</si>
  <si>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</si>
  <si>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</si>
  <si>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</si>
  <si>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</si>
  <si>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</si>
  <si>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</si>
  <si>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</si>
  <si>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</si>
  <si>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</si>
  <si>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</si>
  <si>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</si>
  <si>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</si>
  <si>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</si>
  <si>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</si>
  <si>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</si>
  <si>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</si>
  <si>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</si>
  <si>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</si>
  <si>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</si>
  <si>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</si>
  <si>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</si>
  <si>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</si>
  <si>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</si>
  <si>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</si>
  <si>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</si>
  <si>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</si>
  <si>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</si>
  <si>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</si>
  <si>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</si>
  <si>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</si>
  <si>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</si>
  <si>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</si>
  <si>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</si>
  <si>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</si>
  <si>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</si>
  <si>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</si>
  <si>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</si>
  <si>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</si>
  <si>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</si>
  <si>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</si>
  <si>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</si>
  <si>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</si>
  <si>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</si>
  <si>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</si>
  <si>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</si>
  <si>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</si>
  <si>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</si>
  <si>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</si>
  <si>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</si>
  <si>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</si>
  <si>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</si>
  <si>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</si>
  <si>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</si>
  <si>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</si>
  <si>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</si>
  <si>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</si>
  <si>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</si>
  <si>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</si>
  <si>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</si>
  <si>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</si>
  <si>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</si>
  <si>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</si>
  <si>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</si>
  <si>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</si>
  <si>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</si>
  <si>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</si>
  <si>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</si>
  <si>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</si>
  <si>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</si>
  <si>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</si>
  <si>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</si>
  <si>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</si>
  <si>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</si>
  <si>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</si>
  <si>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</si>
  <si>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</si>
  <si>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</si>
  <si>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</si>
  <si>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</si>
  <si>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</si>
  <si>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</si>
  <si>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</si>
  <si>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</si>
  <si>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</si>
  <si>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</si>
  <si>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</si>
  <si>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</si>
  <si>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</si>
  <si>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</si>
  <si>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</si>
  <si>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</si>
  <si>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</si>
  <si>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</si>
  <si>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</si>
  <si>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</si>
  <si>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</si>
  <si>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</si>
  <si>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</si>
  <si>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</si>
  <si>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</si>
  <si>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</si>
  <si>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</si>
  <si>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</si>
  <si>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</si>
  <si>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</si>
  <si>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</si>
  <si>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</si>
  <si>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</si>
  <si>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</si>
  <si>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</si>
  <si>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</si>
  <si>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</si>
  <si>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</si>
  <si>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</si>
  <si>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</si>
  <si>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</si>
  <si>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</si>
  <si>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</si>
  <si>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</si>
  <si>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</si>
  <si>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</si>
  <si>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</si>
  <si>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</si>
  <si>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</si>
  <si>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</si>
  <si>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</si>
  <si>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</si>
  <si>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</si>
  <si>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</si>
  <si>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</si>
  <si>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</si>
  <si>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</si>
  <si>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</si>
  <si>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</si>
  <si>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</si>
  <si>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</si>
  <si>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</si>
  <si>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</si>
  <si>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</si>
  <si>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</si>
  <si>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</si>
  <si>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</si>
  <si>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</si>
  <si>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</si>
  <si>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</si>
  <si>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</si>
  <si>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</si>
  <si>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</si>
  <si>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</si>
  <si>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</si>
  <si>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</si>
  <si>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</si>
  <si>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</si>
  <si>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</si>
  <si>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</si>
  <si>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</si>
  <si>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</si>
  <si>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</si>
  <si>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</si>
  <si>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</si>
  <si>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</si>
  <si>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</si>
  <si>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</si>
  <si>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</si>
  <si>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</si>
  <si>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</si>
  <si>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</si>
  <si>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</si>
  <si>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</si>
  <si>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</si>
  <si>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</si>
  <si>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</si>
  <si>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</si>
  <si>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</si>
  <si>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</si>
  <si>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</si>
  <si>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</si>
  <si>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</si>
  <si>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</si>
  <si>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</si>
  <si>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</si>
  <si>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</si>
  <si>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</si>
  <si>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</si>
  <si>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</si>
  <si>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</si>
  <si>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</si>
  <si>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</si>
  <si>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</si>
  <si>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</si>
  <si>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</si>
  <si>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</si>
  <si>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</si>
  <si>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</si>
  <si>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</si>
  <si>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</si>
  <si>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</si>
  <si>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</si>
  <si>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</si>
  <si>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</si>
  <si>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</si>
  <si>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</si>
  <si>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</si>
  <si>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</si>
  <si>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</si>
  <si>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</si>
  <si>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</si>
  <si>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</si>
  <si>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</si>
  <si>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</si>
  <si>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</si>
  <si>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</si>
  <si>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</si>
  <si>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</si>
  <si>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</si>
  <si>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</si>
  <si>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Standard</t>
  </si>
  <si>
    <t>H000004863</t>
  </si>
  <si>
    <t>H000004864</t>
  </si>
  <si>
    <t>H000004865</t>
  </si>
  <si>
    <t>UNKNOWN</t>
  </si>
  <si>
    <t>MERCK SERONO ITALY - BARI (CCH)</t>
  </si>
  <si>
    <t>1250BA - OPERATIONS</t>
  </si>
  <si>
    <t>1250BA - OPERATIONS SUPPORT SERVICES</t>
  </si>
  <si>
    <t>H000001474</t>
  </si>
  <si>
    <t>1250BA - SITE INFRASTRUCTURE</t>
  </si>
  <si>
    <t>1250BA - QUALITY</t>
  </si>
  <si>
    <t>1250BA - OTHERS</t>
  </si>
  <si>
    <t>H000011472</t>
  </si>
  <si>
    <t>1250BA - MANUFACTURING</t>
  </si>
  <si>
    <t>H000012472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</si>
  <si>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</si>
  <si>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</si>
  <si>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</si>
  <si>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</si>
  <si>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</si>
  <si>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</si>
  <si>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</si>
  <si>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</si>
  <si>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</si>
  <si>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</si>
  <si>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</si>
  <si>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</si>
  <si>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</si>
  <si>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</si>
  <si>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</si>
  <si>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</si>
  <si>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</si>
  <si>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</si>
  <si>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</si>
  <si>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</si>
  <si>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</si>
  <si>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</si>
  <si>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</si>
  <si>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</si>
  <si>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</si>
  <si>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</si>
  <si>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</si>
  <si>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</si>
  <si>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</si>
  <si>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</si>
  <si>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</si>
  <si>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</si>
  <si>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</si>
  <si>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</si>
  <si>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</si>
  <si>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</si>
  <si>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</si>
  <si>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</si>
  <si>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</si>
  <si>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</si>
  <si>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</si>
  <si>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</si>
  <si>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</si>
  <si>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</si>
  <si>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</si>
  <si>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</si>
  <si>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</si>
  <si>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</si>
  <si>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DONE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</si>
  <si>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</si>
  <si>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</si>
  <si>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</si>
  <si>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</si>
  <si>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</si>
  <si>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</si>
  <si>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</si>
  <si>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</si>
  <si>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</si>
  <si>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</si>
  <si>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</si>
  <si>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</si>
  <si>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</si>
  <si>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</si>
  <si>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</si>
  <si>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</si>
  <si>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</si>
  <si>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</si>
  <si>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</si>
  <si>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</si>
  <si>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</si>
  <si>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</si>
  <si>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</si>
  <si>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</si>
  <si>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</si>
  <si>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</si>
  <si>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</si>
  <si>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</si>
  <si>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</si>
  <si>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</si>
  <si>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</si>
  <si>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</si>
  <si>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</si>
  <si>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</si>
  <si>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</si>
  <si>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</si>
  <si>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</si>
  <si>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</si>
  <si>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</si>
  <si>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P000000578 XX EL-SC ISC General</t>
  </si>
  <si>
    <t>P000000467 EL-SC-C Customer Fulfillment</t>
  </si>
  <si>
    <t>P000000483 EL-SC-Q Quality &amp; Compliance Management</t>
  </si>
  <si>
    <t>P000000522 EL-FO Planarization ISC &amp; Quality</t>
  </si>
  <si>
    <t>P000001280 DSS Global S&amp;OP / Fulfill</t>
  </si>
  <si>
    <t>P000000584 EL-CC-D Digital Solutions</t>
  </si>
  <si>
    <t>P000000966 EL-ND-N DS&amp;S Production Sites</t>
  </si>
  <si>
    <t>P000000555 EL-CT CTO</t>
  </si>
  <si>
    <t>P000000642 EL-FO-P Patterning Solutions</t>
  </si>
  <si>
    <t>P000000000 Electronics</t>
  </si>
  <si>
    <t>Cluster Synthesis / Purification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</si>
  <si>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</si>
  <si>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</si>
  <si>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</si>
  <si>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</si>
  <si>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</si>
  <si>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</si>
  <si>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</si>
  <si>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</si>
  <si>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</si>
  <si>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</si>
  <si>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</si>
  <si>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</si>
  <si>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</si>
  <si>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</si>
  <si>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</si>
  <si>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</si>
  <si>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</si>
  <si>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</si>
  <si>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</si>
  <si>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</si>
  <si>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</si>
  <si>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</si>
  <si>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</si>
  <si>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</si>
  <si>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</si>
  <si>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</si>
  <si>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</si>
  <si>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</si>
  <si>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</si>
  <si>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</si>
  <si>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</si>
  <si>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</si>
  <si>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</si>
  <si>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</si>
  <si>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</si>
  <si>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</si>
  <si>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</si>
  <si>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</si>
  <si>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</si>
  <si>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</si>
  <si>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</si>
  <si>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</si>
  <si>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</si>
  <si>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</si>
  <si>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</si>
  <si>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</si>
  <si>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</si>
  <si>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to do in 2026; renamed</t>
  </si>
  <si>
    <t>to do in 2026; renamed;mapped</t>
  </si>
  <si>
    <t>to do in 2026;moved</t>
  </si>
  <si>
    <t>to do in 2026; renamed;moved</t>
  </si>
  <si>
    <t>FR8118359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</si>
</sst>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53" totalsRowShown="0">
  <autoFilter ref="A1:M153" xr:uid="{00000000-000C-0000-FFFF-FFFF00000000}"/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5" t="s">
        <v>0</v>
      </c>
      <c r="B1" t="s">
        <v>7903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10</v>
      </c>
      <c r="B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53"/>
  <sheetViews>
    <sheetView tabSelected="1" topLeftCell="A121" zoomScale="115" zoomScaleNormal="115" workbookViewId="0">
      <selection activeCell="F153" sqref="F153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2">
        <v>1</v>
      </c>
      <c r="B2" s="36" t="s">
        <v>4</v>
      </c>
      <c r="C2" s="9" t="s">
        <v>7908</v>
      </c>
      <c r="D2" s="9" t="s">
        <v>7904</v>
      </c>
      <c r="E2" s="38" t="s">
        <v>7910</v>
      </c>
      <c r="F2" s="54" t="s">
        <v>3707</v>
      </c>
      <c r="G2" s="9" t="s">
        <v>14</v>
      </c>
      <c r="H2" s="36">
        <f>IFERROR(VLOOKUP(Table2[[#This Row], [Ticket]],Okey!A:B,2,0),"")</f>
        <v>0</v>
      </c>
      <c r="I2" s="9" t="s">
        <v>7982</v>
      </c>
      <c r="J2" s="36" t="s">
        <v>17</v>
      </c>
      <c r="M2" s="9" t="s">
        <v>1230</v>
      </c>
    </row>
    <row r="3" spans="1:13" x14ac:dyDescent="0.25">
      <c r="A3" s="42">
        <f t="shared" ref="A3:A19" si="0">1+A2</f>
        <v>2</v>
      </c>
      <c r="B3" s="36" t="s">
        <v>4</v>
      </c>
      <c r="C3" s="36" t="s">
        <v>7908</v>
      </c>
      <c r="D3" s="9" t="s">
        <v>7863</v>
      </c>
      <c r="F3" s="9" t="s">
        <v>387</v>
      </c>
      <c r="G3" s="9" t="s">
        <v>13</v>
      </c>
      <c r="H3" s="36" t="s">
        <v>6455</v>
      </c>
      <c r="J3" s="36" t="s">
        <v>17</v>
      </c>
      <c r="K3" s="9" t="s">
        <v>8082</v>
      </c>
      <c r="M3" s="9" t="s">
        <v>4777</v>
      </c>
    </row>
    <row r="4" spans="1:13" x14ac:dyDescent="0.25">
      <c r="A4" s="42">
        <f t="shared" si="0"/>
        <v>3</v>
      </c>
      <c r="B4" s="36" t="s">
        <v>4</v>
      </c>
      <c r="C4" s="36" t="s">
        <v>7908</v>
      </c>
      <c r="D4" s="9" t="s">
        <v>7866</v>
      </c>
      <c r="E4" s="9" t="s">
        <v>7905</v>
      </c>
      <c r="F4" s="9" t="s">
        <v>5725</v>
      </c>
      <c r="G4" s="9" t="s">
        <v>16</v>
      </c>
      <c r="H4" s="36" t="s">
        <v>6455</v>
      </c>
      <c r="J4" s="36" t="s">
        <v>17</v>
      </c>
      <c r="K4" s="36" t="s">
        <v>8083</v>
      </c>
      <c r="M4" s="36" t="s">
        <v>4777</v>
      </c>
    </row>
    <row r="5" spans="1:13" x14ac:dyDescent="0.25">
      <c r="A5" s="42">
        <f t="shared" si="0"/>
        <v>4</v>
      </c>
      <c r="B5" s="36" t="s">
        <v>4</v>
      </c>
      <c r="C5" s="36" t="s">
        <v>7908</v>
      </c>
      <c r="D5" s="9" t="s">
        <v>7867</v>
      </c>
      <c r="E5" s="9" t="s">
        <v>7905</v>
      </c>
      <c r="F5" s="9" t="s">
        <v>5725</v>
      </c>
      <c r="G5" s="36" t="s">
        <v>16</v>
      </c>
      <c r="H5" s="36" t="s">
        <v>6455</v>
      </c>
      <c r="J5" s="36" t="s">
        <v>17</v>
      </c>
      <c r="K5" s="36" t="s">
        <v>8083</v>
      </c>
      <c r="M5" s="36" t="s">
        <v>4777</v>
      </c>
    </row>
    <row r="6" spans="1:13" x14ac:dyDescent="0.25">
      <c r="A6" s="42">
        <f t="shared" si="0"/>
        <v>5</v>
      </c>
      <c r="B6" s="36" t="s">
        <v>4</v>
      </c>
      <c r="C6" s="36" t="s">
        <v>7908</v>
      </c>
      <c r="D6" s="9" t="s">
        <v>7862</v>
      </c>
      <c r="E6" s="9" t="s">
        <v>7905</v>
      </c>
      <c r="F6" s="9" t="s">
        <v>5725</v>
      </c>
      <c r="G6" s="36" t="s">
        <v>16</v>
      </c>
      <c r="H6" s="36" t="s">
        <v>6455</v>
      </c>
      <c r="J6" s="36" t="s">
        <v>17</v>
      </c>
      <c r="K6" s="36" t="s">
        <v>8083</v>
      </c>
      <c r="M6" s="36" t="s">
        <v>4777</v>
      </c>
    </row>
    <row r="7" spans="1:13" x14ac:dyDescent="0.25">
      <c r="A7" s="42">
        <f t="shared" si="0"/>
        <v>6</v>
      </c>
      <c r="B7" s="36" t="s">
        <v>4</v>
      </c>
      <c r="C7" s="36" t="s">
        <v>7908</v>
      </c>
      <c r="D7" s="9" t="s">
        <v>7864</v>
      </c>
      <c r="E7" s="9" t="s">
        <v>7905</v>
      </c>
      <c r="F7" s="9" t="s">
        <v>5725</v>
      </c>
      <c r="G7" s="36" t="s">
        <v>16</v>
      </c>
      <c r="H7" s="36" t="s">
        <v>6455</v>
      </c>
      <c r="J7" s="36" t="s">
        <v>17</v>
      </c>
      <c r="K7" s="36" t="s">
        <v>8083</v>
      </c>
      <c r="M7" s="36" t="s">
        <v>4777</v>
      </c>
    </row>
    <row r="8" spans="1:13" x14ac:dyDescent="0.25">
      <c r="A8" s="42">
        <f t="shared" si="0"/>
        <v>7</v>
      </c>
      <c r="B8" s="36" t="s">
        <v>4</v>
      </c>
      <c r="C8" s="36" t="s">
        <v>7908</v>
      </c>
      <c r="D8" s="9" t="s">
        <v>7861</v>
      </c>
      <c r="E8" s="9" t="s">
        <v>7906</v>
      </c>
      <c r="G8" s="9" t="s">
        <v>15</v>
      </c>
      <c r="H8" s="36" t="s">
        <v>6455</v>
      </c>
      <c r="I8" s="9" t="s">
        <v>7982</v>
      </c>
      <c r="J8" s="36" t="s">
        <v>17</v>
      </c>
      <c r="K8" s="36" t="s">
        <v>8080</v>
      </c>
      <c r="M8" s="36" t="s">
        <v>4777</v>
      </c>
    </row>
    <row r="9" spans="1:13" x14ac:dyDescent="0.25">
      <c r="A9" s="42">
        <f t="shared" si="0"/>
        <v>8</v>
      </c>
      <c r="B9" s="36" t="s">
        <v>4</v>
      </c>
      <c r="C9" s="36" t="s">
        <v>7908</v>
      </c>
      <c r="D9" s="9" t="s">
        <v>7865</v>
      </c>
      <c r="E9" s="9" t="s">
        <v>7907</v>
      </c>
      <c r="G9" s="36" t="s">
        <v>15</v>
      </c>
      <c r="H9" s="36" t="s">
        <v>6455</v>
      </c>
      <c r="I9" s="36" t="s">
        <v>7982</v>
      </c>
      <c r="J9" s="36" t="s">
        <v>17</v>
      </c>
      <c r="K9" s="36" t="s">
        <v>8080</v>
      </c>
      <c r="M9" s="36" t="s">
        <v>4777</v>
      </c>
    </row>
    <row r="10" spans="1:13" x14ac:dyDescent="0.25">
      <c r="A10" s="42">
        <f t="shared" si="0"/>
        <v>9</v>
      </c>
      <c r="B10" s="36" t="s">
        <v>4</v>
      </c>
      <c r="C10" s="36" t="s">
        <v>7908</v>
      </c>
      <c r="D10" s="9" t="s">
        <v>7868</v>
      </c>
      <c r="E10" s="9" t="s">
        <v>7905</v>
      </c>
      <c r="G10" s="36" t="s">
        <v>15</v>
      </c>
      <c r="H10" s="36" t="s">
        <v>6455</v>
      </c>
      <c r="I10" s="36" t="s">
        <v>7982</v>
      </c>
      <c r="J10" s="36" t="s">
        <v>17</v>
      </c>
      <c r="K10" s="36" t="s">
        <v>8080</v>
      </c>
      <c r="M10" s="36" t="s">
        <v>4777</v>
      </c>
    </row>
    <row r="11" spans="1:13" x14ac:dyDescent="0.25">
      <c r="A11" s="42">
        <f t="shared" si="0"/>
        <v>10</v>
      </c>
      <c r="B11" s="36" t="s">
        <v>4</v>
      </c>
      <c r="C11" s="36" t="s">
        <v>7908</v>
      </c>
      <c r="D11" s="9" t="s">
        <v>7869</v>
      </c>
      <c r="E11" s="9" t="s">
        <v>7905</v>
      </c>
      <c r="G11" s="36" t="s">
        <v>15</v>
      </c>
      <c r="H11" s="36" t="s">
        <v>6455</v>
      </c>
      <c r="I11" s="36" t="s">
        <v>7982</v>
      </c>
      <c r="J11" s="36" t="s">
        <v>17</v>
      </c>
      <c r="K11" s="36" t="s">
        <v>8080</v>
      </c>
      <c r="M11" s="36" t="s">
        <v>4777</v>
      </c>
    </row>
    <row r="12" spans="1:13" x14ac:dyDescent="0.25">
      <c r="A12" s="42">
        <f t="shared" si="0"/>
        <v>11</v>
      </c>
      <c r="B12" s="36" t="s">
        <v>4</v>
      </c>
      <c r="C12" s="36" t="s">
        <v>7908</v>
      </c>
      <c r="D12" s="9" t="s">
        <v>7870</v>
      </c>
      <c r="E12" s="9" t="s">
        <v>7905</v>
      </c>
      <c r="G12" s="36" t="s">
        <v>15</v>
      </c>
      <c r="H12" s="36" t="s">
        <v>6455</v>
      </c>
      <c r="I12" s="36" t="s">
        <v>7982</v>
      </c>
      <c r="J12" s="36" t="s">
        <v>17</v>
      </c>
      <c r="K12" s="36" t="s">
        <v>8080</v>
      </c>
      <c r="M12" s="36" t="s">
        <v>4777</v>
      </c>
    </row>
    <row r="13" spans="1:13" x14ac:dyDescent="0.25">
      <c r="A13" s="42">
        <f t="shared" si="0"/>
        <v>12</v>
      </c>
      <c r="B13" s="36" t="s">
        <v>4</v>
      </c>
      <c r="C13" s="36" t="s">
        <v>7908</v>
      </c>
      <c r="D13" s="9" t="s">
        <v>7871</v>
      </c>
      <c r="E13" s="9" t="s">
        <v>7905</v>
      </c>
      <c r="G13" s="36" t="s">
        <v>15</v>
      </c>
      <c r="H13" s="36" t="s">
        <v>6455</v>
      </c>
      <c r="I13" s="36" t="s">
        <v>7982</v>
      </c>
      <c r="J13" s="36" t="s">
        <v>17</v>
      </c>
      <c r="K13" s="36" t="s">
        <v>8080</v>
      </c>
      <c r="M13" s="36" t="s">
        <v>4777</v>
      </c>
    </row>
    <row r="14" spans="1:13" x14ac:dyDescent="0.25">
      <c r="A14" s="42">
        <f t="shared" si="0"/>
        <v>13</v>
      </c>
      <c r="B14" s="36" t="s">
        <v>4</v>
      </c>
      <c r="C14" s="36" t="s">
        <v>7908</v>
      </c>
      <c r="D14" s="9" t="s">
        <v>7878</v>
      </c>
      <c r="E14" s="9" t="s">
        <v>7905</v>
      </c>
      <c r="G14" s="36" t="s">
        <v>15</v>
      </c>
      <c r="H14" s="36" t="s">
        <v>6455</v>
      </c>
      <c r="I14" s="36" t="s">
        <v>7982</v>
      </c>
      <c r="J14" s="36" t="s">
        <v>17</v>
      </c>
      <c r="K14" s="36" t="s">
        <v>8080</v>
      </c>
      <c r="M14" s="36" t="s">
        <v>4777</v>
      </c>
    </row>
    <row r="15" spans="1:13" x14ac:dyDescent="0.25">
      <c r="A15" s="42">
        <f t="shared" si="0"/>
        <v>14</v>
      </c>
      <c r="B15" s="36" t="s">
        <v>4</v>
      </c>
      <c r="C15" s="36" t="s">
        <v>7908</v>
      </c>
      <c r="D15" s="9" t="s">
        <v>7872</v>
      </c>
      <c r="E15" s="9" t="s">
        <v>7905</v>
      </c>
      <c r="G15" s="36" t="s">
        <v>15</v>
      </c>
      <c r="H15" s="36" t="s">
        <v>6455</v>
      </c>
      <c r="I15" s="36" t="s">
        <v>7982</v>
      </c>
      <c r="J15" s="36" t="s">
        <v>17</v>
      </c>
      <c r="K15" s="36" t="s">
        <v>8080</v>
      </c>
      <c r="M15" s="36" t="s">
        <v>4777</v>
      </c>
    </row>
    <row r="16" spans="1:13" x14ac:dyDescent="0.25">
      <c r="A16" s="42">
        <f t="shared" si="0"/>
        <v>15</v>
      </c>
      <c r="B16" s="36" t="s">
        <v>4</v>
      </c>
      <c r="C16" s="36" t="s">
        <v>7908</v>
      </c>
      <c r="D16" s="9" t="s">
        <v>7873</v>
      </c>
      <c r="E16" s="9" t="s">
        <v>7905</v>
      </c>
      <c r="G16" s="36" t="s">
        <v>15</v>
      </c>
      <c r="H16" s="36" t="s">
        <v>6455</v>
      </c>
      <c r="I16" s="36" t="s">
        <v>7982</v>
      </c>
      <c r="J16" s="36" t="s">
        <v>17</v>
      </c>
      <c r="K16" s="36" t="s">
        <v>8080</v>
      </c>
      <c r="M16" s="36" t="s">
        <v>4777</v>
      </c>
    </row>
    <row r="17" spans="1:13" x14ac:dyDescent="0.25">
      <c r="A17" s="42">
        <f t="shared" si="0"/>
        <v>16</v>
      </c>
      <c r="B17" s="36" t="s">
        <v>4</v>
      </c>
      <c r="C17" s="36" t="s">
        <v>7908</v>
      </c>
      <c r="D17" s="9" t="s">
        <v>7874</v>
      </c>
      <c r="E17" s="9" t="s">
        <v>7905</v>
      </c>
      <c r="G17" s="36" t="s">
        <v>15</v>
      </c>
      <c r="H17" s="36" t="s">
        <v>6455</v>
      </c>
      <c r="I17" s="36" t="s">
        <v>7982</v>
      </c>
      <c r="J17" s="36" t="s">
        <v>17</v>
      </c>
      <c r="K17" s="36" t="s">
        <v>8080</v>
      </c>
      <c r="M17" s="36" t="s">
        <v>4777</v>
      </c>
    </row>
    <row r="18" spans="1:13" x14ac:dyDescent="0.25">
      <c r="A18" s="42">
        <f t="shared" si="0"/>
        <v>17</v>
      </c>
      <c r="B18" s="36" t="s">
        <v>4</v>
      </c>
      <c r="C18" s="36" t="s">
        <v>7908</v>
      </c>
      <c r="D18" s="9" t="s">
        <v>7875</v>
      </c>
      <c r="E18" s="9" t="s">
        <v>7905</v>
      </c>
      <c r="G18" s="36" t="s">
        <v>15</v>
      </c>
      <c r="H18" s="36" t="s">
        <v>6455</v>
      </c>
      <c r="I18" s="36" t="s">
        <v>7982</v>
      </c>
      <c r="J18" s="36" t="s">
        <v>17</v>
      </c>
      <c r="K18" s="36" t="s">
        <v>8080</v>
      </c>
      <c r="M18" s="36" t="s">
        <v>4777</v>
      </c>
    </row>
    <row r="19" spans="1:13" x14ac:dyDescent="0.25">
      <c r="A19" s="42">
        <f t="shared" si="0"/>
        <v>18</v>
      </c>
      <c r="B19" s="36" t="s">
        <v>4</v>
      </c>
      <c r="C19" s="36" t="s">
        <v>7908</v>
      </c>
      <c r="D19" s="9" t="s">
        <v>7876</v>
      </c>
      <c r="E19" s="9" t="s">
        <v>7905</v>
      </c>
      <c r="G19" s="36" t="s">
        <v>15</v>
      </c>
      <c r="H19" s="36" t="s">
        <v>6455</v>
      </c>
      <c r="I19" s="36" t="s">
        <v>7982</v>
      </c>
      <c r="J19" s="36" t="s">
        <v>17</v>
      </c>
      <c r="K19" s="36" t="s">
        <v>8080</v>
      </c>
      <c r="M19" s="36" t="s">
        <v>4777</v>
      </c>
    </row>
    <row r="20" spans="1:13" x14ac:dyDescent="0.25">
      <c r="A20" s="42">
        <f t="shared" ref="A20:A83" si="1">1+A19</f>
        <v>19</v>
      </c>
      <c r="B20" s="36" t="s">
        <v>4</v>
      </c>
      <c r="C20" s="36" t="s">
        <v>7908</v>
      </c>
      <c r="D20" s="9" t="s">
        <v>7877</v>
      </c>
      <c r="E20" s="9" t="s">
        <v>7905</v>
      </c>
      <c r="G20" s="36" t="s">
        <v>15</v>
      </c>
      <c r="H20" s="36" t="s">
        <v>6455</v>
      </c>
      <c r="I20" s="36" t="s">
        <v>7982</v>
      </c>
      <c r="J20" s="36" t="s">
        <v>17</v>
      </c>
      <c r="K20" s="36" t="s">
        <v>8080</v>
      </c>
      <c r="M20" s="36" t="s">
        <v>4777</v>
      </c>
    </row>
    <row r="21" spans="1:13" x14ac:dyDescent="0.25">
      <c r="A21" s="42">
        <f t="shared" si="1"/>
        <v>20</v>
      </c>
      <c r="B21" s="36" t="s">
        <v>4</v>
      </c>
      <c r="C21" s="9" t="s">
        <v>7911</v>
      </c>
      <c r="D21" s="9" t="s">
        <v>7912</v>
      </c>
      <c r="F21" s="66" t="s">
        <v>6112</v>
      </c>
      <c r="G21" s="9" t="s">
        <v>13</v>
      </c>
      <c r="H21" s="36" t="str">
        <f>IFERROR(VLOOKUP(Table2[[#This Row], [Ticket]],Okey!A:B,2,0),"")</f>
        <v/>
      </c>
      <c r="I21" s="9" t="s">
        <v>7923</v>
      </c>
      <c r="J21" s="36" t="s">
        <v>17</v>
      </c>
      <c r="K21" s="36" t="s">
        <v>7909</v>
      </c>
      <c r="M21" s="9" t="s">
        <v>4782</v>
      </c>
    </row>
    <row r="22" spans="1:13" x14ac:dyDescent="0.25">
      <c r="A22" s="42">
        <f t="shared" si="1"/>
        <v>21</v>
      </c>
      <c r="B22" s="36" t="s">
        <v>4</v>
      </c>
      <c r="C22" s="9" t="s">
        <v>7913</v>
      </c>
      <c r="D22" s="36" t="s">
        <v>7920</v>
      </c>
      <c r="E22" s="36" t="s">
        <v>7914</v>
      </c>
      <c r="F22" s="9" t="s">
        <v>7915</v>
      </c>
      <c r="G22" s="9" t="s">
        <v>14</v>
      </c>
      <c r="H22" s="36" t="str">
        <f>IFERROR(VLOOKUP(Table2[[#This Row], [Ticket]],Okey!A:B,2,0),"")</f>
        <v/>
      </c>
      <c r="I22" s="9" t="s">
        <v>6455</v>
      </c>
      <c r="J22" s="36" t="s">
        <v>17</v>
      </c>
      <c r="K22" s="36" t="s">
        <v>7909</v>
      </c>
      <c r="M22" s="36" t="s">
        <v>4782</v>
      </c>
    </row>
    <row r="23" spans="1:13" x14ac:dyDescent="0.25">
      <c r="A23" s="42">
        <f t="shared" si="1"/>
        <v>22</v>
      </c>
      <c r="B23" s="36" t="s">
        <v>4</v>
      </c>
      <c r="C23" s="36" t="s">
        <v>7913</v>
      </c>
      <c r="D23" s="36" t="s">
        <v>7921</v>
      </c>
      <c r="E23" s="36" t="s">
        <v>7916</v>
      </c>
      <c r="F23" s="9" t="s">
        <v>7918</v>
      </c>
      <c r="G23" s="36" t="s">
        <v>14</v>
      </c>
      <c r="H23" s="36" t="str">
        <f>IFERROR(VLOOKUP(Table2[[#This Row], [Ticket]],Okey!A:B,2,0),"")</f>
        <v/>
      </c>
      <c r="I23" s="36" t="s">
        <v>6455</v>
      </c>
      <c r="J23" s="36" t="s">
        <v>17</v>
      </c>
      <c r="K23" s="36" t="s">
        <v>7909</v>
      </c>
      <c r="M23" s="36" t="s">
        <v>4782</v>
      </c>
    </row>
    <row r="24" spans="1:13" x14ac:dyDescent="0.25">
      <c r="A24" s="42">
        <f t="shared" si="1"/>
        <v>23</v>
      </c>
      <c r="B24" s="36" t="s">
        <v>4</v>
      </c>
      <c r="C24" s="36" t="s">
        <v>7913</v>
      </c>
      <c r="D24" s="36" t="s">
        <v>7922</v>
      </c>
      <c r="E24" s="36" t="s">
        <v>7917</v>
      </c>
      <c r="F24" s="9" t="s">
        <v>7918</v>
      </c>
      <c r="G24" s="36" t="s">
        <v>14</v>
      </c>
      <c r="H24" s="36" t="str">
        <f>IFERROR(VLOOKUP(Table2[[#This Row], [Ticket]],Okey!A:B,2,0),"")</f>
        <v/>
      </c>
      <c r="I24" s="36" t="s">
        <v>6455</v>
      </c>
      <c r="J24" s="36" t="s">
        <v>17</v>
      </c>
      <c r="K24" s="36" t="s">
        <v>7909</v>
      </c>
      <c r="M24" s="36" t="s">
        <v>4782</v>
      </c>
    </row>
    <row r="25" spans="1:13" x14ac:dyDescent="0.25">
      <c r="A25" s="42">
        <f t="shared" si="1"/>
        <v>24</v>
      </c>
      <c r="B25" s="36" t="s">
        <v>4</v>
      </c>
      <c r="C25" s="36" t="s">
        <v>7913</v>
      </c>
      <c r="D25" s="9" t="s">
        <v>7912</v>
      </c>
      <c r="F25" s="9" t="s">
        <v>6112</v>
      </c>
      <c r="G25" s="36" t="s">
        <v>13</v>
      </c>
      <c r="H25" s="36" t="str">
        <f>IFERROR(VLOOKUP(Table2[[#This Row], [Ticket]],Okey!A:B,2,0),"")</f>
        <v/>
      </c>
      <c r="I25" s="36" t="s">
        <v>7923</v>
      </c>
      <c r="J25" s="36" t="s">
        <v>17</v>
      </c>
      <c r="K25" s="36" t="s">
        <v>7909</v>
      </c>
      <c r="M25" s="36" t="s">
        <v>4782</v>
      </c>
    </row>
    <row r="26" spans="1:13" x14ac:dyDescent="0.25">
      <c r="A26" s="42">
        <f t="shared" si="1"/>
        <v>25</v>
      </c>
      <c r="B26" s="36" t="s">
        <v>4</v>
      </c>
      <c r="C26" s="9" t="s">
        <v>7950</v>
      </c>
      <c r="D26" s="9" t="s">
        <v>7954</v>
      </c>
      <c r="E26" s="9" t="s">
        <v>7924</v>
      </c>
      <c r="F26" s="9" t="s">
        <v>1125</v>
      </c>
      <c r="G26" s="36" t="s">
        <v>14</v>
      </c>
      <c r="H26" s="36" t="s">
        <v>6455</v>
      </c>
      <c r="J26" s="36" t="s">
        <v>19</v>
      </c>
      <c r="K26" s="36" t="s">
        <v>8081</v>
      </c>
      <c r="M26" s="9" t="s">
        <v>7949</v>
      </c>
    </row>
    <row r="27" spans="1:13" x14ac:dyDescent="0.25">
      <c r="A27" s="42">
        <f t="shared" si="1"/>
        <v>26</v>
      </c>
      <c r="B27" s="36" t="s">
        <v>4</v>
      </c>
      <c r="C27" s="36" t="s">
        <v>7950</v>
      </c>
      <c r="D27" s="9" t="s">
        <v>7956</v>
      </c>
      <c r="E27" s="9" t="s">
        <v>7925</v>
      </c>
      <c r="F27" s="9" t="s">
        <v>7954</v>
      </c>
      <c r="G27" s="36" t="s">
        <v>14</v>
      </c>
      <c r="H27" s="36" t="s">
        <v>6455</v>
      </c>
      <c r="J27" s="36" t="s">
        <v>19</v>
      </c>
      <c r="K27" s="36" t="s">
        <v>8081</v>
      </c>
      <c r="M27" s="36" t="s">
        <v>7949</v>
      </c>
    </row>
    <row r="28" spans="1:13" x14ac:dyDescent="0.25">
      <c r="A28" s="42">
        <f t="shared" si="1"/>
        <v>27</v>
      </c>
      <c r="B28" s="36" t="s">
        <v>4</v>
      </c>
      <c r="C28" s="36" t="s">
        <v>7950</v>
      </c>
      <c r="D28" s="9" t="s">
        <v>7957</v>
      </c>
      <c r="E28" s="9" t="s">
        <v>7926</v>
      </c>
      <c r="F28" s="9" t="s">
        <v>7954</v>
      </c>
      <c r="G28" s="36" t="s">
        <v>14</v>
      </c>
      <c r="H28" s="36" t="s">
        <v>6455</v>
      </c>
      <c r="J28" s="36" t="s">
        <v>19</v>
      </c>
      <c r="K28" s="36" t="s">
        <v>8081</v>
      </c>
      <c r="M28" s="36" t="s">
        <v>7949</v>
      </c>
    </row>
    <row r="29" spans="1:13" x14ac:dyDescent="0.25">
      <c r="A29" s="42">
        <f t="shared" si="1"/>
        <v>28</v>
      </c>
      <c r="B29" s="36" t="s">
        <v>4</v>
      </c>
      <c r="C29" s="36" t="s">
        <v>7950</v>
      </c>
      <c r="D29" s="9" t="s">
        <v>7958</v>
      </c>
      <c r="E29" s="9" t="s">
        <v>7928</v>
      </c>
      <c r="F29" s="9" t="s">
        <v>7954</v>
      </c>
      <c r="G29" s="36" t="s">
        <v>14</v>
      </c>
      <c r="H29" s="36" t="s">
        <v>6455</v>
      </c>
      <c r="J29" s="36" t="s">
        <v>19</v>
      </c>
      <c r="K29" s="36" t="s">
        <v>8081</v>
      </c>
      <c r="M29" s="36" t="s">
        <v>7949</v>
      </c>
    </row>
    <row r="30" spans="1:13" x14ac:dyDescent="0.25">
      <c r="A30" s="42">
        <f t="shared" si="1"/>
        <v>29</v>
      </c>
      <c r="B30" s="36" t="s">
        <v>4</v>
      </c>
      <c r="C30" s="36" t="s">
        <v>7950</v>
      </c>
      <c r="D30" s="9" t="s">
        <v>7959</v>
      </c>
      <c r="E30" s="9" t="s">
        <v>7929</v>
      </c>
      <c r="F30" s="9" t="s">
        <v>7954</v>
      </c>
      <c r="G30" s="36" t="s">
        <v>14</v>
      </c>
      <c r="H30" s="36" t="s">
        <v>6455</v>
      </c>
      <c r="J30" s="36" t="s">
        <v>19</v>
      </c>
      <c r="K30" s="36" t="s">
        <v>8081</v>
      </c>
      <c r="M30" s="36" t="s">
        <v>7949</v>
      </c>
    </row>
    <row r="31" spans="1:13" x14ac:dyDescent="0.25">
      <c r="A31" s="42">
        <f t="shared" si="1"/>
        <v>30</v>
      </c>
      <c r="B31" s="36" t="s">
        <v>4</v>
      </c>
      <c r="C31" s="36" t="s">
        <v>7950</v>
      </c>
      <c r="D31" s="9" t="s">
        <v>7960</v>
      </c>
      <c r="E31" s="9" t="s">
        <v>7930</v>
      </c>
      <c r="F31" s="9" t="s">
        <v>7954</v>
      </c>
      <c r="G31" s="36" t="s">
        <v>14</v>
      </c>
      <c r="H31" s="36" t="s">
        <v>6455</v>
      </c>
      <c r="J31" s="36" t="s">
        <v>19</v>
      </c>
      <c r="K31" s="36" t="s">
        <v>8081</v>
      </c>
      <c r="M31" s="36" t="s">
        <v>7949</v>
      </c>
    </row>
    <row r="32" spans="1:13" x14ac:dyDescent="0.25">
      <c r="A32" s="42">
        <f t="shared" si="1"/>
        <v>31</v>
      </c>
      <c r="B32" s="36" t="s">
        <v>4</v>
      </c>
      <c r="C32" s="36" t="s">
        <v>7950</v>
      </c>
      <c r="D32" s="9" t="s">
        <v>7961</v>
      </c>
      <c r="E32" s="9" t="s">
        <v>7932</v>
      </c>
      <c r="F32" s="9" t="s">
        <v>7956</v>
      </c>
      <c r="G32" s="36" t="s">
        <v>14</v>
      </c>
      <c r="H32" s="36" t="s">
        <v>6455</v>
      </c>
      <c r="J32" s="36" t="s">
        <v>19</v>
      </c>
      <c r="K32" s="36" t="s">
        <v>8081</v>
      </c>
      <c r="M32" s="36" t="s">
        <v>7949</v>
      </c>
    </row>
    <row r="33" spans="1:13" x14ac:dyDescent="0.25">
      <c r="A33" s="42">
        <f t="shared" si="1"/>
        <v>32</v>
      </c>
      <c r="B33" s="36" t="s">
        <v>4</v>
      </c>
      <c r="C33" s="36" t="s">
        <v>7950</v>
      </c>
      <c r="D33" s="9" t="s">
        <v>7962</v>
      </c>
      <c r="E33" s="9" t="s">
        <v>7934</v>
      </c>
      <c r="F33" s="9" t="s">
        <v>7956</v>
      </c>
      <c r="G33" s="36" t="s">
        <v>14</v>
      </c>
      <c r="H33" s="36" t="s">
        <v>6455</v>
      </c>
      <c r="J33" s="36" t="s">
        <v>19</v>
      </c>
      <c r="K33" s="36" t="s">
        <v>8081</v>
      </c>
      <c r="M33" s="36" t="s">
        <v>7949</v>
      </c>
    </row>
    <row r="34" spans="1:13" x14ac:dyDescent="0.25">
      <c r="A34" s="42">
        <f t="shared" si="1"/>
        <v>33</v>
      </c>
      <c r="B34" s="36" t="s">
        <v>4</v>
      </c>
      <c r="C34" s="36" t="s">
        <v>7950</v>
      </c>
      <c r="D34" s="9" t="s">
        <v>7963</v>
      </c>
      <c r="E34" s="9" t="s">
        <v>7935</v>
      </c>
      <c r="F34" s="9" t="s">
        <v>7957</v>
      </c>
      <c r="G34" s="36" t="s">
        <v>14</v>
      </c>
      <c r="H34" s="36" t="s">
        <v>6455</v>
      </c>
      <c r="J34" s="36" t="s">
        <v>19</v>
      </c>
      <c r="K34" s="36" t="s">
        <v>8081</v>
      </c>
      <c r="M34" s="36" t="s">
        <v>7949</v>
      </c>
    </row>
    <row r="35" spans="1:13" x14ac:dyDescent="0.25">
      <c r="A35" s="42">
        <f t="shared" si="1"/>
        <v>34</v>
      </c>
      <c r="B35" s="36" t="s">
        <v>4</v>
      </c>
      <c r="C35" s="36" t="s">
        <v>7950</v>
      </c>
      <c r="D35" s="9" t="s">
        <v>7964</v>
      </c>
      <c r="E35" s="9" t="s">
        <v>7936</v>
      </c>
      <c r="F35" s="9" t="s">
        <v>7957</v>
      </c>
      <c r="G35" s="36" t="s">
        <v>14</v>
      </c>
      <c r="H35" s="36" t="s">
        <v>6455</v>
      </c>
      <c r="J35" s="36" t="s">
        <v>19</v>
      </c>
      <c r="K35" s="36" t="s">
        <v>8081</v>
      </c>
      <c r="M35" s="36" t="s">
        <v>7949</v>
      </c>
    </row>
    <row r="36" spans="1:13" x14ac:dyDescent="0.25">
      <c r="A36" s="42">
        <f t="shared" si="1"/>
        <v>35</v>
      </c>
      <c r="B36" s="36" t="s">
        <v>4</v>
      </c>
      <c r="C36" s="36" t="s">
        <v>7950</v>
      </c>
      <c r="D36" s="9" t="s">
        <v>7965</v>
      </c>
      <c r="E36" s="9" t="s">
        <v>7937</v>
      </c>
      <c r="F36" s="9" t="s">
        <v>7957</v>
      </c>
      <c r="G36" s="36" t="s">
        <v>14</v>
      </c>
      <c r="H36" s="36" t="s">
        <v>6455</v>
      </c>
      <c r="J36" s="36" t="s">
        <v>19</v>
      </c>
      <c r="K36" s="36" t="s">
        <v>8081</v>
      </c>
      <c r="M36" s="36" t="s">
        <v>7949</v>
      </c>
    </row>
    <row r="37" spans="1:13" x14ac:dyDescent="0.25">
      <c r="A37" s="42">
        <f t="shared" si="1"/>
        <v>36</v>
      </c>
      <c r="B37" s="36" t="s">
        <v>4</v>
      </c>
      <c r="C37" s="36" t="s">
        <v>7950</v>
      </c>
      <c r="D37" s="9" t="s">
        <v>7966</v>
      </c>
      <c r="E37" s="9" t="s">
        <v>7938</v>
      </c>
      <c r="F37" s="9" t="s">
        <v>7958</v>
      </c>
      <c r="G37" s="36" t="s">
        <v>14</v>
      </c>
      <c r="H37" s="36" t="s">
        <v>6455</v>
      </c>
      <c r="J37" s="36" t="s">
        <v>19</v>
      </c>
      <c r="K37" s="36" t="s">
        <v>8081</v>
      </c>
      <c r="M37" s="36" t="s">
        <v>7949</v>
      </c>
    </row>
    <row r="38" spans="1:13" x14ac:dyDescent="0.25">
      <c r="A38" s="42">
        <f t="shared" si="1"/>
        <v>37</v>
      </c>
      <c r="B38" s="36" t="s">
        <v>4</v>
      </c>
      <c r="C38" s="36" t="s">
        <v>7950</v>
      </c>
      <c r="D38" s="9" t="s">
        <v>7967</v>
      </c>
      <c r="E38" s="9" t="s">
        <v>7939</v>
      </c>
      <c r="F38" s="9" t="s">
        <v>7958</v>
      </c>
      <c r="G38" s="36" t="s">
        <v>14</v>
      </c>
      <c r="H38" s="36" t="s">
        <v>6455</v>
      </c>
      <c r="J38" s="36" t="s">
        <v>19</v>
      </c>
      <c r="K38" s="36" t="s">
        <v>8081</v>
      </c>
      <c r="M38" s="36" t="s">
        <v>7949</v>
      </c>
    </row>
    <row r="39" spans="1:13" x14ac:dyDescent="0.25">
      <c r="A39" s="42">
        <f t="shared" si="1"/>
        <v>38</v>
      </c>
      <c r="B39" s="36" t="s">
        <v>4</v>
      </c>
      <c r="C39" s="36" t="s">
        <v>7950</v>
      </c>
      <c r="D39" s="9" t="s">
        <v>7968</v>
      </c>
      <c r="E39" s="9" t="s">
        <v>7940</v>
      </c>
      <c r="F39" s="9" t="s">
        <v>7958</v>
      </c>
      <c r="G39" s="36" t="s">
        <v>14</v>
      </c>
      <c r="H39" s="36" t="s">
        <v>6455</v>
      </c>
      <c r="J39" s="36" t="s">
        <v>19</v>
      </c>
      <c r="K39" s="36" t="s">
        <v>8081</v>
      </c>
      <c r="M39" s="36" t="s">
        <v>7949</v>
      </c>
    </row>
    <row r="40" spans="1:13" x14ac:dyDescent="0.25">
      <c r="A40" s="42">
        <f t="shared" si="1"/>
        <v>39</v>
      </c>
      <c r="B40" s="36" t="s">
        <v>4</v>
      </c>
      <c r="C40" s="36" t="s">
        <v>7950</v>
      </c>
      <c r="D40" s="9" t="s">
        <v>7969</v>
      </c>
      <c r="E40" s="9" t="s">
        <v>7941</v>
      </c>
      <c r="F40" s="9" t="s">
        <v>7958</v>
      </c>
      <c r="G40" s="36" t="s">
        <v>14</v>
      </c>
      <c r="H40" s="36" t="s">
        <v>6455</v>
      </c>
      <c r="J40" s="36" t="s">
        <v>19</v>
      </c>
      <c r="K40" s="36" t="s">
        <v>8081</v>
      </c>
      <c r="M40" s="36" t="s">
        <v>7949</v>
      </c>
    </row>
    <row r="41" spans="1:13" x14ac:dyDescent="0.25">
      <c r="A41" s="42">
        <f t="shared" si="1"/>
        <v>40</v>
      </c>
      <c r="B41" s="36" t="s">
        <v>4</v>
      </c>
      <c r="C41" s="36" t="s">
        <v>7950</v>
      </c>
      <c r="D41" s="9" t="s">
        <v>7970</v>
      </c>
      <c r="E41" s="9" t="s">
        <v>7942</v>
      </c>
      <c r="F41" s="9" t="s">
        <v>7961</v>
      </c>
      <c r="G41" s="36" t="s">
        <v>14</v>
      </c>
      <c r="H41" s="36" t="s">
        <v>6455</v>
      </c>
      <c r="J41" s="36" t="s">
        <v>19</v>
      </c>
      <c r="K41" s="36" t="s">
        <v>8081</v>
      </c>
      <c r="M41" s="36" t="s">
        <v>7949</v>
      </c>
    </row>
    <row r="42" spans="1:13" x14ac:dyDescent="0.25">
      <c r="A42" s="42">
        <f t="shared" si="1"/>
        <v>41</v>
      </c>
      <c r="B42" s="36" t="s">
        <v>4</v>
      </c>
      <c r="C42" s="36" t="s">
        <v>7950</v>
      </c>
      <c r="D42" s="9" t="s">
        <v>7971</v>
      </c>
      <c r="E42" s="9" t="s">
        <v>7943</v>
      </c>
      <c r="F42" s="9" t="s">
        <v>7962</v>
      </c>
      <c r="G42" s="36" t="s">
        <v>14</v>
      </c>
      <c r="H42" s="36" t="s">
        <v>6455</v>
      </c>
      <c r="J42" s="36" t="s">
        <v>19</v>
      </c>
      <c r="K42" s="36" t="s">
        <v>8081</v>
      </c>
      <c r="M42" s="36" t="s">
        <v>7949</v>
      </c>
    </row>
    <row r="43" spans="1:13" x14ac:dyDescent="0.25">
      <c r="A43" s="42">
        <f t="shared" si="1"/>
        <v>42</v>
      </c>
      <c r="B43" s="36" t="s">
        <v>4</v>
      </c>
      <c r="C43" s="36" t="s">
        <v>7950</v>
      </c>
      <c r="D43" s="9" t="s">
        <v>7972</v>
      </c>
      <c r="E43" s="9" t="s">
        <v>7944</v>
      </c>
      <c r="F43" s="9" t="s">
        <v>7961</v>
      </c>
      <c r="G43" s="36" t="s">
        <v>14</v>
      </c>
      <c r="H43" s="36" t="s">
        <v>6455</v>
      </c>
      <c r="J43" s="36" t="s">
        <v>19</v>
      </c>
      <c r="K43" s="36" t="s">
        <v>8081</v>
      </c>
      <c r="M43" s="36" t="s">
        <v>7949</v>
      </c>
    </row>
    <row r="44" spans="1:13" x14ac:dyDescent="0.25">
      <c r="A44" s="42">
        <f t="shared" si="1"/>
        <v>43</v>
      </c>
      <c r="B44" s="36" t="s">
        <v>4</v>
      </c>
      <c r="C44" s="36" t="s">
        <v>7950</v>
      </c>
      <c r="D44" s="9" t="s">
        <v>7973</v>
      </c>
      <c r="E44" s="9" t="s">
        <v>7945</v>
      </c>
      <c r="F44" s="9" t="s">
        <v>7961</v>
      </c>
      <c r="G44" s="36" t="s">
        <v>14</v>
      </c>
      <c r="H44" s="36" t="s">
        <v>6455</v>
      </c>
      <c r="J44" s="36" t="s">
        <v>19</v>
      </c>
      <c r="K44" s="36" t="s">
        <v>8081</v>
      </c>
      <c r="M44" s="36" t="s">
        <v>7949</v>
      </c>
    </row>
    <row r="45" spans="1:13" x14ac:dyDescent="0.25">
      <c r="A45" s="42">
        <f t="shared" si="1"/>
        <v>44</v>
      </c>
      <c r="B45" s="36" t="s">
        <v>4</v>
      </c>
      <c r="C45" s="36" t="s">
        <v>7950</v>
      </c>
      <c r="D45" s="9" t="s">
        <v>7974</v>
      </c>
      <c r="E45" s="9" t="s">
        <v>7946</v>
      </c>
      <c r="F45" s="9" t="s">
        <v>7961</v>
      </c>
      <c r="G45" s="36" t="s">
        <v>14</v>
      </c>
      <c r="H45" s="36" t="s">
        <v>6455</v>
      </c>
      <c r="J45" s="36" t="s">
        <v>19</v>
      </c>
      <c r="K45" s="36" t="s">
        <v>8081</v>
      </c>
      <c r="M45" s="36" t="s">
        <v>7949</v>
      </c>
    </row>
    <row r="46" spans="1:13" x14ac:dyDescent="0.25">
      <c r="A46" s="42">
        <f t="shared" si="1"/>
        <v>45</v>
      </c>
      <c r="B46" s="36" t="s">
        <v>4</v>
      </c>
      <c r="C46" s="36" t="s">
        <v>7950</v>
      </c>
      <c r="D46" s="9" t="s">
        <v>7975</v>
      </c>
      <c r="E46" s="9" t="s">
        <v>7947</v>
      </c>
      <c r="F46" s="9" t="s">
        <v>7961</v>
      </c>
      <c r="G46" s="36" t="s">
        <v>14</v>
      </c>
      <c r="H46" s="36" t="s">
        <v>6455</v>
      </c>
      <c r="J46" s="36" t="s">
        <v>19</v>
      </c>
      <c r="K46" s="36" t="s">
        <v>8081</v>
      </c>
      <c r="M46" s="36" t="s">
        <v>7949</v>
      </c>
    </row>
    <row r="47" spans="1:13" x14ac:dyDescent="0.25">
      <c r="A47" s="42">
        <f t="shared" si="1"/>
        <v>46</v>
      </c>
      <c r="B47" s="36" t="s">
        <v>4</v>
      </c>
      <c r="C47" s="36" t="s">
        <v>7950</v>
      </c>
      <c r="D47" s="9" t="s">
        <v>7976</v>
      </c>
      <c r="E47" s="9" t="s">
        <v>7944</v>
      </c>
      <c r="F47" s="9" t="s">
        <v>7962</v>
      </c>
      <c r="G47" s="36" t="s">
        <v>14</v>
      </c>
      <c r="H47" s="36" t="s">
        <v>6455</v>
      </c>
      <c r="J47" s="36" t="s">
        <v>19</v>
      </c>
      <c r="K47" s="36" t="s">
        <v>8081</v>
      </c>
      <c r="M47" s="36" t="s">
        <v>7949</v>
      </c>
    </row>
    <row r="48" spans="1:13" x14ac:dyDescent="0.25">
      <c r="A48" s="42">
        <f t="shared" si="1"/>
        <v>47</v>
      </c>
      <c r="B48" s="36" t="s">
        <v>4</v>
      </c>
      <c r="C48" s="36" t="s">
        <v>7950</v>
      </c>
      <c r="D48" s="9" t="s">
        <v>7977</v>
      </c>
      <c r="E48" s="9" t="s">
        <v>7945</v>
      </c>
      <c r="F48" s="9" t="s">
        <v>7962</v>
      </c>
      <c r="G48" s="36" t="s">
        <v>14</v>
      </c>
      <c r="H48" s="36" t="s">
        <v>6455</v>
      </c>
      <c r="J48" s="36" t="s">
        <v>19</v>
      </c>
      <c r="K48" s="36" t="s">
        <v>8081</v>
      </c>
      <c r="M48" s="36" t="s">
        <v>7949</v>
      </c>
    </row>
    <row r="49" spans="1:13" x14ac:dyDescent="0.25">
      <c r="A49" s="42">
        <f t="shared" si="1"/>
        <v>48</v>
      </c>
      <c r="B49" s="36" t="s">
        <v>4</v>
      </c>
      <c r="C49" s="36" t="s">
        <v>7950</v>
      </c>
      <c r="D49" s="9" t="s">
        <v>7978</v>
      </c>
      <c r="E49" s="9" t="s">
        <v>7946</v>
      </c>
      <c r="F49" s="9" t="s">
        <v>7962</v>
      </c>
      <c r="G49" s="36" t="s">
        <v>14</v>
      </c>
      <c r="H49" s="36" t="s">
        <v>6455</v>
      </c>
      <c r="J49" s="36" t="s">
        <v>19</v>
      </c>
      <c r="K49" s="36" t="s">
        <v>8081</v>
      </c>
      <c r="M49" s="36" t="s">
        <v>7949</v>
      </c>
    </row>
    <row r="50" spans="1:13" x14ac:dyDescent="0.25">
      <c r="A50" s="42">
        <f t="shared" si="1"/>
        <v>49</v>
      </c>
      <c r="B50" s="36" t="s">
        <v>4</v>
      </c>
      <c r="C50" s="36" t="s">
        <v>7950</v>
      </c>
      <c r="D50" s="9" t="s">
        <v>7979</v>
      </c>
      <c r="E50" s="9" t="s">
        <v>7947</v>
      </c>
      <c r="F50" s="9" t="s">
        <v>7962</v>
      </c>
      <c r="G50" s="36" t="s">
        <v>14</v>
      </c>
      <c r="H50" s="36" t="s">
        <v>6455</v>
      </c>
      <c r="J50" s="36" t="s">
        <v>19</v>
      </c>
      <c r="K50" s="36" t="s">
        <v>8081</v>
      </c>
      <c r="M50" s="36" t="s">
        <v>7949</v>
      </c>
    </row>
    <row r="51" spans="1:13" x14ac:dyDescent="0.25">
      <c r="A51" s="42">
        <f t="shared" si="1"/>
        <v>50</v>
      </c>
      <c r="B51" s="36" t="s">
        <v>4</v>
      </c>
      <c r="C51" s="36" t="s">
        <v>7950</v>
      </c>
      <c r="D51" s="9" t="s">
        <v>7980</v>
      </c>
      <c r="E51" s="9" t="s">
        <v>7948</v>
      </c>
      <c r="F51" s="9" t="s">
        <v>1125</v>
      </c>
      <c r="G51" s="36" t="s">
        <v>14</v>
      </c>
      <c r="H51" s="36" t="s">
        <v>6455</v>
      </c>
      <c r="J51" s="36" t="s">
        <v>19</v>
      </c>
      <c r="K51" s="36" t="s">
        <v>8081</v>
      </c>
      <c r="M51" s="36" t="s">
        <v>7949</v>
      </c>
    </row>
    <row r="52" spans="1:13" x14ac:dyDescent="0.25">
      <c r="A52" s="42">
        <f t="shared" si="1"/>
        <v>51</v>
      </c>
      <c r="B52" s="36" t="s">
        <v>4</v>
      </c>
      <c r="C52" s="9" t="s">
        <v>7953</v>
      </c>
      <c r="D52" s="36" t="s">
        <v>7981</v>
      </c>
      <c r="E52" s="9" t="s">
        <v>7951</v>
      </c>
      <c r="F52" s="9" t="s">
        <v>1534</v>
      </c>
      <c r="G52" s="36" t="s">
        <v>14</v>
      </c>
      <c r="H52" s="36" t="s">
        <v>6455</v>
      </c>
      <c r="J52" s="36" t="s">
        <v>17</v>
      </c>
      <c r="K52" s="36" t="s">
        <v>8081</v>
      </c>
      <c r="M52" s="9" t="s">
        <v>6354</v>
      </c>
    </row>
    <row r="53" spans="1:13" x14ac:dyDescent="0.25">
      <c r="A53" s="42">
        <f t="shared" si="1"/>
        <v>52</v>
      </c>
      <c r="B53" s="36" t="s">
        <v>4</v>
      </c>
      <c r="C53" s="36" t="s">
        <v>7953</v>
      </c>
      <c r="D53" s="9" t="s">
        <v>7952</v>
      </c>
      <c r="E53" s="9" t="s">
        <v>7951</v>
      </c>
      <c r="F53" s="36" t="s">
        <v>7981</v>
      </c>
      <c r="G53" s="36" t="s">
        <v>14</v>
      </c>
      <c r="H53" s="36" t="s">
        <v>6455</v>
      </c>
      <c r="J53" s="36" t="s">
        <v>17</v>
      </c>
      <c r="K53" s="36" t="s">
        <v>8081</v>
      </c>
      <c r="M53" s="9" t="s">
        <v>6354</v>
      </c>
    </row>
    <row r="54" spans="1:13" x14ac:dyDescent="0.25">
      <c r="A54" s="42">
        <f t="shared" si="1"/>
        <v>53</v>
      </c>
      <c r="B54" s="36" t="s">
        <v>4</v>
      </c>
      <c r="C54" s="9" t="s">
        <v>7985</v>
      </c>
      <c r="D54" s="9" t="s">
        <v>653</v>
      </c>
      <c r="E54" s="9" t="s">
        <v>7983</v>
      </c>
      <c r="G54" s="9" t="s">
        <v>15</v>
      </c>
      <c r="H54" s="36" t="str">
        <f>IFERROR(VLOOKUP(Table2[[#This Row], [Ticket]],Okey!A:B,2,0),"")</f>
        <v/>
      </c>
      <c r="I54" s="36" t="s">
        <v>7982</v>
      </c>
      <c r="J54" s="36" t="s">
        <v>19</v>
      </c>
      <c r="K54" s="36" t="s">
        <v>8080</v>
      </c>
    </row>
    <row r="55" spans="1:13" x14ac:dyDescent="0.25">
      <c r="A55" s="42">
        <f t="shared" si="1"/>
        <v>54</v>
      </c>
      <c r="B55" s="36" t="s">
        <v>4</v>
      </c>
      <c r="C55" s="9" t="s">
        <v>7985</v>
      </c>
      <c r="D55" s="9" t="s">
        <v>1700</v>
      </c>
      <c r="E55" s="9" t="s">
        <v>7984</v>
      </c>
      <c r="G55" s="36" t="s">
        <v>15</v>
      </c>
      <c r="H55" s="36" t="str">
        <f>IFERROR(VLOOKUP(Table2[[#This Row], [Ticket]],Okey!A:B,2,0),"")</f>
        <v/>
      </c>
      <c r="I55" s="36" t="s">
        <v>7982</v>
      </c>
      <c r="J55" s="36" t="s">
        <v>19</v>
      </c>
      <c r="K55" s="36" t="s">
        <v>8080</v>
      </c>
    </row>
    <row r="56" spans="1:13" x14ac:dyDescent="0.25">
      <c r="A56" s="42">
        <f t="shared" si="1"/>
        <v>55</v>
      </c>
      <c r="B56" s="36" t="s">
        <v>4</v>
      </c>
      <c r="C56" s="9" t="s">
        <v>7986</v>
      </c>
      <c r="D56" s="36" t="s">
        <v>8035</v>
      </c>
      <c r="E56" s="9" t="s">
        <v>7987</v>
      </c>
      <c r="F56" s="9" t="s">
        <v>2686</v>
      </c>
      <c r="G56" s="36" t="s">
        <v>14</v>
      </c>
      <c r="H56" s="36" t="s">
        <v>6455</v>
      </c>
      <c r="J56" s="9" t="s">
        <v>20</v>
      </c>
      <c r="K56" s="36" t="s">
        <v>8081</v>
      </c>
      <c r="L56" s="9" t="str">
        <f>LEFT(Table2[[#This Row],[Node]],10)</f>
        <v>P000001381</v>
      </c>
      <c r="M56" s="9" t="s">
        <v>8034</v>
      </c>
    </row>
    <row r="57" spans="1:13" x14ac:dyDescent="0.25">
      <c r="A57" s="42">
        <f t="shared" si="1"/>
        <v>56</v>
      </c>
      <c r="B57" s="36" t="s">
        <v>4</v>
      </c>
      <c r="C57" s="36" t="s">
        <v>7986</v>
      </c>
      <c r="D57" s="36" t="s">
        <v>8036</v>
      </c>
      <c r="E57" s="9" t="s">
        <v>7988</v>
      </c>
      <c r="F57" s="36" t="s">
        <v>2674</v>
      </c>
      <c r="G57" s="36" t="s">
        <v>14</v>
      </c>
      <c r="H57" s="36" t="s">
        <v>6455</v>
      </c>
      <c r="J57" s="36" t="s">
        <v>20</v>
      </c>
      <c r="K57" s="36" t="s">
        <v>8081</v>
      </c>
      <c r="L57" s="36" t="str">
        <f>LEFT(Table2[[#This Row],[Node]],10)</f>
        <v>P000001382</v>
      </c>
      <c r="M57" s="36" t="s">
        <v>8034</v>
      </c>
    </row>
    <row r="58" spans="1:13" x14ac:dyDescent="0.25">
      <c r="A58" s="42">
        <f t="shared" si="1"/>
        <v>57</v>
      </c>
      <c r="B58" s="36" t="s">
        <v>4</v>
      </c>
      <c r="C58" s="36" t="s">
        <v>7986</v>
      </c>
      <c r="D58" s="36" t="s">
        <v>8037</v>
      </c>
      <c r="E58" s="9" t="s">
        <v>7989</v>
      </c>
      <c r="F58" s="36" t="s">
        <v>2674</v>
      </c>
      <c r="G58" s="36" t="s">
        <v>14</v>
      </c>
      <c r="H58" s="36" t="s">
        <v>6455</v>
      </c>
      <c r="J58" s="36" t="s">
        <v>20</v>
      </c>
      <c r="K58" s="36" t="s">
        <v>8081</v>
      </c>
      <c r="L58" s="36" t="str">
        <f>LEFT(Table2[[#This Row],[Node]],10)</f>
        <v>P000001383</v>
      </c>
      <c r="M58" s="36" t="s">
        <v>8034</v>
      </c>
    </row>
    <row r="59" spans="1:13" x14ac:dyDescent="0.25">
      <c r="A59" s="42">
        <f t="shared" si="1"/>
        <v>58</v>
      </c>
      <c r="B59" s="36" t="s">
        <v>4</v>
      </c>
      <c r="C59" s="36" t="s">
        <v>7986</v>
      </c>
      <c r="D59" s="36" t="s">
        <v>8038</v>
      </c>
      <c r="E59" s="9" t="s">
        <v>7990</v>
      </c>
      <c r="F59" s="36" t="s">
        <v>2674</v>
      </c>
      <c r="G59" s="36" t="s">
        <v>14</v>
      </c>
      <c r="H59" s="36" t="s">
        <v>6455</v>
      </c>
      <c r="J59" s="36" t="s">
        <v>20</v>
      </c>
      <c r="K59" s="36" t="s">
        <v>8081</v>
      </c>
      <c r="L59" s="36" t="str">
        <f>LEFT(Table2[[#This Row],[Node]],10)</f>
        <v>P000001384</v>
      </c>
      <c r="M59" s="36" t="s">
        <v>8034</v>
      </c>
    </row>
    <row r="60" spans="1:13" x14ac:dyDescent="0.25">
      <c r="A60" s="42">
        <f t="shared" si="1"/>
        <v>59</v>
      </c>
      <c r="B60" s="36" t="s">
        <v>4</v>
      </c>
      <c r="C60" s="36" t="s">
        <v>7986</v>
      </c>
      <c r="D60" s="36" t="s">
        <v>8039</v>
      </c>
      <c r="E60" s="9" t="s">
        <v>7991</v>
      </c>
      <c r="F60" s="36" t="s">
        <v>2674</v>
      </c>
      <c r="G60" s="36" t="s">
        <v>14</v>
      </c>
      <c r="H60" s="36" t="s">
        <v>6455</v>
      </c>
      <c r="J60" s="36" t="s">
        <v>20</v>
      </c>
      <c r="K60" s="36" t="s">
        <v>8081</v>
      </c>
      <c r="L60" s="36" t="str">
        <f>LEFT(Table2[[#This Row],[Node]],10)</f>
        <v>P000001385</v>
      </c>
      <c r="M60" s="36" t="s">
        <v>8034</v>
      </c>
    </row>
    <row r="61" spans="1:13" x14ac:dyDescent="0.25">
      <c r="A61" s="42">
        <f t="shared" si="1"/>
        <v>60</v>
      </c>
      <c r="B61" s="36" t="s">
        <v>4</v>
      </c>
      <c r="C61" s="36" t="s">
        <v>7986</v>
      </c>
      <c r="D61" s="36" t="s">
        <v>8040</v>
      </c>
      <c r="E61" s="9" t="s">
        <v>7992</v>
      </c>
      <c r="F61" s="36" t="s">
        <v>2674</v>
      </c>
      <c r="G61" s="36" t="s">
        <v>14</v>
      </c>
      <c r="H61" s="36" t="s">
        <v>6455</v>
      </c>
      <c r="J61" s="36" t="s">
        <v>20</v>
      </c>
      <c r="K61" s="36" t="s">
        <v>8081</v>
      </c>
      <c r="L61" s="36" t="str">
        <f>LEFT(Table2[[#This Row],[Node]],10)</f>
        <v>P000001386</v>
      </c>
      <c r="M61" s="36" t="s">
        <v>8034</v>
      </c>
    </row>
    <row r="62" spans="1:13" x14ac:dyDescent="0.25">
      <c r="A62" s="42">
        <f t="shared" si="1"/>
        <v>61</v>
      </c>
      <c r="B62" s="36" t="s">
        <v>4</v>
      </c>
      <c r="C62" s="36" t="s">
        <v>7986</v>
      </c>
      <c r="D62" s="36" t="s">
        <v>8041</v>
      </c>
      <c r="E62" s="9" t="s">
        <v>7993</v>
      </c>
      <c r="F62" s="36" t="s">
        <v>2674</v>
      </c>
      <c r="G62" s="36" t="s">
        <v>14</v>
      </c>
      <c r="H62" s="36" t="s">
        <v>6455</v>
      </c>
      <c r="J62" s="36" t="s">
        <v>20</v>
      </c>
      <c r="K62" s="36" t="s">
        <v>8081</v>
      </c>
      <c r="L62" s="36" t="str">
        <f>LEFT(Table2[[#This Row],[Node]],10)</f>
        <v>P000001387</v>
      </c>
      <c r="M62" s="36" t="s">
        <v>8034</v>
      </c>
    </row>
    <row r="63" spans="1:13" x14ac:dyDescent="0.25">
      <c r="A63" s="42">
        <f t="shared" si="1"/>
        <v>62</v>
      </c>
      <c r="B63" s="36" t="s">
        <v>4</v>
      </c>
      <c r="C63" s="36" t="s">
        <v>7986</v>
      </c>
      <c r="D63" s="36" t="s">
        <v>8042</v>
      </c>
      <c r="E63" s="9" t="s">
        <v>7994</v>
      </c>
      <c r="F63" s="36" t="s">
        <v>2674</v>
      </c>
      <c r="G63" s="36" t="s">
        <v>14</v>
      </c>
      <c r="H63" s="36" t="s">
        <v>6455</v>
      </c>
      <c r="J63" s="36" t="s">
        <v>20</v>
      </c>
      <c r="K63" s="36" t="s">
        <v>8081</v>
      </c>
      <c r="L63" s="36" t="str">
        <f>LEFT(Table2[[#This Row],[Node]],10)</f>
        <v>P000001388</v>
      </c>
      <c r="M63" s="36" t="s">
        <v>8034</v>
      </c>
    </row>
    <row r="64" spans="1:13" x14ac:dyDescent="0.25">
      <c r="A64" s="42">
        <f t="shared" si="1"/>
        <v>63</v>
      </c>
      <c r="B64" s="36" t="s">
        <v>4</v>
      </c>
      <c r="C64" s="36" t="s">
        <v>7986</v>
      </c>
      <c r="D64" s="36" t="s">
        <v>8043</v>
      </c>
      <c r="E64" s="9" t="s">
        <v>7995</v>
      </c>
      <c r="F64" s="9" t="s">
        <v>2674</v>
      </c>
      <c r="G64" s="36" t="s">
        <v>14</v>
      </c>
      <c r="H64" s="36" t="s">
        <v>6455</v>
      </c>
      <c r="J64" s="36" t="s">
        <v>20</v>
      </c>
      <c r="K64" s="36" t="s">
        <v>8081</v>
      </c>
      <c r="L64" s="36" t="str">
        <f>LEFT(Table2[[#This Row],[Node]],10)</f>
        <v>P000001389</v>
      </c>
      <c r="M64" s="36" t="s">
        <v>8034</v>
      </c>
    </row>
    <row r="65" spans="1:13" x14ac:dyDescent="0.25">
      <c r="A65" s="42">
        <f t="shared" si="1"/>
        <v>64</v>
      </c>
      <c r="B65" s="36" t="s">
        <v>4</v>
      </c>
      <c r="C65" s="36" t="s">
        <v>7986</v>
      </c>
      <c r="D65" s="36" t="s">
        <v>8044</v>
      </c>
      <c r="E65" s="9" t="s">
        <v>7996</v>
      </c>
      <c r="F65" s="36" t="s">
        <v>2682</v>
      </c>
      <c r="G65" s="36" t="s">
        <v>14</v>
      </c>
      <c r="H65" s="36" t="s">
        <v>6455</v>
      </c>
      <c r="J65" s="36" t="s">
        <v>20</v>
      </c>
      <c r="K65" s="36" t="s">
        <v>8081</v>
      </c>
      <c r="L65" s="36" t="str">
        <f>LEFT(Table2[[#This Row],[Node]],10)</f>
        <v>P000001390</v>
      </c>
      <c r="M65" s="36" t="s">
        <v>8034</v>
      </c>
    </row>
    <row r="66" spans="1:13" x14ac:dyDescent="0.25">
      <c r="A66" s="42">
        <f t="shared" si="1"/>
        <v>65</v>
      </c>
      <c r="B66" s="36" t="s">
        <v>4</v>
      </c>
      <c r="C66" s="36" t="s">
        <v>7986</v>
      </c>
      <c r="D66" s="36" t="s">
        <v>8045</v>
      </c>
      <c r="E66" s="9" t="s">
        <v>7997</v>
      </c>
      <c r="F66" s="36" t="s">
        <v>2682</v>
      </c>
      <c r="G66" s="36" t="s">
        <v>14</v>
      </c>
      <c r="H66" s="36" t="s">
        <v>6455</v>
      </c>
      <c r="J66" s="36" t="s">
        <v>20</v>
      </c>
      <c r="K66" s="36" t="s">
        <v>8081</v>
      </c>
      <c r="L66" s="36" t="str">
        <f>LEFT(Table2[[#This Row],[Node]],10)</f>
        <v>P000001391</v>
      </c>
      <c r="M66" s="36" t="s">
        <v>8034</v>
      </c>
    </row>
    <row r="67" spans="1:13" x14ac:dyDescent="0.25">
      <c r="A67" s="42">
        <f t="shared" si="1"/>
        <v>66</v>
      </c>
      <c r="B67" s="36" t="s">
        <v>4</v>
      </c>
      <c r="C67" s="36" t="s">
        <v>7986</v>
      </c>
      <c r="D67" s="36" t="s">
        <v>8046</v>
      </c>
      <c r="E67" s="9" t="s">
        <v>7998</v>
      </c>
      <c r="F67" s="36" t="s">
        <v>2682</v>
      </c>
      <c r="G67" s="36" t="s">
        <v>14</v>
      </c>
      <c r="H67" s="36" t="s">
        <v>6455</v>
      </c>
      <c r="J67" s="36" t="s">
        <v>20</v>
      </c>
      <c r="K67" s="36" t="s">
        <v>8081</v>
      </c>
      <c r="L67" s="36" t="str">
        <f>LEFT(Table2[[#This Row],[Node]],10)</f>
        <v>P000001392</v>
      </c>
      <c r="M67" s="36" t="s">
        <v>8034</v>
      </c>
    </row>
    <row r="68" spans="1:13" x14ac:dyDescent="0.25">
      <c r="A68" s="42">
        <f t="shared" si="1"/>
        <v>67</v>
      </c>
      <c r="B68" s="36" t="s">
        <v>4</v>
      </c>
      <c r="C68" s="36" t="s">
        <v>7986</v>
      </c>
      <c r="D68" s="36" t="s">
        <v>8047</v>
      </c>
      <c r="E68" s="9" t="s">
        <v>7999</v>
      </c>
      <c r="F68" s="9" t="s">
        <v>2682</v>
      </c>
      <c r="G68" s="36" t="s">
        <v>14</v>
      </c>
      <c r="H68" s="36" t="s">
        <v>6455</v>
      </c>
      <c r="J68" s="36" t="s">
        <v>20</v>
      </c>
      <c r="K68" s="36" t="s">
        <v>8081</v>
      </c>
      <c r="L68" s="36" t="str">
        <f>LEFT(Table2[[#This Row],[Node]],10)</f>
        <v>P000001393</v>
      </c>
      <c r="M68" s="36" t="s">
        <v>8034</v>
      </c>
    </row>
    <row r="69" spans="1:13" x14ac:dyDescent="0.25">
      <c r="A69" s="42">
        <f t="shared" si="1"/>
        <v>68</v>
      </c>
      <c r="B69" s="36" t="s">
        <v>4</v>
      </c>
      <c r="C69" s="36" t="s">
        <v>7986</v>
      </c>
      <c r="D69" s="36" t="s">
        <v>8048</v>
      </c>
      <c r="E69" s="9" t="s">
        <v>8000</v>
      </c>
      <c r="F69" s="9" t="s">
        <v>2995</v>
      </c>
      <c r="G69" s="36" t="s">
        <v>14</v>
      </c>
      <c r="H69" s="36" t="s">
        <v>6455</v>
      </c>
      <c r="J69" s="36" t="s">
        <v>20</v>
      </c>
      <c r="K69" s="36" t="s">
        <v>8081</v>
      </c>
      <c r="L69" s="36" t="str">
        <f>LEFT(Table2[[#This Row],[Node]],10)</f>
        <v>P000001394</v>
      </c>
      <c r="M69" s="36" t="s">
        <v>8034</v>
      </c>
    </row>
    <row r="70" spans="1:13" x14ac:dyDescent="0.25">
      <c r="A70" s="42">
        <f t="shared" si="1"/>
        <v>69</v>
      </c>
      <c r="B70" s="36" t="s">
        <v>4</v>
      </c>
      <c r="C70" s="36" t="s">
        <v>7986</v>
      </c>
      <c r="D70" s="36" t="s">
        <v>8049</v>
      </c>
      <c r="E70" s="9" t="s">
        <v>8001</v>
      </c>
      <c r="F70" s="36" t="s">
        <v>8048</v>
      </c>
      <c r="G70" s="36" t="s">
        <v>14</v>
      </c>
      <c r="H70" s="36" t="s">
        <v>6455</v>
      </c>
      <c r="J70" s="36" t="s">
        <v>20</v>
      </c>
      <c r="K70" s="36" t="s">
        <v>8081</v>
      </c>
      <c r="L70" s="36" t="str">
        <f>LEFT(Table2[[#This Row],[Node]],10)</f>
        <v>P000001395</v>
      </c>
      <c r="M70" s="36" t="s">
        <v>8034</v>
      </c>
    </row>
    <row r="71" spans="1:13" x14ac:dyDescent="0.25">
      <c r="A71" s="42">
        <f t="shared" si="1"/>
        <v>70</v>
      </c>
      <c r="B71" s="36" t="s">
        <v>4</v>
      </c>
      <c r="C71" s="36" t="s">
        <v>7986</v>
      </c>
      <c r="D71" s="36" t="s">
        <v>8050</v>
      </c>
      <c r="E71" s="9" t="s">
        <v>8002</v>
      </c>
      <c r="F71" s="36" t="s">
        <v>8048</v>
      </c>
      <c r="G71" s="36" t="s">
        <v>14</v>
      </c>
      <c r="H71" s="36" t="s">
        <v>6455</v>
      </c>
      <c r="J71" s="36" t="s">
        <v>20</v>
      </c>
      <c r="K71" s="36" t="s">
        <v>8081</v>
      </c>
      <c r="L71" s="36" t="str">
        <f>LEFT(Table2[[#This Row],[Node]],10)</f>
        <v>P000001396</v>
      </c>
      <c r="M71" s="36" t="s">
        <v>8034</v>
      </c>
    </row>
    <row r="72" spans="1:13" x14ac:dyDescent="0.25">
      <c r="A72" s="42">
        <f t="shared" si="1"/>
        <v>71</v>
      </c>
      <c r="B72" s="36" t="s">
        <v>4</v>
      </c>
      <c r="C72" s="36" t="s">
        <v>7986</v>
      </c>
      <c r="D72" s="36" t="s">
        <v>8051</v>
      </c>
      <c r="E72" s="9" t="s">
        <v>8003</v>
      </c>
      <c r="F72" s="36" t="s">
        <v>8048</v>
      </c>
      <c r="G72" s="36" t="s">
        <v>14</v>
      </c>
      <c r="H72" s="36" t="s">
        <v>6455</v>
      </c>
      <c r="J72" s="36" t="s">
        <v>20</v>
      </c>
      <c r="K72" s="36" t="s">
        <v>8081</v>
      </c>
      <c r="L72" s="36" t="str">
        <f>LEFT(Table2[[#This Row],[Node]],10)</f>
        <v>P000001397</v>
      </c>
      <c r="M72" s="36" t="s">
        <v>8034</v>
      </c>
    </row>
    <row r="73" spans="1:13" x14ac:dyDescent="0.25">
      <c r="A73" s="42">
        <f t="shared" si="1"/>
        <v>72</v>
      </c>
      <c r="B73" s="36" t="s">
        <v>4</v>
      </c>
      <c r="C73" s="36" t="s">
        <v>7986</v>
      </c>
      <c r="D73" s="36" t="s">
        <v>8052</v>
      </c>
      <c r="E73" s="9" t="s">
        <v>8004</v>
      </c>
      <c r="F73" s="36" t="s">
        <v>8048</v>
      </c>
      <c r="G73" s="36" t="s">
        <v>14</v>
      </c>
      <c r="H73" s="36" t="s">
        <v>6455</v>
      </c>
      <c r="J73" s="36" t="s">
        <v>20</v>
      </c>
      <c r="K73" s="36" t="s">
        <v>8081</v>
      </c>
      <c r="L73" s="36" t="str">
        <f>LEFT(Table2[[#This Row],[Node]],10)</f>
        <v>P000001398</v>
      </c>
      <c r="M73" s="36" t="s">
        <v>8034</v>
      </c>
    </row>
    <row r="74" spans="1:13" x14ac:dyDescent="0.25">
      <c r="A74" s="42">
        <f t="shared" si="1"/>
        <v>73</v>
      </c>
      <c r="B74" s="36" t="s">
        <v>4</v>
      </c>
      <c r="C74" s="36" t="s">
        <v>7986</v>
      </c>
      <c r="D74" s="36" t="s">
        <v>8053</v>
      </c>
      <c r="E74" s="9" t="s">
        <v>8005</v>
      </c>
      <c r="F74" s="9" t="s">
        <v>2995</v>
      </c>
      <c r="G74" s="36" t="s">
        <v>14</v>
      </c>
      <c r="H74" s="36" t="s">
        <v>6455</v>
      </c>
      <c r="J74" s="36" t="s">
        <v>20</v>
      </c>
      <c r="K74" s="36" t="s">
        <v>8081</v>
      </c>
      <c r="L74" s="36" t="str">
        <f>LEFT(Table2[[#This Row],[Node]],10)</f>
        <v>P000001399</v>
      </c>
      <c r="M74" s="36" t="s">
        <v>8034</v>
      </c>
    </row>
    <row r="75" spans="1:13" x14ac:dyDescent="0.25">
      <c r="A75" s="42">
        <f t="shared" si="1"/>
        <v>74</v>
      </c>
      <c r="B75" s="36" t="s">
        <v>4</v>
      </c>
      <c r="C75" s="36" t="s">
        <v>7986</v>
      </c>
      <c r="D75" s="36" t="s">
        <v>8054</v>
      </c>
      <c r="E75" s="9" t="s">
        <v>8006</v>
      </c>
      <c r="F75" s="36" t="s">
        <v>8053</v>
      </c>
      <c r="G75" s="36" t="s">
        <v>14</v>
      </c>
      <c r="H75" s="36" t="s">
        <v>6455</v>
      </c>
      <c r="J75" s="36" t="s">
        <v>20</v>
      </c>
      <c r="K75" s="36" t="s">
        <v>8081</v>
      </c>
      <c r="L75" s="36" t="str">
        <f>LEFT(Table2[[#This Row],[Node]],10)</f>
        <v>P000001400</v>
      </c>
      <c r="M75" s="36" t="s">
        <v>8034</v>
      </c>
    </row>
    <row r="76" spans="1:13" x14ac:dyDescent="0.25">
      <c r="A76" s="42">
        <f t="shared" si="1"/>
        <v>75</v>
      </c>
      <c r="B76" s="36" t="s">
        <v>4</v>
      </c>
      <c r="C76" s="36" t="s">
        <v>7986</v>
      </c>
      <c r="D76" s="36" t="s">
        <v>8055</v>
      </c>
      <c r="E76" s="9" t="s">
        <v>8007</v>
      </c>
      <c r="F76" s="36" t="s">
        <v>8054</v>
      </c>
      <c r="G76" s="36" t="s">
        <v>14</v>
      </c>
      <c r="H76" s="36" t="s">
        <v>6455</v>
      </c>
      <c r="J76" s="36" t="s">
        <v>20</v>
      </c>
      <c r="K76" s="36" t="s">
        <v>8081</v>
      </c>
      <c r="L76" s="36" t="str">
        <f>LEFT(Table2[[#This Row],[Node]],10)</f>
        <v>P000001401</v>
      </c>
      <c r="M76" s="36" t="s">
        <v>8034</v>
      </c>
    </row>
    <row r="77" spans="1:13" x14ac:dyDescent="0.25">
      <c r="A77" s="42">
        <f t="shared" si="1"/>
        <v>76</v>
      </c>
      <c r="B77" s="36" t="s">
        <v>4</v>
      </c>
      <c r="C77" s="36" t="s">
        <v>7986</v>
      </c>
      <c r="D77" s="36" t="s">
        <v>8056</v>
      </c>
      <c r="E77" s="9" t="s">
        <v>8008</v>
      </c>
      <c r="F77" s="36" t="s">
        <v>8053</v>
      </c>
      <c r="G77" s="36" t="s">
        <v>14</v>
      </c>
      <c r="H77" s="36" t="s">
        <v>6455</v>
      </c>
      <c r="J77" s="36" t="s">
        <v>20</v>
      </c>
      <c r="K77" s="36" t="s">
        <v>8081</v>
      </c>
      <c r="L77" s="36" t="str">
        <f>LEFT(Table2[[#This Row],[Node]],10)</f>
        <v>P000001402</v>
      </c>
      <c r="M77" s="36" t="s">
        <v>8034</v>
      </c>
    </row>
    <row r="78" spans="1:13" x14ac:dyDescent="0.25">
      <c r="A78" s="42">
        <f t="shared" si="1"/>
        <v>77</v>
      </c>
      <c r="B78" s="36" t="s">
        <v>4</v>
      </c>
      <c r="C78" s="36" t="s">
        <v>7986</v>
      </c>
      <c r="D78" s="36" t="s">
        <v>8057</v>
      </c>
      <c r="E78" s="9" t="s">
        <v>8009</v>
      </c>
      <c r="F78" s="36" t="s">
        <v>8054</v>
      </c>
      <c r="G78" s="36" t="s">
        <v>14</v>
      </c>
      <c r="H78" s="36" t="s">
        <v>6455</v>
      </c>
      <c r="J78" s="36" t="s">
        <v>20</v>
      </c>
      <c r="K78" s="36" t="s">
        <v>8081</v>
      </c>
      <c r="L78" s="36" t="str">
        <f>LEFT(Table2[[#This Row],[Node]],10)</f>
        <v>P000001403</v>
      </c>
      <c r="M78" s="36" t="s">
        <v>8034</v>
      </c>
    </row>
    <row r="79" spans="1:13" x14ac:dyDescent="0.25">
      <c r="A79" s="42">
        <f t="shared" si="1"/>
        <v>78</v>
      </c>
      <c r="B79" s="36" t="s">
        <v>4</v>
      </c>
      <c r="C79" s="36" t="s">
        <v>7986</v>
      </c>
      <c r="D79" s="36" t="s">
        <v>8058</v>
      </c>
      <c r="E79" s="9" t="s">
        <v>8010</v>
      </c>
      <c r="F79" s="36" t="s">
        <v>8053</v>
      </c>
      <c r="G79" s="36" t="s">
        <v>14</v>
      </c>
      <c r="H79" s="36" t="s">
        <v>6455</v>
      </c>
      <c r="J79" s="36" t="s">
        <v>20</v>
      </c>
      <c r="K79" s="36" t="s">
        <v>8081</v>
      </c>
      <c r="L79" s="36" t="str">
        <f>LEFT(Table2[[#This Row],[Node]],10)</f>
        <v>P000001404</v>
      </c>
      <c r="M79" s="36" t="s">
        <v>8034</v>
      </c>
    </row>
    <row r="80" spans="1:13" x14ac:dyDescent="0.25">
      <c r="A80" s="42">
        <f t="shared" si="1"/>
        <v>79</v>
      </c>
      <c r="B80" s="36" t="s">
        <v>4</v>
      </c>
      <c r="C80" s="36" t="s">
        <v>7986</v>
      </c>
      <c r="D80" s="36" t="s">
        <v>8059</v>
      </c>
      <c r="E80" s="9" t="s">
        <v>8011</v>
      </c>
      <c r="F80" s="36" t="s">
        <v>8053</v>
      </c>
      <c r="G80" s="36" t="s">
        <v>14</v>
      </c>
      <c r="H80" s="36" t="s">
        <v>6455</v>
      </c>
      <c r="J80" s="36" t="s">
        <v>20</v>
      </c>
      <c r="K80" s="36" t="s">
        <v>8081</v>
      </c>
      <c r="L80" s="36" t="str">
        <f>LEFT(Table2[[#This Row],[Node]],10)</f>
        <v>P000001405</v>
      </c>
      <c r="M80" s="36" t="s">
        <v>8034</v>
      </c>
    </row>
    <row r="81" spans="1:13" x14ac:dyDescent="0.25">
      <c r="A81" s="42">
        <f t="shared" si="1"/>
        <v>80</v>
      </c>
      <c r="B81" s="36" t="s">
        <v>4</v>
      </c>
      <c r="C81" s="36" t="s">
        <v>7986</v>
      </c>
      <c r="D81" s="36" t="s">
        <v>8060</v>
      </c>
      <c r="E81" s="9" t="s">
        <v>8012</v>
      </c>
      <c r="F81" s="36" t="s">
        <v>8059</v>
      </c>
      <c r="G81" s="36" t="s">
        <v>14</v>
      </c>
      <c r="H81" s="36" t="s">
        <v>6455</v>
      </c>
      <c r="J81" s="36" t="s">
        <v>20</v>
      </c>
      <c r="K81" s="36" t="s">
        <v>8081</v>
      </c>
      <c r="L81" s="36" t="str">
        <f>LEFT(Table2[[#This Row],[Node]],10)</f>
        <v>P000001406</v>
      </c>
      <c r="M81" s="36" t="s">
        <v>8034</v>
      </c>
    </row>
    <row r="82" spans="1:13" x14ac:dyDescent="0.25">
      <c r="A82" s="42">
        <f t="shared" si="1"/>
        <v>81</v>
      </c>
      <c r="B82" s="36" t="s">
        <v>4</v>
      </c>
      <c r="C82" s="36" t="s">
        <v>7986</v>
      </c>
      <c r="D82" s="36" t="s">
        <v>8061</v>
      </c>
      <c r="E82" s="9" t="s">
        <v>8013</v>
      </c>
      <c r="F82" s="36" t="s">
        <v>8053</v>
      </c>
      <c r="G82" s="36" t="s">
        <v>14</v>
      </c>
      <c r="H82" s="36" t="s">
        <v>6455</v>
      </c>
      <c r="J82" s="36" t="s">
        <v>20</v>
      </c>
      <c r="K82" s="36" t="s">
        <v>8081</v>
      </c>
      <c r="L82" s="36" t="str">
        <f>LEFT(Table2[[#This Row],[Node]],10)</f>
        <v>P000001407</v>
      </c>
      <c r="M82" s="36" t="s">
        <v>8034</v>
      </c>
    </row>
    <row r="83" spans="1:13" x14ac:dyDescent="0.25">
      <c r="A83" s="42">
        <f t="shared" si="1"/>
        <v>82</v>
      </c>
      <c r="B83" s="36" t="s">
        <v>4</v>
      </c>
      <c r="C83" s="36" t="s">
        <v>7986</v>
      </c>
      <c r="D83" s="36" t="s">
        <v>8062</v>
      </c>
      <c r="E83" s="9" t="s">
        <v>8014</v>
      </c>
      <c r="F83" s="36" t="s">
        <v>8053</v>
      </c>
      <c r="G83" s="36" t="s">
        <v>14</v>
      </c>
      <c r="H83" s="36" t="s">
        <v>6455</v>
      </c>
      <c r="J83" s="36" t="s">
        <v>20</v>
      </c>
      <c r="K83" s="36" t="s">
        <v>8081</v>
      </c>
      <c r="L83" s="36" t="str">
        <f>LEFT(Table2[[#This Row],[Node]],10)</f>
        <v>P000001408</v>
      </c>
      <c r="M83" s="36" t="s">
        <v>8034</v>
      </c>
    </row>
    <row r="84" spans="1:13" x14ac:dyDescent="0.25">
      <c r="A84" s="42">
        <f t="shared" ref="A84:A147" si="2">1+A83</f>
        <v>83</v>
      </c>
      <c r="B84" s="36" t="s">
        <v>4</v>
      </c>
      <c r="C84" s="36" t="s">
        <v>7986</v>
      </c>
      <c r="D84" s="36" t="s">
        <v>8063</v>
      </c>
      <c r="E84" s="9" t="s">
        <v>8015</v>
      </c>
      <c r="F84" s="36" t="s">
        <v>8053</v>
      </c>
      <c r="G84" s="36" t="s">
        <v>14</v>
      </c>
      <c r="H84" s="36" t="s">
        <v>6455</v>
      </c>
      <c r="J84" s="36" t="s">
        <v>20</v>
      </c>
      <c r="K84" s="36" t="s">
        <v>8081</v>
      </c>
      <c r="L84" s="36" t="str">
        <f>LEFT(Table2[[#This Row],[Node]],10)</f>
        <v>P000001409</v>
      </c>
      <c r="M84" s="36" t="s">
        <v>8034</v>
      </c>
    </row>
    <row r="85" spans="1:13" x14ac:dyDescent="0.25">
      <c r="A85" s="42">
        <f t="shared" si="2"/>
        <v>84</v>
      </c>
      <c r="B85" s="36" t="s">
        <v>4</v>
      </c>
      <c r="C85" s="36" t="s">
        <v>7986</v>
      </c>
      <c r="D85" s="36" t="s">
        <v>8064</v>
      </c>
      <c r="E85" s="9" t="s">
        <v>8016</v>
      </c>
      <c r="F85" s="36" t="s">
        <v>8063</v>
      </c>
      <c r="G85" s="36" t="s">
        <v>14</v>
      </c>
      <c r="H85" s="36" t="s">
        <v>6455</v>
      </c>
      <c r="J85" s="36" t="s">
        <v>20</v>
      </c>
      <c r="K85" s="36" t="s">
        <v>8081</v>
      </c>
      <c r="L85" s="36" t="str">
        <f>LEFT(Table2[[#This Row],[Node]],10)</f>
        <v>P000001410</v>
      </c>
      <c r="M85" s="36" t="s">
        <v>8034</v>
      </c>
    </row>
    <row r="86" spans="1:13" x14ac:dyDescent="0.25">
      <c r="A86" s="42">
        <f t="shared" si="2"/>
        <v>85</v>
      </c>
      <c r="B86" s="36" t="s">
        <v>4</v>
      </c>
      <c r="C86" s="36" t="s">
        <v>7986</v>
      </c>
      <c r="D86" s="36" t="s">
        <v>8065</v>
      </c>
      <c r="E86" s="9" t="s">
        <v>8017</v>
      </c>
      <c r="F86" s="9" t="s">
        <v>2995</v>
      </c>
      <c r="G86" s="36" t="s">
        <v>14</v>
      </c>
      <c r="H86" s="36" t="s">
        <v>6455</v>
      </c>
      <c r="J86" s="36" t="s">
        <v>20</v>
      </c>
      <c r="K86" s="36" t="s">
        <v>8081</v>
      </c>
      <c r="L86" s="36" t="str">
        <f>LEFT(Table2[[#This Row],[Node]],10)</f>
        <v>P000001411</v>
      </c>
      <c r="M86" s="36" t="s">
        <v>8034</v>
      </c>
    </row>
    <row r="87" spans="1:13" x14ac:dyDescent="0.25">
      <c r="A87" s="42">
        <f t="shared" si="2"/>
        <v>86</v>
      </c>
      <c r="B87" s="36" t="s">
        <v>4</v>
      </c>
      <c r="C87" s="36" t="s">
        <v>7986</v>
      </c>
      <c r="D87" s="36" t="s">
        <v>8066</v>
      </c>
      <c r="E87" s="9" t="s">
        <v>8018</v>
      </c>
      <c r="F87" s="9" t="s">
        <v>2995</v>
      </c>
      <c r="G87" s="36" t="s">
        <v>14</v>
      </c>
      <c r="H87" s="36" t="s">
        <v>6455</v>
      </c>
      <c r="J87" s="36" t="s">
        <v>20</v>
      </c>
      <c r="K87" s="36" t="s">
        <v>8081</v>
      </c>
      <c r="L87" s="36" t="str">
        <f>LEFT(Table2[[#This Row],[Node]],10)</f>
        <v>P000001412</v>
      </c>
      <c r="M87" s="36" t="s">
        <v>8034</v>
      </c>
    </row>
    <row r="88" spans="1:13" x14ac:dyDescent="0.25">
      <c r="A88" s="42">
        <f t="shared" si="2"/>
        <v>87</v>
      </c>
      <c r="B88" s="36" t="s">
        <v>4</v>
      </c>
      <c r="C88" s="36" t="s">
        <v>7986</v>
      </c>
      <c r="D88" s="36" t="s">
        <v>8067</v>
      </c>
      <c r="E88" s="9" t="s">
        <v>8019</v>
      </c>
      <c r="F88" s="36" t="s">
        <v>8066</v>
      </c>
      <c r="G88" s="36" t="s">
        <v>14</v>
      </c>
      <c r="H88" s="36" t="s">
        <v>6455</v>
      </c>
      <c r="J88" s="36" t="s">
        <v>20</v>
      </c>
      <c r="K88" s="36" t="s">
        <v>8081</v>
      </c>
      <c r="L88" s="36" t="str">
        <f>LEFT(Table2[[#This Row],[Node]],10)</f>
        <v>P000001413</v>
      </c>
      <c r="M88" s="36" t="s">
        <v>8034</v>
      </c>
    </row>
    <row r="89" spans="1:13" x14ac:dyDescent="0.25">
      <c r="A89" s="42">
        <f t="shared" si="2"/>
        <v>88</v>
      </c>
      <c r="B89" s="36" t="s">
        <v>4</v>
      </c>
      <c r="C89" s="36" t="s">
        <v>7986</v>
      </c>
      <c r="D89" s="36" t="s">
        <v>8068</v>
      </c>
      <c r="E89" s="9" t="s">
        <v>8020</v>
      </c>
      <c r="F89" s="36" t="s">
        <v>8066</v>
      </c>
      <c r="G89" s="36" t="s">
        <v>14</v>
      </c>
      <c r="H89" s="36" t="s">
        <v>6455</v>
      </c>
      <c r="J89" s="36" t="s">
        <v>20</v>
      </c>
      <c r="K89" s="36" t="s">
        <v>8081</v>
      </c>
      <c r="L89" s="36" t="str">
        <f>LEFT(Table2[[#This Row],[Node]],10)</f>
        <v>P000001414</v>
      </c>
      <c r="M89" s="36" t="s">
        <v>8034</v>
      </c>
    </row>
    <row r="90" spans="1:13" x14ac:dyDescent="0.25">
      <c r="A90" s="42">
        <f t="shared" si="2"/>
        <v>89</v>
      </c>
      <c r="B90" s="36" t="s">
        <v>4</v>
      </c>
      <c r="C90" s="36" t="s">
        <v>7986</v>
      </c>
      <c r="D90" s="36" t="s">
        <v>8069</v>
      </c>
      <c r="E90" s="9" t="s">
        <v>8021</v>
      </c>
      <c r="F90" s="36" t="s">
        <v>8066</v>
      </c>
      <c r="G90" s="36" t="s">
        <v>14</v>
      </c>
      <c r="H90" s="36" t="s">
        <v>6455</v>
      </c>
      <c r="J90" s="36" t="s">
        <v>20</v>
      </c>
      <c r="K90" s="36" t="s">
        <v>8081</v>
      </c>
      <c r="L90" s="36" t="str">
        <f>LEFT(Table2[[#This Row],[Node]],10)</f>
        <v>P000001415</v>
      </c>
      <c r="M90" s="36" t="s">
        <v>8034</v>
      </c>
    </row>
    <row r="91" spans="1:13" x14ac:dyDescent="0.25">
      <c r="A91" s="42">
        <f t="shared" si="2"/>
        <v>90</v>
      </c>
      <c r="B91" s="36" t="s">
        <v>4</v>
      </c>
      <c r="C91" s="36" t="s">
        <v>7986</v>
      </c>
      <c r="D91" s="36" t="s">
        <v>2684</v>
      </c>
      <c r="F91" s="9" t="s">
        <v>3170</v>
      </c>
      <c r="G91" s="9" t="s">
        <v>13</v>
      </c>
      <c r="H91" s="36" t="s">
        <v>6455</v>
      </c>
      <c r="J91" s="36" t="s">
        <v>20</v>
      </c>
      <c r="K91" s="36" t="s">
        <v>8082</v>
      </c>
      <c r="L91" s="36" t="str">
        <f>LEFT(Table2[[#This Row],[Node]],10)</f>
        <v>P000000494</v>
      </c>
      <c r="M91" s="36" t="s">
        <v>8034</v>
      </c>
    </row>
    <row r="92" spans="1:13" x14ac:dyDescent="0.25">
      <c r="A92" s="42">
        <f t="shared" si="2"/>
        <v>91</v>
      </c>
      <c r="B92" s="36" t="s">
        <v>4</v>
      </c>
      <c r="C92" s="36" t="s">
        <v>7986</v>
      </c>
      <c r="D92" s="36" t="s">
        <v>2245</v>
      </c>
      <c r="F92" s="9" t="s">
        <v>8070</v>
      </c>
      <c r="G92" s="36" t="s">
        <v>13</v>
      </c>
      <c r="H92" s="36" t="s">
        <v>6455</v>
      </c>
      <c r="J92" s="36" t="s">
        <v>20</v>
      </c>
      <c r="K92" s="36" t="s">
        <v>8082</v>
      </c>
      <c r="L92" s="36" t="str">
        <f>LEFT(Table2[[#This Row],[Node]],10)</f>
        <v>P000000259</v>
      </c>
      <c r="M92" s="36" t="s">
        <v>8034</v>
      </c>
    </row>
    <row r="93" spans="1:13" x14ac:dyDescent="0.25">
      <c r="A93" s="42">
        <f t="shared" si="2"/>
        <v>92</v>
      </c>
      <c r="B93" s="36" t="s">
        <v>4</v>
      </c>
      <c r="C93" s="36" t="s">
        <v>7986</v>
      </c>
      <c r="D93" s="36" t="s">
        <v>2250</v>
      </c>
      <c r="F93" s="9" t="s">
        <v>8070</v>
      </c>
      <c r="G93" s="36" t="s">
        <v>13</v>
      </c>
      <c r="H93" s="36" t="s">
        <v>6455</v>
      </c>
      <c r="J93" s="36" t="s">
        <v>20</v>
      </c>
      <c r="K93" s="36" t="s">
        <v>8082</v>
      </c>
      <c r="L93" s="36" t="str">
        <f>LEFT(Table2[[#This Row],[Node]],10)</f>
        <v>P000000269</v>
      </c>
      <c r="M93" s="36" t="s">
        <v>8034</v>
      </c>
    </row>
    <row r="94" spans="1:13" x14ac:dyDescent="0.25">
      <c r="A94" s="42">
        <f t="shared" si="2"/>
        <v>93</v>
      </c>
      <c r="B94" s="36" t="s">
        <v>4</v>
      </c>
      <c r="C94" s="36" t="s">
        <v>7986</v>
      </c>
      <c r="D94" s="36" t="s">
        <v>2995</v>
      </c>
      <c r="F94" s="9" t="s">
        <v>2435</v>
      </c>
      <c r="G94" s="36" t="s">
        <v>13</v>
      </c>
      <c r="H94" s="36" t="s">
        <v>6455</v>
      </c>
      <c r="J94" s="36" t="s">
        <v>20</v>
      </c>
      <c r="K94" s="36" t="s">
        <v>8082</v>
      </c>
      <c r="L94" s="36" t="str">
        <f>LEFT(Table2[[#This Row],[Node]],10)</f>
        <v>P000000466</v>
      </c>
      <c r="M94" s="36" t="s">
        <v>8034</v>
      </c>
    </row>
    <row r="95" spans="1:13" x14ac:dyDescent="0.25">
      <c r="A95" s="42">
        <f t="shared" si="2"/>
        <v>94</v>
      </c>
      <c r="B95" s="36" t="s">
        <v>4</v>
      </c>
      <c r="C95" s="36" t="s">
        <v>7986</v>
      </c>
      <c r="D95" s="36" t="s">
        <v>2020</v>
      </c>
      <c r="F95" s="36" t="s">
        <v>8035</v>
      </c>
      <c r="G95" s="36" t="s">
        <v>13</v>
      </c>
      <c r="H95" s="36" t="s">
        <v>6455</v>
      </c>
      <c r="J95" s="36" t="s">
        <v>20</v>
      </c>
      <c r="K95" s="36" t="s">
        <v>8082</v>
      </c>
      <c r="L95" s="36" t="str">
        <f>LEFT(Table2[[#This Row],[Node]],10)</f>
        <v>P000000087</v>
      </c>
      <c r="M95" s="36" t="s">
        <v>8034</v>
      </c>
    </row>
    <row r="96" spans="1:13" x14ac:dyDescent="0.25">
      <c r="A96" s="42">
        <f t="shared" si="2"/>
        <v>95</v>
      </c>
      <c r="B96" s="36" t="s">
        <v>4</v>
      </c>
      <c r="C96" s="36" t="s">
        <v>7986</v>
      </c>
      <c r="D96" s="36" t="s">
        <v>2081</v>
      </c>
      <c r="F96" s="9" t="s">
        <v>2686</v>
      </c>
      <c r="G96" s="36" t="s">
        <v>13</v>
      </c>
      <c r="H96" s="36" t="s">
        <v>6455</v>
      </c>
      <c r="J96" s="36" t="s">
        <v>20</v>
      </c>
      <c r="K96" s="36" t="s">
        <v>8082</v>
      </c>
      <c r="L96" s="36" t="str">
        <f>LEFT(Table2[[#This Row],[Node]],10)</f>
        <v>P000000526</v>
      </c>
      <c r="M96" s="36" t="s">
        <v>8034</v>
      </c>
    </row>
    <row r="97" spans="1:13" x14ac:dyDescent="0.25">
      <c r="A97" s="42">
        <f t="shared" si="2"/>
        <v>96</v>
      </c>
      <c r="B97" s="36" t="s">
        <v>4</v>
      </c>
      <c r="C97" s="36" t="s">
        <v>7986</v>
      </c>
      <c r="D97" s="36" t="s">
        <v>2312</v>
      </c>
      <c r="F97" s="9" t="s">
        <v>2686</v>
      </c>
      <c r="G97" s="36" t="s">
        <v>13</v>
      </c>
      <c r="H97" s="36" t="s">
        <v>6455</v>
      </c>
      <c r="J97" s="36" t="s">
        <v>20</v>
      </c>
      <c r="K97" s="36" t="s">
        <v>8082</v>
      </c>
      <c r="L97" s="36" t="str">
        <f>LEFT(Table2[[#This Row],[Node]],10)</f>
        <v>P000000513</v>
      </c>
      <c r="M97" s="36" t="s">
        <v>8034</v>
      </c>
    </row>
    <row r="98" spans="1:13" x14ac:dyDescent="0.25">
      <c r="A98" s="42">
        <f t="shared" si="2"/>
        <v>97</v>
      </c>
      <c r="B98" s="36" t="s">
        <v>4</v>
      </c>
      <c r="C98" s="36" t="s">
        <v>7986</v>
      </c>
      <c r="D98" s="36" t="s">
        <v>2161</v>
      </c>
      <c r="F98" s="9" t="s">
        <v>2686</v>
      </c>
      <c r="G98" s="36" t="s">
        <v>13</v>
      </c>
      <c r="H98" s="36" t="s">
        <v>6455</v>
      </c>
      <c r="J98" s="36" t="s">
        <v>20</v>
      </c>
      <c r="K98" s="36" t="s">
        <v>8082</v>
      </c>
      <c r="L98" s="36" t="str">
        <f>LEFT(Table2[[#This Row],[Node]],10)</f>
        <v>P000000520</v>
      </c>
      <c r="M98" s="36" t="s">
        <v>8034</v>
      </c>
    </row>
    <row r="99" spans="1:13" x14ac:dyDescent="0.25">
      <c r="A99" s="42">
        <f t="shared" si="2"/>
        <v>98</v>
      </c>
      <c r="B99" s="36" t="s">
        <v>4</v>
      </c>
      <c r="C99" s="36" t="s">
        <v>7986</v>
      </c>
      <c r="D99" s="36" t="s">
        <v>2223</v>
      </c>
      <c r="F99" s="9" t="s">
        <v>2686</v>
      </c>
      <c r="G99" s="36" t="s">
        <v>13</v>
      </c>
      <c r="H99" s="36" t="s">
        <v>6455</v>
      </c>
      <c r="J99" s="36" t="s">
        <v>20</v>
      </c>
      <c r="K99" s="36" t="s">
        <v>8082</v>
      </c>
      <c r="L99" s="36" t="str">
        <f>LEFT(Table2[[#This Row],[Node]],10)</f>
        <v>P000000522</v>
      </c>
      <c r="M99" s="36" t="s">
        <v>8034</v>
      </c>
    </row>
    <row r="100" spans="1:13" x14ac:dyDescent="0.25">
      <c r="A100" s="42">
        <f t="shared" si="2"/>
        <v>99</v>
      </c>
      <c r="B100" s="36" t="s">
        <v>4</v>
      </c>
      <c r="C100" s="36" t="s">
        <v>7986</v>
      </c>
      <c r="D100" s="36" t="s">
        <v>8071</v>
      </c>
      <c r="F100" s="9" t="s">
        <v>2223</v>
      </c>
      <c r="G100" s="36" t="s">
        <v>13</v>
      </c>
      <c r="H100" s="36" t="s">
        <v>6455</v>
      </c>
      <c r="J100" s="36" t="s">
        <v>20</v>
      </c>
      <c r="K100" s="36" t="s">
        <v>8082</v>
      </c>
      <c r="L100" s="36" t="str">
        <f>LEFT(Table2[[#This Row],[Node]],10)</f>
        <v>P000001171</v>
      </c>
      <c r="M100" s="36" t="s">
        <v>8034</v>
      </c>
    </row>
    <row r="101" spans="1:13" x14ac:dyDescent="0.25">
      <c r="A101" s="42">
        <f t="shared" si="2"/>
        <v>100</v>
      </c>
      <c r="B101" s="36" t="s">
        <v>4</v>
      </c>
      <c r="C101" s="36" t="s">
        <v>7986</v>
      </c>
      <c r="D101" s="36" t="s">
        <v>4357</v>
      </c>
      <c r="F101" s="9" t="s">
        <v>2674</v>
      </c>
      <c r="G101" s="36" t="s">
        <v>13</v>
      </c>
      <c r="H101" s="36" t="s">
        <v>6455</v>
      </c>
      <c r="J101" s="36" t="s">
        <v>20</v>
      </c>
      <c r="K101" s="36" t="s">
        <v>8082</v>
      </c>
      <c r="L101" s="36" t="str">
        <f>LEFT(Table2[[#This Row],[Node]],10)</f>
        <v>P000000506</v>
      </c>
      <c r="M101" s="36" t="s">
        <v>8034</v>
      </c>
    </row>
    <row r="102" spans="1:13" x14ac:dyDescent="0.25">
      <c r="A102" s="42">
        <f t="shared" si="2"/>
        <v>101</v>
      </c>
      <c r="B102" s="36" t="s">
        <v>4</v>
      </c>
      <c r="C102" s="36" t="s">
        <v>7986</v>
      </c>
      <c r="D102" s="36" t="s">
        <v>4868</v>
      </c>
      <c r="F102" s="9" t="s">
        <v>2674</v>
      </c>
      <c r="G102" s="36" t="s">
        <v>13</v>
      </c>
      <c r="H102" s="36" t="s">
        <v>6455</v>
      </c>
      <c r="J102" s="36" t="s">
        <v>20</v>
      </c>
      <c r="K102" s="36" t="s">
        <v>8082</v>
      </c>
      <c r="L102" s="36" t="str">
        <f>LEFT(Table2[[#This Row],[Node]],10)</f>
        <v>P000001280</v>
      </c>
      <c r="M102" s="36" t="s">
        <v>8034</v>
      </c>
    </row>
    <row r="103" spans="1:13" x14ac:dyDescent="0.25">
      <c r="A103" s="42">
        <f t="shared" si="2"/>
        <v>102</v>
      </c>
      <c r="B103" s="36" t="s">
        <v>4</v>
      </c>
      <c r="C103" s="36" t="s">
        <v>7986</v>
      </c>
      <c r="D103" s="36" t="s">
        <v>8072</v>
      </c>
      <c r="F103" s="9" t="s">
        <v>4868</v>
      </c>
      <c r="G103" s="36" t="s">
        <v>13</v>
      </c>
      <c r="H103" s="36" t="s">
        <v>6455</v>
      </c>
      <c r="J103" s="36" t="s">
        <v>20</v>
      </c>
      <c r="K103" s="36" t="s">
        <v>8082</v>
      </c>
      <c r="L103" s="36" t="str">
        <f>LEFT(Table2[[#This Row],[Node]],10)</f>
        <v>P000001146</v>
      </c>
      <c r="M103" s="36" t="s">
        <v>8034</v>
      </c>
    </row>
    <row r="104" spans="1:13" x14ac:dyDescent="0.25">
      <c r="A104" s="42">
        <f t="shared" si="2"/>
        <v>103</v>
      </c>
      <c r="B104" s="36" t="s">
        <v>4</v>
      </c>
      <c r="C104" s="36" t="s">
        <v>7986</v>
      </c>
      <c r="D104" s="36" t="s">
        <v>8073</v>
      </c>
      <c r="F104" s="9" t="s">
        <v>4868</v>
      </c>
      <c r="G104" s="36" t="s">
        <v>13</v>
      </c>
      <c r="H104" s="36" t="s">
        <v>6455</v>
      </c>
      <c r="J104" s="36" t="s">
        <v>20</v>
      </c>
      <c r="K104" s="36" t="s">
        <v>8082</v>
      </c>
      <c r="L104" s="36" t="str">
        <f>LEFT(Table2[[#This Row],[Node]],10)</f>
        <v>P000001150</v>
      </c>
      <c r="M104" s="36" t="s">
        <v>8034</v>
      </c>
    </row>
    <row r="105" spans="1:13" x14ac:dyDescent="0.25">
      <c r="A105" s="42">
        <f t="shared" si="2"/>
        <v>104</v>
      </c>
      <c r="B105" s="36" t="s">
        <v>4</v>
      </c>
      <c r="C105" s="36" t="s">
        <v>7986</v>
      </c>
      <c r="D105" s="36" t="s">
        <v>8074</v>
      </c>
      <c r="F105" s="9" t="s">
        <v>4868</v>
      </c>
      <c r="G105" s="36" t="s">
        <v>13</v>
      </c>
      <c r="H105" s="36" t="s">
        <v>6455</v>
      </c>
      <c r="J105" s="36" t="s">
        <v>20</v>
      </c>
      <c r="K105" s="36" t="s">
        <v>8082</v>
      </c>
      <c r="L105" s="36" t="str">
        <f>LEFT(Table2[[#This Row],[Node]],10)</f>
        <v>P000001154</v>
      </c>
      <c r="M105" s="36" t="s">
        <v>8034</v>
      </c>
    </row>
    <row r="106" spans="1:13" x14ac:dyDescent="0.25">
      <c r="A106" s="42">
        <f t="shared" si="2"/>
        <v>105</v>
      </c>
      <c r="B106" s="36" t="s">
        <v>4</v>
      </c>
      <c r="C106" s="36" t="s">
        <v>7986</v>
      </c>
      <c r="D106" s="36" t="s">
        <v>2079</v>
      </c>
      <c r="F106" s="36" t="s">
        <v>8044</v>
      </c>
      <c r="G106" s="36" t="s">
        <v>13</v>
      </c>
      <c r="H106" s="36" t="s">
        <v>6455</v>
      </c>
      <c r="J106" s="36" t="s">
        <v>20</v>
      </c>
      <c r="K106" s="36" t="s">
        <v>8082</v>
      </c>
      <c r="L106" s="36" t="str">
        <f>LEFT(Table2[[#This Row],[Node]],10)</f>
        <v>P000000800</v>
      </c>
      <c r="M106" s="36" t="s">
        <v>8034</v>
      </c>
    </row>
    <row r="107" spans="1:13" x14ac:dyDescent="0.25">
      <c r="A107" s="42">
        <f t="shared" si="2"/>
        <v>106</v>
      </c>
      <c r="B107" s="36" t="s">
        <v>4</v>
      </c>
      <c r="C107" s="36" t="s">
        <v>7986</v>
      </c>
      <c r="D107" s="36" t="s">
        <v>2310</v>
      </c>
      <c r="F107" s="36" t="s">
        <v>8044</v>
      </c>
      <c r="G107" s="36" t="s">
        <v>13</v>
      </c>
      <c r="H107" s="36" t="s">
        <v>6455</v>
      </c>
      <c r="J107" s="36" t="s">
        <v>20</v>
      </c>
      <c r="K107" s="36" t="s">
        <v>8082</v>
      </c>
      <c r="L107" s="36" t="str">
        <f>LEFT(Table2[[#This Row],[Node]],10)</f>
        <v>P000000904</v>
      </c>
      <c r="M107" s="36" t="s">
        <v>8034</v>
      </c>
    </row>
    <row r="108" spans="1:13" x14ac:dyDescent="0.25">
      <c r="A108" s="42">
        <f t="shared" si="2"/>
        <v>107</v>
      </c>
      <c r="B108" s="36" t="s">
        <v>4</v>
      </c>
      <c r="C108" s="36" t="s">
        <v>7986</v>
      </c>
      <c r="D108" s="36" t="s">
        <v>2221</v>
      </c>
      <c r="F108" s="9" t="s">
        <v>8045</v>
      </c>
      <c r="G108" s="36" t="s">
        <v>13</v>
      </c>
      <c r="H108" s="36" t="s">
        <v>6455</v>
      </c>
      <c r="J108" s="36" t="s">
        <v>20</v>
      </c>
      <c r="K108" s="36" t="s">
        <v>8082</v>
      </c>
      <c r="L108" s="36" t="str">
        <f>LEFT(Table2[[#This Row],[Node]],10)</f>
        <v>P000000865</v>
      </c>
      <c r="M108" s="36" t="s">
        <v>8034</v>
      </c>
    </row>
    <row r="109" spans="1:13" x14ac:dyDescent="0.25">
      <c r="A109" s="42">
        <f t="shared" si="2"/>
        <v>108</v>
      </c>
      <c r="B109" s="36" t="s">
        <v>4</v>
      </c>
      <c r="C109" s="36" t="s">
        <v>7986</v>
      </c>
      <c r="D109" s="36" t="s">
        <v>2159</v>
      </c>
      <c r="F109" s="9" t="s">
        <v>8045</v>
      </c>
      <c r="G109" s="36" t="s">
        <v>13</v>
      </c>
      <c r="H109" s="36" t="s">
        <v>6455</v>
      </c>
      <c r="J109" s="36" t="s">
        <v>20</v>
      </c>
      <c r="K109" s="36" t="s">
        <v>8082</v>
      </c>
      <c r="L109" s="36" t="str">
        <f>LEFT(Table2[[#This Row],[Node]],10)</f>
        <v>P000000837</v>
      </c>
      <c r="M109" s="36" t="s">
        <v>8034</v>
      </c>
    </row>
    <row r="110" spans="1:13" x14ac:dyDescent="0.25">
      <c r="A110" s="42">
        <f t="shared" si="2"/>
        <v>109</v>
      </c>
      <c r="B110" s="36" t="s">
        <v>4</v>
      </c>
      <c r="C110" s="36" t="s">
        <v>7986</v>
      </c>
      <c r="D110" s="36" t="s">
        <v>4359</v>
      </c>
      <c r="F110" s="9" t="s">
        <v>8045</v>
      </c>
      <c r="G110" s="36" t="s">
        <v>13</v>
      </c>
      <c r="H110" s="36" t="s">
        <v>6455</v>
      </c>
      <c r="J110" s="36" t="s">
        <v>20</v>
      </c>
      <c r="K110" s="36" t="s">
        <v>8082</v>
      </c>
      <c r="L110" s="36" t="str">
        <f>LEFT(Table2[[#This Row],[Node]],10)</f>
        <v>P000000507</v>
      </c>
      <c r="M110" s="36" t="s">
        <v>8034</v>
      </c>
    </row>
    <row r="111" spans="1:13" x14ac:dyDescent="0.25">
      <c r="A111" s="42">
        <f t="shared" si="2"/>
        <v>110</v>
      </c>
      <c r="B111" s="36" t="s">
        <v>4</v>
      </c>
      <c r="C111" s="36" t="s">
        <v>7986</v>
      </c>
      <c r="D111" s="36" t="s">
        <v>4873</v>
      </c>
      <c r="F111" s="9" t="s">
        <v>2682</v>
      </c>
      <c r="G111" s="36" t="s">
        <v>13</v>
      </c>
      <c r="H111" s="36" t="s">
        <v>6455</v>
      </c>
      <c r="J111" s="36" t="s">
        <v>20</v>
      </c>
      <c r="K111" s="36" t="s">
        <v>8082</v>
      </c>
      <c r="L111" s="36" t="str">
        <f>LEFT(Table2[[#This Row],[Node]],10)</f>
        <v>P000001283</v>
      </c>
      <c r="M111" s="36" t="s">
        <v>8034</v>
      </c>
    </row>
    <row r="112" spans="1:13" x14ac:dyDescent="0.25">
      <c r="A112" s="42">
        <f t="shared" si="2"/>
        <v>111</v>
      </c>
      <c r="B112" s="36" t="s">
        <v>4</v>
      </c>
      <c r="C112" s="36" t="s">
        <v>7986</v>
      </c>
      <c r="D112" s="36" t="s">
        <v>2676</v>
      </c>
      <c r="F112" s="36" t="s">
        <v>8048</v>
      </c>
      <c r="G112" s="36" t="s">
        <v>13</v>
      </c>
      <c r="H112" s="36" t="s">
        <v>6455</v>
      </c>
      <c r="J112" s="36" t="s">
        <v>20</v>
      </c>
      <c r="K112" s="36" t="s">
        <v>8082</v>
      </c>
      <c r="L112" s="36" t="str">
        <f>LEFT(Table2[[#This Row],[Node]],10)</f>
        <v>P000000478</v>
      </c>
      <c r="M112" s="36" t="s">
        <v>8034</v>
      </c>
    </row>
    <row r="113" spans="1:13" x14ac:dyDescent="0.25">
      <c r="A113" s="42">
        <f t="shared" si="2"/>
        <v>112</v>
      </c>
      <c r="B113" s="36" t="s">
        <v>4</v>
      </c>
      <c r="C113" s="36" t="s">
        <v>7986</v>
      </c>
      <c r="D113" s="36" t="s">
        <v>2732</v>
      </c>
      <c r="F113" s="36" t="s">
        <v>8048</v>
      </c>
      <c r="G113" s="36" t="s">
        <v>13</v>
      </c>
      <c r="H113" s="36" t="s">
        <v>6455</v>
      </c>
      <c r="J113" s="36" t="s">
        <v>20</v>
      </c>
      <c r="K113" s="36" t="s">
        <v>8082</v>
      </c>
      <c r="L113" s="36" t="str">
        <f>LEFT(Table2[[#This Row],[Node]],10)</f>
        <v>P000000584</v>
      </c>
      <c r="M113" s="36" t="s">
        <v>8034</v>
      </c>
    </row>
    <row r="114" spans="1:13" x14ac:dyDescent="0.25">
      <c r="A114" s="42">
        <f t="shared" si="2"/>
        <v>113</v>
      </c>
      <c r="B114" s="36" t="s">
        <v>4</v>
      </c>
      <c r="C114" s="36" t="s">
        <v>7986</v>
      </c>
      <c r="D114" s="36" t="s">
        <v>4871</v>
      </c>
      <c r="F114" s="9" t="s">
        <v>2732</v>
      </c>
      <c r="G114" s="36" t="s">
        <v>13</v>
      </c>
      <c r="H114" s="36" t="s">
        <v>6455</v>
      </c>
      <c r="J114" s="36" t="s">
        <v>20</v>
      </c>
      <c r="K114" s="36" t="s">
        <v>8082</v>
      </c>
      <c r="L114" s="36" t="str">
        <f>LEFT(Table2[[#This Row],[Node]],10)</f>
        <v>P000001282</v>
      </c>
      <c r="M114" s="36" t="s">
        <v>8034</v>
      </c>
    </row>
    <row r="115" spans="1:13" x14ac:dyDescent="0.25">
      <c r="A115" s="42">
        <f t="shared" si="2"/>
        <v>114</v>
      </c>
      <c r="B115" s="36" t="s">
        <v>4</v>
      </c>
      <c r="C115" s="36" t="s">
        <v>7986</v>
      </c>
      <c r="D115" s="36" t="s">
        <v>2025</v>
      </c>
      <c r="F115" s="9" t="s">
        <v>8054</v>
      </c>
      <c r="G115" s="36" t="s">
        <v>13</v>
      </c>
      <c r="H115" s="36" t="s">
        <v>6455</v>
      </c>
      <c r="J115" s="36" t="s">
        <v>20</v>
      </c>
      <c r="K115" s="36" t="s">
        <v>8082</v>
      </c>
      <c r="L115" s="36" t="str">
        <f>LEFT(Table2[[#This Row],[Node]],10)</f>
        <v>P000000097</v>
      </c>
      <c r="M115" s="36" t="s">
        <v>8034</v>
      </c>
    </row>
    <row r="116" spans="1:13" x14ac:dyDescent="0.25">
      <c r="A116" s="42">
        <f t="shared" si="2"/>
        <v>115</v>
      </c>
      <c r="B116" s="36" t="s">
        <v>4</v>
      </c>
      <c r="C116" s="36" t="s">
        <v>7986</v>
      </c>
      <c r="D116" s="36" t="s">
        <v>2045</v>
      </c>
      <c r="F116" s="9" t="s">
        <v>8054</v>
      </c>
      <c r="G116" s="36" t="s">
        <v>13</v>
      </c>
      <c r="H116" s="36" t="s">
        <v>6455</v>
      </c>
      <c r="J116" s="36" t="s">
        <v>20</v>
      </c>
      <c r="K116" s="36" t="s">
        <v>8082</v>
      </c>
      <c r="L116" s="36" t="str">
        <f>LEFT(Table2[[#This Row],[Node]],10)</f>
        <v>P000000137</v>
      </c>
      <c r="M116" s="36" t="s">
        <v>8034</v>
      </c>
    </row>
    <row r="117" spans="1:13" x14ac:dyDescent="0.25">
      <c r="A117" s="42">
        <f t="shared" si="2"/>
        <v>116</v>
      </c>
      <c r="B117" s="36" t="s">
        <v>4</v>
      </c>
      <c r="C117" s="36" t="s">
        <v>7986</v>
      </c>
      <c r="D117" s="36" t="s">
        <v>2030</v>
      </c>
      <c r="F117" s="9" t="s">
        <v>8056</v>
      </c>
      <c r="G117" s="36" t="s">
        <v>13</v>
      </c>
      <c r="H117" s="36" t="s">
        <v>6455</v>
      </c>
      <c r="J117" s="36" t="s">
        <v>20</v>
      </c>
      <c r="K117" s="36" t="s">
        <v>8082</v>
      </c>
      <c r="L117" s="36" t="str">
        <f>LEFT(Table2[[#This Row],[Node]],10)</f>
        <v>P000000107</v>
      </c>
      <c r="M117" s="36" t="s">
        <v>8034</v>
      </c>
    </row>
    <row r="118" spans="1:13" x14ac:dyDescent="0.25">
      <c r="A118" s="42">
        <f t="shared" si="2"/>
        <v>117</v>
      </c>
      <c r="B118" s="36" t="s">
        <v>4</v>
      </c>
      <c r="C118" s="36" t="s">
        <v>7986</v>
      </c>
      <c r="D118" s="36" t="s">
        <v>2035</v>
      </c>
      <c r="F118" s="9" t="s">
        <v>8056</v>
      </c>
      <c r="G118" s="36" t="s">
        <v>13</v>
      </c>
      <c r="H118" s="36" t="s">
        <v>6455</v>
      </c>
      <c r="J118" s="36" t="s">
        <v>20</v>
      </c>
      <c r="K118" s="36" t="s">
        <v>8082</v>
      </c>
      <c r="L118" s="36" t="str">
        <f>LEFT(Table2[[#This Row],[Node]],10)</f>
        <v>P000000117</v>
      </c>
      <c r="M118" s="36" t="s">
        <v>8034</v>
      </c>
    </row>
    <row r="119" spans="1:13" x14ac:dyDescent="0.25">
      <c r="A119" s="42">
        <f t="shared" si="2"/>
        <v>118</v>
      </c>
      <c r="B119" s="36" t="s">
        <v>4</v>
      </c>
      <c r="C119" s="36" t="s">
        <v>7986</v>
      </c>
      <c r="D119" s="36" t="s">
        <v>2177</v>
      </c>
      <c r="F119" s="9" t="s">
        <v>8058</v>
      </c>
      <c r="G119" s="36" t="s">
        <v>13</v>
      </c>
      <c r="H119" s="36" t="s">
        <v>6455</v>
      </c>
      <c r="J119" s="36" t="s">
        <v>20</v>
      </c>
      <c r="K119" s="36" t="s">
        <v>8082</v>
      </c>
      <c r="L119" s="36" t="str">
        <f>LEFT(Table2[[#This Row],[Node]],10)</f>
        <v>P000000229</v>
      </c>
      <c r="M119" s="36" t="s">
        <v>8034</v>
      </c>
    </row>
    <row r="120" spans="1:13" x14ac:dyDescent="0.25">
      <c r="A120" s="42">
        <f t="shared" si="2"/>
        <v>119</v>
      </c>
      <c r="B120" s="36" t="s">
        <v>4</v>
      </c>
      <c r="C120" s="36" t="s">
        <v>7986</v>
      </c>
      <c r="D120" s="36" t="s">
        <v>8075</v>
      </c>
      <c r="F120" s="9" t="s">
        <v>8058</v>
      </c>
      <c r="G120" s="36" t="s">
        <v>13</v>
      </c>
      <c r="H120" s="36" t="s">
        <v>6455</v>
      </c>
      <c r="J120" s="36" t="s">
        <v>20</v>
      </c>
      <c r="K120" s="36" t="s">
        <v>8082</v>
      </c>
      <c r="L120" s="36" t="str">
        <f>LEFT(Table2[[#This Row],[Node]],10)</f>
        <v>P000000521</v>
      </c>
      <c r="M120" s="36" t="s">
        <v>8034</v>
      </c>
    </row>
    <row r="121" spans="1:13" x14ac:dyDescent="0.25">
      <c r="A121" s="42">
        <f t="shared" si="2"/>
        <v>120</v>
      </c>
      <c r="B121" s="36" t="s">
        <v>4</v>
      </c>
      <c r="C121" s="36" t="s">
        <v>7986</v>
      </c>
      <c r="D121" s="36" t="s">
        <v>2015</v>
      </c>
      <c r="F121" s="9" t="s">
        <v>8059</v>
      </c>
      <c r="G121" s="36" t="s">
        <v>13</v>
      </c>
      <c r="H121" s="36" t="s">
        <v>6455</v>
      </c>
      <c r="J121" s="36" t="s">
        <v>20</v>
      </c>
      <c r="K121" s="36" t="s">
        <v>8082</v>
      </c>
      <c r="L121" s="36" t="str">
        <f>LEFT(Table2[[#This Row],[Node]],10)</f>
        <v>P000000056</v>
      </c>
      <c r="M121" s="36" t="s">
        <v>8034</v>
      </c>
    </row>
    <row r="122" spans="1:13" x14ac:dyDescent="0.25">
      <c r="A122" s="42">
        <f t="shared" si="2"/>
        <v>121</v>
      </c>
      <c r="B122" s="36" t="s">
        <v>4</v>
      </c>
      <c r="C122" s="36" t="s">
        <v>7986</v>
      </c>
      <c r="D122" s="36" t="s">
        <v>5834</v>
      </c>
      <c r="F122" s="9" t="s">
        <v>8059</v>
      </c>
      <c r="G122" s="36" t="s">
        <v>13</v>
      </c>
      <c r="H122" s="36" t="s">
        <v>6455</v>
      </c>
      <c r="J122" s="36" t="s">
        <v>20</v>
      </c>
      <c r="K122" s="36" t="s">
        <v>8082</v>
      </c>
      <c r="L122" s="36" t="str">
        <f>LEFT(Table2[[#This Row],[Node]],10)</f>
        <v>P000001168</v>
      </c>
      <c r="M122" s="36" t="s">
        <v>8034</v>
      </c>
    </row>
    <row r="123" spans="1:13" x14ac:dyDescent="0.25">
      <c r="A123" s="42">
        <f t="shared" si="2"/>
        <v>122</v>
      </c>
      <c r="B123" s="36" t="s">
        <v>4</v>
      </c>
      <c r="C123" s="36" t="s">
        <v>7986</v>
      </c>
      <c r="D123" s="36" t="s">
        <v>2182</v>
      </c>
      <c r="F123" s="9" t="s">
        <v>8059</v>
      </c>
      <c r="G123" s="36" t="s">
        <v>13</v>
      </c>
      <c r="H123" s="36" t="s">
        <v>6455</v>
      </c>
      <c r="J123" s="36" t="s">
        <v>20</v>
      </c>
      <c r="K123" s="36" t="s">
        <v>8082</v>
      </c>
      <c r="L123" s="36" t="str">
        <f>LEFT(Table2[[#This Row],[Node]],10)</f>
        <v>P000000239</v>
      </c>
      <c r="M123" s="36" t="s">
        <v>8034</v>
      </c>
    </row>
    <row r="124" spans="1:13" x14ac:dyDescent="0.25">
      <c r="A124" s="42">
        <f t="shared" si="2"/>
        <v>123</v>
      </c>
      <c r="B124" s="36" t="s">
        <v>4</v>
      </c>
      <c r="C124" s="36" t="s">
        <v>7986</v>
      </c>
      <c r="D124" s="36" t="s">
        <v>2187</v>
      </c>
      <c r="F124" s="9" t="s">
        <v>8062</v>
      </c>
      <c r="G124" s="36" t="s">
        <v>13</v>
      </c>
      <c r="H124" s="36" t="s">
        <v>6455</v>
      </c>
      <c r="J124" s="36" t="s">
        <v>20</v>
      </c>
      <c r="K124" s="36" t="s">
        <v>8082</v>
      </c>
      <c r="L124" s="36" t="str">
        <f>LEFT(Table2[[#This Row],[Node]],10)</f>
        <v>P000000279</v>
      </c>
      <c r="M124" s="36" t="s">
        <v>8034</v>
      </c>
    </row>
    <row r="125" spans="1:13" x14ac:dyDescent="0.25">
      <c r="A125" s="42">
        <f t="shared" si="2"/>
        <v>124</v>
      </c>
      <c r="B125" s="36" t="s">
        <v>4</v>
      </c>
      <c r="C125" s="36" t="s">
        <v>7986</v>
      </c>
      <c r="D125" s="36" t="s">
        <v>2287</v>
      </c>
      <c r="F125" s="9" t="s">
        <v>8062</v>
      </c>
      <c r="G125" s="36" t="s">
        <v>13</v>
      </c>
      <c r="H125" s="36" t="s">
        <v>6455</v>
      </c>
      <c r="J125" s="36" t="s">
        <v>20</v>
      </c>
      <c r="K125" s="36" t="s">
        <v>8082</v>
      </c>
      <c r="L125" s="36" t="str">
        <f>LEFT(Table2[[#This Row],[Node]],10)</f>
        <v>P000000525</v>
      </c>
      <c r="M125" s="36" t="s">
        <v>8034</v>
      </c>
    </row>
    <row r="126" spans="1:13" x14ac:dyDescent="0.25">
      <c r="A126" s="42">
        <f t="shared" si="2"/>
        <v>125</v>
      </c>
      <c r="B126" s="36" t="s">
        <v>4</v>
      </c>
      <c r="C126" s="36" t="s">
        <v>7986</v>
      </c>
      <c r="D126" s="36" t="s">
        <v>2040</v>
      </c>
      <c r="F126" s="9" t="s">
        <v>8062</v>
      </c>
      <c r="G126" s="36" t="s">
        <v>13</v>
      </c>
      <c r="H126" s="36" t="s">
        <v>6455</v>
      </c>
      <c r="J126" s="36" t="s">
        <v>20</v>
      </c>
      <c r="K126" s="36" t="s">
        <v>8082</v>
      </c>
      <c r="L126" s="36" t="str">
        <f>LEFT(Table2[[#This Row],[Node]],10)</f>
        <v>P000000127</v>
      </c>
      <c r="M126" s="36" t="s">
        <v>8034</v>
      </c>
    </row>
    <row r="127" spans="1:13" x14ac:dyDescent="0.25">
      <c r="A127" s="42">
        <f t="shared" si="2"/>
        <v>126</v>
      </c>
      <c r="B127" s="36" t="s">
        <v>4</v>
      </c>
      <c r="C127" s="36" t="s">
        <v>7986</v>
      </c>
      <c r="D127" s="36" t="s">
        <v>2273</v>
      </c>
      <c r="F127" s="9" t="s">
        <v>8063</v>
      </c>
      <c r="G127" s="36" t="s">
        <v>13</v>
      </c>
      <c r="H127" s="36" t="s">
        <v>6455</v>
      </c>
      <c r="J127" s="36" t="s">
        <v>20</v>
      </c>
      <c r="K127" s="36" t="s">
        <v>8082</v>
      </c>
      <c r="L127" s="36" t="str">
        <f>LEFT(Table2[[#This Row],[Node]],10)</f>
        <v>P000000524</v>
      </c>
      <c r="M127" s="36" t="s">
        <v>8034</v>
      </c>
    </row>
    <row r="128" spans="1:13" x14ac:dyDescent="0.25">
      <c r="A128" s="42">
        <f t="shared" si="2"/>
        <v>127</v>
      </c>
      <c r="B128" s="36" t="s">
        <v>4</v>
      </c>
      <c r="C128" s="36" t="s">
        <v>7986</v>
      </c>
      <c r="D128" s="36" t="s">
        <v>2255</v>
      </c>
      <c r="F128" s="9" t="s">
        <v>8063</v>
      </c>
      <c r="G128" s="36" t="s">
        <v>13</v>
      </c>
      <c r="H128" s="36" t="s">
        <v>6455</v>
      </c>
      <c r="J128" s="36" t="s">
        <v>20</v>
      </c>
      <c r="K128" s="36" t="s">
        <v>8082</v>
      </c>
      <c r="L128" s="36" t="str">
        <f>LEFT(Table2[[#This Row],[Node]],10)</f>
        <v>P000000523</v>
      </c>
      <c r="M128" s="36" t="s">
        <v>8034</v>
      </c>
    </row>
    <row r="129" spans="1:13" x14ac:dyDescent="0.25">
      <c r="A129" s="42">
        <f t="shared" si="2"/>
        <v>128</v>
      </c>
      <c r="B129" s="36" t="s">
        <v>4</v>
      </c>
      <c r="C129" s="36" t="s">
        <v>7986</v>
      </c>
      <c r="D129" s="36" t="s">
        <v>2172</v>
      </c>
      <c r="F129" s="9" t="s">
        <v>8063</v>
      </c>
      <c r="G129" s="36" t="s">
        <v>13</v>
      </c>
      <c r="H129" s="36" t="s">
        <v>6455</v>
      </c>
      <c r="J129" s="36" t="s">
        <v>20</v>
      </c>
      <c r="K129" s="36" t="s">
        <v>8082</v>
      </c>
      <c r="L129" s="36" t="str">
        <f>LEFT(Table2[[#This Row],[Node]],10)</f>
        <v>P000000209</v>
      </c>
      <c r="M129" s="36" t="s">
        <v>8034</v>
      </c>
    </row>
    <row r="130" spans="1:13" x14ac:dyDescent="0.25">
      <c r="A130" s="42">
        <f t="shared" si="2"/>
        <v>129</v>
      </c>
      <c r="B130" s="36" t="s">
        <v>4</v>
      </c>
      <c r="C130" s="36" t="s">
        <v>7986</v>
      </c>
      <c r="D130" s="36" t="s">
        <v>4865</v>
      </c>
      <c r="F130" s="9" t="s">
        <v>8065</v>
      </c>
      <c r="G130" s="36" t="s">
        <v>13</v>
      </c>
      <c r="H130" s="36" t="s">
        <v>6455</v>
      </c>
      <c r="J130" s="36" t="s">
        <v>20</v>
      </c>
      <c r="K130" s="36" t="s">
        <v>8082</v>
      </c>
      <c r="L130" s="36" t="str">
        <f>LEFT(Table2[[#This Row],[Node]],10)</f>
        <v>P000001278</v>
      </c>
      <c r="M130" s="36" t="s">
        <v>8034</v>
      </c>
    </row>
    <row r="131" spans="1:13" x14ac:dyDescent="0.25">
      <c r="A131" s="42">
        <f t="shared" si="2"/>
        <v>130</v>
      </c>
      <c r="B131" s="36" t="s">
        <v>4</v>
      </c>
      <c r="C131" s="36" t="s">
        <v>7986</v>
      </c>
      <c r="D131" s="36" t="s">
        <v>2443</v>
      </c>
      <c r="F131" s="9" t="s">
        <v>8065</v>
      </c>
      <c r="G131" s="36" t="s">
        <v>13</v>
      </c>
      <c r="H131" s="36" t="s">
        <v>6455</v>
      </c>
      <c r="J131" s="36" t="s">
        <v>20</v>
      </c>
      <c r="K131" s="36" t="s">
        <v>8082</v>
      </c>
      <c r="L131" s="36" t="str">
        <f>LEFT(Table2[[#This Row],[Node]],10)</f>
        <v>P000000966</v>
      </c>
      <c r="M131" s="36" t="s">
        <v>8034</v>
      </c>
    </row>
    <row r="132" spans="1:13" x14ac:dyDescent="0.25">
      <c r="A132" s="42">
        <f t="shared" si="2"/>
        <v>131</v>
      </c>
      <c r="B132" s="36" t="s">
        <v>4</v>
      </c>
      <c r="C132" s="36" t="s">
        <v>7986</v>
      </c>
      <c r="D132" s="36" t="s">
        <v>2501</v>
      </c>
      <c r="F132" s="9" t="s">
        <v>2443</v>
      </c>
      <c r="G132" s="36" t="s">
        <v>13</v>
      </c>
      <c r="H132" s="36" t="s">
        <v>6455</v>
      </c>
      <c r="J132" s="36" t="s">
        <v>20</v>
      </c>
      <c r="K132" s="36" t="s">
        <v>8082</v>
      </c>
      <c r="L132" s="36" t="str">
        <f>LEFT(Table2[[#This Row],[Node]],10)</f>
        <v>P000000994</v>
      </c>
      <c r="M132" s="36" t="s">
        <v>8034</v>
      </c>
    </row>
    <row r="133" spans="1:13" x14ac:dyDescent="0.25">
      <c r="A133" s="42">
        <f t="shared" si="2"/>
        <v>132</v>
      </c>
      <c r="B133" s="36" t="s">
        <v>4</v>
      </c>
      <c r="C133" s="36" t="s">
        <v>7986</v>
      </c>
      <c r="D133" s="36" t="s">
        <v>2474</v>
      </c>
      <c r="F133" s="9" t="s">
        <v>2443</v>
      </c>
      <c r="G133" s="36" t="s">
        <v>13</v>
      </c>
      <c r="H133" s="36" t="s">
        <v>6455</v>
      </c>
      <c r="J133" s="36" t="s">
        <v>20</v>
      </c>
      <c r="K133" s="36" t="s">
        <v>8082</v>
      </c>
      <c r="L133" s="36" t="str">
        <f>LEFT(Table2[[#This Row],[Node]],10)</f>
        <v>P000000981</v>
      </c>
      <c r="M133" s="36" t="s">
        <v>8034</v>
      </c>
    </row>
    <row r="134" spans="1:13" x14ac:dyDescent="0.25">
      <c r="A134" s="42">
        <f t="shared" si="2"/>
        <v>133</v>
      </c>
      <c r="B134" s="36" t="s">
        <v>4</v>
      </c>
      <c r="C134" s="36" t="s">
        <v>7986</v>
      </c>
      <c r="D134" s="36" t="s">
        <v>2484</v>
      </c>
      <c r="F134" s="9" t="s">
        <v>2443</v>
      </c>
      <c r="G134" s="36" t="s">
        <v>13</v>
      </c>
      <c r="H134" s="36" t="s">
        <v>6455</v>
      </c>
      <c r="J134" s="36" t="s">
        <v>20</v>
      </c>
      <c r="K134" s="36" t="s">
        <v>8082</v>
      </c>
      <c r="L134" s="36" t="str">
        <f>LEFT(Table2[[#This Row],[Node]],10)</f>
        <v>P000000986</v>
      </c>
      <c r="M134" s="36" t="s">
        <v>8034</v>
      </c>
    </row>
    <row r="135" spans="1:13" x14ac:dyDescent="0.25">
      <c r="A135" s="42">
        <f t="shared" si="2"/>
        <v>134</v>
      </c>
      <c r="B135" s="36" t="s">
        <v>4</v>
      </c>
      <c r="C135" s="36" t="s">
        <v>7986</v>
      </c>
      <c r="D135" s="36" t="s">
        <v>4870</v>
      </c>
      <c r="F135" s="9" t="s">
        <v>8065</v>
      </c>
      <c r="G135" s="36" t="s">
        <v>13</v>
      </c>
      <c r="H135" s="36" t="s">
        <v>6455</v>
      </c>
      <c r="J135" s="36" t="s">
        <v>20</v>
      </c>
      <c r="K135" s="36" t="s">
        <v>8082</v>
      </c>
      <c r="L135" s="36" t="str">
        <f>LEFT(Table2[[#This Row],[Node]],10)</f>
        <v>P000001281</v>
      </c>
      <c r="M135" s="36" t="s">
        <v>8034</v>
      </c>
    </row>
    <row r="136" spans="1:13" x14ac:dyDescent="0.25">
      <c r="A136" s="42">
        <f t="shared" si="2"/>
        <v>135</v>
      </c>
      <c r="B136" s="36" t="s">
        <v>4</v>
      </c>
      <c r="C136" s="36" t="s">
        <v>7986</v>
      </c>
      <c r="D136" s="36" t="s">
        <v>2382</v>
      </c>
      <c r="F136" s="9" t="s">
        <v>8067</v>
      </c>
      <c r="G136" s="36" t="s">
        <v>13</v>
      </c>
      <c r="H136" s="36" t="s">
        <v>6455</v>
      </c>
      <c r="J136" s="36" t="s">
        <v>20</v>
      </c>
      <c r="K136" s="36" t="s">
        <v>8082</v>
      </c>
      <c r="L136" s="36" t="str">
        <f>LEFT(Table2[[#This Row],[Node]],10)</f>
        <v>P000000517</v>
      </c>
      <c r="M136" s="36" t="s">
        <v>8034</v>
      </c>
    </row>
    <row r="137" spans="1:13" x14ac:dyDescent="0.25">
      <c r="A137" s="42">
        <f t="shared" si="2"/>
        <v>136</v>
      </c>
      <c r="B137" s="36" t="s">
        <v>4</v>
      </c>
      <c r="C137" s="36" t="s">
        <v>7986</v>
      </c>
      <c r="D137" s="36" t="s">
        <v>2105</v>
      </c>
      <c r="F137" s="9" t="s">
        <v>8067</v>
      </c>
      <c r="G137" s="36" t="s">
        <v>13</v>
      </c>
      <c r="H137" s="36" t="s">
        <v>6455</v>
      </c>
      <c r="J137" s="36" t="s">
        <v>20</v>
      </c>
      <c r="K137" s="36" t="s">
        <v>8082</v>
      </c>
      <c r="L137" s="36" t="str">
        <f>LEFT(Table2[[#This Row],[Node]],10)</f>
        <v>P000000249</v>
      </c>
      <c r="M137" s="36" t="s">
        <v>8034</v>
      </c>
    </row>
    <row r="138" spans="1:13" x14ac:dyDescent="0.25">
      <c r="A138" s="42">
        <f t="shared" si="2"/>
        <v>137</v>
      </c>
      <c r="B138" s="36" t="s">
        <v>4</v>
      </c>
      <c r="C138" s="36" t="s">
        <v>7986</v>
      </c>
      <c r="D138" s="36" t="s">
        <v>2096</v>
      </c>
      <c r="F138" s="9" t="s">
        <v>8067</v>
      </c>
      <c r="G138" s="36" t="s">
        <v>13</v>
      </c>
      <c r="H138" s="36" t="s">
        <v>6455</v>
      </c>
      <c r="J138" s="36" t="s">
        <v>20</v>
      </c>
      <c r="K138" s="36" t="s">
        <v>8082</v>
      </c>
      <c r="L138" s="36" t="str">
        <f>LEFT(Table2[[#This Row],[Node]],10)</f>
        <v>P000000808</v>
      </c>
      <c r="M138" s="36" t="s">
        <v>8034</v>
      </c>
    </row>
    <row r="139" spans="1:13" x14ac:dyDescent="0.25">
      <c r="A139" s="42">
        <f t="shared" si="2"/>
        <v>138</v>
      </c>
      <c r="B139" s="36" t="s">
        <v>4</v>
      </c>
      <c r="C139" s="36" t="s">
        <v>7986</v>
      </c>
      <c r="D139" s="36" t="s">
        <v>2321</v>
      </c>
      <c r="F139" s="9" t="s">
        <v>8067</v>
      </c>
      <c r="G139" s="36" t="s">
        <v>13</v>
      </c>
      <c r="H139" s="36" t="s">
        <v>6455</v>
      </c>
      <c r="J139" s="36" t="s">
        <v>20</v>
      </c>
      <c r="K139" s="36" t="s">
        <v>8082</v>
      </c>
      <c r="L139" s="36" t="str">
        <f>LEFT(Table2[[#This Row],[Node]],10)</f>
        <v>P000000909</v>
      </c>
      <c r="M139" s="36" t="s">
        <v>8034</v>
      </c>
    </row>
    <row r="140" spans="1:13" x14ac:dyDescent="0.25">
      <c r="A140" s="42">
        <f t="shared" si="2"/>
        <v>139</v>
      </c>
      <c r="B140" s="36" t="s">
        <v>4</v>
      </c>
      <c r="C140" s="36" t="s">
        <v>7986</v>
      </c>
      <c r="D140" s="36" t="s">
        <v>2125</v>
      </c>
      <c r="F140" s="9" t="s">
        <v>8068</v>
      </c>
      <c r="G140" s="36" t="s">
        <v>13</v>
      </c>
      <c r="H140" s="36" t="s">
        <v>6455</v>
      </c>
      <c r="J140" s="36" t="s">
        <v>20</v>
      </c>
      <c r="K140" s="36" t="s">
        <v>8082</v>
      </c>
      <c r="L140" s="36" t="str">
        <f>LEFT(Table2[[#This Row],[Node]],10)</f>
        <v>P000000528</v>
      </c>
      <c r="M140" s="36" t="s">
        <v>8034</v>
      </c>
    </row>
    <row r="141" spans="1:13" x14ac:dyDescent="0.25">
      <c r="A141" s="42">
        <f t="shared" si="2"/>
        <v>140</v>
      </c>
      <c r="B141" s="36" t="s">
        <v>4</v>
      </c>
      <c r="C141" s="36" t="s">
        <v>7986</v>
      </c>
      <c r="D141" s="36" t="s">
        <v>2090</v>
      </c>
      <c r="F141" s="9" t="s">
        <v>8068</v>
      </c>
      <c r="G141" s="36" t="s">
        <v>13</v>
      </c>
      <c r="H141" s="36" t="s">
        <v>6455</v>
      </c>
      <c r="J141" s="36" t="s">
        <v>20</v>
      </c>
      <c r="K141" s="36" t="s">
        <v>8082</v>
      </c>
      <c r="L141" s="36" t="str">
        <f>LEFT(Table2[[#This Row],[Node]],10)</f>
        <v>P000000805</v>
      </c>
      <c r="M141" s="36" t="s">
        <v>8034</v>
      </c>
    </row>
    <row r="142" spans="1:13" x14ac:dyDescent="0.25">
      <c r="A142" s="42">
        <f t="shared" si="2"/>
        <v>141</v>
      </c>
      <c r="B142" s="36" t="s">
        <v>4</v>
      </c>
      <c r="C142" s="36" t="s">
        <v>7986</v>
      </c>
      <c r="D142" s="36" t="s">
        <v>2340</v>
      </c>
      <c r="F142" s="9" t="s">
        <v>8068</v>
      </c>
      <c r="G142" s="36" t="s">
        <v>13</v>
      </c>
      <c r="H142" s="36" t="s">
        <v>6455</v>
      </c>
      <c r="J142" s="36" t="s">
        <v>20</v>
      </c>
      <c r="K142" s="36" t="s">
        <v>8082</v>
      </c>
      <c r="L142" s="36" t="str">
        <f>LEFT(Table2[[#This Row],[Node]],10)</f>
        <v>P000000515</v>
      </c>
      <c r="M142" s="36" t="s">
        <v>8034</v>
      </c>
    </row>
    <row r="143" spans="1:13" x14ac:dyDescent="0.25">
      <c r="A143" s="42">
        <f t="shared" si="2"/>
        <v>142</v>
      </c>
      <c r="B143" s="36" t="s">
        <v>4</v>
      </c>
      <c r="C143" s="36" t="s">
        <v>7986</v>
      </c>
      <c r="D143" s="36" t="s">
        <v>2325</v>
      </c>
      <c r="F143" s="9" t="s">
        <v>8068</v>
      </c>
      <c r="G143" s="36" t="s">
        <v>13</v>
      </c>
      <c r="H143" s="36" t="s">
        <v>6455</v>
      </c>
      <c r="J143" s="36" t="s">
        <v>20</v>
      </c>
      <c r="K143" s="36" t="s">
        <v>8082</v>
      </c>
      <c r="L143" s="36" t="str">
        <f>LEFT(Table2[[#This Row],[Node]],10)</f>
        <v>P000000514</v>
      </c>
      <c r="M143" s="36" t="s">
        <v>8034</v>
      </c>
    </row>
    <row r="144" spans="1:13" x14ac:dyDescent="0.25">
      <c r="A144" s="42">
        <f t="shared" si="2"/>
        <v>143</v>
      </c>
      <c r="B144" s="36" t="s">
        <v>4</v>
      </c>
      <c r="C144" s="36" t="s">
        <v>7986</v>
      </c>
      <c r="D144" s="36" t="s">
        <v>2110</v>
      </c>
      <c r="F144" s="9" t="s">
        <v>8069</v>
      </c>
      <c r="G144" s="36" t="s">
        <v>13</v>
      </c>
      <c r="H144" s="36" t="s">
        <v>6455</v>
      </c>
      <c r="J144" s="36" t="s">
        <v>20</v>
      </c>
      <c r="K144" s="36" t="s">
        <v>8082</v>
      </c>
      <c r="L144" s="36" t="str">
        <f>LEFT(Table2[[#This Row],[Node]],10)</f>
        <v>P000000527</v>
      </c>
      <c r="M144" s="36" t="s">
        <v>8034</v>
      </c>
    </row>
    <row r="145" spans="1:13" x14ac:dyDescent="0.25">
      <c r="A145" s="42">
        <f t="shared" si="2"/>
        <v>144</v>
      </c>
      <c r="B145" s="36" t="s">
        <v>4</v>
      </c>
      <c r="C145" s="36" t="s">
        <v>7986</v>
      </c>
      <c r="D145" s="36" t="s">
        <v>2401</v>
      </c>
      <c r="F145" s="9" t="s">
        <v>8069</v>
      </c>
      <c r="G145" s="36" t="s">
        <v>13</v>
      </c>
      <c r="H145" s="36" t="s">
        <v>6455</v>
      </c>
      <c r="J145" s="36" t="s">
        <v>20</v>
      </c>
      <c r="K145" s="36" t="s">
        <v>8082</v>
      </c>
      <c r="L145" s="36" t="str">
        <f>LEFT(Table2[[#This Row],[Node]],10)</f>
        <v>P000000518</v>
      </c>
      <c r="M145" s="36" t="s">
        <v>8034</v>
      </c>
    </row>
    <row r="146" spans="1:13" x14ac:dyDescent="0.25">
      <c r="A146" s="42">
        <f t="shared" si="2"/>
        <v>145</v>
      </c>
      <c r="B146" s="36" t="s">
        <v>4</v>
      </c>
      <c r="C146" s="36" t="s">
        <v>7986</v>
      </c>
      <c r="D146" s="36" t="s">
        <v>2359</v>
      </c>
      <c r="F146" s="9" t="s">
        <v>8069</v>
      </c>
      <c r="G146" s="36" t="s">
        <v>13</v>
      </c>
      <c r="H146" s="36" t="s">
        <v>6455</v>
      </c>
      <c r="J146" s="36" t="s">
        <v>20</v>
      </c>
      <c r="K146" s="36" t="s">
        <v>8082</v>
      </c>
      <c r="L146" s="36" t="str">
        <f>LEFT(Table2[[#This Row],[Node]],10)</f>
        <v>P000000516</v>
      </c>
      <c r="M146" s="36" t="s">
        <v>8034</v>
      </c>
    </row>
    <row r="147" spans="1:13" x14ac:dyDescent="0.25">
      <c r="A147" s="42">
        <f t="shared" si="2"/>
        <v>146</v>
      </c>
      <c r="B147" s="36" t="s">
        <v>4</v>
      </c>
      <c r="C147" s="36" t="s">
        <v>7986</v>
      </c>
      <c r="D147" s="36" t="s">
        <v>2053</v>
      </c>
      <c r="F147" s="9" t="s">
        <v>8066</v>
      </c>
      <c r="G147" s="36" t="s">
        <v>13</v>
      </c>
      <c r="H147" s="36" t="s">
        <v>6455</v>
      </c>
      <c r="J147" s="36" t="s">
        <v>20</v>
      </c>
      <c r="K147" s="36" t="s">
        <v>8082</v>
      </c>
      <c r="L147" s="36" t="str">
        <f>LEFT(Table2[[#This Row],[Node]],10)</f>
        <v>P000000149</v>
      </c>
      <c r="M147" s="36" t="s">
        <v>8034</v>
      </c>
    </row>
    <row r="148" spans="1:13" x14ac:dyDescent="0.25">
      <c r="A148" s="42">
        <f t="shared" ref="A148:A153" si="3">1+A147</f>
        <v>147</v>
      </c>
      <c r="B148" s="36" t="s">
        <v>4</v>
      </c>
      <c r="C148" s="36" t="s">
        <v>7986</v>
      </c>
      <c r="D148" s="36" t="s">
        <v>4868</v>
      </c>
      <c r="E148" s="9" t="s">
        <v>8076</v>
      </c>
      <c r="G148" s="9" t="s">
        <v>15</v>
      </c>
      <c r="H148" s="36" t="str">
        <f>IFERROR(VLOOKUP(Table2[[#This Row], [Ticket]],Okey!A:B,2,0),"")</f>
        <v/>
      </c>
      <c r="I148" s="36" t="s">
        <v>7982</v>
      </c>
      <c r="J148" s="36" t="s">
        <v>20</v>
      </c>
      <c r="K148" s="36" t="s">
        <v>8080</v>
      </c>
      <c r="L148" s="36" t="str">
        <f>LEFT(Table2[[#This Row],[Node]],10)</f>
        <v>P000001280</v>
      </c>
      <c r="M148" s="36" t="s">
        <v>8034</v>
      </c>
    </row>
    <row r="149" spans="1:13" x14ac:dyDescent="0.25">
      <c r="A149" s="42">
        <f t="shared" si="3"/>
        <v>148</v>
      </c>
      <c r="B149" s="36" t="s">
        <v>4</v>
      </c>
      <c r="C149" s="36" t="s">
        <v>7986</v>
      </c>
      <c r="D149" s="36" t="s">
        <v>8075</v>
      </c>
      <c r="E149" s="9" t="s">
        <v>8077</v>
      </c>
      <c r="G149" s="36" t="s">
        <v>15</v>
      </c>
      <c r="H149" s="36" t="str">
        <f>IFERROR(VLOOKUP(Table2[[#This Row], [Ticket]],Okey!A:B,2,0),"")</f>
        <v/>
      </c>
      <c r="I149" s="36" t="s">
        <v>7982</v>
      </c>
      <c r="J149" s="36" t="s">
        <v>20</v>
      </c>
      <c r="K149" s="36" t="s">
        <v>8080</v>
      </c>
      <c r="L149" s="36" t="str">
        <f>LEFT(Table2[[#This Row],[Node]],10)</f>
        <v>P000000521</v>
      </c>
      <c r="M149" s="36" t="s">
        <v>8034</v>
      </c>
    </row>
    <row r="150" spans="1:13" x14ac:dyDescent="0.25">
      <c r="A150" s="42">
        <f t="shared" si="3"/>
        <v>149</v>
      </c>
      <c r="B150" s="36" t="s">
        <v>4</v>
      </c>
      <c r="C150" s="36" t="s">
        <v>7986</v>
      </c>
      <c r="D150" s="36" t="s">
        <v>3241</v>
      </c>
      <c r="E150" s="9" t="s">
        <v>8078</v>
      </c>
      <c r="G150" s="36" t="s">
        <v>15</v>
      </c>
      <c r="H150" s="36" t="str">
        <f>IFERROR(VLOOKUP(Table2[[#This Row], [Ticket]],Okey!A:B,2,0),"")</f>
        <v/>
      </c>
      <c r="I150" s="36" t="s">
        <v>7982</v>
      </c>
      <c r="J150" s="36" t="s">
        <v>20</v>
      </c>
      <c r="K150" s="36" t="s">
        <v>8080</v>
      </c>
      <c r="L150" s="36" t="str">
        <f>LEFT(Table2[[#This Row],[Node]],10)</f>
        <v>P000000486</v>
      </c>
      <c r="M150" s="36" t="s">
        <v>8034</v>
      </c>
    </row>
    <row r="151" spans="1:13" x14ac:dyDescent="0.25">
      <c r="A151" s="42">
        <f t="shared" si="3"/>
        <v>150</v>
      </c>
      <c r="B151" s="36" t="s">
        <v>4</v>
      </c>
      <c r="C151" s="36" t="s">
        <v>7986</v>
      </c>
      <c r="D151" s="36" t="s">
        <v>3243</v>
      </c>
      <c r="E151" s="9" t="s">
        <v>8033</v>
      </c>
      <c r="G151" s="36" t="s">
        <v>15</v>
      </c>
      <c r="H151" s="36" t="str">
        <f>IFERROR(VLOOKUP(Table2[[#This Row], [Ticket]],Okey!A:B,2,0),"")</f>
        <v/>
      </c>
      <c r="I151" s="36" t="s">
        <v>7982</v>
      </c>
      <c r="J151" s="36" t="s">
        <v>20</v>
      </c>
      <c r="K151" s="36" t="s">
        <v>8080</v>
      </c>
      <c r="L151" s="36" t="str">
        <f>LEFT(Table2[[#This Row],[Node]],10)</f>
        <v>P000000488</v>
      </c>
      <c r="M151" s="36" t="s">
        <v>8034</v>
      </c>
    </row>
    <row r="152" spans="1:13" x14ac:dyDescent="0.25">
      <c r="A152" s="42">
        <f t="shared" si="3"/>
        <v>151</v>
      </c>
      <c r="B152" s="36" t="s">
        <v>4</v>
      </c>
      <c r="C152" s="36" t="s">
        <v>7986</v>
      </c>
      <c r="D152" s="36" t="s">
        <v>3237</v>
      </c>
      <c r="E152" s="9" t="s">
        <v>8079</v>
      </c>
      <c r="G152" s="36" t="s">
        <v>15</v>
      </c>
      <c r="H152" s="36" t="str">
        <f>IFERROR(VLOOKUP(Table2[[#This Row], [Ticket]],Okey!A:B,2,0),"")</f>
        <v/>
      </c>
      <c r="I152" s="36" t="s">
        <v>7982</v>
      </c>
      <c r="J152" s="36" t="s">
        <v>20</v>
      </c>
      <c r="K152" s="36" t="s">
        <v>8080</v>
      </c>
      <c r="L152" s="36" t="str">
        <f>LEFT(Table2[[#This Row],[Node]],10)</f>
        <v>P000000484</v>
      </c>
      <c r="M152" s="36" t="s">
        <v>8034</v>
      </c>
    </row>
    <row r="153" spans="1:13" x14ac:dyDescent="0.25">
      <c r="A153" s="42">
        <f t="shared" si="3"/>
        <v>152</v>
      </c>
      <c r="B153" s="36" t="s">
        <v>4</v>
      </c>
      <c r="C153" s="9" t="s">
        <v>8084</v>
      </c>
      <c r="D153" s="9" t="s">
        <v>7981</v>
      </c>
      <c r="F153" s="9" t="s">
        <v>6241</v>
      </c>
      <c r="G153" s="9" t="s">
        <v>13</v>
      </c>
      <c r="H153" s="36" t="str">
        <f>IFERROR(VLOOKUP(Table2[[#This Row], [Ticket]],Okey!A:B,2,0),"")</f>
        <v/>
      </c>
      <c r="J153" s="9" t="s">
        <v>17</v>
      </c>
      <c r="M153" s="9" t="s">
        <v>6354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32FC8-E38F-416D-A8C1-FF4D15A17789}">
  <dimension ref="A1:B63"/>
  <sheetViews>
    <sheetView workbookViewId="0">
      <selection activeCell="B2" sqref="B2"/>
    </sheetView>
  </sheetViews>
  <sheetFormatPr defaultRowHeight="15" x14ac:dyDescent="0.25"/>
  <cols>
    <col min="1" max="1" width="11.28515625" bestFit="1" customWidth="1"/>
  </cols>
  <sheetData>
    <row r="1" spans="1:2" x14ac:dyDescent="0.25">
      <c r="A1">
        <v>1000</v>
      </c>
      <c r="B1" t="s">
        <v>7919</v>
      </c>
    </row>
    <row r="2" spans="1:2" x14ac:dyDescent="0.25">
      <c r="A2" t="s">
        <v>387</v>
      </c>
      <c r="B2" t="s">
        <v>7863</v>
      </c>
    </row>
    <row r="3" spans="1:2" x14ac:dyDescent="0.25">
      <c r="A3" t="s">
        <v>5725</v>
      </c>
      <c r="B3" t="s">
        <v>7866</v>
      </c>
    </row>
    <row r="4" spans="1:2" x14ac:dyDescent="0.25">
      <c r="A4" t="s">
        <v>5725</v>
      </c>
      <c r="B4" t="s">
        <v>7867</v>
      </c>
    </row>
    <row r="5" spans="1:2" x14ac:dyDescent="0.25">
      <c r="A5" t="s">
        <v>5725</v>
      </c>
      <c r="B5" t="s">
        <v>7862</v>
      </c>
    </row>
    <row r="6" spans="1:2" x14ac:dyDescent="0.25">
      <c r="A6" t="s">
        <v>5725</v>
      </c>
      <c r="B6" t="s">
        <v>7864</v>
      </c>
    </row>
    <row r="7" spans="1:2" x14ac:dyDescent="0.25">
      <c r="A7" t="s">
        <v>3170</v>
      </c>
      <c r="B7" t="s">
        <v>2684</v>
      </c>
    </row>
    <row r="8" spans="1:2" x14ac:dyDescent="0.25">
      <c r="A8" t="s">
        <v>8070</v>
      </c>
      <c r="B8" t="s">
        <v>2245</v>
      </c>
    </row>
    <row r="9" spans="1:2" x14ac:dyDescent="0.25">
      <c r="A9" t="s">
        <v>8070</v>
      </c>
      <c r="B9" t="s">
        <v>2250</v>
      </c>
    </row>
    <row r="10" spans="1:2" x14ac:dyDescent="0.25">
      <c r="A10" t="s">
        <v>2435</v>
      </c>
      <c r="B10" t="s">
        <v>2995</v>
      </c>
    </row>
    <row r="11" spans="1:2" x14ac:dyDescent="0.25">
      <c r="A11" t="s">
        <v>8035</v>
      </c>
      <c r="B11" t="s">
        <v>2020</v>
      </c>
    </row>
    <row r="12" spans="1:2" x14ac:dyDescent="0.25">
      <c r="A12" t="s">
        <v>2686</v>
      </c>
      <c r="B12" t="s">
        <v>2081</v>
      </c>
    </row>
    <row r="13" spans="1:2" x14ac:dyDescent="0.25">
      <c r="A13" t="s">
        <v>2686</v>
      </c>
      <c r="B13" t="s">
        <v>2312</v>
      </c>
    </row>
    <row r="14" spans="1:2" x14ac:dyDescent="0.25">
      <c r="A14" t="s">
        <v>2686</v>
      </c>
      <c r="B14" t="s">
        <v>2161</v>
      </c>
    </row>
    <row r="15" spans="1:2" x14ac:dyDescent="0.25">
      <c r="A15" t="s">
        <v>2686</v>
      </c>
      <c r="B15" t="s">
        <v>2223</v>
      </c>
    </row>
    <row r="16" spans="1:2" x14ac:dyDescent="0.25">
      <c r="A16" t="s">
        <v>2223</v>
      </c>
      <c r="B16" t="s">
        <v>8071</v>
      </c>
    </row>
    <row r="17" spans="1:2" x14ac:dyDescent="0.25">
      <c r="A17" t="s">
        <v>2674</v>
      </c>
      <c r="B17" t="s">
        <v>4357</v>
      </c>
    </row>
    <row r="18" spans="1:2" x14ac:dyDescent="0.25">
      <c r="A18" t="s">
        <v>2674</v>
      </c>
      <c r="B18" t="s">
        <v>4868</v>
      </c>
    </row>
    <row r="19" spans="1:2" x14ac:dyDescent="0.25">
      <c r="A19" t="s">
        <v>4868</v>
      </c>
      <c r="B19" t="s">
        <v>8072</v>
      </c>
    </row>
    <row r="20" spans="1:2" x14ac:dyDescent="0.25">
      <c r="A20" t="s">
        <v>4868</v>
      </c>
      <c r="B20" t="s">
        <v>8073</v>
      </c>
    </row>
    <row r="21" spans="1:2" x14ac:dyDescent="0.25">
      <c r="A21" t="s">
        <v>4868</v>
      </c>
      <c r="B21" t="s">
        <v>8074</v>
      </c>
    </row>
    <row r="22" spans="1:2" x14ac:dyDescent="0.25">
      <c r="A22" t="s">
        <v>8044</v>
      </c>
      <c r="B22" t="s">
        <v>2079</v>
      </c>
    </row>
    <row r="23" spans="1:2" x14ac:dyDescent="0.25">
      <c r="A23" t="s">
        <v>8044</v>
      </c>
      <c r="B23" t="s">
        <v>2310</v>
      </c>
    </row>
    <row r="24" spans="1:2" x14ac:dyDescent="0.25">
      <c r="A24" t="s">
        <v>8045</v>
      </c>
      <c r="B24" t="s">
        <v>2221</v>
      </c>
    </row>
    <row r="25" spans="1:2" x14ac:dyDescent="0.25">
      <c r="A25" t="s">
        <v>8045</v>
      </c>
      <c r="B25" t="s">
        <v>2159</v>
      </c>
    </row>
    <row r="26" spans="1:2" x14ac:dyDescent="0.25">
      <c r="A26" t="s">
        <v>8045</v>
      </c>
      <c r="B26" t="s">
        <v>4359</v>
      </c>
    </row>
    <row r="27" spans="1:2" x14ac:dyDescent="0.25">
      <c r="A27" t="s">
        <v>2682</v>
      </c>
      <c r="B27" t="s">
        <v>4873</v>
      </c>
    </row>
    <row r="28" spans="1:2" x14ac:dyDescent="0.25">
      <c r="A28" t="s">
        <v>8048</v>
      </c>
      <c r="B28" t="s">
        <v>2676</v>
      </c>
    </row>
    <row r="29" spans="1:2" x14ac:dyDescent="0.25">
      <c r="A29" t="s">
        <v>8048</v>
      </c>
      <c r="B29" t="s">
        <v>2732</v>
      </c>
    </row>
    <row r="30" spans="1:2" x14ac:dyDescent="0.25">
      <c r="A30" t="s">
        <v>2732</v>
      </c>
      <c r="B30" t="s">
        <v>4871</v>
      </c>
    </row>
    <row r="31" spans="1:2" x14ac:dyDescent="0.25">
      <c r="A31" t="s">
        <v>8054</v>
      </c>
      <c r="B31" t="s">
        <v>2025</v>
      </c>
    </row>
    <row r="32" spans="1:2" x14ac:dyDescent="0.25">
      <c r="A32" t="s">
        <v>8054</v>
      </c>
      <c r="B32" t="s">
        <v>2045</v>
      </c>
    </row>
    <row r="33" spans="1:2" x14ac:dyDescent="0.25">
      <c r="A33" t="s">
        <v>8056</v>
      </c>
      <c r="B33" t="s">
        <v>2030</v>
      </c>
    </row>
    <row r="34" spans="1:2" x14ac:dyDescent="0.25">
      <c r="A34" t="s">
        <v>8056</v>
      </c>
      <c r="B34" t="s">
        <v>2035</v>
      </c>
    </row>
    <row r="35" spans="1:2" x14ac:dyDescent="0.25">
      <c r="A35" t="s">
        <v>8058</v>
      </c>
      <c r="B35" t="s">
        <v>2177</v>
      </c>
    </row>
    <row r="36" spans="1:2" x14ac:dyDescent="0.25">
      <c r="A36" t="s">
        <v>8058</v>
      </c>
      <c r="B36" t="s">
        <v>8075</v>
      </c>
    </row>
    <row r="37" spans="1:2" x14ac:dyDescent="0.25">
      <c r="A37" t="s">
        <v>8059</v>
      </c>
      <c r="B37" t="s">
        <v>2015</v>
      </c>
    </row>
    <row r="38" spans="1:2" x14ac:dyDescent="0.25">
      <c r="A38" t="s">
        <v>8059</v>
      </c>
      <c r="B38" t="s">
        <v>5834</v>
      </c>
    </row>
    <row r="39" spans="1:2" x14ac:dyDescent="0.25">
      <c r="A39" t="s">
        <v>8059</v>
      </c>
      <c r="B39" t="s">
        <v>2182</v>
      </c>
    </row>
    <row r="40" spans="1:2" x14ac:dyDescent="0.25">
      <c r="A40" t="s">
        <v>8062</v>
      </c>
      <c r="B40" t="s">
        <v>2187</v>
      </c>
    </row>
    <row r="41" spans="1:2" x14ac:dyDescent="0.25">
      <c r="A41" t="s">
        <v>8062</v>
      </c>
      <c r="B41" t="s">
        <v>2287</v>
      </c>
    </row>
    <row r="42" spans="1:2" x14ac:dyDescent="0.25">
      <c r="A42" t="s">
        <v>8062</v>
      </c>
      <c r="B42" t="s">
        <v>2040</v>
      </c>
    </row>
    <row r="43" spans="1:2" x14ac:dyDescent="0.25">
      <c r="A43" t="s">
        <v>8063</v>
      </c>
      <c r="B43" t="s">
        <v>2273</v>
      </c>
    </row>
    <row r="44" spans="1:2" x14ac:dyDescent="0.25">
      <c r="A44" t="s">
        <v>8063</v>
      </c>
      <c r="B44" t="s">
        <v>2255</v>
      </c>
    </row>
    <row r="45" spans="1:2" x14ac:dyDescent="0.25">
      <c r="A45" t="s">
        <v>8063</v>
      </c>
      <c r="B45" t="s">
        <v>2172</v>
      </c>
    </row>
    <row r="46" spans="1:2" x14ac:dyDescent="0.25">
      <c r="A46" t="s">
        <v>8065</v>
      </c>
      <c r="B46" t="s">
        <v>4865</v>
      </c>
    </row>
    <row r="47" spans="1:2" x14ac:dyDescent="0.25">
      <c r="A47" t="s">
        <v>8065</v>
      </c>
      <c r="B47" t="s">
        <v>2443</v>
      </c>
    </row>
    <row r="48" spans="1:2" x14ac:dyDescent="0.25">
      <c r="A48" t="s">
        <v>2443</v>
      </c>
      <c r="B48" t="s">
        <v>2501</v>
      </c>
    </row>
    <row r="49" spans="1:2" x14ac:dyDescent="0.25">
      <c r="A49" t="s">
        <v>2443</v>
      </c>
      <c r="B49" t="s">
        <v>2474</v>
      </c>
    </row>
    <row r="50" spans="1:2" x14ac:dyDescent="0.25">
      <c r="A50" t="s">
        <v>2443</v>
      </c>
      <c r="B50" t="s">
        <v>2484</v>
      </c>
    </row>
    <row r="51" spans="1:2" x14ac:dyDescent="0.25">
      <c r="A51" t="s">
        <v>8065</v>
      </c>
      <c r="B51" t="s">
        <v>4870</v>
      </c>
    </row>
    <row r="52" spans="1:2" x14ac:dyDescent="0.25">
      <c r="A52" t="s">
        <v>8067</v>
      </c>
      <c r="B52" t="s">
        <v>2382</v>
      </c>
    </row>
    <row r="53" spans="1:2" x14ac:dyDescent="0.25">
      <c r="A53" t="s">
        <v>8067</v>
      </c>
      <c r="B53" t="s">
        <v>2105</v>
      </c>
    </row>
    <row r="54" spans="1:2" x14ac:dyDescent="0.25">
      <c r="A54" t="s">
        <v>8067</v>
      </c>
      <c r="B54" t="s">
        <v>2096</v>
      </c>
    </row>
    <row r="55" spans="1:2" x14ac:dyDescent="0.25">
      <c r="A55" t="s">
        <v>8067</v>
      </c>
      <c r="B55" t="s">
        <v>2321</v>
      </c>
    </row>
    <row r="56" spans="1:2" x14ac:dyDescent="0.25">
      <c r="A56" t="s">
        <v>8068</v>
      </c>
      <c r="B56" t="s">
        <v>2125</v>
      </c>
    </row>
    <row r="57" spans="1:2" x14ac:dyDescent="0.25">
      <c r="A57" t="s">
        <v>8068</v>
      </c>
      <c r="B57" t="s">
        <v>2090</v>
      </c>
    </row>
    <row r="58" spans="1:2" x14ac:dyDescent="0.25">
      <c r="A58" t="s">
        <v>8068</v>
      </c>
      <c r="B58" t="s">
        <v>2340</v>
      </c>
    </row>
    <row r="59" spans="1:2" x14ac:dyDescent="0.25">
      <c r="A59" t="s">
        <v>8068</v>
      </c>
      <c r="B59" t="s">
        <v>2325</v>
      </c>
    </row>
    <row r="60" spans="1:2" x14ac:dyDescent="0.25">
      <c r="A60" t="s">
        <v>8069</v>
      </c>
      <c r="B60" t="s">
        <v>2110</v>
      </c>
    </row>
    <row r="61" spans="1:2" x14ac:dyDescent="0.25">
      <c r="A61" t="s">
        <v>8069</v>
      </c>
      <c r="B61" t="s">
        <v>2401</v>
      </c>
    </row>
    <row r="62" spans="1:2" x14ac:dyDescent="0.25">
      <c r="A62" t="s">
        <v>8069</v>
      </c>
      <c r="B62" t="s">
        <v>2359</v>
      </c>
    </row>
    <row r="63" spans="1:2" x14ac:dyDescent="0.25">
      <c r="A63" t="s">
        <v>8066</v>
      </c>
      <c r="B63" t="s">
        <v>2053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DEF7C-A501-45F2-9530-E030E5295779}">
  <dimension ref="A1:G88"/>
  <sheetViews>
    <sheetView workbookViewId="0">
      <selection activeCell="A88" sqref="A1:G88"/>
    </sheetView>
  </sheetViews>
  <sheetFormatPr defaultRowHeight="15" x14ac:dyDescent="0.25"/>
  <cols>
    <col min="1" max="1" width="11.28515625" bestFit="1" customWidth="1"/>
    <col min="2" max="2" width="40.28515625" bestFit="1" customWidth="1"/>
  </cols>
  <sheetData>
    <row r="1" spans="1:7" x14ac:dyDescent="0.25">
      <c r="A1">
        <v>1000</v>
      </c>
    </row>
    <row r="2" spans="1:7" x14ac:dyDescent="0.25">
      <c r="A2" t="s">
        <v>7866</v>
      </c>
      <c r="B2" t="s">
        <v>7905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7867</v>
      </c>
      <c r="B3" t="s">
        <v>7905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7862</v>
      </c>
      <c r="B4" t="s">
        <v>7905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 x14ac:dyDescent="0.25">
      <c r="A5" t="s">
        <v>7864</v>
      </c>
      <c r="B5" t="s">
        <v>7905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 x14ac:dyDescent="0.25">
      <c r="A6" t="s">
        <v>7861</v>
      </c>
      <c r="B6" t="s">
        <v>7906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 x14ac:dyDescent="0.25">
      <c r="A7" t="s">
        <v>7865</v>
      </c>
      <c r="B7" t="s">
        <v>7907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 x14ac:dyDescent="0.25">
      <c r="A8" t="s">
        <v>7868</v>
      </c>
      <c r="B8" t="s">
        <v>7905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 x14ac:dyDescent="0.25">
      <c r="A9" t="s">
        <v>7869</v>
      </c>
      <c r="B9" t="s">
        <v>7905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 x14ac:dyDescent="0.25">
      <c r="A10" t="s">
        <v>7870</v>
      </c>
      <c r="B10" t="s">
        <v>7905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 x14ac:dyDescent="0.25">
      <c r="A11" t="s">
        <v>7871</v>
      </c>
      <c r="B11" t="s">
        <v>7905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 x14ac:dyDescent="0.25">
      <c r="A12" t="s">
        <v>7878</v>
      </c>
      <c r="B12" t="s">
        <v>7905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3" spans="1:7" x14ac:dyDescent="0.25">
      <c r="A13" t="s">
        <v>7872</v>
      </c>
      <c r="B13" t="s">
        <v>7905</v>
      </c>
      <c r="C13" t="s">
        <v>4938</v>
      </c>
      <c r="D13" t="s">
        <v>4938</v>
      </c>
      <c r="E13" t="s">
        <v>4938</v>
      </c>
      <c r="F13" t="s">
        <v>4938</v>
      </c>
      <c r="G13" t="s">
        <v>4938</v>
      </c>
    </row>
    <row r="14" spans="1:7" x14ac:dyDescent="0.25">
      <c r="A14" t="s">
        <v>7873</v>
      </c>
      <c r="B14" t="s">
        <v>7905</v>
      </c>
      <c r="C14" t="s">
        <v>4938</v>
      </c>
      <c r="D14" t="s">
        <v>4938</v>
      </c>
      <c r="E14" t="s">
        <v>4938</v>
      </c>
      <c r="F14" t="s">
        <v>4938</v>
      </c>
      <c r="G14" t="s">
        <v>4938</v>
      </c>
    </row>
    <row r="15" spans="1:7" x14ac:dyDescent="0.25">
      <c r="A15" t="s">
        <v>7874</v>
      </c>
      <c r="B15" t="s">
        <v>7905</v>
      </c>
      <c r="C15" t="s">
        <v>4938</v>
      </c>
      <c r="D15" t="s">
        <v>4938</v>
      </c>
      <c r="E15" t="s">
        <v>4938</v>
      </c>
      <c r="F15" t="s">
        <v>4938</v>
      </c>
      <c r="G15" t="s">
        <v>4938</v>
      </c>
    </row>
    <row r="16" spans="1:7" x14ac:dyDescent="0.25">
      <c r="A16" t="s">
        <v>7875</v>
      </c>
      <c r="B16" t="s">
        <v>7905</v>
      </c>
      <c r="C16" t="s">
        <v>4938</v>
      </c>
      <c r="D16" t="s">
        <v>4938</v>
      </c>
      <c r="E16" t="s">
        <v>4938</v>
      </c>
      <c r="F16" t="s">
        <v>4938</v>
      </c>
      <c r="G16" t="s">
        <v>4938</v>
      </c>
    </row>
    <row r="17" spans="1:7" x14ac:dyDescent="0.25">
      <c r="A17" t="s">
        <v>7876</v>
      </c>
      <c r="B17" t="s">
        <v>7905</v>
      </c>
      <c r="C17" t="s">
        <v>4938</v>
      </c>
      <c r="D17" t="s">
        <v>4938</v>
      </c>
      <c r="E17" t="s">
        <v>4938</v>
      </c>
      <c r="F17" t="s">
        <v>4938</v>
      </c>
      <c r="G17" t="s">
        <v>4938</v>
      </c>
    </row>
    <row r="18" spans="1:7" x14ac:dyDescent="0.25">
      <c r="A18" t="s">
        <v>7877</v>
      </c>
      <c r="B18" t="s">
        <v>7905</v>
      </c>
      <c r="C18" t="s">
        <v>4938</v>
      </c>
      <c r="D18" t="s">
        <v>4938</v>
      </c>
      <c r="E18" t="s">
        <v>4938</v>
      </c>
      <c r="F18" t="s">
        <v>4938</v>
      </c>
      <c r="G18" t="s">
        <v>4938</v>
      </c>
    </row>
    <row r="19" spans="1:7" x14ac:dyDescent="0.25">
      <c r="A19" t="s">
        <v>7954</v>
      </c>
      <c r="B19" t="s">
        <v>7924</v>
      </c>
      <c r="C19" t="s">
        <v>4938</v>
      </c>
      <c r="D19" t="s">
        <v>4938</v>
      </c>
      <c r="E19" t="s">
        <v>4938</v>
      </c>
      <c r="F19" t="s">
        <v>4938</v>
      </c>
      <c r="G19" t="s">
        <v>4938</v>
      </c>
    </row>
    <row r="20" spans="1:7" x14ac:dyDescent="0.25">
      <c r="A20" t="s">
        <v>7956</v>
      </c>
      <c r="B20" t="s">
        <v>7925</v>
      </c>
      <c r="C20" t="s">
        <v>4938</v>
      </c>
      <c r="D20" t="s">
        <v>4938</v>
      </c>
      <c r="E20" t="s">
        <v>4938</v>
      </c>
      <c r="F20" t="s">
        <v>4938</v>
      </c>
      <c r="G20" t="s">
        <v>4938</v>
      </c>
    </row>
    <row r="21" spans="1:7" x14ac:dyDescent="0.25">
      <c r="A21" t="s">
        <v>7957</v>
      </c>
      <c r="B21" t="s">
        <v>7926</v>
      </c>
      <c r="C21" t="s">
        <v>4938</v>
      </c>
      <c r="D21" t="s">
        <v>4938</v>
      </c>
      <c r="E21" t="s">
        <v>4938</v>
      </c>
      <c r="F21" t="s">
        <v>4938</v>
      </c>
      <c r="G21" t="s">
        <v>4938</v>
      </c>
    </row>
    <row r="22" spans="1:7" x14ac:dyDescent="0.25">
      <c r="A22" t="s">
        <v>7958</v>
      </c>
      <c r="B22" t="s">
        <v>7928</v>
      </c>
      <c r="C22" t="s">
        <v>4938</v>
      </c>
      <c r="D22" t="s">
        <v>4938</v>
      </c>
      <c r="E22" t="s">
        <v>4938</v>
      </c>
      <c r="F22" t="s">
        <v>4938</v>
      </c>
      <c r="G22" t="s">
        <v>4938</v>
      </c>
    </row>
    <row r="23" spans="1:7" x14ac:dyDescent="0.25">
      <c r="A23" t="s">
        <v>7959</v>
      </c>
      <c r="B23" t="s">
        <v>7929</v>
      </c>
      <c r="C23" t="s">
        <v>4938</v>
      </c>
      <c r="D23" t="s">
        <v>4938</v>
      </c>
      <c r="E23" t="s">
        <v>4938</v>
      </c>
      <c r="F23" t="s">
        <v>4938</v>
      </c>
      <c r="G23" t="s">
        <v>4938</v>
      </c>
    </row>
    <row r="24" spans="1:7" x14ac:dyDescent="0.25">
      <c r="A24" t="s">
        <v>7960</v>
      </c>
      <c r="B24" t="s">
        <v>7930</v>
      </c>
      <c r="C24" t="s">
        <v>4938</v>
      </c>
      <c r="D24" t="s">
        <v>4938</v>
      </c>
      <c r="E24" t="s">
        <v>4938</v>
      </c>
      <c r="F24" t="s">
        <v>4938</v>
      </c>
      <c r="G24" t="s">
        <v>4938</v>
      </c>
    </row>
    <row r="25" spans="1:7" x14ac:dyDescent="0.25">
      <c r="A25" t="s">
        <v>7961</v>
      </c>
      <c r="B25" t="s">
        <v>7932</v>
      </c>
      <c r="C25" t="s">
        <v>4938</v>
      </c>
      <c r="D25" t="s">
        <v>4938</v>
      </c>
      <c r="E25" t="s">
        <v>4938</v>
      </c>
      <c r="F25" t="s">
        <v>4938</v>
      </c>
      <c r="G25" t="s">
        <v>4938</v>
      </c>
    </row>
    <row r="26" spans="1:7" x14ac:dyDescent="0.25">
      <c r="A26" t="s">
        <v>7962</v>
      </c>
      <c r="B26" t="s">
        <v>7934</v>
      </c>
      <c r="C26" t="s">
        <v>4938</v>
      </c>
      <c r="D26" t="s">
        <v>4938</v>
      </c>
      <c r="E26" t="s">
        <v>4938</v>
      </c>
      <c r="F26" t="s">
        <v>4938</v>
      </c>
      <c r="G26" t="s">
        <v>4938</v>
      </c>
    </row>
    <row r="27" spans="1:7" x14ac:dyDescent="0.25">
      <c r="A27" t="s">
        <v>7963</v>
      </c>
      <c r="B27" t="s">
        <v>7935</v>
      </c>
      <c r="C27" t="s">
        <v>4938</v>
      </c>
      <c r="D27" t="s">
        <v>4938</v>
      </c>
      <c r="E27" t="s">
        <v>4938</v>
      </c>
      <c r="F27" t="s">
        <v>4938</v>
      </c>
      <c r="G27" t="s">
        <v>4938</v>
      </c>
    </row>
    <row r="28" spans="1:7" x14ac:dyDescent="0.25">
      <c r="A28" t="s">
        <v>7964</v>
      </c>
      <c r="B28" t="s">
        <v>7936</v>
      </c>
      <c r="C28" t="s">
        <v>4938</v>
      </c>
      <c r="D28" t="s">
        <v>4938</v>
      </c>
      <c r="E28" t="s">
        <v>4938</v>
      </c>
      <c r="F28" t="s">
        <v>4938</v>
      </c>
      <c r="G28" t="s">
        <v>4938</v>
      </c>
    </row>
    <row r="29" spans="1:7" x14ac:dyDescent="0.25">
      <c r="A29" t="s">
        <v>7965</v>
      </c>
      <c r="B29" t="s">
        <v>7937</v>
      </c>
      <c r="C29" t="s">
        <v>4938</v>
      </c>
      <c r="D29" t="s">
        <v>4938</v>
      </c>
      <c r="E29" t="s">
        <v>4938</v>
      </c>
      <c r="F29" t="s">
        <v>4938</v>
      </c>
      <c r="G29" t="s">
        <v>4938</v>
      </c>
    </row>
    <row r="30" spans="1:7" x14ac:dyDescent="0.25">
      <c r="A30" t="s">
        <v>7966</v>
      </c>
      <c r="B30" t="s">
        <v>7938</v>
      </c>
      <c r="C30" t="s">
        <v>4938</v>
      </c>
      <c r="D30" t="s">
        <v>4938</v>
      </c>
      <c r="E30" t="s">
        <v>4938</v>
      </c>
      <c r="F30" t="s">
        <v>4938</v>
      </c>
      <c r="G30" t="s">
        <v>4938</v>
      </c>
    </row>
    <row r="31" spans="1:7" x14ac:dyDescent="0.25">
      <c r="A31" t="s">
        <v>7967</v>
      </c>
      <c r="B31" t="s">
        <v>7939</v>
      </c>
      <c r="C31" t="s">
        <v>4938</v>
      </c>
      <c r="D31" t="s">
        <v>4938</v>
      </c>
      <c r="E31" t="s">
        <v>4938</v>
      </c>
      <c r="F31" t="s">
        <v>4938</v>
      </c>
      <c r="G31" t="s">
        <v>4938</v>
      </c>
    </row>
    <row r="32" spans="1:7" x14ac:dyDescent="0.25">
      <c r="A32" t="s">
        <v>7968</v>
      </c>
      <c r="B32" t="s">
        <v>7940</v>
      </c>
      <c r="C32" t="s">
        <v>4938</v>
      </c>
      <c r="D32" t="s">
        <v>4938</v>
      </c>
      <c r="E32" t="s">
        <v>4938</v>
      </c>
      <c r="F32" t="s">
        <v>4938</v>
      </c>
      <c r="G32" t="s">
        <v>4938</v>
      </c>
    </row>
    <row r="33" spans="1:7" x14ac:dyDescent="0.25">
      <c r="A33" t="s">
        <v>7969</v>
      </c>
      <c r="B33" t="s">
        <v>7941</v>
      </c>
      <c r="C33" t="s">
        <v>4938</v>
      </c>
      <c r="D33" t="s">
        <v>4938</v>
      </c>
      <c r="E33" t="s">
        <v>4938</v>
      </c>
      <c r="F33" t="s">
        <v>4938</v>
      </c>
      <c r="G33" t="s">
        <v>4938</v>
      </c>
    </row>
    <row r="34" spans="1:7" x14ac:dyDescent="0.25">
      <c r="A34" t="s">
        <v>7970</v>
      </c>
      <c r="B34" t="s">
        <v>7942</v>
      </c>
      <c r="C34" t="s">
        <v>4938</v>
      </c>
      <c r="D34" t="s">
        <v>4938</v>
      </c>
      <c r="E34" t="s">
        <v>4938</v>
      </c>
      <c r="F34" t="s">
        <v>4938</v>
      </c>
      <c r="G34" t="s">
        <v>4938</v>
      </c>
    </row>
    <row r="35" spans="1:7" x14ac:dyDescent="0.25">
      <c r="A35" t="s">
        <v>7971</v>
      </c>
      <c r="B35" t="s">
        <v>7943</v>
      </c>
      <c r="C35" t="s">
        <v>4938</v>
      </c>
      <c r="D35" t="s">
        <v>4938</v>
      </c>
      <c r="E35" t="s">
        <v>4938</v>
      </c>
      <c r="F35" t="s">
        <v>4938</v>
      </c>
      <c r="G35" t="s">
        <v>4938</v>
      </c>
    </row>
    <row r="36" spans="1:7" x14ac:dyDescent="0.25">
      <c r="A36" t="s">
        <v>7972</v>
      </c>
      <c r="B36" t="s">
        <v>7944</v>
      </c>
      <c r="C36" t="s">
        <v>4938</v>
      </c>
      <c r="D36" t="s">
        <v>4938</v>
      </c>
      <c r="E36" t="s">
        <v>4938</v>
      </c>
      <c r="F36" t="s">
        <v>4938</v>
      </c>
      <c r="G36" t="s">
        <v>4938</v>
      </c>
    </row>
    <row r="37" spans="1:7" x14ac:dyDescent="0.25">
      <c r="A37" t="s">
        <v>7973</v>
      </c>
      <c r="B37" t="s">
        <v>7945</v>
      </c>
      <c r="C37" t="s">
        <v>4938</v>
      </c>
      <c r="D37" t="s">
        <v>4938</v>
      </c>
      <c r="E37" t="s">
        <v>4938</v>
      </c>
      <c r="F37" t="s">
        <v>4938</v>
      </c>
      <c r="G37" t="s">
        <v>4938</v>
      </c>
    </row>
    <row r="38" spans="1:7" x14ac:dyDescent="0.25">
      <c r="A38" t="s">
        <v>7974</v>
      </c>
      <c r="B38" t="s">
        <v>7946</v>
      </c>
      <c r="C38" t="s">
        <v>4938</v>
      </c>
      <c r="D38" t="s">
        <v>4938</v>
      </c>
      <c r="E38" t="s">
        <v>4938</v>
      </c>
      <c r="F38" t="s">
        <v>4938</v>
      </c>
      <c r="G38" t="s">
        <v>4938</v>
      </c>
    </row>
    <row r="39" spans="1:7" x14ac:dyDescent="0.25">
      <c r="A39" t="s">
        <v>7975</v>
      </c>
      <c r="B39" t="s">
        <v>7947</v>
      </c>
      <c r="C39" t="s">
        <v>4938</v>
      </c>
      <c r="D39" t="s">
        <v>4938</v>
      </c>
      <c r="E39" t="s">
        <v>4938</v>
      </c>
      <c r="F39" t="s">
        <v>4938</v>
      </c>
      <c r="G39" t="s">
        <v>4938</v>
      </c>
    </row>
    <row r="40" spans="1:7" x14ac:dyDescent="0.25">
      <c r="A40" t="s">
        <v>7976</v>
      </c>
      <c r="B40" t="s">
        <v>7944</v>
      </c>
      <c r="C40" t="s">
        <v>4938</v>
      </c>
      <c r="D40" t="s">
        <v>4938</v>
      </c>
      <c r="E40" t="s">
        <v>4938</v>
      </c>
      <c r="F40" t="s">
        <v>4938</v>
      </c>
      <c r="G40" t="s">
        <v>4938</v>
      </c>
    </row>
    <row r="41" spans="1:7" x14ac:dyDescent="0.25">
      <c r="A41" t="s">
        <v>7977</v>
      </c>
      <c r="B41" t="s">
        <v>7945</v>
      </c>
      <c r="C41" t="s">
        <v>4938</v>
      </c>
      <c r="D41" t="s">
        <v>4938</v>
      </c>
      <c r="E41" t="s">
        <v>4938</v>
      </c>
      <c r="F41" t="s">
        <v>4938</v>
      </c>
      <c r="G41" t="s">
        <v>4938</v>
      </c>
    </row>
    <row r="42" spans="1:7" x14ac:dyDescent="0.25">
      <c r="A42" t="s">
        <v>7978</v>
      </c>
      <c r="B42" t="s">
        <v>7946</v>
      </c>
      <c r="C42" t="s">
        <v>4938</v>
      </c>
      <c r="D42" t="s">
        <v>4938</v>
      </c>
      <c r="E42" t="s">
        <v>4938</v>
      </c>
      <c r="F42" t="s">
        <v>4938</v>
      </c>
      <c r="G42" t="s">
        <v>4938</v>
      </c>
    </row>
    <row r="43" spans="1:7" x14ac:dyDescent="0.25">
      <c r="A43" t="s">
        <v>7979</v>
      </c>
      <c r="B43" t="s">
        <v>7947</v>
      </c>
      <c r="C43" t="s">
        <v>4938</v>
      </c>
      <c r="D43" t="s">
        <v>4938</v>
      </c>
      <c r="E43" t="s">
        <v>4938</v>
      </c>
      <c r="F43" t="s">
        <v>4938</v>
      </c>
      <c r="G43" t="s">
        <v>4938</v>
      </c>
    </row>
    <row r="44" spans="1:7" x14ac:dyDescent="0.25">
      <c r="A44" t="s">
        <v>7980</v>
      </c>
      <c r="B44" t="s">
        <v>7948</v>
      </c>
      <c r="C44" t="s">
        <v>4938</v>
      </c>
      <c r="D44" t="s">
        <v>4938</v>
      </c>
      <c r="E44" t="s">
        <v>4938</v>
      </c>
      <c r="F44" t="s">
        <v>4938</v>
      </c>
      <c r="G44" t="s">
        <v>4938</v>
      </c>
    </row>
    <row r="45" spans="1:7" x14ac:dyDescent="0.25">
      <c r="A45" t="s">
        <v>7981</v>
      </c>
      <c r="B45" t="s">
        <v>7951</v>
      </c>
      <c r="C45" t="s">
        <v>4938</v>
      </c>
      <c r="D45" t="s">
        <v>4938</v>
      </c>
      <c r="E45" t="s">
        <v>4938</v>
      </c>
      <c r="F45" t="s">
        <v>4938</v>
      </c>
      <c r="G45" t="s">
        <v>4938</v>
      </c>
    </row>
    <row r="46" spans="1:7" x14ac:dyDescent="0.25">
      <c r="A46" t="s">
        <v>7952</v>
      </c>
      <c r="B46" t="s">
        <v>7951</v>
      </c>
      <c r="C46" t="s">
        <v>4938</v>
      </c>
      <c r="D46" t="s">
        <v>4938</v>
      </c>
      <c r="E46" t="s">
        <v>4938</v>
      </c>
      <c r="F46" t="s">
        <v>4938</v>
      </c>
      <c r="G46" t="s">
        <v>4938</v>
      </c>
    </row>
    <row r="47" spans="1:7" x14ac:dyDescent="0.25">
      <c r="A47" t="s">
        <v>653</v>
      </c>
      <c r="B47" t="s">
        <v>7983</v>
      </c>
      <c r="C47" t="s">
        <v>4938</v>
      </c>
      <c r="D47" t="s">
        <v>4938</v>
      </c>
      <c r="E47" t="s">
        <v>4938</v>
      </c>
      <c r="F47" t="s">
        <v>4938</v>
      </c>
      <c r="G47" t="s">
        <v>4938</v>
      </c>
    </row>
    <row r="48" spans="1:7" x14ac:dyDescent="0.25">
      <c r="A48" t="s">
        <v>1700</v>
      </c>
      <c r="B48" t="s">
        <v>7984</v>
      </c>
      <c r="C48" t="s">
        <v>4938</v>
      </c>
      <c r="D48" t="s">
        <v>4938</v>
      </c>
      <c r="E48" t="s">
        <v>4938</v>
      </c>
      <c r="F48" t="s">
        <v>4938</v>
      </c>
      <c r="G48" t="s">
        <v>4938</v>
      </c>
    </row>
    <row r="49" spans="1:7" x14ac:dyDescent="0.25">
      <c r="A49" t="s">
        <v>8035</v>
      </c>
      <c r="B49" t="s">
        <v>7987</v>
      </c>
      <c r="C49" t="s">
        <v>4938</v>
      </c>
      <c r="D49" t="s">
        <v>4938</v>
      </c>
      <c r="E49" t="s">
        <v>4938</v>
      </c>
      <c r="F49" t="s">
        <v>4938</v>
      </c>
      <c r="G49" t="s">
        <v>4938</v>
      </c>
    </row>
    <row r="50" spans="1:7" x14ac:dyDescent="0.25">
      <c r="A50" t="s">
        <v>8036</v>
      </c>
      <c r="B50" t="s">
        <v>7988</v>
      </c>
      <c r="C50" t="s">
        <v>4938</v>
      </c>
      <c r="D50" t="s">
        <v>4938</v>
      </c>
      <c r="E50" t="s">
        <v>4938</v>
      </c>
      <c r="F50" t="s">
        <v>4938</v>
      </c>
      <c r="G50" t="s">
        <v>4938</v>
      </c>
    </row>
    <row r="51" spans="1:7" x14ac:dyDescent="0.25">
      <c r="A51" t="s">
        <v>8037</v>
      </c>
      <c r="B51" t="s">
        <v>7989</v>
      </c>
      <c r="C51" t="s">
        <v>4938</v>
      </c>
      <c r="D51" t="s">
        <v>4938</v>
      </c>
      <c r="E51" t="s">
        <v>4938</v>
      </c>
      <c r="F51" t="s">
        <v>4938</v>
      </c>
      <c r="G51" t="s">
        <v>4938</v>
      </c>
    </row>
    <row r="52" spans="1:7" x14ac:dyDescent="0.25">
      <c r="A52" t="s">
        <v>8038</v>
      </c>
      <c r="B52" t="s">
        <v>7990</v>
      </c>
      <c r="C52" t="s">
        <v>4938</v>
      </c>
      <c r="D52" t="s">
        <v>4938</v>
      </c>
      <c r="E52" t="s">
        <v>4938</v>
      </c>
      <c r="F52" t="s">
        <v>4938</v>
      </c>
      <c r="G52" t="s">
        <v>4938</v>
      </c>
    </row>
    <row r="53" spans="1:7" x14ac:dyDescent="0.25">
      <c r="A53" t="s">
        <v>8039</v>
      </c>
      <c r="B53" t="s">
        <v>7991</v>
      </c>
      <c r="C53" t="s">
        <v>4938</v>
      </c>
      <c r="D53" t="s">
        <v>4938</v>
      </c>
      <c r="E53" t="s">
        <v>4938</v>
      </c>
      <c r="F53" t="s">
        <v>4938</v>
      </c>
      <c r="G53" t="s">
        <v>4938</v>
      </c>
    </row>
    <row r="54" spans="1:7" x14ac:dyDescent="0.25">
      <c r="A54" t="s">
        <v>8040</v>
      </c>
      <c r="B54" t="s">
        <v>7992</v>
      </c>
      <c r="C54" t="s">
        <v>4938</v>
      </c>
      <c r="D54" t="s">
        <v>4938</v>
      </c>
      <c r="E54" t="s">
        <v>4938</v>
      </c>
      <c r="F54" t="s">
        <v>4938</v>
      </c>
      <c r="G54" t="s">
        <v>4938</v>
      </c>
    </row>
    <row r="55" spans="1:7" x14ac:dyDescent="0.25">
      <c r="A55" t="s">
        <v>8041</v>
      </c>
      <c r="B55" t="s">
        <v>7993</v>
      </c>
      <c r="C55" t="s">
        <v>4938</v>
      </c>
      <c r="D55" t="s">
        <v>4938</v>
      </c>
      <c r="E55" t="s">
        <v>4938</v>
      </c>
      <c r="F55" t="s">
        <v>4938</v>
      </c>
      <c r="G55" t="s">
        <v>4938</v>
      </c>
    </row>
    <row r="56" spans="1:7" x14ac:dyDescent="0.25">
      <c r="A56" t="s">
        <v>8042</v>
      </c>
      <c r="B56" t="s">
        <v>7994</v>
      </c>
      <c r="C56" t="s">
        <v>4938</v>
      </c>
      <c r="D56" t="s">
        <v>4938</v>
      </c>
      <c r="E56" t="s">
        <v>4938</v>
      </c>
      <c r="F56" t="s">
        <v>4938</v>
      </c>
      <c r="G56" t="s">
        <v>4938</v>
      </c>
    </row>
    <row r="57" spans="1:7" x14ac:dyDescent="0.25">
      <c r="A57" t="s">
        <v>8043</v>
      </c>
      <c r="B57" t="s">
        <v>7995</v>
      </c>
      <c r="C57" t="s">
        <v>4938</v>
      </c>
      <c r="D57" t="s">
        <v>4938</v>
      </c>
      <c r="E57" t="s">
        <v>4938</v>
      </c>
      <c r="F57" t="s">
        <v>4938</v>
      </c>
      <c r="G57" t="s">
        <v>4938</v>
      </c>
    </row>
    <row r="58" spans="1:7" x14ac:dyDescent="0.25">
      <c r="A58" t="s">
        <v>8044</v>
      </c>
      <c r="B58" t="s">
        <v>7996</v>
      </c>
      <c r="C58" t="s">
        <v>4938</v>
      </c>
      <c r="D58" t="s">
        <v>4938</v>
      </c>
      <c r="E58" t="s">
        <v>4938</v>
      </c>
      <c r="F58" t="s">
        <v>4938</v>
      </c>
      <c r="G58" t="s">
        <v>4938</v>
      </c>
    </row>
    <row r="59" spans="1:7" x14ac:dyDescent="0.25">
      <c r="A59" t="s">
        <v>8045</v>
      </c>
      <c r="B59" t="s">
        <v>7997</v>
      </c>
      <c r="C59" t="s">
        <v>4938</v>
      </c>
      <c r="D59" t="s">
        <v>4938</v>
      </c>
      <c r="E59" t="s">
        <v>4938</v>
      </c>
      <c r="F59" t="s">
        <v>4938</v>
      </c>
      <c r="G59" t="s">
        <v>4938</v>
      </c>
    </row>
    <row r="60" spans="1:7" x14ac:dyDescent="0.25">
      <c r="A60" t="s">
        <v>8046</v>
      </c>
      <c r="B60" t="s">
        <v>7998</v>
      </c>
      <c r="C60" t="s">
        <v>4938</v>
      </c>
      <c r="D60" t="s">
        <v>4938</v>
      </c>
      <c r="E60" t="s">
        <v>4938</v>
      </c>
      <c r="F60" t="s">
        <v>4938</v>
      </c>
      <c r="G60" t="s">
        <v>4938</v>
      </c>
    </row>
    <row r="61" spans="1:7" x14ac:dyDescent="0.25">
      <c r="A61" t="s">
        <v>8047</v>
      </c>
      <c r="B61" t="s">
        <v>7999</v>
      </c>
      <c r="C61" t="s">
        <v>4938</v>
      </c>
      <c r="D61" t="s">
        <v>4938</v>
      </c>
      <c r="E61" t="s">
        <v>4938</v>
      </c>
      <c r="F61" t="s">
        <v>4938</v>
      </c>
      <c r="G61" t="s">
        <v>4938</v>
      </c>
    </row>
    <row r="62" spans="1:7" x14ac:dyDescent="0.25">
      <c r="A62" t="s">
        <v>8048</v>
      </c>
      <c r="B62" t="s">
        <v>8000</v>
      </c>
      <c r="C62" t="s">
        <v>4938</v>
      </c>
      <c r="D62" t="s">
        <v>4938</v>
      </c>
      <c r="E62" t="s">
        <v>4938</v>
      </c>
      <c r="F62" t="s">
        <v>4938</v>
      </c>
      <c r="G62" t="s">
        <v>4938</v>
      </c>
    </row>
    <row r="63" spans="1:7" x14ac:dyDescent="0.25">
      <c r="A63" t="s">
        <v>8049</v>
      </c>
      <c r="B63" t="s">
        <v>8001</v>
      </c>
      <c r="C63" t="s">
        <v>4938</v>
      </c>
      <c r="D63" t="s">
        <v>4938</v>
      </c>
      <c r="E63" t="s">
        <v>4938</v>
      </c>
      <c r="F63" t="s">
        <v>4938</v>
      </c>
      <c r="G63" t="s">
        <v>4938</v>
      </c>
    </row>
    <row r="64" spans="1:7" x14ac:dyDescent="0.25">
      <c r="A64" t="s">
        <v>8050</v>
      </c>
      <c r="B64" t="s">
        <v>8002</v>
      </c>
      <c r="C64" t="s">
        <v>4938</v>
      </c>
      <c r="D64" t="s">
        <v>4938</v>
      </c>
      <c r="E64" t="s">
        <v>4938</v>
      </c>
      <c r="F64" t="s">
        <v>4938</v>
      </c>
      <c r="G64" t="s">
        <v>4938</v>
      </c>
    </row>
    <row r="65" spans="1:7" x14ac:dyDescent="0.25">
      <c r="A65" t="s">
        <v>8051</v>
      </c>
      <c r="B65" t="s">
        <v>8003</v>
      </c>
      <c r="C65" t="s">
        <v>4938</v>
      </c>
      <c r="D65" t="s">
        <v>4938</v>
      </c>
      <c r="E65" t="s">
        <v>4938</v>
      </c>
      <c r="F65" t="s">
        <v>4938</v>
      </c>
      <c r="G65" t="s">
        <v>4938</v>
      </c>
    </row>
    <row r="66" spans="1:7" x14ac:dyDescent="0.25">
      <c r="A66" t="s">
        <v>8052</v>
      </c>
      <c r="B66" t="s">
        <v>8004</v>
      </c>
      <c r="C66" t="s">
        <v>4938</v>
      </c>
      <c r="D66" t="s">
        <v>4938</v>
      </c>
      <c r="E66" t="s">
        <v>4938</v>
      </c>
      <c r="F66" t="s">
        <v>4938</v>
      </c>
      <c r="G66" t="s">
        <v>4938</v>
      </c>
    </row>
    <row r="67" spans="1:7" x14ac:dyDescent="0.25">
      <c r="A67" t="s">
        <v>8053</v>
      </c>
      <c r="B67" t="s">
        <v>8005</v>
      </c>
      <c r="C67" t="s">
        <v>4938</v>
      </c>
      <c r="D67" t="s">
        <v>4938</v>
      </c>
      <c r="E67" t="s">
        <v>4938</v>
      </c>
      <c r="F67" t="s">
        <v>4938</v>
      </c>
      <c r="G67" t="s">
        <v>4938</v>
      </c>
    </row>
    <row r="68" spans="1:7" x14ac:dyDescent="0.25">
      <c r="A68" t="s">
        <v>8054</v>
      </c>
      <c r="B68" t="s">
        <v>8006</v>
      </c>
      <c r="C68" t="s">
        <v>4938</v>
      </c>
      <c r="D68" t="s">
        <v>4938</v>
      </c>
      <c r="E68" t="s">
        <v>4938</v>
      </c>
      <c r="F68" t="s">
        <v>4938</v>
      </c>
      <c r="G68" t="s">
        <v>4938</v>
      </c>
    </row>
    <row r="69" spans="1:7" x14ac:dyDescent="0.25">
      <c r="A69" t="s">
        <v>8055</v>
      </c>
      <c r="B69" t="s">
        <v>8007</v>
      </c>
      <c r="C69" t="s">
        <v>4938</v>
      </c>
      <c r="D69" t="s">
        <v>4938</v>
      </c>
      <c r="E69" t="s">
        <v>4938</v>
      </c>
      <c r="F69" t="s">
        <v>4938</v>
      </c>
      <c r="G69" t="s">
        <v>4938</v>
      </c>
    </row>
    <row r="70" spans="1:7" x14ac:dyDescent="0.25">
      <c r="A70" t="s">
        <v>8056</v>
      </c>
      <c r="B70" t="s">
        <v>8008</v>
      </c>
      <c r="C70" t="s">
        <v>4938</v>
      </c>
      <c r="D70" t="s">
        <v>4938</v>
      </c>
      <c r="E70" t="s">
        <v>4938</v>
      </c>
      <c r="F70" t="s">
        <v>4938</v>
      </c>
      <c r="G70" t="s">
        <v>4938</v>
      </c>
    </row>
    <row r="71" spans="1:7" x14ac:dyDescent="0.25">
      <c r="A71" t="s">
        <v>8057</v>
      </c>
      <c r="B71" t="s">
        <v>8009</v>
      </c>
      <c r="C71" t="s">
        <v>4938</v>
      </c>
      <c r="D71" t="s">
        <v>4938</v>
      </c>
      <c r="E71" t="s">
        <v>4938</v>
      </c>
      <c r="F71" t="s">
        <v>4938</v>
      </c>
      <c r="G71" t="s">
        <v>4938</v>
      </c>
    </row>
    <row r="72" spans="1:7" x14ac:dyDescent="0.25">
      <c r="A72" t="s">
        <v>8058</v>
      </c>
      <c r="B72" t="s">
        <v>8010</v>
      </c>
      <c r="C72" t="s">
        <v>4938</v>
      </c>
      <c r="D72" t="s">
        <v>4938</v>
      </c>
      <c r="E72" t="s">
        <v>4938</v>
      </c>
      <c r="F72" t="s">
        <v>4938</v>
      </c>
      <c r="G72" t="s">
        <v>4938</v>
      </c>
    </row>
    <row r="73" spans="1:7" x14ac:dyDescent="0.25">
      <c r="A73" t="s">
        <v>8059</v>
      </c>
      <c r="B73" t="s">
        <v>8011</v>
      </c>
      <c r="C73" t="s">
        <v>4938</v>
      </c>
      <c r="D73" t="s">
        <v>4938</v>
      </c>
      <c r="E73" t="s">
        <v>4938</v>
      </c>
      <c r="F73" t="s">
        <v>4938</v>
      </c>
      <c r="G73" t="s">
        <v>4938</v>
      </c>
    </row>
    <row r="74" spans="1:7" x14ac:dyDescent="0.25">
      <c r="A74" t="s">
        <v>8060</v>
      </c>
      <c r="B74" t="s">
        <v>8012</v>
      </c>
      <c r="C74" t="s">
        <v>4938</v>
      </c>
      <c r="D74" t="s">
        <v>4938</v>
      </c>
      <c r="E74" t="s">
        <v>4938</v>
      </c>
      <c r="F74" t="s">
        <v>4938</v>
      </c>
      <c r="G74" t="s">
        <v>4938</v>
      </c>
    </row>
    <row r="75" spans="1:7" x14ac:dyDescent="0.25">
      <c r="A75" t="s">
        <v>8061</v>
      </c>
      <c r="B75" t="s">
        <v>8013</v>
      </c>
      <c r="C75" t="s">
        <v>4938</v>
      </c>
      <c r="D75" t="s">
        <v>4938</v>
      </c>
      <c r="E75" t="s">
        <v>4938</v>
      </c>
      <c r="F75" t="s">
        <v>4938</v>
      </c>
      <c r="G75" t="s">
        <v>4938</v>
      </c>
    </row>
    <row r="76" spans="1:7" x14ac:dyDescent="0.25">
      <c r="A76" t="s">
        <v>8062</v>
      </c>
      <c r="B76" t="s">
        <v>8014</v>
      </c>
      <c r="C76" t="s">
        <v>4938</v>
      </c>
      <c r="D76" t="s">
        <v>4938</v>
      </c>
      <c r="E76" t="s">
        <v>4938</v>
      </c>
      <c r="F76" t="s">
        <v>4938</v>
      </c>
      <c r="G76" t="s">
        <v>4938</v>
      </c>
    </row>
    <row r="77" spans="1:7" x14ac:dyDescent="0.25">
      <c r="A77" t="s">
        <v>8063</v>
      </c>
      <c r="B77" t="s">
        <v>8015</v>
      </c>
      <c r="C77" t="s">
        <v>4938</v>
      </c>
      <c r="D77" t="s">
        <v>4938</v>
      </c>
      <c r="E77" t="s">
        <v>4938</v>
      </c>
      <c r="F77" t="s">
        <v>4938</v>
      </c>
      <c r="G77" t="s">
        <v>4938</v>
      </c>
    </row>
    <row r="78" spans="1:7" x14ac:dyDescent="0.25">
      <c r="A78" t="s">
        <v>8064</v>
      </c>
      <c r="B78" t="s">
        <v>8016</v>
      </c>
      <c r="C78" t="s">
        <v>4938</v>
      </c>
      <c r="D78" t="s">
        <v>4938</v>
      </c>
      <c r="E78" t="s">
        <v>4938</v>
      </c>
      <c r="F78" t="s">
        <v>4938</v>
      </c>
      <c r="G78" t="s">
        <v>4938</v>
      </c>
    </row>
    <row r="79" spans="1:7" x14ac:dyDescent="0.25">
      <c r="A79" t="s">
        <v>8065</v>
      </c>
      <c r="B79" t="s">
        <v>8017</v>
      </c>
      <c r="C79" t="s">
        <v>4938</v>
      </c>
      <c r="D79" t="s">
        <v>4938</v>
      </c>
      <c r="E79" t="s">
        <v>4938</v>
      </c>
      <c r="F79" t="s">
        <v>4938</v>
      </c>
      <c r="G79" t="s">
        <v>4938</v>
      </c>
    </row>
    <row r="80" spans="1:7" x14ac:dyDescent="0.25">
      <c r="A80" t="s">
        <v>8066</v>
      </c>
      <c r="B80" t="s">
        <v>8018</v>
      </c>
      <c r="C80" t="s">
        <v>4938</v>
      </c>
      <c r="D80" t="s">
        <v>4938</v>
      </c>
      <c r="E80" t="s">
        <v>4938</v>
      </c>
      <c r="F80" t="s">
        <v>4938</v>
      </c>
      <c r="G80" t="s">
        <v>4938</v>
      </c>
    </row>
    <row r="81" spans="1:7" x14ac:dyDescent="0.25">
      <c r="A81" t="s">
        <v>8067</v>
      </c>
      <c r="B81" t="s">
        <v>8019</v>
      </c>
      <c r="C81" t="s">
        <v>4938</v>
      </c>
      <c r="D81" t="s">
        <v>4938</v>
      </c>
      <c r="E81" t="s">
        <v>4938</v>
      </c>
      <c r="F81" t="s">
        <v>4938</v>
      </c>
      <c r="G81" t="s">
        <v>4938</v>
      </c>
    </row>
    <row r="82" spans="1:7" x14ac:dyDescent="0.25">
      <c r="A82" t="s">
        <v>8068</v>
      </c>
      <c r="B82" t="s">
        <v>8020</v>
      </c>
      <c r="C82" t="s">
        <v>4938</v>
      </c>
      <c r="D82" t="s">
        <v>4938</v>
      </c>
      <c r="E82" t="s">
        <v>4938</v>
      </c>
      <c r="F82" t="s">
        <v>4938</v>
      </c>
      <c r="G82" t="s">
        <v>4938</v>
      </c>
    </row>
    <row r="83" spans="1:7" x14ac:dyDescent="0.25">
      <c r="A83" t="s">
        <v>8069</v>
      </c>
      <c r="B83" t="s">
        <v>8021</v>
      </c>
      <c r="C83" t="s">
        <v>4938</v>
      </c>
      <c r="D83" t="s">
        <v>4938</v>
      </c>
      <c r="E83" t="s">
        <v>4938</v>
      </c>
      <c r="F83" t="s">
        <v>4938</v>
      </c>
      <c r="G83" t="s">
        <v>4938</v>
      </c>
    </row>
    <row r="84" spans="1:7" x14ac:dyDescent="0.25">
      <c r="A84" t="s">
        <v>4868</v>
      </c>
      <c r="B84" t="s">
        <v>8076</v>
      </c>
      <c r="C84" t="s">
        <v>4938</v>
      </c>
      <c r="D84" t="s">
        <v>4938</v>
      </c>
      <c r="E84" t="s">
        <v>4938</v>
      </c>
      <c r="F84" t="s">
        <v>4938</v>
      </c>
      <c r="G84" t="s">
        <v>4938</v>
      </c>
    </row>
    <row r="85" spans="1:7" x14ac:dyDescent="0.25">
      <c r="A85" t="s">
        <v>8075</v>
      </c>
      <c r="B85" t="s">
        <v>8077</v>
      </c>
      <c r="C85" t="s">
        <v>4938</v>
      </c>
      <c r="D85" t="s">
        <v>4938</v>
      </c>
      <c r="E85" t="s">
        <v>4938</v>
      </c>
      <c r="F85" t="s">
        <v>4938</v>
      </c>
      <c r="G85" t="s">
        <v>4938</v>
      </c>
    </row>
    <row r="86" spans="1:7" x14ac:dyDescent="0.25">
      <c r="A86" t="s">
        <v>3241</v>
      </c>
      <c r="B86" t="s">
        <v>8078</v>
      </c>
      <c r="C86" t="s">
        <v>4938</v>
      </c>
      <c r="D86" t="s">
        <v>4938</v>
      </c>
      <c r="E86" t="s">
        <v>4938</v>
      </c>
      <c r="F86" t="s">
        <v>4938</v>
      </c>
      <c r="G86" t="s">
        <v>4938</v>
      </c>
    </row>
    <row r="87" spans="1:7" x14ac:dyDescent="0.25">
      <c r="A87" t="s">
        <v>3243</v>
      </c>
      <c r="B87" t="s">
        <v>8033</v>
      </c>
      <c r="C87" t="s">
        <v>4938</v>
      </c>
      <c r="D87" t="s">
        <v>4938</v>
      </c>
      <c r="E87" t="s">
        <v>4938</v>
      </c>
      <c r="F87" t="s">
        <v>4938</v>
      </c>
      <c r="G87" t="s">
        <v>4938</v>
      </c>
    </row>
    <row r="88" spans="1:7" x14ac:dyDescent="0.25">
      <c r="A88" t="s">
        <v>3237</v>
      </c>
      <c r="B88" t="s">
        <v>8079</v>
      </c>
      <c r="C88" t="s">
        <v>4938</v>
      </c>
      <c r="D88" t="s">
        <v>4938</v>
      </c>
      <c r="E88" t="s">
        <v>4938</v>
      </c>
      <c r="F88" t="s">
        <v>4938</v>
      </c>
      <c r="G88" t="s">
        <v>4938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7069-2FD0-43B8-A006-A974E44049BD}">
  <dimension ref="A1:N57"/>
  <sheetViews>
    <sheetView topLeftCell="A7" workbookViewId="0">
      <selection activeCell="B1" sqref="B1:B57"/>
    </sheetView>
  </sheetViews>
  <sheetFormatPr defaultRowHeight="15" x14ac:dyDescent="0.25"/>
  <cols>
    <col min="1" max="1" width="51.5703125" bestFit="1" customWidth="1"/>
  </cols>
  <sheetData>
    <row r="1" spans="1:14" x14ac:dyDescent="0.25">
      <c r="A1" t="s">
        <v>8029</v>
      </c>
      <c r="B1" t="str">
        <f>IFERROR(VLOOKUP(A1,M:N,2,0),LEFT(A1,10))</f>
        <v>P000000555</v>
      </c>
      <c r="M1" t="s">
        <v>7987</v>
      </c>
      <c r="N1" t="s">
        <v>8035</v>
      </c>
    </row>
    <row r="2" spans="1:14" x14ac:dyDescent="0.25">
      <c r="A2" t="s">
        <v>8030</v>
      </c>
      <c r="B2" t="str">
        <f t="shared" ref="B2:B56" si="0">IFERROR(VLOOKUP(A2,M:N,2,0),LEFT(A2,10))</f>
        <v>P000000642</v>
      </c>
      <c r="M2" t="s">
        <v>7988</v>
      </c>
      <c r="N2" t="s">
        <v>8036</v>
      </c>
    </row>
    <row r="3" spans="1:14" x14ac:dyDescent="0.25">
      <c r="A3" t="s">
        <v>8030</v>
      </c>
      <c r="B3" t="str">
        <f t="shared" si="0"/>
        <v>P000000642</v>
      </c>
      <c r="M3" t="s">
        <v>7989</v>
      </c>
      <c r="N3" t="s">
        <v>8037</v>
      </c>
    </row>
    <row r="4" spans="1:14" x14ac:dyDescent="0.25">
      <c r="A4" t="s">
        <v>8031</v>
      </c>
      <c r="B4" t="str">
        <f t="shared" si="0"/>
        <v>P000000000</v>
      </c>
      <c r="M4" t="s">
        <v>7990</v>
      </c>
      <c r="N4" t="s">
        <v>8038</v>
      </c>
    </row>
    <row r="5" spans="1:14" x14ac:dyDescent="0.25">
      <c r="A5" t="s">
        <v>8035</v>
      </c>
      <c r="B5" t="str">
        <f t="shared" si="0"/>
        <v>P000001381</v>
      </c>
      <c r="M5" t="s">
        <v>7991</v>
      </c>
      <c r="N5" t="s">
        <v>8039</v>
      </c>
    </row>
    <row r="6" spans="1:14" x14ac:dyDescent="0.25">
      <c r="A6" t="s">
        <v>8022</v>
      </c>
      <c r="B6" t="str">
        <f t="shared" si="0"/>
        <v>P000000578</v>
      </c>
      <c r="M6" t="s">
        <v>7992</v>
      </c>
      <c r="N6" t="s">
        <v>8040</v>
      </c>
    </row>
    <row r="7" spans="1:14" x14ac:dyDescent="0.25">
      <c r="A7" t="s">
        <v>8022</v>
      </c>
      <c r="B7" t="str">
        <f t="shared" si="0"/>
        <v>P000000578</v>
      </c>
      <c r="M7" t="s">
        <v>7993</v>
      </c>
      <c r="N7" t="s">
        <v>8041</v>
      </c>
    </row>
    <row r="8" spans="1:14" x14ac:dyDescent="0.25">
      <c r="A8" t="s">
        <v>8022</v>
      </c>
      <c r="B8" t="str">
        <f t="shared" si="0"/>
        <v>P000000578</v>
      </c>
      <c r="M8" t="s">
        <v>7994</v>
      </c>
      <c r="N8" t="s">
        <v>8042</v>
      </c>
    </row>
    <row r="9" spans="1:14" x14ac:dyDescent="0.25">
      <c r="A9" t="s">
        <v>8022</v>
      </c>
      <c r="B9" t="str">
        <f t="shared" si="0"/>
        <v>P000000578</v>
      </c>
      <c r="M9" t="s">
        <v>7995</v>
      </c>
      <c r="N9" t="s">
        <v>8043</v>
      </c>
    </row>
    <row r="10" spans="1:14" x14ac:dyDescent="0.25">
      <c r="A10" t="s">
        <v>8025</v>
      </c>
      <c r="B10" t="str">
        <f t="shared" si="0"/>
        <v>P000000522</v>
      </c>
      <c r="M10" t="s">
        <v>7996</v>
      </c>
      <c r="N10" t="s">
        <v>8044</v>
      </c>
    </row>
    <row r="11" spans="1:14" x14ac:dyDescent="0.25">
      <c r="A11" t="s">
        <v>8023</v>
      </c>
      <c r="B11" t="str">
        <f t="shared" si="0"/>
        <v>P000000467</v>
      </c>
      <c r="M11" t="s">
        <v>7997</v>
      </c>
      <c r="N11" t="s">
        <v>8045</v>
      </c>
    </row>
    <row r="12" spans="1:14" x14ac:dyDescent="0.25">
      <c r="A12" t="s">
        <v>8023</v>
      </c>
      <c r="B12" t="str">
        <f t="shared" si="0"/>
        <v>P000000467</v>
      </c>
      <c r="M12" t="s">
        <v>7998</v>
      </c>
      <c r="N12" t="s">
        <v>8046</v>
      </c>
    </row>
    <row r="13" spans="1:14" x14ac:dyDescent="0.25">
      <c r="A13" t="s">
        <v>8026</v>
      </c>
      <c r="B13" t="str">
        <f t="shared" si="0"/>
        <v>P000001280</v>
      </c>
      <c r="M13" t="s">
        <v>7999</v>
      </c>
      <c r="N13" t="s">
        <v>8047</v>
      </c>
    </row>
    <row r="14" spans="1:14" x14ac:dyDescent="0.25">
      <c r="A14" t="s">
        <v>8026</v>
      </c>
      <c r="B14" t="str">
        <f t="shared" si="0"/>
        <v>P000001280</v>
      </c>
      <c r="M14" t="s">
        <v>8000</v>
      </c>
      <c r="N14" t="s">
        <v>8048</v>
      </c>
    </row>
    <row r="15" spans="1:14" x14ac:dyDescent="0.25">
      <c r="A15" t="s">
        <v>8026</v>
      </c>
      <c r="B15" t="str">
        <f t="shared" si="0"/>
        <v>P000001280</v>
      </c>
      <c r="M15" t="s">
        <v>8001</v>
      </c>
      <c r="N15" t="s">
        <v>8049</v>
      </c>
    </row>
    <row r="16" spans="1:14" x14ac:dyDescent="0.25">
      <c r="A16" t="s">
        <v>8044</v>
      </c>
      <c r="B16" t="str">
        <f t="shared" si="0"/>
        <v>P000001390</v>
      </c>
      <c r="M16" t="s">
        <v>8002</v>
      </c>
      <c r="N16" t="s">
        <v>8050</v>
      </c>
    </row>
    <row r="17" spans="1:14" x14ac:dyDescent="0.25">
      <c r="A17" t="s">
        <v>8044</v>
      </c>
      <c r="B17" t="str">
        <f t="shared" si="0"/>
        <v>P000001390</v>
      </c>
      <c r="M17" t="s">
        <v>8003</v>
      </c>
      <c r="N17" t="s">
        <v>8051</v>
      </c>
    </row>
    <row r="18" spans="1:14" x14ac:dyDescent="0.25">
      <c r="A18" t="s">
        <v>7997</v>
      </c>
      <c r="B18" t="str">
        <f t="shared" si="0"/>
        <v>P000001391</v>
      </c>
      <c r="M18" t="s">
        <v>8004</v>
      </c>
      <c r="N18" t="s">
        <v>8052</v>
      </c>
    </row>
    <row r="19" spans="1:14" x14ac:dyDescent="0.25">
      <c r="A19" t="s">
        <v>7997</v>
      </c>
      <c r="B19" t="str">
        <f t="shared" si="0"/>
        <v>P000001391</v>
      </c>
      <c r="M19" t="s">
        <v>8005</v>
      </c>
      <c r="N19" t="s">
        <v>8053</v>
      </c>
    </row>
    <row r="20" spans="1:14" x14ac:dyDescent="0.25">
      <c r="A20" t="s">
        <v>7997</v>
      </c>
      <c r="B20" t="str">
        <f t="shared" si="0"/>
        <v>P000001391</v>
      </c>
      <c r="M20" t="s">
        <v>8006</v>
      </c>
      <c r="N20" t="s">
        <v>8054</v>
      </c>
    </row>
    <row r="21" spans="1:14" x14ac:dyDescent="0.25">
      <c r="A21" t="s">
        <v>8024</v>
      </c>
      <c r="B21" t="str">
        <f t="shared" si="0"/>
        <v>P000000483</v>
      </c>
      <c r="M21" t="s">
        <v>8007</v>
      </c>
      <c r="N21" t="s">
        <v>8055</v>
      </c>
    </row>
    <row r="22" spans="1:14" x14ac:dyDescent="0.25">
      <c r="A22" t="s">
        <v>8048</v>
      </c>
      <c r="B22" t="str">
        <f t="shared" si="0"/>
        <v>P000001394</v>
      </c>
      <c r="M22" t="s">
        <v>8008</v>
      </c>
      <c r="N22" t="s">
        <v>8056</v>
      </c>
    </row>
    <row r="23" spans="1:14" x14ac:dyDescent="0.25">
      <c r="A23" t="s">
        <v>8048</v>
      </c>
      <c r="B23" t="str">
        <f t="shared" si="0"/>
        <v>P000001394</v>
      </c>
      <c r="M23" t="s">
        <v>8009</v>
      </c>
      <c r="N23" t="s">
        <v>8057</v>
      </c>
    </row>
    <row r="24" spans="1:14" x14ac:dyDescent="0.25">
      <c r="A24" t="s">
        <v>8027</v>
      </c>
      <c r="B24" t="str">
        <f t="shared" si="0"/>
        <v>P000000584</v>
      </c>
      <c r="M24" t="s">
        <v>8010</v>
      </c>
      <c r="N24" t="s">
        <v>8058</v>
      </c>
    </row>
    <row r="25" spans="1:14" x14ac:dyDescent="0.25">
      <c r="A25" t="s">
        <v>8006</v>
      </c>
      <c r="B25" t="str">
        <f t="shared" si="0"/>
        <v>P000001400</v>
      </c>
      <c r="M25" t="s">
        <v>8011</v>
      </c>
      <c r="N25" t="s">
        <v>8059</v>
      </c>
    </row>
    <row r="26" spans="1:14" x14ac:dyDescent="0.25">
      <c r="A26" t="s">
        <v>8006</v>
      </c>
      <c r="B26" t="str">
        <f t="shared" si="0"/>
        <v>P000001400</v>
      </c>
      <c r="M26" t="s">
        <v>8012</v>
      </c>
      <c r="N26" t="s">
        <v>8060</v>
      </c>
    </row>
    <row r="27" spans="1:14" x14ac:dyDescent="0.25">
      <c r="A27" t="s">
        <v>8008</v>
      </c>
      <c r="B27" t="str">
        <f t="shared" si="0"/>
        <v>P000001402</v>
      </c>
      <c r="M27" t="s">
        <v>8013</v>
      </c>
      <c r="N27" t="s">
        <v>8061</v>
      </c>
    </row>
    <row r="28" spans="1:14" x14ac:dyDescent="0.25">
      <c r="A28" t="s">
        <v>8008</v>
      </c>
      <c r="B28" t="str">
        <f t="shared" si="0"/>
        <v>P000001402</v>
      </c>
      <c r="M28" t="s">
        <v>8014</v>
      </c>
      <c r="N28" t="s">
        <v>8062</v>
      </c>
    </row>
    <row r="29" spans="1:14" x14ac:dyDescent="0.25">
      <c r="A29" t="s">
        <v>8010</v>
      </c>
      <c r="B29" t="str">
        <f t="shared" si="0"/>
        <v>P000001404</v>
      </c>
      <c r="M29" t="s">
        <v>8015</v>
      </c>
      <c r="N29" t="s">
        <v>8063</v>
      </c>
    </row>
    <row r="30" spans="1:14" x14ac:dyDescent="0.25">
      <c r="A30" t="s">
        <v>8010</v>
      </c>
      <c r="B30" t="str">
        <f t="shared" si="0"/>
        <v>P000001404</v>
      </c>
      <c r="M30" t="s">
        <v>8016</v>
      </c>
      <c r="N30" t="s">
        <v>8064</v>
      </c>
    </row>
    <row r="31" spans="1:14" x14ac:dyDescent="0.25">
      <c r="A31" t="s">
        <v>8011</v>
      </c>
      <c r="B31" t="str">
        <f t="shared" si="0"/>
        <v>P000001405</v>
      </c>
      <c r="M31" t="s">
        <v>8017</v>
      </c>
      <c r="N31" t="s">
        <v>8065</v>
      </c>
    </row>
    <row r="32" spans="1:14" x14ac:dyDescent="0.25">
      <c r="A32" t="s">
        <v>8011</v>
      </c>
      <c r="B32" t="str">
        <f t="shared" si="0"/>
        <v>P000001405</v>
      </c>
      <c r="M32" t="s">
        <v>8018</v>
      </c>
      <c r="N32" t="s">
        <v>8066</v>
      </c>
    </row>
    <row r="33" spans="1:14" x14ac:dyDescent="0.25">
      <c r="A33" t="s">
        <v>8011</v>
      </c>
      <c r="B33" t="str">
        <f t="shared" si="0"/>
        <v>P000001405</v>
      </c>
      <c r="M33" t="s">
        <v>8019</v>
      </c>
      <c r="N33" t="s">
        <v>8067</v>
      </c>
    </row>
    <row r="34" spans="1:14" x14ac:dyDescent="0.25">
      <c r="A34" t="s">
        <v>8014</v>
      </c>
      <c r="B34" t="str">
        <f t="shared" si="0"/>
        <v>P000001408</v>
      </c>
      <c r="M34" t="s">
        <v>8020</v>
      </c>
      <c r="N34" t="s">
        <v>8068</v>
      </c>
    </row>
    <row r="35" spans="1:14" x14ac:dyDescent="0.25">
      <c r="A35" t="s">
        <v>8014</v>
      </c>
      <c r="B35" t="str">
        <f t="shared" si="0"/>
        <v>P000001408</v>
      </c>
      <c r="M35" t="s">
        <v>8021</v>
      </c>
      <c r="N35" t="s">
        <v>8069</v>
      </c>
    </row>
    <row r="36" spans="1:14" x14ac:dyDescent="0.25">
      <c r="A36" t="s">
        <v>8014</v>
      </c>
      <c r="B36" t="str">
        <f t="shared" si="0"/>
        <v>P000001408</v>
      </c>
    </row>
    <row r="37" spans="1:14" x14ac:dyDescent="0.25">
      <c r="A37" t="s">
        <v>8015</v>
      </c>
      <c r="B37" t="str">
        <f t="shared" si="0"/>
        <v>P000001409</v>
      </c>
    </row>
    <row r="38" spans="1:14" x14ac:dyDescent="0.25">
      <c r="A38" t="s">
        <v>8015</v>
      </c>
      <c r="B38" t="str">
        <f t="shared" si="0"/>
        <v>P000001409</v>
      </c>
    </row>
    <row r="39" spans="1:14" x14ac:dyDescent="0.25">
      <c r="A39" t="s">
        <v>8015</v>
      </c>
      <c r="B39" t="str">
        <f t="shared" si="0"/>
        <v>P000001409</v>
      </c>
    </row>
    <row r="40" spans="1:14" x14ac:dyDescent="0.25">
      <c r="A40" t="s">
        <v>8017</v>
      </c>
      <c r="B40" t="str">
        <f t="shared" si="0"/>
        <v>P000001411</v>
      </c>
    </row>
    <row r="41" spans="1:14" x14ac:dyDescent="0.25">
      <c r="A41" t="s">
        <v>8017</v>
      </c>
      <c r="B41" t="str">
        <f t="shared" si="0"/>
        <v>P000001411</v>
      </c>
    </row>
    <row r="42" spans="1:14" x14ac:dyDescent="0.25">
      <c r="A42" t="s">
        <v>8028</v>
      </c>
      <c r="B42" t="str">
        <f t="shared" si="0"/>
        <v>P000000966</v>
      </c>
    </row>
    <row r="43" spans="1:14" x14ac:dyDescent="0.25">
      <c r="A43" t="s">
        <v>8028</v>
      </c>
      <c r="B43" t="str">
        <f t="shared" si="0"/>
        <v>P000000966</v>
      </c>
    </row>
    <row r="44" spans="1:14" x14ac:dyDescent="0.25">
      <c r="A44" t="s">
        <v>8028</v>
      </c>
      <c r="B44" t="str">
        <f t="shared" si="0"/>
        <v>P000000966</v>
      </c>
    </row>
    <row r="45" spans="1:14" x14ac:dyDescent="0.25">
      <c r="A45" t="s">
        <v>8017</v>
      </c>
      <c r="B45" t="str">
        <f t="shared" si="0"/>
        <v>P000001411</v>
      </c>
    </row>
    <row r="46" spans="1:14" x14ac:dyDescent="0.25">
      <c r="A46" t="s">
        <v>8019</v>
      </c>
      <c r="B46" t="str">
        <f t="shared" si="0"/>
        <v>P000001413</v>
      </c>
    </row>
    <row r="47" spans="1:14" x14ac:dyDescent="0.25">
      <c r="A47" t="s">
        <v>8019</v>
      </c>
      <c r="B47" t="str">
        <f t="shared" si="0"/>
        <v>P000001413</v>
      </c>
    </row>
    <row r="48" spans="1:14" x14ac:dyDescent="0.25">
      <c r="A48" t="s">
        <v>8019</v>
      </c>
      <c r="B48" t="str">
        <f t="shared" si="0"/>
        <v>P000001413</v>
      </c>
    </row>
    <row r="49" spans="1:2" x14ac:dyDescent="0.25">
      <c r="A49" t="s">
        <v>8019</v>
      </c>
      <c r="B49" t="str">
        <f t="shared" si="0"/>
        <v>P000001413</v>
      </c>
    </row>
    <row r="50" spans="1:2" x14ac:dyDescent="0.25">
      <c r="A50" t="s">
        <v>8020</v>
      </c>
      <c r="B50" t="str">
        <f t="shared" si="0"/>
        <v>P000001414</v>
      </c>
    </row>
    <row r="51" spans="1:2" x14ac:dyDescent="0.25">
      <c r="A51" t="s">
        <v>8020</v>
      </c>
      <c r="B51" t="str">
        <f t="shared" si="0"/>
        <v>P000001414</v>
      </c>
    </row>
    <row r="52" spans="1:2" x14ac:dyDescent="0.25">
      <c r="A52" t="s">
        <v>8020</v>
      </c>
      <c r="B52" t="str">
        <f t="shared" si="0"/>
        <v>P000001414</v>
      </c>
    </row>
    <row r="53" spans="1:2" x14ac:dyDescent="0.25">
      <c r="A53" t="s">
        <v>8020</v>
      </c>
      <c r="B53" t="str">
        <f t="shared" si="0"/>
        <v>P000001414</v>
      </c>
    </row>
    <row r="54" spans="1:2" x14ac:dyDescent="0.25">
      <c r="A54" t="s">
        <v>8021</v>
      </c>
      <c r="B54" t="str">
        <f t="shared" si="0"/>
        <v>P000001415</v>
      </c>
    </row>
    <row r="55" spans="1:2" x14ac:dyDescent="0.25">
      <c r="A55" t="s">
        <v>8021</v>
      </c>
      <c r="B55" t="str">
        <f t="shared" si="0"/>
        <v>P000001415</v>
      </c>
    </row>
    <row r="56" spans="1:2" x14ac:dyDescent="0.25">
      <c r="A56" t="s">
        <v>8021</v>
      </c>
      <c r="B56" t="str">
        <f t="shared" si="0"/>
        <v>P000001415</v>
      </c>
    </row>
    <row r="57" spans="1:2" x14ac:dyDescent="0.25">
      <c r="A57" t="s">
        <v>8032</v>
      </c>
      <c r="B57" t="s">
        <v>8066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BA1F7-D493-42D8-800C-07BF117DABCB}">
  <dimension ref="A1:C35"/>
  <sheetViews>
    <sheetView workbookViewId="0">
      <selection sqref="A1:A35"/>
    </sheetView>
  </sheetViews>
  <sheetFormatPr defaultRowHeight="15" x14ac:dyDescent="0.25"/>
  <cols>
    <col min="1" max="1" width="11.140625" bestFit="1" customWidth="1"/>
  </cols>
  <sheetData>
    <row r="1" spans="1:3" x14ac:dyDescent="0.25">
      <c r="A1" t="str">
        <f>"P00000"&amp;C1</f>
        <v>P000001381</v>
      </c>
      <c r="B1" t="s">
        <v>7987</v>
      </c>
      <c r="C1">
        <v>1381</v>
      </c>
    </row>
    <row r="2" spans="1:3" x14ac:dyDescent="0.25">
      <c r="A2" t="str">
        <f t="shared" ref="A2:A35" si="0">"P00000"&amp;C2</f>
        <v>P000001382</v>
      </c>
      <c r="B2" t="s">
        <v>7988</v>
      </c>
      <c r="C2">
        <f>+C1+1</f>
        <v>1382</v>
      </c>
    </row>
    <row r="3" spans="1:3" x14ac:dyDescent="0.25">
      <c r="A3" t="str">
        <f t="shared" si="0"/>
        <v>P000001383</v>
      </c>
      <c r="B3" t="s">
        <v>7989</v>
      </c>
      <c r="C3">
        <f t="shared" ref="C3:C35" si="1">+C2+1</f>
        <v>1383</v>
      </c>
    </row>
    <row r="4" spans="1:3" x14ac:dyDescent="0.25">
      <c r="A4" t="str">
        <f t="shared" si="0"/>
        <v>P000001384</v>
      </c>
      <c r="B4" t="s">
        <v>7990</v>
      </c>
      <c r="C4">
        <f t="shared" si="1"/>
        <v>1384</v>
      </c>
    </row>
    <row r="5" spans="1:3" x14ac:dyDescent="0.25">
      <c r="A5" t="str">
        <f t="shared" si="0"/>
        <v>P000001385</v>
      </c>
      <c r="B5" t="s">
        <v>7991</v>
      </c>
      <c r="C5">
        <f t="shared" si="1"/>
        <v>1385</v>
      </c>
    </row>
    <row r="6" spans="1:3" x14ac:dyDescent="0.25">
      <c r="A6" t="str">
        <f t="shared" si="0"/>
        <v>P000001386</v>
      </c>
      <c r="B6" t="s">
        <v>7992</v>
      </c>
      <c r="C6">
        <f t="shared" si="1"/>
        <v>1386</v>
      </c>
    </row>
    <row r="7" spans="1:3" x14ac:dyDescent="0.25">
      <c r="A7" t="str">
        <f t="shared" si="0"/>
        <v>P000001387</v>
      </c>
      <c r="B7" t="s">
        <v>7993</v>
      </c>
      <c r="C7">
        <f t="shared" si="1"/>
        <v>1387</v>
      </c>
    </row>
    <row r="8" spans="1:3" x14ac:dyDescent="0.25">
      <c r="A8" t="str">
        <f t="shared" si="0"/>
        <v>P000001388</v>
      </c>
      <c r="B8" t="s">
        <v>7994</v>
      </c>
      <c r="C8">
        <f t="shared" si="1"/>
        <v>1388</v>
      </c>
    </row>
    <row r="9" spans="1:3" x14ac:dyDescent="0.25">
      <c r="A9" t="str">
        <f t="shared" si="0"/>
        <v>P000001389</v>
      </c>
      <c r="B9" t="s">
        <v>7995</v>
      </c>
      <c r="C9">
        <f t="shared" si="1"/>
        <v>1389</v>
      </c>
    </row>
    <row r="10" spans="1:3" x14ac:dyDescent="0.25">
      <c r="A10" t="str">
        <f t="shared" si="0"/>
        <v>P000001390</v>
      </c>
      <c r="B10" t="s">
        <v>7996</v>
      </c>
      <c r="C10">
        <f t="shared" si="1"/>
        <v>1390</v>
      </c>
    </row>
    <row r="11" spans="1:3" x14ac:dyDescent="0.25">
      <c r="A11" t="str">
        <f t="shared" si="0"/>
        <v>P000001391</v>
      </c>
      <c r="B11" t="s">
        <v>7997</v>
      </c>
      <c r="C11">
        <f t="shared" si="1"/>
        <v>1391</v>
      </c>
    </row>
    <row r="12" spans="1:3" x14ac:dyDescent="0.25">
      <c r="A12" t="str">
        <f t="shared" si="0"/>
        <v>P000001392</v>
      </c>
      <c r="B12" t="s">
        <v>7998</v>
      </c>
      <c r="C12">
        <f t="shared" si="1"/>
        <v>1392</v>
      </c>
    </row>
    <row r="13" spans="1:3" x14ac:dyDescent="0.25">
      <c r="A13" t="str">
        <f t="shared" si="0"/>
        <v>P000001393</v>
      </c>
      <c r="B13" t="s">
        <v>7999</v>
      </c>
      <c r="C13">
        <f t="shared" si="1"/>
        <v>1393</v>
      </c>
    </row>
    <row r="14" spans="1:3" x14ac:dyDescent="0.25">
      <c r="A14" t="str">
        <f t="shared" si="0"/>
        <v>P000001394</v>
      </c>
      <c r="B14" t="s">
        <v>8000</v>
      </c>
      <c r="C14">
        <f t="shared" si="1"/>
        <v>1394</v>
      </c>
    </row>
    <row r="15" spans="1:3" x14ac:dyDescent="0.25">
      <c r="A15" t="str">
        <f t="shared" si="0"/>
        <v>P000001395</v>
      </c>
      <c r="B15" t="s">
        <v>8001</v>
      </c>
      <c r="C15">
        <f t="shared" si="1"/>
        <v>1395</v>
      </c>
    </row>
    <row r="16" spans="1:3" x14ac:dyDescent="0.25">
      <c r="A16" t="str">
        <f t="shared" si="0"/>
        <v>P000001396</v>
      </c>
      <c r="B16" t="s">
        <v>8002</v>
      </c>
      <c r="C16">
        <f t="shared" si="1"/>
        <v>1396</v>
      </c>
    </row>
    <row r="17" spans="1:3" x14ac:dyDescent="0.25">
      <c r="A17" t="str">
        <f t="shared" si="0"/>
        <v>P000001397</v>
      </c>
      <c r="B17" t="s">
        <v>8003</v>
      </c>
      <c r="C17">
        <f t="shared" si="1"/>
        <v>1397</v>
      </c>
    </row>
    <row r="18" spans="1:3" x14ac:dyDescent="0.25">
      <c r="A18" t="str">
        <f t="shared" si="0"/>
        <v>P000001398</v>
      </c>
      <c r="B18" t="s">
        <v>8004</v>
      </c>
      <c r="C18">
        <f t="shared" si="1"/>
        <v>1398</v>
      </c>
    </row>
    <row r="19" spans="1:3" x14ac:dyDescent="0.25">
      <c r="A19" t="str">
        <f t="shared" si="0"/>
        <v>P000001399</v>
      </c>
      <c r="B19" t="s">
        <v>8005</v>
      </c>
      <c r="C19">
        <f t="shared" si="1"/>
        <v>1399</v>
      </c>
    </row>
    <row r="20" spans="1:3" x14ac:dyDescent="0.25">
      <c r="A20" t="str">
        <f t="shared" si="0"/>
        <v>P000001400</v>
      </c>
      <c r="B20" t="s">
        <v>8006</v>
      </c>
      <c r="C20">
        <f t="shared" si="1"/>
        <v>1400</v>
      </c>
    </row>
    <row r="21" spans="1:3" x14ac:dyDescent="0.25">
      <c r="A21" t="str">
        <f t="shared" si="0"/>
        <v>P000001401</v>
      </c>
      <c r="B21" t="s">
        <v>8007</v>
      </c>
      <c r="C21">
        <f t="shared" si="1"/>
        <v>1401</v>
      </c>
    </row>
    <row r="22" spans="1:3" x14ac:dyDescent="0.25">
      <c r="A22" t="str">
        <f t="shared" si="0"/>
        <v>P000001402</v>
      </c>
      <c r="B22" t="s">
        <v>8008</v>
      </c>
      <c r="C22">
        <f t="shared" si="1"/>
        <v>1402</v>
      </c>
    </row>
    <row r="23" spans="1:3" x14ac:dyDescent="0.25">
      <c r="A23" t="str">
        <f t="shared" si="0"/>
        <v>P000001403</v>
      </c>
      <c r="B23" t="s">
        <v>8009</v>
      </c>
      <c r="C23">
        <f t="shared" si="1"/>
        <v>1403</v>
      </c>
    </row>
    <row r="24" spans="1:3" x14ac:dyDescent="0.25">
      <c r="A24" t="str">
        <f t="shared" si="0"/>
        <v>P000001404</v>
      </c>
      <c r="B24" t="s">
        <v>8010</v>
      </c>
      <c r="C24">
        <f t="shared" si="1"/>
        <v>1404</v>
      </c>
    </row>
    <row r="25" spans="1:3" x14ac:dyDescent="0.25">
      <c r="A25" t="str">
        <f t="shared" si="0"/>
        <v>P000001405</v>
      </c>
      <c r="B25" t="s">
        <v>8011</v>
      </c>
      <c r="C25">
        <f t="shared" si="1"/>
        <v>1405</v>
      </c>
    </row>
    <row r="26" spans="1:3" x14ac:dyDescent="0.25">
      <c r="A26" t="str">
        <f t="shared" si="0"/>
        <v>P000001406</v>
      </c>
      <c r="B26" t="s">
        <v>8012</v>
      </c>
      <c r="C26">
        <f t="shared" si="1"/>
        <v>1406</v>
      </c>
    </row>
    <row r="27" spans="1:3" x14ac:dyDescent="0.25">
      <c r="A27" t="str">
        <f t="shared" si="0"/>
        <v>P000001407</v>
      </c>
      <c r="B27" t="s">
        <v>8013</v>
      </c>
      <c r="C27">
        <f t="shared" si="1"/>
        <v>1407</v>
      </c>
    </row>
    <row r="28" spans="1:3" x14ac:dyDescent="0.25">
      <c r="A28" t="str">
        <f t="shared" si="0"/>
        <v>P000001408</v>
      </c>
      <c r="B28" t="s">
        <v>8014</v>
      </c>
      <c r="C28">
        <f t="shared" si="1"/>
        <v>1408</v>
      </c>
    </row>
    <row r="29" spans="1:3" x14ac:dyDescent="0.25">
      <c r="A29" t="str">
        <f t="shared" si="0"/>
        <v>P000001409</v>
      </c>
      <c r="B29" t="s">
        <v>8015</v>
      </c>
      <c r="C29">
        <f t="shared" si="1"/>
        <v>1409</v>
      </c>
    </row>
    <row r="30" spans="1:3" x14ac:dyDescent="0.25">
      <c r="A30" t="str">
        <f t="shared" si="0"/>
        <v>P000001410</v>
      </c>
      <c r="B30" t="s">
        <v>8016</v>
      </c>
      <c r="C30">
        <f t="shared" si="1"/>
        <v>1410</v>
      </c>
    </row>
    <row r="31" spans="1:3" x14ac:dyDescent="0.25">
      <c r="A31" t="str">
        <f t="shared" si="0"/>
        <v>P000001411</v>
      </c>
      <c r="B31" t="s">
        <v>8017</v>
      </c>
      <c r="C31">
        <f t="shared" si="1"/>
        <v>1411</v>
      </c>
    </row>
    <row r="32" spans="1:3" x14ac:dyDescent="0.25">
      <c r="A32" t="str">
        <f t="shared" si="0"/>
        <v>P000001412</v>
      </c>
      <c r="B32" t="s">
        <v>8018</v>
      </c>
      <c r="C32">
        <f t="shared" si="1"/>
        <v>1412</v>
      </c>
    </row>
    <row r="33" spans="1:3" x14ac:dyDescent="0.25">
      <c r="A33" t="str">
        <f t="shared" si="0"/>
        <v>P000001413</v>
      </c>
      <c r="B33" t="s">
        <v>8019</v>
      </c>
      <c r="C33">
        <f t="shared" si="1"/>
        <v>1413</v>
      </c>
    </row>
    <row r="34" spans="1:3" x14ac:dyDescent="0.25">
      <c r="A34" t="str">
        <f t="shared" si="0"/>
        <v>P000001414</v>
      </c>
      <c r="B34" t="s">
        <v>8020</v>
      </c>
      <c r="C34">
        <f t="shared" si="1"/>
        <v>1414</v>
      </c>
    </row>
    <row r="35" spans="1:3" x14ac:dyDescent="0.25">
      <c r="A35" t="str">
        <f t="shared" si="0"/>
        <v>P000001415</v>
      </c>
      <c r="B35" t="s">
        <v>8021</v>
      </c>
      <c r="C35">
        <f t="shared" si="1"/>
        <v>1415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D7D0F-EF2E-4984-96B8-325E87192E7F}">
  <dimension ref="A1:I26"/>
  <sheetViews>
    <sheetView workbookViewId="0">
      <selection activeCell="I26" sqref="I1:I26"/>
    </sheetView>
  </sheetViews>
  <sheetFormatPr defaultRowHeight="15" x14ac:dyDescent="0.25"/>
  <cols>
    <col min="1" max="1" width="11.28515625" bestFit="1" customWidth="1"/>
    <col min="2" max="2" width="40.28515625" bestFit="1" customWidth="1"/>
    <col min="3" max="3" width="40.28515625" customWidth="1"/>
    <col min="4" max="4" width="11.28515625" bestFit="1" customWidth="1"/>
    <col min="5" max="5" width="40.28515625" bestFit="1" customWidth="1"/>
  </cols>
  <sheetData>
    <row r="1" spans="1:9" x14ac:dyDescent="0.25">
      <c r="A1" t="s">
        <v>7954</v>
      </c>
      <c r="B1" t="s">
        <v>7924</v>
      </c>
      <c r="C1" t="str">
        <f>A1</f>
        <v>H000004866</v>
      </c>
      <c r="D1" t="s">
        <v>1125</v>
      </c>
      <c r="E1" t="e">
        <v>#N/A</v>
      </c>
      <c r="F1" s="47" t="s">
        <v>7955</v>
      </c>
      <c r="G1">
        <v>4866</v>
      </c>
      <c r="I1" t="s">
        <v>1125</v>
      </c>
    </row>
    <row r="2" spans="1:9" x14ac:dyDescent="0.25">
      <c r="A2" t="s">
        <v>7956</v>
      </c>
      <c r="B2" t="s">
        <v>7925</v>
      </c>
      <c r="C2" t="str">
        <f t="shared" ref="C2:C26" si="0">A2</f>
        <v>H000004867</v>
      </c>
      <c r="D2" t="s">
        <v>939</v>
      </c>
      <c r="E2" t="s">
        <v>7924</v>
      </c>
      <c r="F2" s="47" t="s">
        <v>7955</v>
      </c>
      <c r="G2">
        <f>+G1+1</f>
        <v>4867</v>
      </c>
      <c r="I2" t="str">
        <f>VLOOKUP(E2,B:C,2,0)</f>
        <v>H000004866</v>
      </c>
    </row>
    <row r="3" spans="1:9" x14ac:dyDescent="0.25">
      <c r="A3" t="s">
        <v>7957</v>
      </c>
      <c r="B3" t="s">
        <v>7926</v>
      </c>
      <c r="C3" t="str">
        <f t="shared" si="0"/>
        <v>H000004868</v>
      </c>
      <c r="D3" t="s">
        <v>939</v>
      </c>
      <c r="E3" t="s">
        <v>7924</v>
      </c>
      <c r="F3" s="47" t="s">
        <v>7955</v>
      </c>
      <c r="G3">
        <f t="shared" ref="G3:G26" si="1">+G2+1</f>
        <v>4868</v>
      </c>
      <c r="I3" t="str">
        <f t="shared" ref="I3:I25" si="2">VLOOKUP(E3,B:C,2,0)</f>
        <v>H000004866</v>
      </c>
    </row>
    <row r="4" spans="1:9" x14ac:dyDescent="0.25">
      <c r="A4" t="s">
        <v>7958</v>
      </c>
      <c r="B4" t="s">
        <v>7928</v>
      </c>
      <c r="C4" t="str">
        <f t="shared" si="0"/>
        <v>H000004869</v>
      </c>
      <c r="D4" t="s">
        <v>939</v>
      </c>
      <c r="E4" t="s">
        <v>7924</v>
      </c>
      <c r="F4" s="47" t="s">
        <v>7955</v>
      </c>
      <c r="G4">
        <f t="shared" si="1"/>
        <v>4869</v>
      </c>
      <c r="I4" t="str">
        <f t="shared" si="2"/>
        <v>H000004866</v>
      </c>
    </row>
    <row r="5" spans="1:9" x14ac:dyDescent="0.25">
      <c r="A5" t="s">
        <v>7959</v>
      </c>
      <c r="B5" t="s">
        <v>7929</v>
      </c>
      <c r="C5" t="str">
        <f t="shared" si="0"/>
        <v>H000004870</v>
      </c>
      <c r="D5" t="s">
        <v>939</v>
      </c>
      <c r="E5" t="s">
        <v>7924</v>
      </c>
      <c r="F5" s="47" t="s">
        <v>7955</v>
      </c>
      <c r="G5">
        <f t="shared" si="1"/>
        <v>4870</v>
      </c>
      <c r="I5" t="str">
        <f t="shared" si="2"/>
        <v>H000004866</v>
      </c>
    </row>
    <row r="6" spans="1:9" x14ac:dyDescent="0.25">
      <c r="A6" t="s">
        <v>7960</v>
      </c>
      <c r="B6" t="s">
        <v>7930</v>
      </c>
      <c r="C6" t="str">
        <f t="shared" si="0"/>
        <v>H000004871</v>
      </c>
      <c r="D6" t="s">
        <v>939</v>
      </c>
      <c r="E6" t="s">
        <v>7924</v>
      </c>
      <c r="F6" s="47" t="s">
        <v>7955</v>
      </c>
      <c r="G6">
        <f t="shared" si="1"/>
        <v>4871</v>
      </c>
      <c r="I6" t="str">
        <f t="shared" si="2"/>
        <v>H000004866</v>
      </c>
    </row>
    <row r="7" spans="1:9" x14ac:dyDescent="0.25">
      <c r="A7" t="s">
        <v>7961</v>
      </c>
      <c r="B7" t="s">
        <v>7932</v>
      </c>
      <c r="C7" t="str">
        <f t="shared" si="0"/>
        <v>H000004872</v>
      </c>
      <c r="D7" t="s">
        <v>941</v>
      </c>
      <c r="E7" t="s">
        <v>7925</v>
      </c>
      <c r="F7" s="47" t="s">
        <v>7955</v>
      </c>
      <c r="G7">
        <f t="shared" si="1"/>
        <v>4872</v>
      </c>
      <c r="I7" t="str">
        <f t="shared" si="2"/>
        <v>H000004867</v>
      </c>
    </row>
    <row r="8" spans="1:9" x14ac:dyDescent="0.25">
      <c r="A8" t="s">
        <v>7962</v>
      </c>
      <c r="B8" t="s">
        <v>7934</v>
      </c>
      <c r="C8" t="str">
        <f t="shared" si="0"/>
        <v>H000004873</v>
      </c>
      <c r="D8" t="s">
        <v>941</v>
      </c>
      <c r="E8" t="s">
        <v>7925</v>
      </c>
      <c r="F8" s="47" t="s">
        <v>7955</v>
      </c>
      <c r="G8">
        <f t="shared" si="1"/>
        <v>4873</v>
      </c>
      <c r="I8" t="str">
        <f t="shared" si="2"/>
        <v>H000004867</v>
      </c>
    </row>
    <row r="9" spans="1:9" x14ac:dyDescent="0.25">
      <c r="A9" t="s">
        <v>7963</v>
      </c>
      <c r="B9" t="s">
        <v>7935</v>
      </c>
      <c r="C9" t="str">
        <f t="shared" si="0"/>
        <v>H000004874</v>
      </c>
      <c r="D9" t="s">
        <v>943</v>
      </c>
      <c r="E9" t="s">
        <v>7926</v>
      </c>
      <c r="F9" s="47" t="s">
        <v>7955</v>
      </c>
      <c r="G9">
        <f t="shared" si="1"/>
        <v>4874</v>
      </c>
      <c r="I9" t="str">
        <f t="shared" si="2"/>
        <v>H000004868</v>
      </c>
    </row>
    <row r="10" spans="1:9" x14ac:dyDescent="0.25">
      <c r="A10" t="s">
        <v>7964</v>
      </c>
      <c r="B10" t="s">
        <v>7936</v>
      </c>
      <c r="C10" t="str">
        <f t="shared" si="0"/>
        <v>H000004875</v>
      </c>
      <c r="D10" t="s">
        <v>943</v>
      </c>
      <c r="E10" t="s">
        <v>7926</v>
      </c>
      <c r="F10" s="47" t="s">
        <v>7955</v>
      </c>
      <c r="G10">
        <f t="shared" si="1"/>
        <v>4875</v>
      </c>
      <c r="I10" t="str">
        <f t="shared" si="2"/>
        <v>H000004868</v>
      </c>
    </row>
    <row r="11" spans="1:9" x14ac:dyDescent="0.25">
      <c r="A11" t="s">
        <v>7965</v>
      </c>
      <c r="B11" t="s">
        <v>7937</v>
      </c>
      <c r="C11" t="str">
        <f t="shared" si="0"/>
        <v>H000004876</v>
      </c>
      <c r="D11" t="s">
        <v>943</v>
      </c>
      <c r="E11" t="s">
        <v>7926</v>
      </c>
      <c r="F11" s="47" t="s">
        <v>7955</v>
      </c>
      <c r="G11">
        <f t="shared" si="1"/>
        <v>4876</v>
      </c>
      <c r="I11" t="str">
        <f t="shared" si="2"/>
        <v>H000004868</v>
      </c>
    </row>
    <row r="12" spans="1:9" x14ac:dyDescent="0.25">
      <c r="A12" t="s">
        <v>7966</v>
      </c>
      <c r="B12" t="s">
        <v>7938</v>
      </c>
      <c r="C12" t="str">
        <f t="shared" si="0"/>
        <v>H000004877</v>
      </c>
      <c r="D12" t="s">
        <v>7927</v>
      </c>
      <c r="E12" t="s">
        <v>7928</v>
      </c>
      <c r="F12" s="47" t="s">
        <v>7955</v>
      </c>
      <c r="G12">
        <f t="shared" si="1"/>
        <v>4877</v>
      </c>
      <c r="I12" t="str">
        <f t="shared" si="2"/>
        <v>H000004869</v>
      </c>
    </row>
    <row r="13" spans="1:9" x14ac:dyDescent="0.25">
      <c r="A13" t="s">
        <v>7967</v>
      </c>
      <c r="B13" t="s">
        <v>7939</v>
      </c>
      <c r="C13" t="str">
        <f t="shared" si="0"/>
        <v>H000004878</v>
      </c>
      <c r="D13" t="s">
        <v>7927</v>
      </c>
      <c r="E13" t="s">
        <v>7928</v>
      </c>
      <c r="F13" s="47" t="s">
        <v>7955</v>
      </c>
      <c r="G13">
        <f t="shared" si="1"/>
        <v>4878</v>
      </c>
      <c r="I13" t="str">
        <f t="shared" si="2"/>
        <v>H000004869</v>
      </c>
    </row>
    <row r="14" spans="1:9" x14ac:dyDescent="0.25">
      <c r="A14" t="s">
        <v>7968</v>
      </c>
      <c r="B14" t="s">
        <v>7940</v>
      </c>
      <c r="C14" t="str">
        <f t="shared" si="0"/>
        <v>H000004879</v>
      </c>
      <c r="D14" t="s">
        <v>7927</v>
      </c>
      <c r="E14" t="s">
        <v>7928</v>
      </c>
      <c r="F14" s="47" t="s">
        <v>7955</v>
      </c>
      <c r="G14">
        <f t="shared" si="1"/>
        <v>4879</v>
      </c>
      <c r="I14" t="str">
        <f t="shared" si="2"/>
        <v>H000004869</v>
      </c>
    </row>
    <row r="15" spans="1:9" x14ac:dyDescent="0.25">
      <c r="A15" t="s">
        <v>7969</v>
      </c>
      <c r="B15" t="s">
        <v>7941</v>
      </c>
      <c r="C15" t="str">
        <f t="shared" si="0"/>
        <v>H000004880</v>
      </c>
      <c r="D15" t="s">
        <v>7927</v>
      </c>
      <c r="E15" t="s">
        <v>7928</v>
      </c>
      <c r="F15" s="47" t="s">
        <v>7955</v>
      </c>
      <c r="G15">
        <f t="shared" si="1"/>
        <v>4880</v>
      </c>
      <c r="I15" t="str">
        <f t="shared" si="2"/>
        <v>H000004869</v>
      </c>
    </row>
    <row r="16" spans="1:9" x14ac:dyDescent="0.25">
      <c r="A16" t="s">
        <v>7970</v>
      </c>
      <c r="B16" t="s">
        <v>7942</v>
      </c>
      <c r="C16" t="str">
        <f t="shared" si="0"/>
        <v>H000004881</v>
      </c>
      <c r="D16" t="s">
        <v>7931</v>
      </c>
      <c r="E16" t="s">
        <v>7932</v>
      </c>
      <c r="F16" s="47" t="s">
        <v>7955</v>
      </c>
      <c r="G16">
        <f t="shared" si="1"/>
        <v>4881</v>
      </c>
      <c r="I16" t="str">
        <f t="shared" si="2"/>
        <v>H000004872</v>
      </c>
    </row>
    <row r="17" spans="1:9" x14ac:dyDescent="0.25">
      <c r="A17" t="s">
        <v>7971</v>
      </c>
      <c r="B17" t="s">
        <v>7943</v>
      </c>
      <c r="C17" t="str">
        <f t="shared" si="0"/>
        <v>H000004882</v>
      </c>
      <c r="D17" t="s">
        <v>7933</v>
      </c>
      <c r="E17" t="s">
        <v>7934</v>
      </c>
      <c r="F17" s="47" t="s">
        <v>7955</v>
      </c>
      <c r="G17">
        <f t="shared" si="1"/>
        <v>4882</v>
      </c>
      <c r="I17" t="str">
        <f t="shared" si="2"/>
        <v>H000004873</v>
      </c>
    </row>
    <row r="18" spans="1:9" x14ac:dyDescent="0.25">
      <c r="A18" t="s">
        <v>7972</v>
      </c>
      <c r="B18" t="s">
        <v>7944</v>
      </c>
      <c r="C18" t="str">
        <f t="shared" si="0"/>
        <v>H000004883</v>
      </c>
      <c r="D18" t="s">
        <v>7931</v>
      </c>
      <c r="E18" t="s">
        <v>7932</v>
      </c>
      <c r="F18" s="47" t="s">
        <v>7955</v>
      </c>
      <c r="G18">
        <f t="shared" si="1"/>
        <v>4883</v>
      </c>
      <c r="I18" t="str">
        <f t="shared" si="2"/>
        <v>H000004872</v>
      </c>
    </row>
    <row r="19" spans="1:9" x14ac:dyDescent="0.25">
      <c r="A19" t="s">
        <v>7973</v>
      </c>
      <c r="B19" t="s">
        <v>7945</v>
      </c>
      <c r="C19" t="str">
        <f t="shared" si="0"/>
        <v>H000004884</v>
      </c>
      <c r="D19" t="s">
        <v>7931</v>
      </c>
      <c r="E19" t="s">
        <v>7932</v>
      </c>
      <c r="F19" s="47" t="s">
        <v>7955</v>
      </c>
      <c r="G19">
        <f t="shared" si="1"/>
        <v>4884</v>
      </c>
      <c r="I19" t="str">
        <f t="shared" si="2"/>
        <v>H000004872</v>
      </c>
    </row>
    <row r="20" spans="1:9" x14ac:dyDescent="0.25">
      <c r="A20" t="s">
        <v>7974</v>
      </c>
      <c r="B20" t="s">
        <v>7946</v>
      </c>
      <c r="C20" t="str">
        <f t="shared" si="0"/>
        <v>H000004885</v>
      </c>
      <c r="D20" t="s">
        <v>7931</v>
      </c>
      <c r="E20" t="s">
        <v>7932</v>
      </c>
      <c r="F20" s="47" t="s">
        <v>7955</v>
      </c>
      <c r="G20">
        <f t="shared" si="1"/>
        <v>4885</v>
      </c>
      <c r="I20" t="str">
        <f t="shared" si="2"/>
        <v>H000004872</v>
      </c>
    </row>
    <row r="21" spans="1:9" x14ac:dyDescent="0.25">
      <c r="A21" t="s">
        <v>7975</v>
      </c>
      <c r="B21" t="s">
        <v>7947</v>
      </c>
      <c r="C21" t="str">
        <f t="shared" si="0"/>
        <v>H000004886</v>
      </c>
      <c r="D21" t="s">
        <v>7931</v>
      </c>
      <c r="E21" t="s">
        <v>7932</v>
      </c>
      <c r="F21" s="47" t="s">
        <v>7955</v>
      </c>
      <c r="G21">
        <f t="shared" si="1"/>
        <v>4886</v>
      </c>
      <c r="I21" t="str">
        <f t="shared" si="2"/>
        <v>H000004872</v>
      </c>
    </row>
    <row r="22" spans="1:9" x14ac:dyDescent="0.25">
      <c r="A22" t="s">
        <v>7976</v>
      </c>
      <c r="B22" t="s">
        <v>7944</v>
      </c>
      <c r="C22" t="str">
        <f t="shared" si="0"/>
        <v>H000004887</v>
      </c>
      <c r="D22" t="s">
        <v>7933</v>
      </c>
      <c r="E22" t="s">
        <v>7934</v>
      </c>
      <c r="F22" s="47" t="s">
        <v>7955</v>
      </c>
      <c r="G22">
        <f t="shared" si="1"/>
        <v>4887</v>
      </c>
      <c r="I22" t="str">
        <f t="shared" si="2"/>
        <v>H000004873</v>
      </c>
    </row>
    <row r="23" spans="1:9" x14ac:dyDescent="0.25">
      <c r="A23" t="s">
        <v>7977</v>
      </c>
      <c r="B23" t="s">
        <v>7945</v>
      </c>
      <c r="C23" t="str">
        <f t="shared" si="0"/>
        <v>H000004888</v>
      </c>
      <c r="D23" t="s">
        <v>7933</v>
      </c>
      <c r="E23" t="s">
        <v>7934</v>
      </c>
      <c r="F23" s="47" t="s">
        <v>7955</v>
      </c>
      <c r="G23">
        <f t="shared" si="1"/>
        <v>4888</v>
      </c>
      <c r="I23" t="str">
        <f t="shared" si="2"/>
        <v>H000004873</v>
      </c>
    </row>
    <row r="24" spans="1:9" x14ac:dyDescent="0.25">
      <c r="A24" t="s">
        <v>7978</v>
      </c>
      <c r="B24" t="s">
        <v>7946</v>
      </c>
      <c r="C24" t="str">
        <f t="shared" si="0"/>
        <v>H000004889</v>
      </c>
      <c r="D24" t="s">
        <v>7933</v>
      </c>
      <c r="E24" t="s">
        <v>7934</v>
      </c>
      <c r="F24" s="47" t="s">
        <v>7955</v>
      </c>
      <c r="G24">
        <f t="shared" si="1"/>
        <v>4889</v>
      </c>
      <c r="I24" t="str">
        <f t="shared" si="2"/>
        <v>H000004873</v>
      </c>
    </row>
    <row r="25" spans="1:9" x14ac:dyDescent="0.25">
      <c r="A25" t="s">
        <v>7979</v>
      </c>
      <c r="B25" t="s">
        <v>7947</v>
      </c>
      <c r="C25" t="str">
        <f t="shared" si="0"/>
        <v>H000004890</v>
      </c>
      <c r="D25" t="s">
        <v>7933</v>
      </c>
      <c r="E25" t="s">
        <v>7934</v>
      </c>
      <c r="F25" s="47" t="s">
        <v>7955</v>
      </c>
      <c r="G25">
        <f t="shared" si="1"/>
        <v>4890</v>
      </c>
      <c r="I25" t="str">
        <f t="shared" si="2"/>
        <v>H000004873</v>
      </c>
    </row>
    <row r="26" spans="1:9" x14ac:dyDescent="0.25">
      <c r="A26" t="s">
        <v>7980</v>
      </c>
      <c r="B26" t="s">
        <v>7948</v>
      </c>
      <c r="C26" t="str">
        <f t="shared" si="0"/>
        <v>H000004891</v>
      </c>
      <c r="D26" t="s">
        <v>1125</v>
      </c>
      <c r="E26" t="e">
        <v>#N/A</v>
      </c>
      <c r="F26" s="47" t="s">
        <v>7955</v>
      </c>
      <c r="G26">
        <f t="shared" si="1"/>
        <v>4891</v>
      </c>
      <c r="I26" t="s">
        <v>1125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53E43-8612-43E9-B38C-9DD6AD087995}">
  <dimension ref="A1:G11"/>
  <sheetViews>
    <sheetView workbookViewId="0">
      <selection activeCell="O40" sqref="O40"/>
    </sheetView>
  </sheetViews>
  <sheetFormatPr defaultRowHeight="15" x14ac:dyDescent="0.25"/>
  <cols>
    <col min="1" max="1" width="16.42578125" bestFit="1" customWidth="1"/>
  </cols>
  <sheetData>
    <row r="1" spans="1:7" x14ac:dyDescent="0.25">
      <c r="A1">
        <v>1000</v>
      </c>
      <c r="B1" t="s">
        <v>7919</v>
      </c>
    </row>
    <row r="2" spans="1:7" x14ac:dyDescent="0.25">
      <c r="A2" t="s">
        <v>7920</v>
      </c>
      <c r="B2" t="s">
        <v>7914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7921</v>
      </c>
      <c r="B3" t="s">
        <v>7916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7922</v>
      </c>
      <c r="B4" t="s">
        <v>7917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8" spans="1:7" x14ac:dyDescent="0.25">
      <c r="A8">
        <v>1000</v>
      </c>
      <c r="B8" t="s">
        <v>7919</v>
      </c>
    </row>
    <row r="9" spans="1:7" x14ac:dyDescent="0.25">
      <c r="A9" t="s">
        <v>7915</v>
      </c>
      <c r="B9" t="s">
        <v>7920</v>
      </c>
    </row>
    <row r="10" spans="1:7" x14ac:dyDescent="0.25">
      <c r="A10" t="s">
        <v>7918</v>
      </c>
      <c r="B10" t="s">
        <v>7921</v>
      </c>
    </row>
    <row r="11" spans="1:7" x14ac:dyDescent="0.25">
      <c r="A11" t="s">
        <v>7918</v>
      </c>
      <c r="B11" t="s">
        <v>7922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1052-6D10-4101-8000-C2734EC0542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>
        <f>IFERROR(VLOOKUP(Table2[[#This Row], [Ticket]],Okey!A:B,2,0),"")</f>
        <v>0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>
        <f>IFERROR(VLOOKUP(Table2[[#This Row], [Ticket]],Okey!A:B,2,0),"")</f>
        <v>0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>
        <f>IFERROR(VLOOKUP(Table2[[#This Row], [Ticket]],Okey!A:B,2,0),"")</f>
        <v>0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>
        <f>IFERROR(VLOOKUP(Table2[[#This Row], [Ticket]],Okey!A:B,2,0),"")</f>
        <v>0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>
        <f>IFERROR(VLOOKUP(Table2[[#This Row], [Ticket]],Okey!A:B,2,0),"")</f>
        <v>0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>
        <f>IFERROR(VLOOKUP(Table2[[#This Row], [Ticket]],Okey!A:B,2,0),"")</f>
        <v>0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>
        <f>IFERROR(VLOOKUP(Table2[[#This Row], [Ticket]],Okey!A:B,2,0),"")</f>
        <v>0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>
        <f>IFERROR(VLOOKUP(Table2[[#This Row], [Ticket]],Okey!A:B,2,0),"")</f>
        <v>0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>
        <f>IFERROR(VLOOKUP(Table2[[#This Row], [Ticket]],Okey!A:B,2,0),"")</f>
        <v>0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>
        <f>IFERROR(VLOOKUP(Table2[[#This Row], [Ticket]],Okey!A:B,2,0),"")</f>
        <v>0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>
        <f>IFERROR(VLOOKUP(Table2[[#This Row], [Ticket]],Okey!A:B,2,0),"")</f>
        <v>0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>
        <f>IFERROR(VLOOKUP(Table2[[#This Row], [Ticket]],Okey!A:B,2,0),"")</f>
        <v>0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>
        <f>IFERROR(VLOOKUP(Table2[[#This Row], [Ticket]],Okey!A:B,2,0),"")</f>
        <v>0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>
        <f>IFERROR(VLOOKUP(Table2[[#This Row], [Ticket]],Okey!A:B,2,0),"")</f>
        <v>0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>
        <f>IFERROR(VLOOKUP(Table2[[#This Row], [Ticket]],Okey!A:B,2,0),"")</f>
        <v>0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>
        <f>IFERROR(VLOOKUP(Table2[[#This Row], [Ticket]],Okey!A:B,2,0),"")</f>
        <v>0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>
        <f>IFERROR(VLOOKUP(Table2[[#This Row], [Ticket]],Okey!A:B,2,0),"")</f>
        <v>0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>
        <f>IFERROR(VLOOKUP(Table2[[#This Row], [Ticket]],Okey!A:B,2,0),"")</f>
        <v>0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>
        <f>IFERROR(VLOOKUP(Table2[[#This Row], [Ticket]],Okey!A:B,2,0),"")</f>
        <v>0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/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/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/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/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/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/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/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/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/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/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/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/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/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/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/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/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/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/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/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/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/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/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/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/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/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/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/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/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/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/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/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/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/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/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/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/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/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/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/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/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/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/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/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/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/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/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/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/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/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/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/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/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/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/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/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/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/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/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/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/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/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/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/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/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/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/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/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/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/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/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/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/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/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/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/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/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/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/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/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/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/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/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/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/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/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/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/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/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/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/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/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/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/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/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/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/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/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/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/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/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/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/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/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/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/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/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/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/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/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/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/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/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/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/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/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/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/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/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/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/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/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/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/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/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/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/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/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/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/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/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/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/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/>
      </c>
      <c r="I154" s="11" t="s">
        <v>276</v>
      </c>
      <c r="J154" s="19" t="e">
        <f>VLOOKUP(Table2[[#This Row], [Author]],People!A:B,2,0)</f>
        <v>#VALUE!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/>
      </c>
      <c r="I155" s="13" t="s">
        <v>276</v>
      </c>
      <c r="J155" s="22" t="e">
        <f>VLOOKUP(Table2[[#This Row], [Author]],People!A:B,2,0)</f>
        <v>#VALUE!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/>
      </c>
      <c r="I156" s="11" t="s">
        <v>276</v>
      </c>
      <c r="J156" s="19" t="e">
        <f>VLOOKUP(Table2[[#This Row], [Author]],People!A:B,2,0)</f>
        <v>#VALUE!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/>
      </c>
      <c r="I157" s="13" t="s">
        <v>276</v>
      </c>
      <c r="J157" s="22" t="e">
        <f>VLOOKUP(Table2[[#This Row], [Author]],People!A:B,2,0)</f>
        <v>#VALUE!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/>
      </c>
      <c r="I158" s="11" t="s">
        <v>276</v>
      </c>
      <c r="J158" s="19" t="e">
        <f>VLOOKUP(Table2[[#This Row], [Author]],People!A:B,2,0)</f>
        <v>#VALUE!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/>
      </c>
      <c r="I159" s="13" t="s">
        <v>276</v>
      </c>
      <c r="J159" s="22" t="e">
        <f>VLOOKUP(Table2[[#This Row], [Author]],People!A:B,2,0)</f>
        <v>#VALUE!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/>
      </c>
      <c r="I160" s="11" t="s">
        <v>276</v>
      </c>
      <c r="J160" s="19" t="e">
        <f>VLOOKUP(Table2[[#This Row], [Author]],People!A:B,2,0)</f>
        <v>#VALUE!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/>
      </c>
      <c r="I161" s="13" t="s">
        <v>276</v>
      </c>
      <c r="J161" s="22" t="e">
        <f>VLOOKUP(Table2[[#This Row], [Author]],People!A:B,2,0)</f>
        <v>#VALUE!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/>
      </c>
      <c r="I162" s="11" t="s">
        <v>276</v>
      </c>
      <c r="J162" s="19" t="e">
        <f>VLOOKUP(Table2[[#This Row], [Author]],People!A:B,2,0)</f>
        <v>#VALUE!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/>
      </c>
      <c r="I163" s="13" t="s">
        <v>276</v>
      </c>
      <c r="J163" s="22" t="e">
        <f>VLOOKUP(Table2[[#This Row], [Author]],People!A:B,2,0)</f>
        <v>#VALUE!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/>
      </c>
      <c r="I164" s="11" t="s">
        <v>276</v>
      </c>
      <c r="J164" s="19" t="e">
        <f>VLOOKUP(Table2[[#This Row], [Author]],People!A:B,2,0)</f>
        <v>#VALUE!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/>
      </c>
      <c r="I165" s="13" t="s">
        <v>276</v>
      </c>
      <c r="J165" s="22" t="e">
        <f>VLOOKUP(Table2[[#This Row], [Author]],People!A:B,2,0)</f>
        <v>#VALUE!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/>
      </c>
      <c r="I166" s="11" t="s">
        <v>276</v>
      </c>
      <c r="J166" s="19" t="e">
        <f>VLOOKUP(Table2[[#This Row], [Author]],People!A:B,2,0)</f>
        <v>#VALUE!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/>
      </c>
      <c r="I167" s="13" t="s">
        <v>276</v>
      </c>
      <c r="J167" s="22" t="e">
        <f>VLOOKUP(Table2[[#This Row], [Author]],People!A:B,2,0)</f>
        <v>#VALUE!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/>
      </c>
      <c r="I168" s="11" t="s">
        <v>276</v>
      </c>
      <c r="J168" s="19" t="e">
        <f>VLOOKUP(Table2[[#This Row], [Author]],People!A:B,2,0)</f>
        <v>#VALUE!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/>
      </c>
      <c r="I169" s="13" t="s">
        <v>276</v>
      </c>
      <c r="J169" s="22" t="e">
        <f>VLOOKUP(Table2[[#This Row], [Author]],People!A:B,2,0)</f>
        <v>#VALUE!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/>
      </c>
      <c r="I170" s="11" t="s">
        <v>276</v>
      </c>
      <c r="J170" s="19" t="e">
        <f>VLOOKUP(Table2[[#This Row], [Author]],People!A:B,2,0)</f>
        <v>#VALUE!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/>
      </c>
      <c r="I171" s="13" t="s">
        <v>276</v>
      </c>
      <c r="J171" s="22" t="e">
        <f>VLOOKUP(Table2[[#This Row], [Author]],People!A:B,2,0)</f>
        <v>#VALUE!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/>
      </c>
      <c r="I172" s="11" t="s">
        <v>276</v>
      </c>
      <c r="J172" s="19" t="e">
        <f>VLOOKUP(Table2[[#This Row], [Author]],People!A:B,2,0)</f>
        <v>#VALUE!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/>
      </c>
      <c r="I173" s="13" t="s">
        <v>276</v>
      </c>
      <c r="J173" s="22" t="e">
        <f>VLOOKUP(Table2[[#This Row], [Author]],People!A:B,2,0)</f>
        <v>#VALUE!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/>
      </c>
      <c r="I174" s="11" t="s">
        <v>276</v>
      </c>
      <c r="J174" s="19" t="e">
        <f>VLOOKUP(Table2[[#This Row], [Author]],People!A:B,2,0)</f>
        <v>#VALUE!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/>
      </c>
      <c r="I175" s="13" t="s">
        <v>276</v>
      </c>
      <c r="J175" s="22" t="e">
        <f>VLOOKUP(Table2[[#This Row], [Author]],People!A:B,2,0)</f>
        <v>#VALUE!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/>
      </c>
      <c r="I176" s="11" t="s">
        <v>276</v>
      </c>
      <c r="J176" s="19" t="e">
        <f>VLOOKUP(Table2[[#This Row], [Author]],People!A:B,2,0)</f>
        <v>#VALUE!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/>
      </c>
      <c r="I177" s="13" t="s">
        <v>276</v>
      </c>
      <c r="J177" s="22" t="e">
        <f>VLOOKUP(Table2[[#This Row], [Author]],People!A:B,2,0)</f>
        <v>#VALUE!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/>
      </c>
      <c r="I178" s="11" t="s">
        <v>276</v>
      </c>
      <c r="J178" s="19" t="e">
        <f>VLOOKUP(Table2[[#This Row], [Author]],People!A:B,2,0)</f>
        <v>#VALUE!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/>
      </c>
      <c r="I179" s="13" t="s">
        <v>276</v>
      </c>
      <c r="J179" s="22" t="e">
        <f>VLOOKUP(Table2[[#This Row], [Author]],People!A:B,2,0)</f>
        <v>#VALUE!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/>
      </c>
      <c r="I180" s="11" t="s">
        <v>276</v>
      </c>
      <c r="J180" s="19" t="e">
        <f>VLOOKUP(Table2[[#This Row], [Author]],People!A:B,2,0)</f>
        <v>#VALUE!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/>
      </c>
      <c r="I181" s="13" t="s">
        <v>276</v>
      </c>
      <c r="J181" s="22" t="e">
        <f>VLOOKUP(Table2[[#This Row], [Author]],People!A:B,2,0)</f>
        <v>#VALUE!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/>
      </c>
      <c r="I182" s="11" t="s">
        <v>276</v>
      </c>
      <c r="J182" s="19" t="e">
        <f>VLOOKUP(Table2[[#This Row], [Author]],People!A:B,2,0)</f>
        <v>#VALUE!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/>
      </c>
      <c r="I183" s="13" t="s">
        <v>276</v>
      </c>
      <c r="J183" s="22" t="e">
        <f>VLOOKUP(Table2[[#This Row], [Author]],People!A:B,2,0)</f>
        <v>#VALUE!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/>
      </c>
      <c r="I184" s="11" t="s">
        <v>276</v>
      </c>
      <c r="J184" s="19" t="e">
        <f>VLOOKUP(Table2[[#This Row], [Author]],People!A:B,2,0)</f>
        <v>#VALUE!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/>
      </c>
      <c r="I185" s="13" t="s">
        <v>276</v>
      </c>
      <c r="J185" s="22" t="e">
        <f>VLOOKUP(Table2[[#This Row], [Author]],People!A:B,2,0)</f>
        <v>#VALUE!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/>
      </c>
      <c r="I186" s="11" t="s">
        <v>276</v>
      </c>
      <c r="J186" s="19" t="e">
        <f>VLOOKUP(Table2[[#This Row], [Author]],People!A:B,2,0)</f>
        <v>#VALUE!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/>
      </c>
      <c r="I187" s="13" t="s">
        <v>276</v>
      </c>
      <c r="J187" s="22" t="e">
        <f>VLOOKUP(Table2[[#This Row], [Author]],People!A:B,2,0)</f>
        <v>#VALUE!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/>
      </c>
      <c r="I188" s="11" t="s">
        <v>276</v>
      </c>
      <c r="J188" s="19" t="e">
        <f>VLOOKUP(Table2[[#This Row], [Author]],People!A:B,2,0)</f>
        <v>#VALUE!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/>
      </c>
      <c r="I189" s="13" t="s">
        <v>276</v>
      </c>
      <c r="J189" s="22" t="e">
        <f>VLOOKUP(Table2[[#This Row], [Author]],People!A:B,2,0)</f>
        <v>#VALUE!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/>
      </c>
      <c r="I190" s="11" t="s">
        <v>276</v>
      </c>
      <c r="J190" s="19" t="e">
        <f>VLOOKUP(Table2[[#This Row], [Author]],People!A:B,2,0)</f>
        <v>#VALUE!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/>
      </c>
      <c r="I191" s="13" t="s">
        <v>276</v>
      </c>
      <c r="J191" s="22" t="e">
        <f>VLOOKUP(Table2[[#This Row], [Author]],People!A:B,2,0)</f>
        <v>#VALUE!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/>
      </c>
      <c r="I192" s="11" t="s">
        <v>276</v>
      </c>
      <c r="J192" s="19" t="e">
        <f>VLOOKUP(Table2[[#This Row], [Author]],People!A:B,2,0)</f>
        <v>#VALUE!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/>
      </c>
      <c r="I193" s="13" t="s">
        <v>276</v>
      </c>
      <c r="J193" s="22" t="e">
        <f>VLOOKUP(Table2[[#This Row], [Author]],People!A:B,2,0)</f>
        <v>#VALUE!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/>
      </c>
      <c r="I194" s="11" t="s">
        <v>276</v>
      </c>
      <c r="J194" s="19" t="e">
        <f>VLOOKUP(Table2[[#This Row], [Author]],People!A:B,2,0)</f>
        <v>#VALUE!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/>
      </c>
      <c r="I195" s="13" t="s">
        <v>276</v>
      </c>
      <c r="J195" s="22" t="e">
        <f>VLOOKUP(Table2[[#This Row], [Author]],People!A:B,2,0)</f>
        <v>#VALUE!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#VALUE!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#VALUE!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#VALUE!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#VALUE!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#VALUE!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#VALUE!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#VALUE!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#VALUE!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#VALUE!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e">
        <f>VLOOKUP(Table2[[#This Row], [Author]],People!A:B,2,0)</f>
        <v>#VALUE!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e">
        <f>VLOOKUP(Table2[[#This Row], [Author]],People!A:B,2,0)</f>
        <v>#VALUE!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e">
        <f>VLOOKUP(Table2[[#This Row], [Author]],People!A:B,2,0)</f>
        <v>#VALUE!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e">
        <f>VLOOKUP(Table2[[#This Row], [Author]],People!A:B,2,0)</f>
        <v>#VALUE!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e">
        <f>VLOOKUP(Table2[[#This Row], [Author]],People!A:B,2,0)</f>
        <v>#VALUE!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e">
        <f>VLOOKUP(Table2[[#This Row], [Author]],People!A:B,2,0)</f>
        <v>#VALUE!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e">
        <f>VLOOKUP(Table2[[#This Row], [Author]],People!A:B,2,0)</f>
        <v>#VALUE!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e">
        <f>VLOOKUP(Table2[[#This Row], [Author]],People!A:B,2,0)</f>
        <v>#VALUE!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e">
        <f>VLOOKUP(Table2[[#This Row], [Author]],People!A:B,2,0)</f>
        <v>#VALUE!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e">
        <f>VLOOKUP(Table2[[#This Row], [Author]],People!A:B,2,0)</f>
        <v>#VALUE!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e">
        <f>VLOOKUP(Table2[[#This Row], [Author]],People!A:B,2,0)</f>
        <v>#VALUE!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e">
        <f>VLOOKUP(Table2[[#This Row], [Author]],People!A:B,2,0)</f>
        <v>#VALUE!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e">
        <f>VLOOKUP(Table2[[#This Row], [Author]],People!A:B,2,0)</f>
        <v>#VALUE!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e">
        <f>VLOOKUP(Table2[[#This Row], [Author]],People!A:B,2,0)</f>
        <v>#VALUE!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e">
        <f>VLOOKUP(Table2[[#This Row], [Author]],People!A:B,2,0)</f>
        <v>#VALUE!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e">
        <f>VLOOKUP(Table2[[#This Row], [Author]],People!A:B,2,0)</f>
        <v>#VALUE!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e">
        <f>VLOOKUP(Table2[[#This Row], [Author]],People!A:B,2,0)</f>
        <v>#VALUE!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e">
        <f>VLOOKUP(Table2[[#This Row], [Author]],People!A:B,2,0)</f>
        <v>#VALUE!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e">
        <f>VLOOKUP(Table2[[#This Row], [Author]],People!A:B,2,0)</f>
        <v>#VALUE!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e">
        <f>VLOOKUP(Table2[[#This Row], [Author]],People!A:B,2,0)</f>
        <v>#VALUE!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e">
        <f>VLOOKUP(Table2[[#This Row], [Author]],People!A:B,2,0)</f>
        <v>#VALUE!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e">
        <f>VLOOKUP(Table2[[#This Row], [Author]],People!A:B,2,0)</f>
        <v>#VALUE!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e">
        <f>VLOOKUP(Table2[[#This Row], [Author]],People!A:B,2,0)</f>
        <v>#VALUE!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e">
        <f>VLOOKUP(Table2[[#This Row], [Author]],People!A:B,2,0)</f>
        <v>#VALUE!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e">
        <f>VLOOKUP(Table2[[#This Row], [Author]],People!A:B,2,0)</f>
        <v>#VALUE!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e">
        <f>VLOOKUP(Table2[[#This Row], [Author]],People!A:B,2,0)</f>
        <v>#VALUE!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e">
        <f>VLOOKUP(Table2[[#This Row], [Author]],People!A:B,2,0)</f>
        <v>#VALUE!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e">
        <f>VLOOKUP(Table2[[#This Row], [Author]],People!A:B,2,0)</f>
        <v>#VALUE!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e">
        <f>VLOOKUP(Table2[[#This Row], [Author]],People!A:B,2,0)</f>
        <v>#VALUE!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e">
        <f>VLOOKUP(Table2[[#This Row], [Author]],People!A:B,2,0)</f>
        <v>#VALUE!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e">
        <f>VLOOKUP(Table2[[#This Row], [Author]],People!A:B,2,0)</f>
        <v>#VALUE!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e">
        <f>VLOOKUP(Table2[[#This Row], [Author]],People!A:B,2,0)</f>
        <v>#VALUE!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e">
        <f>VLOOKUP(Table2[[#This Row], [Author]],People!A:B,2,0)</f>
        <v>#VALUE!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e">
        <f>VLOOKUP(Table2[[#This Row], [Author]],People!A:B,2,0)</f>
        <v>#VALUE!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e">
        <f>VLOOKUP(Table2[[#This Row], [Author]],People!A:B,2,0)</f>
        <v>#VALUE!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e">
        <f>VLOOKUP(Table2[[#This Row], [Author]],People!A:B,2,0)</f>
        <v>#VALUE!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e">
        <f>VLOOKUP(Table2[[#This Row], [Author]],People!A:B,2,0)</f>
        <v>#VALUE!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e">
        <f>VLOOKUP(Table2[[#This Row], [Author]],People!A:B,2,0)</f>
        <v>#VALUE!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e">
        <f>VLOOKUP(Table2[[#This Row], [Author]],People!A:B,2,0)</f>
        <v>#VALUE!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e">
        <f>VLOOKUP(Table2[[#This Row], [Author]],People!A:B,2,0)</f>
        <v>#VALUE!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e">
        <f>VLOOKUP(Table2[[#This Row], [Author]],People!A:B,2,0)</f>
        <v>#VALUE!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e">
        <f>VLOOKUP(Table2[[#This Row], [Author]],People!A:B,2,0)</f>
        <v>#VALUE!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e">
        <f>VLOOKUP(Table2[[#This Row], [Author]],People!A:B,2,0)</f>
        <v>#VALUE!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e">
        <f>VLOOKUP(Table2[[#This Row], [Author]],People!A:B,2,0)</f>
        <v>#VALUE!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e">
        <f>VLOOKUP(Table2[[#This Row], [Author]],People!A:B,2,0)</f>
        <v>#VALUE!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e">
        <f>VLOOKUP(Table2[[#This Row], [Author]],People!A:B,2,0)</f>
        <v>#VALUE!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e">
        <f>VLOOKUP(Table2[[#This Row], [Author]],People!A:B,2,0)</f>
        <v>#VALUE!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e">
        <f>VLOOKUP(Table2[[#This Row], [Author]],People!A:B,2,0)</f>
        <v>#VALUE!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e">
        <f>VLOOKUP(Table2[[#This Row], [Author]],People!A:B,2,0)</f>
        <v>#VALUE!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e">
        <f>VLOOKUP(Table2[[#This Row], [Author]],People!A:B,2,0)</f>
        <v>#VALUE!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e">
        <f>VLOOKUP(Table2[[#This Row], [Author]],People!A:B,2,0)</f>
        <v>#VALUE!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e">
        <f>VLOOKUP(Table2[[#This Row], [Author]],People!A:B,2,0)</f>
        <v>#VALUE!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e">
        <f>VLOOKUP(Table2[[#This Row], [Author]],People!A:B,2,0)</f>
        <v>#VALUE!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e">
        <f>VLOOKUP(Table2[[#This Row], [Author]],People!A:B,2,0)</f>
        <v>#VALUE!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e">
        <f>VLOOKUP(Table2[[#This Row], [Author]],People!A:B,2,0)</f>
        <v>#VALUE!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e">
        <f>VLOOKUP(Table2[[#This Row], [Author]],People!A:B,2,0)</f>
        <v>#VALUE!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e">
        <f>VLOOKUP(Table2[[#This Row], [Author]],People!A:B,2,0)</f>
        <v>#VALUE!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e">
        <f>VLOOKUP(Table2[[#This Row], [Author]],People!A:B,2,0)</f>
        <v>#VALUE!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e">
        <f>VLOOKUP(Table2[[#This Row], [Author]],People!A:B,2,0)</f>
        <v>#VALUE!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e">
        <f>VLOOKUP(Table2[[#This Row], [Author]],People!A:B,2,0)</f>
        <v>#VALUE!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e">
        <f>VLOOKUP(Table2[[#This Row], [Author]],People!A:B,2,0)</f>
        <v>#VALUE!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e">
        <f>VLOOKUP(Table2[[#This Row], [Author]],People!A:B,2,0)</f>
        <v>#VALUE!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e">
        <f>VLOOKUP(Table2[[#This Row], [Author]],People!A:B,2,0)</f>
        <v>#VALUE!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e">
        <f>VLOOKUP(Table2[[#This Row], [Author]],People!A:B,2,0)</f>
        <v>#VALUE!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e">
        <f>VLOOKUP(Table2[[#This Row], [Author]],People!A:B,2,0)</f>
        <v>#VALUE!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e">
        <f>VLOOKUP(Table2[[#This Row], [Author]],People!A:B,2,0)</f>
        <v>#VALUE!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e">
        <f>VLOOKUP(Table2[[#This Row], [Author]],People!A:B,2,0)</f>
        <v>#VALUE!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e">
        <f>VLOOKUP(Table2[[#This Row], [Author]],People!A:B,2,0)</f>
        <v>#VALUE!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e">
        <f>VLOOKUP(Table2[[#This Row], [Author]],People!A:B,2,0)</f>
        <v>#VALUE!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e">
        <f>VLOOKUP(Table2[[#This Row], [Author]],People!A:B,2,0)</f>
        <v>#VALUE!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e">
        <f>VLOOKUP(Table2[[#This Row], [Author]],People!A:B,2,0)</f>
        <v>#VALUE!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e">
        <f>VLOOKUP(Table2[[#This Row], [Author]],People!A:B,2,0)</f>
        <v>#VALUE!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e">
        <f>VLOOKUP(Table2[[#This Row], [Author]],People!A:B,2,0)</f>
        <v>#VALUE!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e">
        <f>VLOOKUP(Table2[[#This Row], [Author]],People!A:B,2,0)</f>
        <v>#VALUE!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e">
        <f>VLOOKUP(Table2[[#This Row], [Author]],People!A:B,2,0)</f>
        <v>#VALUE!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e">
        <f>VLOOKUP(Table2[[#This Row], [Author]],People!A:B,2,0)</f>
        <v>#VALUE!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e">
        <f>VLOOKUP(Table2[[#This Row], [Author]],People!A:B,2,0)</f>
        <v>#VALUE!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e">
        <f>VLOOKUP(Table2[[#This Row], [Author]],People!A:B,2,0)</f>
        <v>#VALUE!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e">
        <f>VLOOKUP(Table2[[#This Row], [Author]],People!A:B,2,0)</f>
        <v>#VALUE!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e">
        <f>VLOOKUP(Table2[[#This Row], [Author]],People!A:B,2,0)</f>
        <v>#VALUE!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e">
        <f>VLOOKUP(Table2[[#This Row], [Author]],People!A:B,2,0)</f>
        <v>#VALUE!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e">
        <f>VLOOKUP(Table2[[#This Row], [Author]],People!A:B,2,0)</f>
        <v>#VALUE!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e">
        <f>VLOOKUP(Table2[[#This Row], [Author]],People!A:B,2,0)</f>
        <v>#VALUE!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e">
        <f>VLOOKUP(Table2[[#This Row], [Author]],People!A:B,2,0)</f>
        <v>#VALUE!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e">
        <f>VLOOKUP(Table2[[#This Row], [Author]],People!A:B,2,0)</f>
        <v>#VALUE!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e">
        <f>VLOOKUP(Table2[[#This Row], [Author]],People!A:B,2,0)</f>
        <v>#VALUE!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e">
        <f>VLOOKUP(Table2[[#This Row], [Author]],People!A:B,2,0)</f>
        <v>#VALUE!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e">
        <f>VLOOKUP(Table2[[#This Row], [Author]],People!A:B,2,0)</f>
        <v>#VALUE!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e">
        <f>VLOOKUP(Table2[[#This Row], [Author]],People!A:B,2,0)</f>
        <v>#VALUE!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e">
        <f>VLOOKUP(Table2[[#This Row], [Author]],People!A:B,2,0)</f>
        <v>#VALUE!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e">
        <f>VLOOKUP(Table2[[#This Row], [Author]],People!A:B,2,0)</f>
        <v>#VALUE!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e">
        <f>VLOOKUP(Table2[[#This Row], [Author]],People!A:B,2,0)</f>
        <v>#VALUE!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e">
        <f>VLOOKUP(Table2[[#This Row], [Author]],People!A:B,2,0)</f>
        <v>#VALUE!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e">
        <f>VLOOKUP(Table2[[#This Row], [Author]],People!A:B,2,0)</f>
        <v>#VALUE!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e">
        <f>VLOOKUP(Table2[[#This Row], [Author]],People!A:B,2,0)</f>
        <v>#VALUE!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e">
        <f>VLOOKUP(Table2[[#This Row], [Author]],People!A:B,2,0)</f>
        <v>#VALUE!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e">
        <f>VLOOKUP(Table2[[#This Row], [Author]],People!A:B,2,0)</f>
        <v>#VALUE!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e">
        <f>VLOOKUP(Table2[[#This Row], [Author]],People!A:B,2,0)</f>
        <v>#VALUE!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e">
        <f>VLOOKUP(Table2[[#This Row], [Author]],People!A:B,2,0)</f>
        <v>#VALUE!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e">
        <f>VLOOKUP(Table2[[#This Row], [Author]],People!A:B,2,0)</f>
        <v>#VALUE!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e">
        <f>VLOOKUP(Table2[[#This Row], [Author]],People!A:B,2,0)</f>
        <v>#VALUE!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e">
        <f>VLOOKUP(Table2[[#This Row], [Author]],People!A:B,2,0)</f>
        <v>#VALUE!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e">
        <f>VLOOKUP(Table2[[#This Row], [Author]],People!A:B,2,0)</f>
        <v>#VALUE!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e">
        <f>VLOOKUP(Table2[[#This Row], [Author]],People!A:B,2,0)</f>
        <v>#VALUE!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e">
        <f>VLOOKUP(Table2[[#This Row], [Author]],People!A:B,2,0)</f>
        <v>#VALUE!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e">
        <f>VLOOKUP(Table2[[#This Row], [Author]],People!A:B,2,0)</f>
        <v>#VALUE!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e">
        <f>VLOOKUP(Table2[[#This Row], [Author]],People!A:B,2,0)</f>
        <v>#VALUE!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e">
        <f>VLOOKUP(Table2[[#This Row], [Author]],People!A:B,2,0)</f>
        <v>#VALUE!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e">
        <f>VLOOKUP(Table2[[#This Row], [Author]],People!A:B,2,0)</f>
        <v>#VALUE!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e">
        <f>VLOOKUP(Table2[[#This Row], [Author]],People!A:B,2,0)</f>
        <v>#VALUE!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e">
        <f>VLOOKUP(Table2[[#This Row], [Author]],People!A:B,2,0)</f>
        <v>#VALUE!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e">
        <f>VLOOKUP(Table2[[#This Row], [Author]],People!A:B,2,0)</f>
        <v>#VALUE!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e">
        <f>VLOOKUP(Table2[[#This Row], [Author]],People!A:B,2,0)</f>
        <v>#VALUE!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e">
        <f>VLOOKUP(Table2[[#This Row], [Author]],People!A:B,2,0)</f>
        <v>#VALUE!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e">
        <f>VLOOKUP(Table2[[#This Row], [Author]],People!A:B,2,0)</f>
        <v>#VALUE!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e">
        <f>VLOOKUP(Table2[[#This Row], [Author]],People!A:B,2,0)</f>
        <v>#VALUE!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e">
        <f>VLOOKUP(Table2[[#This Row], [Author]],People!A:B,2,0)</f>
        <v>#VALUE!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e">
        <f>VLOOKUP(Table2[[#This Row], [Author]],People!A:B,2,0)</f>
        <v>#VALUE!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e">
        <f>VLOOKUP(Table2[[#This Row], [Author]],People!A:B,2,0)</f>
        <v>#VALUE!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e">
        <f>VLOOKUP(Table2[[#This Row], [Author]],People!A:B,2,0)</f>
        <v>#VALUE!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e">
        <f>VLOOKUP(Table2[[#This Row], [Author]],People!A:B,2,0)</f>
        <v>#VALUE!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e">
        <f>VLOOKUP(Table2[[#This Row], [Author]],People!A:B,2,0)</f>
        <v>#VALUE!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e">
        <f>VLOOKUP(Table2[[#This Row], [Author]],People!A:B,2,0)</f>
        <v>#VALUE!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e">
        <f>VLOOKUP(Table2[[#This Row], [Author]],People!A:B,2,0)</f>
        <v>#VALUE!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e">
        <f>VLOOKUP(Table2[[#This Row], [Author]],People!A:B,2,0)</f>
        <v>#VALUE!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e">
        <f>VLOOKUP(Table2[[#This Row], [Author]],People!A:B,2,0)</f>
        <v>#VALUE!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e">
        <f>VLOOKUP(Table2[[#This Row], [Author]],People!A:B,2,0)</f>
        <v>#VALUE!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e">
        <f>VLOOKUP(Table2[[#This Row], [Author]],People!A:B,2,0)</f>
        <v>#VALUE!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e">
        <f>VLOOKUP(Table2[[#This Row], [Author]],People!A:B,2,0)</f>
        <v>#VALUE!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e">
        <f>VLOOKUP(Table2[[#This Row], [Author]],People!A:B,2,0)</f>
        <v>#VALUE!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e">
        <f>VLOOKUP(Table2[[#This Row], [Author]],People!A:B,2,0)</f>
        <v>#VALUE!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e">
        <f>VLOOKUP(Table2[[#This Row], [Author]],People!A:B,2,0)</f>
        <v>#VALUE!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e">
        <f>VLOOKUP(Table2[[#This Row], [Author]],People!A:B,2,0)</f>
        <v>#VALUE!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e">
        <f>VLOOKUP(Table2[[#This Row], [Author]],People!A:B,2,0)</f>
        <v>#VALUE!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e">
        <f>VLOOKUP(Table2[[#This Row], [Author]],People!A:B,2,0)</f>
        <v>#VALUE!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e">
        <f>VLOOKUP(Table2[[#This Row], [Author]],People!A:B,2,0)</f>
        <v>#VALUE!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e">
        <f>VLOOKUP(Table2[[#This Row], [Author]],People!A:B,2,0)</f>
        <v>#VALUE!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e">
        <f>VLOOKUP(Table2[[#This Row], [Author]],People!A:B,2,0)</f>
        <v>#VALUE!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e">
        <f>VLOOKUP(Table2[[#This Row], [Author]],People!A:B,2,0)</f>
        <v>#VALUE!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e">
        <f>VLOOKUP(Table2[[#This Row], [Author]],People!A:B,2,0)</f>
        <v>#VALUE!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e">
        <f>VLOOKUP(Table2[[#This Row], [Author]],People!A:B,2,0)</f>
        <v>#VALUE!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e">
        <f>VLOOKUP(Table2[[#This Row], [Author]],People!A:B,2,0)</f>
        <v>#VALUE!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e">
        <f>VLOOKUP(Table2[[#This Row], [Author]],People!A:B,2,0)</f>
        <v>#VALUE!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e">
        <f>VLOOKUP(Table2[[#This Row], [Author]],People!A:B,2,0)</f>
        <v>#VALUE!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e">
        <f>VLOOKUP(Table2[[#This Row], [Author]],People!A:B,2,0)</f>
        <v>#VALUE!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e">
        <f>VLOOKUP(Table2[[#This Row], [Author]],People!A:B,2,0)</f>
        <v>#VALUE!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e">
        <f>VLOOKUP(Table2[[#This Row], [Author]],People!A:B,2,0)</f>
        <v>#VALUE!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e">
        <f>VLOOKUP(Table2[[#This Row], [Author]],People!A:B,2,0)</f>
        <v>#VALUE!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e">
        <f>VLOOKUP(Table2[[#This Row], [Author]],People!A:B,2,0)</f>
        <v>#VALUE!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e">
        <f>VLOOKUP(Table2[[#This Row], [Author]],People!A:B,2,0)</f>
        <v>#VALUE!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e">
        <f>VLOOKUP(Table2[[#This Row], [Author]],People!A:B,2,0)</f>
        <v>#VALUE!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e">
        <f>VLOOKUP(Table2[[#This Row], [Author]],People!A:B,2,0)</f>
        <v>#VALUE!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e">
        <f>VLOOKUP(Table2[[#This Row], [Author]],People!A:B,2,0)</f>
        <v>#VALUE!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e">
        <f>VLOOKUP(Table2[[#This Row], [Author]],People!A:B,2,0)</f>
        <v>#VALUE!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e">
        <f>VLOOKUP(Table2[[#This Row], [Author]],People!A:B,2,0)</f>
        <v>#VALUE!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e">
        <f>VLOOKUP(Table2[[#This Row], [Author]],People!A:B,2,0)</f>
        <v>#VALUE!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e">
        <f>VLOOKUP(Table2[[#This Row], [Author]],People!A:B,2,0)</f>
        <v>#VALUE!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e">
        <f>VLOOKUP(Table2[[#This Row], [Author]],People!A:B,2,0)</f>
        <v>#VALUE!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e">
        <f>VLOOKUP(Table2[[#This Row], [Author]],People!A:B,2,0)</f>
        <v>#VALUE!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e">
        <f>VLOOKUP(Table2[[#This Row], [Author]],People!A:B,2,0)</f>
        <v>#VALUE!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e">
        <f>VLOOKUP(Table2[[#This Row], [Author]],People!A:B,2,0)</f>
        <v>#VALUE!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e">
        <f>VLOOKUP(Table2[[#This Row], [Author]],People!A:B,2,0)</f>
        <v>#VALUE!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e">
        <f>VLOOKUP(Table2[[#This Row], [Author]],People!A:B,2,0)</f>
        <v>#VALUE!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e">
        <f>VLOOKUP(Table2[[#This Row], [Author]],People!A:B,2,0)</f>
        <v>#VALUE!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e">
        <f>VLOOKUP(Table2[[#This Row], [Author]],People!A:B,2,0)</f>
        <v>#VALUE!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e">
        <f>VLOOKUP(Table2[[#This Row], [Author]],People!A:B,2,0)</f>
        <v>#VALUE!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e">
        <f>VLOOKUP(Table2[[#This Row], [Author]],People!A:B,2,0)</f>
        <v>#VALUE!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e">
        <f>VLOOKUP(Table2[[#This Row], [Author]],People!A:B,2,0)</f>
        <v>#VALUE!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e">
        <f>VLOOKUP(Table2[[#This Row], [Author]],People!A:B,2,0)</f>
        <v>#VALUE!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e">
        <f>VLOOKUP(Table2[[#This Row], [Author]],People!A:B,2,0)</f>
        <v>#VALUE!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e">
        <f>VLOOKUP(Table2[[#This Row], [Author]],People!A:B,2,0)</f>
        <v>#VALUE!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e">
        <f>VLOOKUP(Table2[[#This Row], [Author]],People!A:B,2,0)</f>
        <v>#VALUE!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e">
        <f>VLOOKUP(Table2[[#This Row], [Author]],People!A:B,2,0)</f>
        <v>#VALUE!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e">
        <f>VLOOKUP(Table2[[#This Row], [Author]],People!A:B,2,0)</f>
        <v>#VALUE!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e">
        <f>VLOOKUP(Table2[[#This Row], [Author]],People!A:B,2,0)</f>
        <v>#VALUE!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e">
        <f>VLOOKUP(Table2[[#This Row], [Author]],People!A:B,2,0)</f>
        <v>#VALUE!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e">
        <f>VLOOKUP(Table2[[#This Row], [Author]],People!A:B,2,0)</f>
        <v>#VALUE!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e">
        <f>VLOOKUP(Table2[[#This Row], [Author]],People!A:B,2,0)</f>
        <v>#VALUE!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e">
        <f>VLOOKUP(Table2[[#This Row], [Author]],People!A:B,2,0)</f>
        <v>#VALUE!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e">
        <f>VLOOKUP(Table2[[#This Row], [Author]],People!A:B,2,0)</f>
        <v>#VALUE!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e">
        <f>VLOOKUP(Table2[[#This Row], [Author]],People!A:B,2,0)</f>
        <v>#VALUE!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e">
        <f>VLOOKUP(Table2[[#This Row], [Author]],People!A:B,2,0)</f>
        <v>#VALUE!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e">
        <f>VLOOKUP(Table2[[#This Row], [Author]],People!A:B,2,0)</f>
        <v>#VALUE!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e">
        <f>VLOOKUP(Table2[[#This Row], [Author]],People!A:B,2,0)</f>
        <v>#VALUE!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e">
        <f>VLOOKUP(Table2[[#This Row], [Author]],People!A:B,2,0)</f>
        <v>#VALUE!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e">
        <f>VLOOKUP(Table2[[#This Row], [Author]],People!A:B,2,0)</f>
        <v>#VALUE!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e">
        <f>VLOOKUP(Table2[[#This Row], [Author]],People!A:B,2,0)</f>
        <v>#VALUE!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e">
        <f>VLOOKUP(Table2[[#This Row], [Author]],People!A:B,2,0)</f>
        <v>#VALUE!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e">
        <f>VLOOKUP(Table2[[#This Row], [Author]],People!A:B,2,0)</f>
        <v>#VALUE!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e">
        <f>VLOOKUP(Table2[[#This Row], [Author]],People!A:B,2,0)</f>
        <v>#VALUE!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e">
        <f>VLOOKUP(Table2[[#This Row], [Author]],People!A:B,2,0)</f>
        <v>#VALUE!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e">
        <f>VLOOKUP(Table2[[#This Row], [Author]],People!A:B,2,0)</f>
        <v>#VALUE!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e">
        <f>VLOOKUP(Table2[[#This Row], [Author]],People!A:B,2,0)</f>
        <v>#VALUE!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e">
        <f>VLOOKUP(Table2[[#This Row], [Author]],People!A:B,2,0)</f>
        <v>#VALUE!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e">
        <f>VLOOKUP(Table2[[#This Row], [Author]],People!A:B,2,0)</f>
        <v>#VALUE!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e">
        <f>VLOOKUP(Table2[[#This Row], [Author]],People!A:B,2,0)</f>
        <v>#VALUE!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e">
        <f>VLOOKUP(Table2[[#This Row], [Author]],People!A:B,2,0)</f>
        <v>#VALUE!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e">
        <f>VLOOKUP(Table2[[#This Row], [Author]],People!A:B,2,0)</f>
        <v>#VALUE!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e">
        <f>VLOOKUP(Table2[[#This Row], [Author]],People!A:B,2,0)</f>
        <v>#VALUE!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e">
        <f>VLOOKUP(Table2[[#This Row], [Author]],People!A:B,2,0)</f>
        <v>#VALUE!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e">
        <f>VLOOKUP(Table2[[#This Row], [Author]],People!A:B,2,0)</f>
        <v>#VALUE!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e">
        <f>VLOOKUP(Table2[[#This Row], [Author]],People!A:B,2,0)</f>
        <v>#VALUE!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e">
        <f>VLOOKUP(Table2[[#This Row], [Author]],People!A:B,2,0)</f>
        <v>#VALUE!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e">
        <f>VLOOKUP(Table2[[#This Row], [Author]],People!A:B,2,0)</f>
        <v>#VALUE!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e">
        <f>VLOOKUP(Table2[[#This Row], [Author]],People!A:B,2,0)</f>
        <v>#VALUE!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e">
        <f>VLOOKUP(Table2[[#This Row], [Author]],People!A:B,2,0)</f>
        <v>#VALUE!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e">
        <f>VLOOKUP(Table2[[#This Row], [Author]],People!A:B,2,0)</f>
        <v>#VALUE!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e">
        <f>VLOOKUP(Table2[[#This Row], [Author]],People!A:B,2,0)</f>
        <v>#VALUE!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e">
        <f>VLOOKUP(Table2[[#This Row], [Author]],People!A:B,2,0)</f>
        <v>#VALUE!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e">
        <f>VLOOKUP(Table2[[#This Row], [Author]],People!A:B,2,0)</f>
        <v>#VALUE!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e">
        <f>VLOOKUP(Table2[[#This Row], [Author]],People!A:B,2,0)</f>
        <v>#VALUE!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e">
        <f>VLOOKUP(Table2[[#This Row], [Author]],People!A:B,2,0)</f>
        <v>#VALUE!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e">
        <f>VLOOKUP(Table2[[#This Row], [Author]],People!A:B,2,0)</f>
        <v>#VALUE!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e">
        <f>VLOOKUP(Table2[[#This Row], [Author]],People!A:B,2,0)</f>
        <v>#VALUE!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e">
        <f>VLOOKUP(Table2[[#This Row], [Author]],People!A:B,2,0)</f>
        <v>#VALUE!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e">
        <f>VLOOKUP(Table2[[#This Row], [Author]],People!A:B,2,0)</f>
        <v>#VALUE!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e">
        <f>VLOOKUP(Table2[[#This Row], [Author]],People!A:B,2,0)</f>
        <v>#VALUE!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e">
        <f>VLOOKUP(Table2[[#This Row], [Author]],People!A:B,2,0)</f>
        <v>#VALUE!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e">
        <f>VLOOKUP(Table2[[#This Row], [Author]],People!A:B,2,0)</f>
        <v>#VALUE!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e">
        <f>VLOOKUP(Table2[[#This Row], [Author]],People!A:B,2,0)</f>
        <v>#VALUE!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e">
        <f>VLOOKUP(Table2[[#This Row], [Author]],People!A:B,2,0)</f>
        <v>#VALUE!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e">
        <f>VLOOKUP(Table2[[#This Row], [Author]],People!A:B,2,0)</f>
        <v>#VALUE!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e">
        <f>VLOOKUP(Table2[[#This Row], [Author]],People!A:B,2,0)</f>
        <v>#VALUE!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e">
        <f>VLOOKUP(Table2[[#This Row], [Author]],People!A:B,2,0)</f>
        <v>#VALUE!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e">
        <f>VLOOKUP(Table2[[#This Row], [Author]],People!A:B,2,0)</f>
        <v>#VALUE!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e">
        <f>VLOOKUP(Table2[[#This Row], [Author]],People!A:B,2,0)</f>
        <v>#VALUE!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e">
        <f>VLOOKUP(Table2[[#This Row], [Author]],People!A:B,2,0)</f>
        <v>#VALUE!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e">
        <f>VLOOKUP(Table2[[#This Row], [Author]],People!A:B,2,0)</f>
        <v>#VALUE!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e">
        <f>VLOOKUP(Table2[[#This Row], [Author]],People!A:B,2,0)</f>
        <v>#VALUE!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e">
        <f>VLOOKUP(Table2[[#This Row], [Author]],People!A:B,2,0)</f>
        <v>#VALUE!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e">
        <f>VLOOKUP(Table2[[#This Row], [Author]],People!A:B,2,0)</f>
        <v>#VALUE!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e">
        <f>VLOOKUP(Table2[[#This Row], [Author]],People!A:B,2,0)</f>
        <v>#VALUE!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e">
        <f>VLOOKUP(Table2[[#This Row], [Author]],People!A:B,2,0)</f>
        <v>#VALUE!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e">
        <f>VLOOKUP(Table2[[#This Row], [Author]],People!A:B,2,0)</f>
        <v>#VALUE!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e">
        <f>VLOOKUP(Table2[[#This Row], [Author]],People!A:B,2,0)</f>
        <v>#VALUE!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e">
        <f>VLOOKUP(Table2[[#This Row], [Author]],People!A:B,2,0)</f>
        <v>#VALUE!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e">
        <f>VLOOKUP(Table2[[#This Row], [Author]],People!A:B,2,0)</f>
        <v>#VALUE!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e">
        <f>VLOOKUP(Table2[[#This Row], [Author]],People!A:B,2,0)</f>
        <v>#VALUE!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e">
        <f>VLOOKUP(Table2[[#This Row], [Author]],People!A:B,2,0)</f>
        <v>#VALUE!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e">
        <f>VLOOKUP(Table2[[#This Row], [Author]],People!A:B,2,0)</f>
        <v>#VALUE!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e">
        <f>VLOOKUP(Table2[[#This Row], [Author]],People!A:B,2,0)</f>
        <v>#VALUE!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e">
        <f>VLOOKUP(Table2[[#This Row], [Author]],People!A:B,2,0)</f>
        <v>#VALUE!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e">
        <f>VLOOKUP(Table2[[#This Row], [Author]],People!A:B,2,0)</f>
        <v>#VALUE!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e">
        <f>VLOOKUP(Table2[[#This Row], [Author]],People!A:B,2,0)</f>
        <v>#VALUE!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e">
        <f>VLOOKUP(Table2[[#This Row], [Author]],People!A:B,2,0)</f>
        <v>#VALUE!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e">
        <f>VLOOKUP(Table2[[#This Row], [Author]],People!A:B,2,0)</f>
        <v>#VALUE!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e">
        <f>VLOOKUP(Table2[[#This Row], [Author]],People!A:B,2,0)</f>
        <v>#VALUE!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e">
        <f>VLOOKUP(Table2[[#This Row], [Author]],People!A:B,2,0)</f>
        <v>#VALUE!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e">
        <f>VLOOKUP(Table2[[#This Row], [Author]],People!A:B,2,0)</f>
        <v>#VALUE!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e">
        <f>VLOOKUP(Table2[[#This Row], [Author]],People!A:B,2,0)</f>
        <v>#VALUE!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e">
        <f>VLOOKUP(Table2[[#This Row], [Author]],People!A:B,2,0)</f>
        <v>#VALUE!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e">
        <f>VLOOKUP(Table2[[#This Row], [Author]],People!A:B,2,0)</f>
        <v>#VALUE!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e">
        <f>VLOOKUP(Table2[[#This Row], [Author]],People!A:B,2,0)</f>
        <v>#VALUE!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e">
        <f>VLOOKUP(Table2[[#This Row], [Author]],People!A:B,2,0)</f>
        <v>#VALUE!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e">
        <f>VLOOKUP(Table2[[#This Row], [Author]],People!A:B,2,0)</f>
        <v>#VALUE!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e">
        <f>VLOOKUP(Table2[[#This Row], [Author]],People!A:B,2,0)</f>
        <v>#VALUE!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e">
        <f>VLOOKUP(Table2[[#This Row], [Author]],People!A:B,2,0)</f>
        <v>#VALUE!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e">
        <f>VLOOKUP(Table2[[#This Row], [Author]],People!A:B,2,0)</f>
        <v>#VALUE!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e">
        <f>VLOOKUP(Table2[[#This Row], [Author]],People!A:B,2,0)</f>
        <v>#VALUE!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e">
        <f>VLOOKUP(Table2[[#This Row], [Author]],People!A:B,2,0)</f>
        <v>#VALUE!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e">
        <f>VLOOKUP(Table2[[#This Row], [Author]],People!A:B,2,0)</f>
        <v>#VALUE!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e">
        <f>VLOOKUP(Table2[[#This Row], [Author]],People!A:B,2,0)</f>
        <v>#VALUE!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e">
        <f>VLOOKUP(Table2[[#This Row], [Author]],People!A:B,2,0)</f>
        <v>#VALUE!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e">
        <f>VLOOKUP(Table2[[#This Row], [Author]],People!A:B,2,0)</f>
        <v>#VALUE!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e">
        <f>VLOOKUP(Table2[[#This Row], [Author]],People!A:B,2,0)</f>
        <v>#VALUE!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e">
        <f>VLOOKUP(Table2[[#This Row], [Author]],People!A:B,2,0)</f>
        <v>#VALUE!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e">
        <f>VLOOKUP(Table2[[#This Row], [Author]],People!A:B,2,0)</f>
        <v>#VALUE!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e">
        <f>VLOOKUP(Table2[[#This Row], [Author]],People!A:B,2,0)</f>
        <v>#VALUE!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e">
        <f>VLOOKUP(Table2[[#This Row], [Author]],People!A:B,2,0)</f>
        <v>#VALUE!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e">
        <f>VLOOKUP(Table2[[#This Row], [Author]],People!A:B,2,0)</f>
        <v>#VALUE!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e">
        <f>VLOOKUP(Table2[[#This Row], [Author]],People!A:B,2,0)</f>
        <v>#VALUE!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e">
        <f>VLOOKUP(Table2[[#This Row], [Author]],People!A:B,2,0)</f>
        <v>#VALUE!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e">
        <f>VLOOKUP(Table2[[#This Row], [Author]],People!A:B,2,0)</f>
        <v>#VALUE!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e">
        <f>VLOOKUP(Table2[[#This Row], [Author]],People!A:B,2,0)</f>
        <v>#VALUE!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e">
        <f>VLOOKUP(Table2[[#This Row], [Author]],People!A:B,2,0)</f>
        <v>#VALUE!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e">
        <f>VLOOKUP(Table2[[#This Row], [Author]],People!A:B,2,0)</f>
        <v>#VALUE!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e">
        <f>VLOOKUP(Table2[[#This Row], [Author]],People!A:B,2,0)</f>
        <v>#VALUE!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e">
        <f>VLOOKUP(Table2[[#This Row], [Author]],People!A:B,2,0)</f>
        <v>#VALUE!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e">
        <f>VLOOKUP(Table2[[#This Row], [Author]],People!A:B,2,0)</f>
        <v>#VALUE!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e">
        <f>VLOOKUP(Table2[[#This Row], [Author]],People!A:B,2,0)</f>
        <v>#VALUE!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e">
        <f>VLOOKUP(Table2[[#This Row], [Author]],People!A:B,2,0)</f>
        <v>#VALUE!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e">
        <f>VLOOKUP(Table2[[#This Row], [Author]],People!A:B,2,0)</f>
        <v>#VALUE!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e">
        <f>VLOOKUP(Table2[[#This Row], [Author]],People!A:B,2,0)</f>
        <v>#VALUE!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e">
        <f>VLOOKUP(Table2[[#This Row], [Author]],People!A:B,2,0)</f>
        <v>#VALUE!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e">
        <f>VLOOKUP(Table2[[#This Row], [Author]],People!A:B,2,0)</f>
        <v>#VALUE!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e">
        <f>VLOOKUP(Table2[[#This Row], [Author]],People!A:B,2,0)</f>
        <v>#VALUE!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e">
        <f>VLOOKUP(Table2[[#This Row], [Author]],People!A:B,2,0)</f>
        <v>#VALUE!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e">
        <f>VLOOKUP(Table2[[#This Row], [Author]],People!A:B,2,0)</f>
        <v>#VALUE!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e">
        <f>VLOOKUP(Table2[[#This Row], [Author]],People!A:B,2,0)</f>
        <v>#VALUE!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e">
        <f>VLOOKUP(Table2[[#This Row], [Author]],People!A:B,2,0)</f>
        <v>#VALUE!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e">
        <f>VLOOKUP(Table2[[#This Row], [Author]],People!A:B,2,0)</f>
        <v>#VALUE!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e">
        <f>VLOOKUP(Table2[[#This Row], [Author]],People!A:B,2,0)</f>
        <v>#VALUE!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e">
        <f>VLOOKUP(Table2[[#This Row], [Author]],People!A:B,2,0)</f>
        <v>#VALUE!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e">
        <f>VLOOKUP(Table2[[#This Row], [Author]],People!A:B,2,0)</f>
        <v>#VALUE!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e">
        <f>VLOOKUP(Table2[[#This Row], [Author]],People!A:B,2,0)</f>
        <v>#VALUE!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e">
        <f>VLOOKUP(Table2[[#This Row], [Author]],People!A:B,2,0)</f>
        <v>#VALUE!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e">
        <f>VLOOKUP(Table2[[#This Row], [Author]],People!A:B,2,0)</f>
        <v>#VALUE!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e">
        <f>VLOOKUP(Table2[[#This Row], [Author]],People!A:B,2,0)</f>
        <v>#VALUE!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e">
        <f>VLOOKUP(Table2[[#This Row], [Author]],People!A:B,2,0)</f>
        <v>#VALUE!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e">
        <f>VLOOKUP(Table2[[#This Row], [Author]],People!A:B,2,0)</f>
        <v>#VALUE!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e">
        <f>VLOOKUP(Table2[[#This Row], [Author]],People!A:B,2,0)</f>
        <v>#VALUE!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e">
        <f>VLOOKUP(Table2[[#This Row], [Author]],People!A:B,2,0)</f>
        <v>#VALUE!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e">
        <f>VLOOKUP(Table2[[#This Row], [Author]],People!A:B,2,0)</f>
        <v>#VALUE!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e">
        <f>VLOOKUP(Table2[[#This Row], [Author]],People!A:B,2,0)</f>
        <v>#VALUE!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e">
        <f>VLOOKUP(Table2[[#This Row], [Author]],People!A:B,2,0)</f>
        <v>#VALUE!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e">
        <f>VLOOKUP(Table2[[#This Row], [Author]],People!A:B,2,0)</f>
        <v>#VALUE!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e">
        <f>VLOOKUP(Table2[[#This Row], [Author]],People!A:B,2,0)</f>
        <v>#VALUE!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e">
        <f>VLOOKUP(Table2[[#This Row], [Author]],People!A:B,2,0)</f>
        <v>#VALUE!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e">
        <f>VLOOKUP(Table2[[#This Row], [Author]],People!A:B,2,0)</f>
        <v>#VALUE!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e">
        <f>VLOOKUP(Table2[[#This Row], [Author]],People!A:B,2,0)</f>
        <v>#VALUE!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e">
        <f>VLOOKUP(Table2[[#This Row], [Author]],People!A:B,2,0)</f>
        <v>#VALUE!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e">
        <f>VLOOKUP(Table2[[#This Row], [Author]],People!A:B,2,0)</f>
        <v>#VALUE!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e">
        <f>VLOOKUP(Table2[[#This Row], [Author]],People!A:B,2,0)</f>
        <v>#VALUE!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e">
        <f>VLOOKUP(Table2[[#This Row], [Author]],People!A:B,2,0)</f>
        <v>#VALUE!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e">
        <f>VLOOKUP(Table2[[#This Row], [Author]],People!A:B,2,0)</f>
        <v>#VALUE!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e">
        <f>VLOOKUP(Table2[[#This Row], [Author]],People!A:B,2,0)</f>
        <v>#VALUE!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e">
        <f>VLOOKUP(Table2[[#This Row], [Author]],People!A:B,2,0)</f>
        <v>#VALUE!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e">
        <f>VLOOKUP(Table2[[#This Row], [Author]],People!A:B,2,0)</f>
        <v>#VALUE!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e">
        <f>VLOOKUP(Table2[[#This Row], [Author]],People!A:B,2,0)</f>
        <v>#VALUE!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e">
        <f>VLOOKUP(Table2[[#This Row], [Author]],People!A:B,2,0)</f>
        <v>#VALUE!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e">
        <f>VLOOKUP(Table2[[#This Row], [Author]],People!A:B,2,0)</f>
        <v>#VALUE!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e">
        <f>VLOOKUP(Table2[[#This Row], [Author]],People!A:B,2,0)</f>
        <v>#VALUE!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e">
        <f>VLOOKUP(Table2[[#This Row], [Author]],People!A:B,2,0)</f>
        <v>#VALUE!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e">
        <f>VLOOKUP(Table2[[#This Row], [Author]],People!A:B,2,0)</f>
        <v>#VALUE!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e">
        <f>VLOOKUP(Table2[[#This Row], [Author]],People!A:B,2,0)</f>
        <v>#VALUE!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e">
        <f>VLOOKUP(Table2[[#This Row], [Author]],People!A:B,2,0)</f>
        <v>#VALUE!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e">
        <f>VLOOKUP(Table2[[#This Row], [Author]],People!A:B,2,0)</f>
        <v>#VALUE!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e">
        <f>VLOOKUP(Table2[[#This Row], [Author]],People!A:B,2,0)</f>
        <v>#VALUE!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e">
        <f>VLOOKUP(Table2[[#This Row], [Author]],People!A:B,2,0)</f>
        <v>#VALUE!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e">
        <f>VLOOKUP(Table2[[#This Row], [Author]],People!A:B,2,0)</f>
        <v>#VALUE!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e">
        <f>VLOOKUP(Table2[[#This Row], [Author]],People!A:B,2,0)</f>
        <v>#VALUE!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e">
        <f>VLOOKUP(Table2[[#This Row], [Author]],People!A:B,2,0)</f>
        <v>#VALUE!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e">
        <f>VLOOKUP(Table2[[#This Row], [Author]],People!A:B,2,0)</f>
        <v>#VALUE!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e">
        <f>VLOOKUP(Table2[[#This Row], [Author]],People!A:B,2,0)</f>
        <v>#VALUE!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e">
        <f>VLOOKUP(Table2[[#This Row], [Author]],People!A:B,2,0)</f>
        <v>#VALUE!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e">
        <f>VLOOKUP(Table2[[#This Row], [Author]],People!A:B,2,0)</f>
        <v>#VALUE!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e">
        <f>VLOOKUP(Table2[[#This Row], [Author]],People!A:B,2,0)</f>
        <v>#VALUE!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e">
        <f>VLOOKUP(Table2[[#This Row], [Author]],People!A:B,2,0)</f>
        <v>#VALUE!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e">
        <f>VLOOKUP(Table2[[#This Row], [Author]],People!A:B,2,0)</f>
        <v>#VALUE!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e">
        <f>VLOOKUP(Table2[[#This Row], [Author]],People!A:B,2,0)</f>
        <v>#VALUE!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e">
        <f>VLOOKUP(Table2[[#This Row], [Author]],People!A:B,2,0)</f>
        <v>#VALUE!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e">
        <f>VLOOKUP(Table2[[#This Row], [Author]],People!A:B,2,0)</f>
        <v>#VALUE!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e">
        <f>VLOOKUP(Table2[[#This Row], [Author]],People!A:B,2,0)</f>
        <v>#VALUE!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e">
        <f>VLOOKUP(Table2[[#This Row], [Author]],People!A:B,2,0)</f>
        <v>#VALUE!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e">
        <f>VLOOKUP(Table2[[#This Row], [Author]],People!A:B,2,0)</f>
        <v>#VALUE!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e">
        <f>VLOOKUP(Table2[[#This Row], [Author]],People!A:B,2,0)</f>
        <v>#VALUE!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e">
        <f>VLOOKUP(Table2[[#This Row], [Author]],People!A:B,2,0)</f>
        <v>#VALUE!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e">
        <f>VLOOKUP(Table2[[#This Row], [Author]],People!A:B,2,0)</f>
        <v>#VALUE!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e">
        <f>VLOOKUP(Table2[[#This Row], [Author]],People!A:B,2,0)</f>
        <v>#VALUE!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e">
        <f>VLOOKUP(Table2[[#This Row], [Author]],People!A:B,2,0)</f>
        <v>#VALUE!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e">
        <f>VLOOKUP(Table2[[#This Row], [Author]],People!A:B,2,0)</f>
        <v>#VALUE!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e">
        <f>VLOOKUP(Table2[[#This Row], [Author]],People!A:B,2,0)</f>
        <v>#VALUE!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e">
        <f>VLOOKUP(Table2[[#This Row], [Author]],People!A:B,2,0)</f>
        <v>#VALUE!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e">
        <f>VLOOKUP(Table2[[#This Row], [Author]],People!A:B,2,0)</f>
        <v>#VALUE!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e">
        <f>VLOOKUP(Table2[[#This Row], [Author]],People!A:B,2,0)</f>
        <v>#VALUE!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e">
        <f>VLOOKUP(Table2[[#This Row], [Author]],People!A:B,2,0)</f>
        <v>#VALUE!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e">
        <f>VLOOKUP(Table2[[#This Row], [Author]],People!A:B,2,0)</f>
        <v>#VALUE!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e">
        <f>VLOOKUP(Table2[[#This Row], [Author]],People!A:B,2,0)</f>
        <v>#VALUE!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e">
        <f>VLOOKUP(Table2[[#This Row], [Author]],People!A:B,2,0)</f>
        <v>#VALUE!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e">
        <f>VLOOKUP(Table2[[#This Row], [Author]],People!A:B,2,0)</f>
        <v>#VALUE!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e">
        <f>VLOOKUP(Table2[[#This Row], [Author]],People!A:B,2,0)</f>
        <v>#VALUE!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e">
        <f>VLOOKUP(Table2[[#This Row], [Author]],People!A:B,2,0)</f>
        <v>#VALUE!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e">
        <f>VLOOKUP(Table2[[#This Row], [Author]],People!A:B,2,0)</f>
        <v>#VALUE!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e">
        <f>VLOOKUP(Table2[[#This Row], [Author]],People!A:B,2,0)</f>
        <v>#VALUE!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e">
        <f>VLOOKUP(Table2[[#This Row], [Author]],People!A:B,2,0)</f>
        <v>#VALUE!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e">
        <f>VLOOKUP(Table2[[#This Row], [Author]],People!A:B,2,0)</f>
        <v>#VALUE!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e">
        <f>VLOOKUP(Table2[[#This Row], [Author]],People!A:B,2,0)</f>
        <v>#VALUE!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e">
        <f>VLOOKUP(Table2[[#This Row], [Author]],People!A:B,2,0)</f>
        <v>#VALUE!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e">
        <f>VLOOKUP(Table2[[#This Row], [Author]],People!A:B,2,0)</f>
        <v>#VALUE!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e">
        <f>VLOOKUP(Table2[[#This Row], [Author]],People!A:B,2,0)</f>
        <v>#VALUE!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e">
        <f>VLOOKUP(Table2[[#This Row], [Author]],People!A:B,2,0)</f>
        <v>#VALUE!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e">
        <f>VLOOKUP(Table2[[#This Row], [Author]],People!A:B,2,0)</f>
        <v>#VALUE!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e">
        <f>VLOOKUP(Table2[[#This Row], [Author]],People!A:B,2,0)</f>
        <v>#VALUE!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e">
        <f>VLOOKUP(Table2[[#This Row], [Author]],People!A:B,2,0)</f>
        <v>#VALUE!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e">
        <f>VLOOKUP(Table2[[#This Row], [Author]],People!A:B,2,0)</f>
        <v>#VALUE!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e">
        <f>VLOOKUP(Table2[[#This Row], [Author]],People!A:B,2,0)</f>
        <v>#VALUE!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e">
        <f>VLOOKUP(Table2[[#This Row], [Author]],People!A:B,2,0)</f>
        <v>#VALUE!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e">
        <f>VLOOKUP(Table2[[#This Row], [Author]],People!A:B,2,0)</f>
        <v>#VALUE!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e">
        <f>VLOOKUP(Table2[[#This Row], [Author]],People!A:B,2,0)</f>
        <v>#VALUE!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e">
        <f>VLOOKUP(Table2[[#This Row], [Author]],People!A:B,2,0)</f>
        <v>#VALUE!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e">
        <f>VLOOKUP(Table2[[#This Row], [Author]],People!A:B,2,0)</f>
        <v>#VALUE!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e">
        <f>VLOOKUP(Table2[[#This Row], [Author]],People!A:B,2,0)</f>
        <v>#VALUE!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e">
        <f>VLOOKUP(Table2[[#This Row], [Author]],People!A:B,2,0)</f>
        <v>#VALUE!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e">
        <f>VLOOKUP(Table2[[#This Row], [Author]],People!A:B,2,0)</f>
        <v>#VALUE!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e">
        <f>VLOOKUP(Table2[[#This Row], [Author]],People!A:B,2,0)</f>
        <v>#VALUE!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e">
        <f>VLOOKUP(Table2[[#This Row], [Author]],People!A:B,2,0)</f>
        <v>#VALUE!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e">
        <f>VLOOKUP(Table2[[#This Row], [Author]],People!A:B,2,0)</f>
        <v>#VALUE!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e">
        <f>VLOOKUP(Table2[[#This Row], [Author]],People!A:B,2,0)</f>
        <v>#VALUE!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e">
        <f>VLOOKUP(Table2[[#This Row], [Author]],People!A:B,2,0)</f>
        <v>#VALUE!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/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/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/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/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/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/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/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/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/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/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/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/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/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/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/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/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/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/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/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/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/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/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/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/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/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/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/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/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/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/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/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/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/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/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/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/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/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/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/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/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/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/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/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/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/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/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/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/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/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/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/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/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/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/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/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/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/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/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/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/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/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/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/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/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/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/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/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/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/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/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/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/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/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/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/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/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/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/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/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/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/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/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/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/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/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/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/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/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/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/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/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/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/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/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/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/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/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/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/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/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/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/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/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/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/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/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/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/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/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/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/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/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/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/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/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/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/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/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/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/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/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/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/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/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/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/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/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/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/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/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/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/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/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/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/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/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/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/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/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/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/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/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/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/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/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/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/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/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/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/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/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/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/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/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/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/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/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/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/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/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/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/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/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/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/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/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/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/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/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/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/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/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/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/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/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/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/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/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/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/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/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/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/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/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/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/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/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/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/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/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/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/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/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/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/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/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/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/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/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/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/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/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/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/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/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/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/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/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/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/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/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/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/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/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/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/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/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/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/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/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/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/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/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/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/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/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/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/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/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/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/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/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/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/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/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/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/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/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/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/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/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/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/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/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/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/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/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/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/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/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7"/>
  <sheetViews>
    <sheetView topLeftCell="A244" workbookViewId="0">
      <selection activeCell="A288" sqref="A28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7908</v>
      </c>
      <c r="B287" s="3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3</vt:i4>
      </vt:variant>
    </vt:vector>
  </HeadingPairs>
  <TitlesOfParts>
    <vt:vector size="21" baseType="lpstr">
      <vt:lpstr>pvt</vt:lpstr>
      <vt:lpstr>STUCT1</vt:lpstr>
      <vt:lpstr>Sheet7</vt:lpstr>
      <vt:lpstr>Sheet6</vt:lpstr>
      <vt:lpstr>Sheet5</vt:lpstr>
      <vt:lpstr>Sheet4</vt:lpstr>
      <vt:lpstr>Sheet3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2026-01-07T15:32:02Z</dcterms:modified>
</cp:coreProperties>
</file>