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6EB4CC7F-F997-45C0-8567-8D239244B51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Names" sheetId="5" r:id="rId3"/>
    <sheet name="NEW NODES" sheetId="6" r:id="rId4"/>
    <sheet name="People" sheetId="7" r:id="rId5"/>
    <sheet name="2023" sheetId="8" state="hidden" r:id="rId6"/>
    <sheet name="2024" sheetId="19" state="hidden" r:id="rId7"/>
    <sheet name="old" sheetId="27" state="hidden" r:id="rId8"/>
    <sheet name="Sectors" sheetId="9" r:id="rId9"/>
    <sheet name="Okey" sheetId="10" r:id="rId10"/>
    <sheet name="KPI" sheetId="12" r:id="rId11"/>
  </sheets>
  <definedNames>
    <definedName name="_xlnm._FilterDatabase" localSheetId="5">'2023'!$A$1:$M$1</definedName>
    <definedName name="_xlnm._FilterDatabase" localSheetId="2">Names!$A$237:$G$388</definedName>
    <definedName name="_xlnm._FilterDatabase" localSheetId="4">People!$A$1:$B$1</definedName>
    <definedName name="_xlnm._FilterDatabase" localSheetId="1">STUCT1!#REF!</definedName>
  </definedNames>
  <calcPr calcId="181029"/>
  <pivotCaches>
    <pivotCache cacheId="1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40" i="1" l="1"/>
  <c r="A841" i="1" s="1"/>
  <c r="A842" i="1" s="1"/>
  <c r="A843" i="1" s="1"/>
  <c r="A844" i="1" s="1"/>
  <c r="A845" i="1" s="1"/>
  <c r="H840" i="1"/>
  <c r="H841" i="1"/>
  <c r="H842" i="1"/>
  <c r="H843" i="1"/>
  <c r="H844" i="1"/>
  <c r="H845" i="1"/>
  <c r="H839" i="1"/>
  <c r="H838" i="1"/>
  <c r="H837" i="1"/>
  <c r="H836" i="1"/>
  <c r="H831" i="1"/>
  <c r="H832" i="1"/>
  <c r="H833" i="1"/>
  <c r="H834" i="1"/>
  <c r="H835" i="1"/>
  <c r="H830" i="1" l="1"/>
  <c r="H829" i="1"/>
  <c r="H828" i="1" l="1"/>
  <c r="H826" i="1"/>
  <c r="H827" i="1"/>
  <c r="H82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05" i="1"/>
  <c r="H802" i="1"/>
  <c r="H803" i="1"/>
  <c r="H804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00" i="1"/>
  <c r="H599" i="1"/>
  <c r="H596" i="1"/>
  <c r="H597" i="1"/>
  <c r="H598" i="1"/>
  <c r="H595" i="1"/>
  <c r="H594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95" i="1"/>
  <c r="I178" i="1"/>
  <c r="I177" i="1"/>
  <c r="I176" i="1"/>
  <c r="I175" i="1"/>
  <c r="I25" i="1"/>
  <c r="I21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</calcChain>
</file>

<file path=xl/sharedStrings.xml><?xml version="1.0" encoding="utf-8"?>
<sst xmlns="http://schemas.openxmlformats.org/spreadsheetml/2006/main" count="49485" uniqueCount="9014">
  <si>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</si>
  <si>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</si>
  <si>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</si>
  <si>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</si>
  <si>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</si>
  <si>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</si>
  <si>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</si>
  <si>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</si>
  <si>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</si>
  <si>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</si>
  <si>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</si>
  <si>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</si>
  <si>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</si>
  <si>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</si>
  <si>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</si>
  <si>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</si>
  <si>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</si>
  <si>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</si>
  <si>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</si>
  <si>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</si>
  <si>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</si>
  <si>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</si>
  <si>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</si>
  <si>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</si>
  <si>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</si>
  <si>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</si>
  <si>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</si>
  <si>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</si>
  <si>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</si>
  <si>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</si>
  <si>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</si>
  <si>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</si>
  <si>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</si>
  <si>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</si>
  <si>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</si>
  <si>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</si>
  <si>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</si>
  <si>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</si>
  <si>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</si>
  <si>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</si>
  <si>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</si>
  <si>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</si>
  <si>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</si>
  <si>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</si>
  <si>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</si>
  <si>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</si>
  <si>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</si>
  <si>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</si>
  <si>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</si>
  <si>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</si>
  <si>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</si>
  <si>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</si>
  <si>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</si>
  <si>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</si>
  <si>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</si>
  <si>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</si>
  <si>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</si>
  <si>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</si>
  <si>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</si>
  <si>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</si>
  <si>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</si>
  <si>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</si>
  <si>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</si>
  <si>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</si>
  <si>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</si>
  <si>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</si>
  <si>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</si>
  <si>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</si>
  <si>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</si>
  <si>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</si>
  <si>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</si>
  <si>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</si>
  <si>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</si>
  <si>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</si>
  <si>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</si>
  <si>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</si>
  <si>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</si>
  <si>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</si>
  <si>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</si>
  <si>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</si>
  <si>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</si>
  <si>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</si>
  <si>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</si>
  <si>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</si>
  <si>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</si>
  <si>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</si>
  <si>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</si>
  <si>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</si>
  <si>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</si>
  <si>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</si>
  <si>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</si>
  <si>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</si>
  <si>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</si>
  <si>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</si>
  <si>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</si>
  <si>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</si>
  <si>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</si>
  <si>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</si>
  <si>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</si>
  <si>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</si>
  <si>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</si>
  <si>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</si>
  <si>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</si>
  <si>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</si>
  <si>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</si>
  <si>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</si>
  <si>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</si>
  <si>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</si>
  <si>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</si>
  <si>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</si>
  <si>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</si>
  <si>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</si>
  <si>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</si>
  <si>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</si>
  <si>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</si>
  <si>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</si>
  <si>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</si>
  <si>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</si>
  <si>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</si>
  <si>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</si>
  <si>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</si>
  <si>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</si>
  <si>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</si>
  <si>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</si>
  <si>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</si>
  <si>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</si>
  <si>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</si>
  <si>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</si>
  <si>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</si>
  <si>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</si>
  <si>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</si>
  <si>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</si>
  <si>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</si>
  <si>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</si>
  <si>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</si>
  <si>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</si>
  <si>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</si>
  <si>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</si>
  <si>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</si>
  <si>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</si>
  <si>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</si>
  <si>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</si>
  <si>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</si>
  <si>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</si>
  <si>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</si>
  <si>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</si>
  <si>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</si>
  <si>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</si>
  <si>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</si>
  <si>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</si>
  <si>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</si>
  <si>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</si>
  <si>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</si>
  <si>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</si>
  <si>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</si>
  <si>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</si>
  <si>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</si>
  <si>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</si>
  <si>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</si>
  <si>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</si>
  <si>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</si>
  <si>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</si>
  <si>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</si>
  <si>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</si>
  <si>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</si>
  <si>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</si>
  <si>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</si>
  <si>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</si>
  <si>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</si>
  <si>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</si>
  <si>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</si>
  <si>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</si>
  <si>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</si>
  <si>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</si>
  <si>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</si>
  <si>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</si>
  <si>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</si>
  <si>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</si>
  <si>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</si>
  <si>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</si>
  <si>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</si>
  <si>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</si>
  <si>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</si>
  <si>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</si>
  <si>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</si>
  <si>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</si>
  <si>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</si>
  <si>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</si>
  <si>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</si>
  <si>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</si>
  <si>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</si>
  <si>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</si>
  <si>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</si>
  <si>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</si>
  <si>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</si>
  <si>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</si>
  <si>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</si>
  <si>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</si>
  <si>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</si>
  <si>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</si>
  <si>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</si>
  <si>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</si>
  <si>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</si>
  <si>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</si>
  <si>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</si>
  <si>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</si>
  <si>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</si>
  <si>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</si>
  <si>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</si>
  <si>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</si>
  <si>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</si>
  <si>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</si>
  <si>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</si>
  <si>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</si>
  <si>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</si>
  <si>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</si>
  <si>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</si>
  <si>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</si>
  <si>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</si>
  <si>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</si>
  <si>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</si>
  <si>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</si>
  <si>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</si>
  <si>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</si>
  <si>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</si>
  <si>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</si>
  <si>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</si>
  <si>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</si>
  <si>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</si>
  <si>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</si>
  <si>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</si>
  <si>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</si>
  <si>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</si>
  <si>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</si>
  <si>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</si>
  <si>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</si>
  <si>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</si>
  <si>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</si>
  <si>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</si>
  <si>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</si>
  <si>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</si>
  <si>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</si>
  <si>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</si>
  <si>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</si>
  <si>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</si>
  <si>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</si>
  <si>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</si>
  <si>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</si>
  <si>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</si>
  <si>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</si>
  <si>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</si>
  <si>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</si>
  <si>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</si>
  <si>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</si>
  <si>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</si>
  <si>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</si>
  <si>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</si>
  <si>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</si>
  <si>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</si>
  <si>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</si>
  <si>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</si>
  <si>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</si>
  <si>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</si>
  <si>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</si>
  <si>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</si>
  <si>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</si>
  <si>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</si>
  <si>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</si>
  <si>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</si>
  <si>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</si>
  <si>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</si>
  <si>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</si>
  <si>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</si>
  <si>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</si>
  <si>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</si>
  <si>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</si>
  <si>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</si>
  <si>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</si>
  <si>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</si>
  <si>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</si>
  <si>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</si>
  <si>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</si>
  <si>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</si>
  <si>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</si>
  <si>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</si>
  <si>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</si>
  <si>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</si>
  <si>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</si>
  <si>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</si>
  <si>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</si>
  <si>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</si>
  <si>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</si>
  <si>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</si>
  <si>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</si>
  <si>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</si>
  <si>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</si>
  <si>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</si>
  <si>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</si>
  <si>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</si>
  <si>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</si>
  <si>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</si>
  <si>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</si>
  <si>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</si>
  <si>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</si>
  <si>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</si>
  <si>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</si>
  <si>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</si>
  <si>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</si>
  <si>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</si>
  <si>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</si>
  <si>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</si>
  <si>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</si>
  <si>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</si>
  <si>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</si>
  <si>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</si>
  <si>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</si>
  <si>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</si>
  <si>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</si>
  <si>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</si>
  <si>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</si>
  <si>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</si>
  <si>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</si>
  <si>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</si>
  <si>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</si>
  <si>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</si>
  <si>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</si>
  <si>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</si>
  <si>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</si>
  <si>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</si>
  <si>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</si>
  <si>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</si>
  <si>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</si>
  <si>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</si>
  <si>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</si>
  <si>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</si>
  <si>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</si>
  <si>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</si>
  <si>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</si>
  <si>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</si>
  <si>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</si>
  <si>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</si>
  <si>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</si>
  <si>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</si>
  <si>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</si>
  <si>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</si>
  <si>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</si>
  <si>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</si>
  <si>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</si>
  <si>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</si>
  <si>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</si>
  <si>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</si>
  <si>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</si>
  <si>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</si>
  <si>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</si>
  <si>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</si>
  <si>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</si>
  <si>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</si>
  <si>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</si>
  <si>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</si>
  <si>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</si>
  <si>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</si>
  <si>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</si>
  <si>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</si>
  <si>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</si>
  <si>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</si>
  <si>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</si>
  <si>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</si>
  <si>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</si>
  <si>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</si>
  <si>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</si>
  <si>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</si>
  <si>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</si>
  <si>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</si>
  <si>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</si>
  <si>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</si>
  <si>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</si>
  <si>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</si>
  <si>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</si>
  <si>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</si>
  <si>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</si>
  <si>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</si>
  <si>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</si>
  <si>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</si>
  <si>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</si>
  <si>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</si>
  <si>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</si>
  <si>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</si>
  <si>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</si>
  <si>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</si>
  <si>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</si>
  <si>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</si>
  <si>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</si>
  <si>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</si>
  <si>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</si>
  <si>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</si>
  <si>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</si>
  <si>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</si>
  <si>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</si>
  <si>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</si>
  <si>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</si>
  <si>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</si>
  <si>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</si>
  <si>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</si>
  <si>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</si>
  <si>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</si>
  <si>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</si>
  <si>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</si>
  <si>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</si>
  <si>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</si>
  <si>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</si>
  <si>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</si>
  <si>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</si>
  <si>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</si>
  <si>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</si>
  <si>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</si>
  <si>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</si>
  <si>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</si>
  <si>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</si>
  <si>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</si>
  <si>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</si>
  <si>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</si>
  <si>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</si>
  <si>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</si>
  <si>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</si>
  <si>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</si>
  <si>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</si>
  <si>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</si>
  <si>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</si>
  <si>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</si>
  <si>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</si>
  <si>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</si>
  <si>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</si>
  <si>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</si>
  <si>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</si>
  <si>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</si>
  <si>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</si>
  <si>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</si>
  <si>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</si>
  <si>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</si>
  <si>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</si>
  <si>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</si>
  <si>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</si>
  <si>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</si>
  <si>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</si>
  <si>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</si>
  <si>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</si>
  <si>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</si>
  <si>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</si>
  <si>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</si>
  <si>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</si>
  <si>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</si>
  <si>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</si>
  <si>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</si>
  <si>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</si>
  <si>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</si>
  <si>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</si>
  <si>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</si>
  <si>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</si>
  <si>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</si>
  <si>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</si>
  <si>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</si>
  <si>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</si>
  <si>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</si>
  <si>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</si>
  <si>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</si>
  <si>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</si>
  <si>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</si>
  <si>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</si>
  <si>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</si>
  <si>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</si>
  <si>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</si>
  <si>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</si>
  <si>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</si>
  <si>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</si>
  <si>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</si>
  <si>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</si>
  <si>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</si>
  <si>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</si>
  <si>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</si>
  <si>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</si>
  <si>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</si>
  <si>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</si>
  <si>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</si>
  <si>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</si>
  <si>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</si>
  <si>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</si>
  <si>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</si>
  <si>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</si>
  <si>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</si>
  <si>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</si>
  <si>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</si>
  <si>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</si>
  <si>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</si>
  <si>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</si>
  <si>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</si>
  <si>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</si>
  <si>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</si>
  <si>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</si>
  <si>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</si>
  <si>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</si>
  <si>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</si>
  <si>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</si>
  <si>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</si>
  <si>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</si>
  <si>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</si>
  <si>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</si>
  <si>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</si>
  <si>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</si>
  <si>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</si>
  <si>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</si>
  <si>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</si>
  <si>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</si>
  <si>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</si>
  <si>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</si>
  <si>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</si>
  <si>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</si>
  <si>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</si>
  <si>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</si>
  <si>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</si>
  <si>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</si>
  <si>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</si>
  <si>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</si>
  <si>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</si>
  <si>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</si>
  <si>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</si>
  <si>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</si>
  <si>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</si>
  <si>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</si>
  <si>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</si>
  <si>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</si>
  <si>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</si>
  <si>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</si>
  <si>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</si>
  <si>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</si>
  <si>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</si>
  <si>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</si>
  <si>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</si>
  <si>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</si>
  <si>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</si>
  <si>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</si>
  <si>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</si>
  <si>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</si>
  <si>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</si>
  <si>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</si>
  <si>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</si>
  <si>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</si>
  <si>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</si>
  <si>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</si>
  <si>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</si>
  <si>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</si>
  <si>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</si>
  <si>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</si>
  <si>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</si>
  <si>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</si>
  <si>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</si>
  <si>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</si>
  <si>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</si>
  <si>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</si>
  <si>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</si>
  <si>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</si>
  <si>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</si>
  <si>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</si>
  <si>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</si>
  <si>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</si>
  <si>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</si>
  <si>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</si>
  <si>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</si>
  <si>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</si>
  <si>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</si>
  <si>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</si>
  <si>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</si>
  <si>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</si>
  <si>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</si>
  <si>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</si>
  <si>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</si>
  <si>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</si>
  <si>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</si>
  <si>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</si>
  <si>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</si>
  <si>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</si>
  <si>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</si>
  <si>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</si>
  <si>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</si>
  <si>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</si>
  <si>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</si>
  <si>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</si>
  <si>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</si>
  <si>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</si>
  <si>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</si>
  <si>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</si>
  <si>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</si>
  <si>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</si>
  <si>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</si>
  <si>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</si>
  <si>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</si>
  <si>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</si>
  <si>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</si>
  <si>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</si>
  <si>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</si>
  <si>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</si>
  <si>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</si>
  <si>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</si>
  <si>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</si>
  <si>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</si>
  <si>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</si>
  <si>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</si>
  <si>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</si>
  <si>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</si>
  <si>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</si>
  <si>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</si>
  <si>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</si>
  <si>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</si>
  <si>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</si>
  <si>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</si>
  <si>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</si>
  <si>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</si>
  <si>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</si>
  <si>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</si>
  <si>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</si>
  <si>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</si>
  <si>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</si>
  <si>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</si>
  <si>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</si>
  <si>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</si>
  <si>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</si>
  <si>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</si>
  <si>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</si>
  <si>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</si>
  <si>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</si>
  <si>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</si>
  <si>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</si>
  <si>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</si>
  <si>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</si>
  <si>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</si>
  <si>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</si>
  <si>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</si>
  <si>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</si>
  <si>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</si>
  <si>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</si>
  <si>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</si>
  <si>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</si>
  <si>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</si>
  <si>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</si>
  <si>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</si>
  <si>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</si>
  <si>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</si>
  <si>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</si>
  <si>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</si>
  <si>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</si>
  <si>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</si>
  <si>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</si>
  <si>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</si>
  <si>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</si>
  <si>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</si>
  <si>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</si>
  <si>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</si>
  <si>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</si>
  <si>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</si>
  <si>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</si>
  <si>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</si>
  <si>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</si>
  <si>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</si>
  <si>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</si>
  <si>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</si>
  <si>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</si>
  <si>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</si>
  <si>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</si>
  <si>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</si>
  <si>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</si>
  <si>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</si>
  <si>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</si>
  <si>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</si>
  <si>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</si>
  <si>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</si>
  <si>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</si>
  <si>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</si>
  <si>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</si>
  <si>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</si>
  <si>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</si>
  <si>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</si>
  <si>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</si>
  <si>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</si>
  <si>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</si>
  <si>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</si>
  <si>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</si>
  <si>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</si>
  <si>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</si>
  <si>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</si>
  <si>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</si>
  <si>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</si>
  <si>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</si>
  <si>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</si>
  <si>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</si>
  <si>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</si>
  <si>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</si>
  <si>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</si>
  <si>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</si>
  <si>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</si>
  <si>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</si>
  <si>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</si>
  <si>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</si>
  <si>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</si>
  <si>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</si>
  <si>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</si>
  <si>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</si>
  <si>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</si>
  <si>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</si>
  <si>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</si>
  <si>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</si>
  <si>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</si>
  <si>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</si>
  <si>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</si>
  <si>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</si>
  <si>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</si>
  <si>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</si>
  <si>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</si>
  <si>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</si>
  <si>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</si>
  <si>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</si>
  <si>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</si>
  <si>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</si>
  <si>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</si>
  <si>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</si>
  <si>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</si>
  <si>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</si>
  <si>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</si>
  <si>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</si>
  <si>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</si>
  <si>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</si>
  <si>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</si>
  <si>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</si>
  <si>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</si>
  <si>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</si>
  <si>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</si>
  <si>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</si>
  <si>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</si>
  <si>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</si>
  <si>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</si>
  <si>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</si>
  <si>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</si>
  <si>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</si>
  <si>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</si>
  <si>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</si>
  <si>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</si>
  <si>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</si>
  <si>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</si>
  <si>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</si>
  <si>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</si>
  <si>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</si>
  <si>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</si>
  <si>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</si>
  <si>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</si>
  <si>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</si>
  <si>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</si>
  <si>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</si>
  <si>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</si>
  <si>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</si>
  <si>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</si>
  <si>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</si>
  <si>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</si>
  <si>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</si>
  <si>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</si>
  <si>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</si>
  <si>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</si>
  <si>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</si>
  <si>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</si>
  <si>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</si>
  <si>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</si>
  <si>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</si>
  <si>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</si>
  <si>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</si>
  <si>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</si>
  <si>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</si>
  <si>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</si>
  <si>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</si>
  <si>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</si>
  <si>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</si>
  <si>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</si>
  <si>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</si>
  <si>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</si>
  <si>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</si>
  <si>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</si>
  <si>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</si>
  <si>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</si>
  <si>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</si>
  <si>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</si>
  <si>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</si>
  <si>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</si>
  <si>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</si>
  <si>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</si>
  <si>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</si>
  <si>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</si>
  <si>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</si>
  <si>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</si>
  <si>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</si>
  <si>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</si>
  <si>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</si>
  <si>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</si>
  <si>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</si>
  <si>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</si>
  <si>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</si>
  <si>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</si>
  <si>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</si>
  <si>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</si>
  <si>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</si>
  <si>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</si>
  <si>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</si>
  <si>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</si>
  <si>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</si>
  <si>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</si>
  <si>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</si>
  <si>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</si>
  <si>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</si>
  <si>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</si>
  <si>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</si>
  <si>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</si>
  <si>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</si>
  <si>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</si>
  <si>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</si>
  <si>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</si>
  <si>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</si>
  <si>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</si>
  <si>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</si>
  <si>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</si>
  <si>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</si>
  <si>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</si>
  <si>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</si>
  <si>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</si>
  <si>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</si>
  <si>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</si>
  <si>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</si>
  <si>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</si>
  <si>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</si>
  <si>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</si>
  <si>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</si>
  <si>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</si>
  <si>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</si>
  <si>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</si>
  <si>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</si>
  <si>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</si>
  <si>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</si>
  <si>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</si>
  <si>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</si>
  <si>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</si>
  <si>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</si>
  <si>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</si>
  <si>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</si>
  <si>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</si>
  <si>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</si>
  <si>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</si>
  <si>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</si>
  <si>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</si>
  <si>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</si>
  <si>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</si>
  <si>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</si>
  <si>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</si>
  <si>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</si>
  <si>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</si>
  <si>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</si>
  <si>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</si>
  <si>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</si>
  <si>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</si>
  <si>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</si>
  <si>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</si>
  <si>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</si>
  <si>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</si>
  <si>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</si>
  <si>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</si>
  <si>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</si>
  <si>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</si>
  <si>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</si>
  <si>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</si>
  <si>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</si>
  <si>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</si>
  <si>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</si>
  <si>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</si>
  <si>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</si>
  <si>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</si>
  <si>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</si>
  <si>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</si>
  <si>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</si>
  <si>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</si>
  <si>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</si>
  <si>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</si>
  <si>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</si>
  <si>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</si>
  <si>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</si>
  <si>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</si>
  <si>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</si>
  <si>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</si>
  <si>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</si>
  <si>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</si>
  <si>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</si>
  <si>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</si>
  <si>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</si>
  <si>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</si>
  <si>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</si>
  <si>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</si>
  <si>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</si>
  <si>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</si>
  <si>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</si>
  <si>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</si>
  <si>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</si>
  <si>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</si>
  <si>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</si>
  <si>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</si>
  <si>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</si>
  <si>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</si>
  <si>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</si>
  <si>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</si>
  <si>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</si>
  <si>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</si>
  <si>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</si>
  <si>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</si>
  <si>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</si>
  <si>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</si>
  <si>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</si>
  <si>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</si>
  <si>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</si>
  <si>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</si>
  <si>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</si>
  <si>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</si>
  <si>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</si>
  <si>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</si>
  <si>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</si>
  <si>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</si>
  <si>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</si>
  <si>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</si>
  <si>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</si>
  <si>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</si>
  <si>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</si>
  <si>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</si>
  <si>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</si>
  <si>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</si>
  <si>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</si>
  <si>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</si>
  <si>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</si>
  <si>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</si>
  <si>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</si>
  <si>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</si>
  <si>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</si>
  <si>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</si>
  <si>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</si>
  <si>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</si>
  <si>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</si>
  <si>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</si>
  <si>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</si>
  <si>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</si>
  <si>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</si>
  <si>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</si>
  <si>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</si>
  <si>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</si>
  <si>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</si>
  <si>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</si>
  <si>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</si>
  <si>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</si>
  <si>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</si>
  <si>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</si>
  <si>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</si>
  <si>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</si>
  <si>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</si>
  <si>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</si>
  <si>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</si>
  <si>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</si>
  <si>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</si>
  <si>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</si>
  <si>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</si>
  <si>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</si>
  <si>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</si>
  <si>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</si>
  <si>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</si>
  <si>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</si>
  <si>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</si>
  <si>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</si>
  <si>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</si>
  <si>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</si>
  <si>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</si>
  <si>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</si>
  <si>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</si>
  <si>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</si>
  <si>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</si>
  <si>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</si>
  <si>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</si>
  <si>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</si>
  <si>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</si>
  <si>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</si>
  <si>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</si>
  <si>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</si>
  <si>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</si>
  <si>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</si>
  <si>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</si>
  <si>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</si>
  <si>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</si>
  <si>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</si>
  <si>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</si>
  <si>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</si>
  <si>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</si>
  <si>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</si>
  <si>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</si>
  <si>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</si>
  <si>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</si>
  <si>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</si>
  <si>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</si>
  <si>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</si>
  <si>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</si>
  <si>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</si>
  <si>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</si>
  <si>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</si>
  <si>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</si>
  <si>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</si>
  <si>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</si>
  <si>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</si>
  <si>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</si>
  <si>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</si>
  <si>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</si>
  <si>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</si>
  <si>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</si>
  <si>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</si>
  <si>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</si>
  <si>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</si>
  <si>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</si>
  <si>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</si>
  <si>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</si>
  <si>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</si>
  <si>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</si>
  <si>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</si>
  <si>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</si>
  <si>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</si>
  <si>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</si>
  <si>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</si>
  <si>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</si>
  <si>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</si>
  <si>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</si>
  <si>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</si>
  <si>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</si>
  <si>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</si>
  <si>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</si>
  <si>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</si>
  <si>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</si>
  <si>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</si>
  <si>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</si>
  <si>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</si>
  <si>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</si>
  <si>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</si>
  <si>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</si>
  <si>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</si>
  <si>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</si>
  <si>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</si>
  <si>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</si>
  <si>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</si>
  <si>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</si>
  <si>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</si>
  <si>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</si>
  <si>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</si>
  <si>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</si>
  <si>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</si>
  <si>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</si>
  <si>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</si>
  <si>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</si>
  <si>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</si>
  <si>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</si>
  <si>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</si>
  <si>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</si>
  <si>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</si>
  <si>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</si>
  <si>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</si>
  <si>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</si>
  <si>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</si>
  <si>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</si>
  <si>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</si>
  <si>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</si>
  <si>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</si>
  <si>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</si>
  <si>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</si>
  <si>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</si>
  <si>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</si>
  <si>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</si>
  <si>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</si>
  <si>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</si>
  <si>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</si>
  <si>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</si>
  <si>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</si>
  <si>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</si>
  <si>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</si>
  <si>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</si>
  <si>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</si>
  <si>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</si>
  <si>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</si>
  <si>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</si>
  <si>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</si>
  <si>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</si>
  <si>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</si>
  <si>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</si>
  <si>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</si>
  <si>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</si>
  <si>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</si>
  <si>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</si>
  <si>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</si>
  <si>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</si>
  <si>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</si>
  <si>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</si>
  <si>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</si>
  <si>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</si>
  <si>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</si>
  <si>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</si>
  <si>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</si>
  <si>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</si>
  <si>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</si>
  <si>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</si>
  <si>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</si>
  <si>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</si>
  <si>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</si>
  <si>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</si>
  <si>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</si>
  <si>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</si>
  <si>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</si>
  <si>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</si>
  <si>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</si>
  <si>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</si>
  <si>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</si>
  <si>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</si>
  <si>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</si>
  <si>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</si>
  <si>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</si>
  <si>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</si>
  <si>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</si>
  <si>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</si>
  <si>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</si>
  <si>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</si>
  <si>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</si>
  <si>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</si>
  <si>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</si>
  <si>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</si>
  <si>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</si>
  <si>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</si>
  <si>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</si>
  <si>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</si>
  <si>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</si>
  <si>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</si>
  <si>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</si>
  <si>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</si>
  <si>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</si>
  <si>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</si>
  <si>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</si>
  <si>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</si>
  <si>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</si>
  <si>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</si>
  <si>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</si>
  <si>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</si>
  <si>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</si>
  <si>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</si>
  <si>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</si>
  <si>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</si>
  <si>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</si>
  <si>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</si>
  <si>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</si>
  <si>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</si>
  <si>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</si>
  <si>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</si>
  <si>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</si>
  <si>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</si>
  <si>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</si>
  <si>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</si>
  <si>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</si>
  <si>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</si>
  <si>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</si>
  <si>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</si>
  <si>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</si>
  <si>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</si>
  <si>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</si>
  <si>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</si>
  <si>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</si>
  <si>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</si>
  <si>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</si>
  <si>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</si>
  <si>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</si>
  <si>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</si>
  <si>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</si>
  <si>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</si>
  <si>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</si>
  <si>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</si>
  <si>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</si>
  <si>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</si>
  <si>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</si>
  <si>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</si>
  <si>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</si>
  <si>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</si>
  <si>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</si>
  <si>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</si>
  <si>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</si>
  <si>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</si>
  <si>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</si>
  <si>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</si>
  <si>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</si>
  <si>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</si>
  <si>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</si>
  <si>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</si>
  <si>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</si>
  <si>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</si>
  <si>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</si>
  <si>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</si>
  <si>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</si>
  <si>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</si>
  <si>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</si>
  <si>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</si>
  <si>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</si>
  <si>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</si>
  <si>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</si>
  <si>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</si>
  <si>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</si>
  <si>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</si>
  <si>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</si>
  <si>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</si>
  <si>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</si>
  <si>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</si>
  <si>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</si>
  <si>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</si>
  <si>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</si>
  <si>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</si>
  <si>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</si>
  <si>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</si>
  <si>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</si>
  <si>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</si>
  <si>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</si>
  <si>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</si>
  <si>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</si>
  <si>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</si>
  <si>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</si>
  <si>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</si>
  <si>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</si>
  <si>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</si>
  <si>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</si>
  <si>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</si>
  <si>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</si>
  <si>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</si>
  <si>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</si>
  <si>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</si>
  <si>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</si>
  <si>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</si>
  <si>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</si>
  <si>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</si>
  <si>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</si>
  <si>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</si>
  <si>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</si>
  <si>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</si>
  <si>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</si>
  <si>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</si>
  <si>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</si>
  <si>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</si>
  <si>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</si>
  <si>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</si>
  <si>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</si>
  <si>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</si>
  <si>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</si>
  <si>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</si>
  <si>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</si>
  <si>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</si>
  <si>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</si>
  <si>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</si>
  <si>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</si>
  <si>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</si>
  <si>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</si>
  <si>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</si>
  <si>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</si>
  <si>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</si>
  <si>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</si>
  <si>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</si>
  <si>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</si>
  <si>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</si>
  <si>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</si>
  <si>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</si>
  <si>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</si>
  <si>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</si>
  <si>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</si>
  <si>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</si>
  <si>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</si>
  <si>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</si>
  <si>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</si>
  <si>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</si>
  <si>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</si>
  <si>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</si>
  <si>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</si>
  <si>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</si>
  <si>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</si>
  <si>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</si>
  <si>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</si>
  <si>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</si>
  <si>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</si>
  <si>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</si>
  <si>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</si>
  <si>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</si>
  <si>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</si>
  <si>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</si>
  <si>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</si>
  <si>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</si>
  <si>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</si>
  <si>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</si>
  <si>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</si>
  <si>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</si>
  <si>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</si>
  <si>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</si>
  <si>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</si>
  <si>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</si>
  <si>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</si>
  <si>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</si>
  <si>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</si>
  <si>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</si>
  <si>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</si>
  <si>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</si>
  <si>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</si>
  <si>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</si>
  <si>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</si>
  <si>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</si>
  <si>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</si>
  <si>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</si>
  <si>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</si>
  <si>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</si>
  <si>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</si>
  <si>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</si>
  <si>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</si>
  <si>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</si>
  <si>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</si>
  <si>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</si>
  <si>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</si>
  <si>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</si>
  <si>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</si>
  <si>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</si>
  <si>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</si>
  <si>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</si>
  <si>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</si>
  <si>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</si>
  <si>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</si>
  <si>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</si>
  <si>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</si>
  <si>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</si>
  <si>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</si>
  <si>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</si>
  <si>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</si>
  <si>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</si>
  <si>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</si>
  <si>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</si>
  <si>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</si>
  <si>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</si>
  <si>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</si>
  <si>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</si>
  <si>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</si>
  <si>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</si>
  <si>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</si>
  <si>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</si>
  <si>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</si>
  <si>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</si>
  <si>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</si>
  <si>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</si>
  <si>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</si>
  <si>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</si>
  <si>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</si>
  <si>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</si>
  <si>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</si>
  <si>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</si>
  <si>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</si>
  <si>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</si>
  <si>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</si>
  <si>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</si>
  <si>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</si>
  <si>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</si>
  <si>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</si>
  <si>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</si>
  <si>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</si>
  <si>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</si>
  <si>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</si>
  <si>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</si>
  <si>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</si>
  <si>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</si>
  <si>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</si>
  <si>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</si>
  <si>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</si>
  <si>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</si>
  <si>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</si>
  <si>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</si>
  <si>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</si>
  <si>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</si>
  <si>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</si>
  <si>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</si>
  <si>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</si>
  <si>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</si>
  <si>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</si>
  <si>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</si>
  <si>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</si>
  <si>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</si>
  <si>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</si>
  <si>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</si>
  <si>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</si>
  <si>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</si>
  <si>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</si>
  <si>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</si>
  <si>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</si>
  <si>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</si>
  <si>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</si>
  <si>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</si>
  <si>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</si>
  <si>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</si>
  <si>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</si>
  <si>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</si>
  <si>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</si>
  <si>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</si>
  <si>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</si>
  <si>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</si>
  <si>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</si>
  <si>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</si>
  <si>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</si>
  <si>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</si>
  <si>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</si>
  <si>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</si>
  <si>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</si>
  <si>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</si>
  <si>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</si>
  <si>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</si>
  <si>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</si>
  <si>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</si>
  <si>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</si>
  <si>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</si>
  <si>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</si>
  <si>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</si>
  <si>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</si>
  <si>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</si>
  <si>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</si>
  <si>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</si>
  <si>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</si>
  <si>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</si>
  <si>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</si>
  <si>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</si>
  <si>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</si>
  <si>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</si>
  <si>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</si>
  <si>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</si>
  <si>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</si>
  <si>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</si>
  <si>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</si>
  <si>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</si>
  <si>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</si>
  <si>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</si>
  <si>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</si>
  <si>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</si>
  <si>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</si>
  <si>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</si>
  <si>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</si>
  <si>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</si>
  <si>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</si>
  <si>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</si>
  <si>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</si>
  <si>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</si>
  <si>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</si>
  <si>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</si>
  <si>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</si>
  <si>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</si>
  <si>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</si>
  <si>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</si>
  <si>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</si>
  <si>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</si>
  <si>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</si>
  <si>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</si>
  <si>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</si>
  <si>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</si>
  <si>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</si>
  <si>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</si>
  <si>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</si>
  <si>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</si>
  <si>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</si>
  <si>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</si>
  <si>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</si>
  <si>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</si>
  <si>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</si>
  <si>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</si>
  <si>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</si>
  <si>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</si>
  <si>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</si>
  <si>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</si>
  <si>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</si>
  <si>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</si>
  <si>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</si>
  <si>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</si>
  <si>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</si>
  <si>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</si>
  <si>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</si>
  <si>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</si>
  <si>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</si>
  <si>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</si>
  <si>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</si>
  <si>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</si>
  <si>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</si>
  <si>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</si>
  <si>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</si>
  <si>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</si>
  <si>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</si>
  <si>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</si>
  <si>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</si>
  <si>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</si>
  <si>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</si>
  <si>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</si>
  <si>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</si>
  <si>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</si>
  <si>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</si>
  <si>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</si>
  <si>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</si>
  <si>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</si>
  <si>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</si>
  <si>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</si>
  <si>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</si>
  <si>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</si>
  <si>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</si>
  <si>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</si>
  <si>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</si>
  <si>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</si>
  <si>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</si>
  <si>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</si>
  <si>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</si>
  <si>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</si>
  <si>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</si>
  <si>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</si>
  <si>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</si>
  <si>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</si>
  <si>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</si>
  <si>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</si>
  <si>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</si>
  <si>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</si>
  <si>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</si>
  <si>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</si>
  <si>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</si>
  <si>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</si>
  <si>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</si>
  <si>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</si>
  <si>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</si>
  <si>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</si>
  <si>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</si>
  <si>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</si>
  <si>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</si>
  <si>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</si>
  <si>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</si>
  <si>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</si>
  <si>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</si>
  <si>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</si>
  <si>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</si>
  <si>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</si>
  <si>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</si>
  <si>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</si>
  <si>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</si>
  <si>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</si>
  <si>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</si>
  <si>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</si>
  <si>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</si>
  <si>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</si>
  <si>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</si>
  <si>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</si>
  <si>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</si>
  <si>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</si>
  <si>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</si>
  <si>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</si>
  <si>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</si>
  <si>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</si>
  <si>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</si>
  <si>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</si>
  <si>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</si>
  <si>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</si>
  <si>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</si>
  <si>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</si>
  <si>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</si>
  <si>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</si>
  <si>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</si>
  <si>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</si>
  <si>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</si>
  <si>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</si>
  <si>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</si>
  <si>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</si>
  <si>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</si>
  <si>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</si>
  <si>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</si>
  <si>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</si>
  <si>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</si>
  <si>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</si>
  <si>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</si>
  <si>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</si>
  <si>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</si>
  <si>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</si>
  <si>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</si>
  <si>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</si>
  <si>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</si>
  <si>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</si>
  <si>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</si>
  <si>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</si>
  <si>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</si>
  <si>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</si>
  <si>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</si>
  <si>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</si>
  <si>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</si>
  <si>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</si>
  <si>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</si>
  <si>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</si>
  <si>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</si>
  <si>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</si>
  <si>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</si>
  <si>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</si>
  <si>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</si>
  <si>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</si>
  <si>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</si>
  <si>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</si>
  <si>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</si>
  <si>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</si>
  <si>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</si>
  <si>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</si>
  <si>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</si>
  <si>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</si>
  <si>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</si>
  <si>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</si>
  <si>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</si>
  <si>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</si>
  <si>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</si>
  <si>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</si>
  <si>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</si>
  <si>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</si>
  <si>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</si>
  <si>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</si>
  <si>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</si>
  <si>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</si>
  <si>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</si>
  <si>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</si>
  <si>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</si>
  <si>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</si>
  <si>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</si>
  <si>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</si>
  <si>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</si>
  <si>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</si>
  <si>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</si>
  <si>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</si>
  <si>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</si>
  <si>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</si>
  <si>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</si>
  <si>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</si>
  <si>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</si>
  <si>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</si>
  <si>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</si>
  <si>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</si>
  <si>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</si>
  <si>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</si>
  <si>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</si>
  <si>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</si>
  <si>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</si>
  <si>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</si>
  <si>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</si>
  <si>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</si>
  <si>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</si>
  <si>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</si>
  <si>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</si>
  <si>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</si>
  <si>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</si>
  <si>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</si>
  <si>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</si>
  <si>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</si>
  <si>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</si>
  <si>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</si>
  <si>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</si>
  <si>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</si>
  <si>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</si>
  <si>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</si>
  <si>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</si>
  <si>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</si>
  <si>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</si>
  <si>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</si>
  <si>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</si>
  <si>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</si>
  <si>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</si>
  <si>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</si>
  <si>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</si>
  <si>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</si>
  <si>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</si>
  <si>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</si>
  <si>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</si>
  <si>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</si>
  <si>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</si>
  <si>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</si>
  <si>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</si>
  <si>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</si>
  <si>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</si>
  <si>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</si>
  <si>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</si>
  <si>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</si>
  <si>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</si>
  <si>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</si>
  <si>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</si>
  <si>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</si>
  <si>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</si>
  <si>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</si>
  <si>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</si>
  <si>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</si>
  <si>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</si>
  <si>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</si>
  <si>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</si>
  <si>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</si>
  <si>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</si>
  <si>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</si>
  <si>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</si>
  <si>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</si>
  <si>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</si>
  <si>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</si>
  <si>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</si>
  <si>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</si>
  <si>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</si>
  <si>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</si>
  <si>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</si>
  <si>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</si>
  <si>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</si>
  <si>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</si>
  <si>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</si>
  <si>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</si>
  <si>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</si>
  <si>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</si>
  <si>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</si>
  <si>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</si>
  <si>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</si>
  <si>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</si>
  <si>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</si>
  <si>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</si>
  <si>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</si>
  <si>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</si>
  <si>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</si>
  <si>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</si>
  <si>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</si>
  <si>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</si>
  <si>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</si>
  <si>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</si>
  <si>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</si>
  <si>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</si>
  <si>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</si>
  <si>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</si>
  <si>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</si>
  <si>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</si>
  <si>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</si>
  <si>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</si>
  <si>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</si>
  <si>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</si>
  <si>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</si>
  <si>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</si>
  <si>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</si>
  <si>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</si>
  <si>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</si>
  <si>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</si>
  <si>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</si>
  <si>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</si>
  <si>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</si>
  <si>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</si>
  <si>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</si>
  <si>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</si>
  <si>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</si>
  <si>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</si>
  <si>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</si>
  <si>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</si>
  <si>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</si>
  <si>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</si>
  <si>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</si>
  <si>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</si>
  <si>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</si>
  <si>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</si>
  <si>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</si>
  <si>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</si>
  <si>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</si>
  <si>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</si>
  <si>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</si>
  <si>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</si>
  <si>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</si>
  <si>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</si>
  <si>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</si>
  <si>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</si>
  <si>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</si>
  <si>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</si>
  <si>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</si>
  <si>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</si>
  <si>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</si>
  <si>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</si>
  <si>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</si>
  <si>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</si>
  <si>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</si>
  <si>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</si>
  <si>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</si>
  <si>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</si>
  <si>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</si>
  <si>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</si>
  <si>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</si>
  <si>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</si>
  <si>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</si>
  <si>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</si>
  <si>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</si>
  <si>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</si>
  <si>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</si>
  <si>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</si>
  <si>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</si>
  <si>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</si>
  <si>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</si>
  <si>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</si>
  <si>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</si>
  <si>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</si>
  <si>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</si>
  <si>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</si>
  <si>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</si>
  <si>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</si>
  <si>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</si>
  <si>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</si>
  <si>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</si>
  <si>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</si>
  <si>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</si>
  <si>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</si>
  <si>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</si>
  <si>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</si>
  <si>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</si>
  <si>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</si>
  <si>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</si>
  <si>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</si>
  <si>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</si>
  <si>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</si>
  <si>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</si>
  <si>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</si>
  <si>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</si>
  <si>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</si>
  <si>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</si>
  <si>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</si>
  <si>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</si>
  <si>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</si>
  <si>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</si>
  <si>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</si>
  <si>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</si>
  <si>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</si>
  <si>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</si>
  <si>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</si>
  <si>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</si>
  <si>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</si>
  <si>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</si>
  <si>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</si>
  <si>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</si>
  <si>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</si>
  <si>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</si>
  <si>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</si>
  <si>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</si>
  <si>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</si>
  <si>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</si>
  <si>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</si>
  <si>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</si>
  <si>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</si>
  <si>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</si>
  <si>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</si>
  <si>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</si>
  <si>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</si>
  <si>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</si>
  <si>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</si>
  <si>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</si>
  <si>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</si>
  <si>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</si>
  <si>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</si>
  <si>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</si>
  <si>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</si>
  <si>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</si>
  <si>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</si>
  <si>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</si>
  <si>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</si>
  <si>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</si>
  <si>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</si>
  <si>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</si>
  <si>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</si>
  <si>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</si>
  <si>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</si>
  <si>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</si>
  <si>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</si>
  <si>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</si>
  <si>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</si>
  <si>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</si>
  <si>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</si>
  <si>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</si>
  <si>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</si>
  <si>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</si>
  <si>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</si>
  <si>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</si>
  <si>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</si>
  <si>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</si>
  <si>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</si>
  <si>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</si>
  <si>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</si>
  <si>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</si>
  <si>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</si>
  <si>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</si>
  <si>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</si>
  <si>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</si>
  <si>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</si>
  <si>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</si>
  <si>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</si>
  <si>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</si>
  <si>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</si>
  <si>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</si>
  <si>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</si>
  <si>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</si>
  <si>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</si>
  <si>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</si>
  <si>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</si>
  <si>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</si>
  <si>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</si>
  <si>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</si>
  <si>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</si>
  <si>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</si>
  <si>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</si>
  <si>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</si>
  <si>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</si>
  <si>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</si>
  <si>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</si>
  <si>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</si>
  <si>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</si>
  <si>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</si>
  <si>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</si>
  <si>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</si>
  <si>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</si>
  <si>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</si>
  <si>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</si>
  <si>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</si>
  <si>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</si>
  <si>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</si>
  <si>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</si>
  <si>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</si>
  <si>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</si>
  <si>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</si>
  <si>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</si>
  <si>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</si>
  <si>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</si>
  <si>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</si>
  <si>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</si>
  <si>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</si>
  <si>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</si>
  <si>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</si>
  <si>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</si>
  <si>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</si>
  <si>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</si>
  <si>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</si>
  <si>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</si>
  <si>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</si>
  <si>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</si>
  <si>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</si>
  <si>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</si>
  <si>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</si>
  <si>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</si>
  <si>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</si>
  <si>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</si>
  <si>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</si>
  <si>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</si>
  <si>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</si>
  <si>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</si>
  <si>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</si>
  <si>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</si>
  <si>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</si>
  <si>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</si>
  <si>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</si>
  <si>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</si>
  <si>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</si>
  <si>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</si>
  <si>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</si>
  <si>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</si>
  <si>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</si>
  <si>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</si>
  <si>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</si>
  <si>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</si>
  <si>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</si>
  <si>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</si>
  <si>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</si>
  <si>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</si>
  <si>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</si>
  <si>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</si>
  <si>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</si>
  <si>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</si>
  <si>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</si>
  <si>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</si>
  <si>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</si>
  <si>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</si>
  <si>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</si>
  <si>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</si>
  <si>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</si>
  <si>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</si>
  <si>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</si>
  <si>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</si>
  <si>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</si>
  <si>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</si>
  <si>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</si>
  <si>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</si>
  <si>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</si>
  <si>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</si>
  <si>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</si>
  <si>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</si>
  <si>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</si>
  <si>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</si>
  <si>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</si>
  <si>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</si>
  <si>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</si>
  <si>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</si>
  <si>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</si>
  <si>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</si>
  <si>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</si>
  <si>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</si>
  <si>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</si>
  <si>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</si>
  <si>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</si>
  <si>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</si>
  <si>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</si>
  <si>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</si>
  <si>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</si>
  <si>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</si>
  <si>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</si>
  <si>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</si>
  <si>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</si>
  <si>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</si>
  <si>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</si>
  <si>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</si>
  <si>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</si>
  <si>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</si>
  <si>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</si>
  <si>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</si>
  <si>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</si>
  <si>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</si>
  <si>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</si>
  <si>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</si>
  <si>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</si>
  <si>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</si>
  <si>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</si>
  <si>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</si>
  <si>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</si>
  <si>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</si>
  <si>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</si>
  <si>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</si>
  <si>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</si>
  <si>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</si>
  <si>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</si>
  <si>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</si>
  <si>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</si>
  <si>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</si>
  <si>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</si>
  <si>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</si>
  <si>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</si>
  <si>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</si>
  <si>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</si>
  <si>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</si>
  <si>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</si>
  <si>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</si>
  <si>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</si>
  <si>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</si>
  <si>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</si>
  <si>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</si>
  <si>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</si>
  <si>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</si>
  <si>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</si>
  <si>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</si>
  <si>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</si>
  <si>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</si>
  <si>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</si>
  <si>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</si>
  <si>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</si>
  <si>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</si>
  <si>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</si>
  <si>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</si>
  <si>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</si>
  <si>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</si>
  <si>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</si>
  <si>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</si>
  <si>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</si>
  <si>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</si>
  <si>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</si>
  <si>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</si>
  <si>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</si>
  <si>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</si>
  <si>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</si>
  <si>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</si>
  <si>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</si>
  <si>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</si>
  <si>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</si>
  <si>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</si>
  <si>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</si>
  <si>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</si>
  <si>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</si>
  <si>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</si>
  <si>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</si>
  <si>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</si>
  <si>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</si>
  <si>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</si>
  <si>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</si>
  <si>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</si>
  <si>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</si>
  <si>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</si>
  <si>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</si>
  <si>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</si>
  <si>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</si>
  <si>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</si>
  <si>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</si>
  <si>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</si>
  <si>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</si>
  <si>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</si>
  <si>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</si>
  <si>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</si>
  <si>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</si>
  <si>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</si>
  <si>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</si>
  <si>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</si>
  <si>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</si>
  <si>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</si>
  <si>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</si>
  <si>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</si>
  <si>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</si>
  <si>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</si>
  <si>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</si>
  <si>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</si>
  <si>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</si>
  <si>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</si>
  <si>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</si>
  <si>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</si>
  <si>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</si>
  <si>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</si>
  <si>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</si>
  <si>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</si>
  <si>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</si>
  <si>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</si>
  <si>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</si>
  <si>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</si>
  <si>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</si>
  <si>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</si>
  <si>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</si>
  <si>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</si>
  <si>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</si>
  <si>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</si>
  <si>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</si>
  <si>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</si>
  <si>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</si>
  <si>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</si>
  <si>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</si>
  <si>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</si>
  <si>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</si>
  <si>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</si>
  <si>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</si>
  <si>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</si>
  <si>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</si>
  <si>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</si>
  <si>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</si>
  <si>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</si>
  <si>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</si>
  <si>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</si>
  <si>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</si>
  <si>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</si>
  <si>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</si>
  <si>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</si>
  <si>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</si>
  <si>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</si>
  <si>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</si>
  <si>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</si>
  <si>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</si>
  <si>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</si>
  <si>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</si>
  <si>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</si>
  <si>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</si>
  <si>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</si>
  <si>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</si>
  <si>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</si>
  <si>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</si>
  <si>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</si>
  <si>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</si>
  <si>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</si>
  <si>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</si>
  <si>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</si>
  <si>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</si>
  <si>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</si>
  <si>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</si>
  <si>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</si>
  <si>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</si>
  <si>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</si>
  <si>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</si>
  <si>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</si>
  <si>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</si>
  <si>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</si>
  <si>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</si>
  <si>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</si>
  <si>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</si>
  <si>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</si>
  <si>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</si>
  <si>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</si>
  <si>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</si>
  <si>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</si>
  <si>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</si>
  <si>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</si>
  <si>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</si>
  <si>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</si>
  <si>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</si>
  <si>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</si>
  <si>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</si>
  <si>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</si>
  <si>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</si>
  <si>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</si>
  <si>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</si>
  <si>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</si>
  <si>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</si>
  <si>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</si>
  <si>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</si>
  <si>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</si>
  <si>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</si>
  <si>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</si>
  <si>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</si>
  <si>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</si>
  <si>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</si>
  <si>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</si>
  <si>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</si>
  <si>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</si>
  <si>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</si>
  <si>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</si>
  <si>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</si>
  <si>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</si>
  <si>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</si>
  <si>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</si>
  <si>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</si>
  <si>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</si>
  <si>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</si>
  <si>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</si>
  <si>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</si>
  <si>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</si>
  <si>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</si>
  <si>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</si>
  <si>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</si>
  <si>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</si>
  <si>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</si>
  <si>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</si>
  <si>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</si>
  <si>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</si>
  <si>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</si>
  <si>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</si>
  <si>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</si>
  <si>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</si>
  <si>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</si>
  <si>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</si>
  <si>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</si>
  <si>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</si>
  <si>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</si>
  <si>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</si>
  <si>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</si>
  <si>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</si>
  <si>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</si>
  <si>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</si>
  <si>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</si>
  <si>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</si>
  <si>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</si>
  <si>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</si>
  <si>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</si>
  <si>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</si>
  <si>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</si>
  <si>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</si>
  <si>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</si>
  <si>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</si>
  <si>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</si>
  <si>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</si>
  <si>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</si>
  <si>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</si>
  <si>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</si>
  <si>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</si>
  <si>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</si>
  <si>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</si>
  <si>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</si>
  <si>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</si>
  <si>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</si>
  <si>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</si>
  <si>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</si>
  <si>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</si>
  <si>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</si>
  <si>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</si>
  <si>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</si>
  <si>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</si>
  <si>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</si>
  <si>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</si>
  <si>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</si>
  <si>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</si>
  <si>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</si>
  <si>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</si>
  <si>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</si>
  <si>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</si>
  <si>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</si>
  <si>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</si>
  <si>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</si>
  <si>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</si>
  <si>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</si>
  <si>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</si>
  <si>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</si>
  <si>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</si>
  <si>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</si>
  <si>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</si>
  <si>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</si>
  <si>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</si>
  <si>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</si>
  <si>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</si>
  <si>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</si>
  <si>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</si>
  <si>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</si>
  <si>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</si>
  <si>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</si>
  <si>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</si>
  <si>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</si>
  <si>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</si>
  <si>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</si>
  <si>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</si>
  <si>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</si>
  <si>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</si>
  <si>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</si>
  <si>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</si>
  <si>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</si>
  <si>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</si>
  <si>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</si>
  <si>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</si>
  <si>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</si>
  <si>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</si>
  <si>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</si>
  <si>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</si>
  <si>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</si>
  <si>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</si>
  <si>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</si>
  <si>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</si>
  <si>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</si>
  <si>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</si>
  <si>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</si>
  <si>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</si>
  <si>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</si>
  <si>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</si>
  <si>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</si>
  <si>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</si>
  <si>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</si>
  <si>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</si>
  <si>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</si>
  <si>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</si>
  <si>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</si>
  <si>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</si>
  <si>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</si>
  <si>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</si>
  <si>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</si>
  <si>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</si>
  <si>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</si>
  <si>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</si>
  <si>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</si>
  <si>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</si>
  <si>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</si>
  <si>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</si>
  <si>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</si>
  <si>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</si>
  <si>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</si>
  <si>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</si>
  <si>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</si>
  <si>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</si>
  <si>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</si>
  <si>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</si>
  <si>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</si>
  <si>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</si>
  <si>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</si>
  <si>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</si>
  <si>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</si>
  <si>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</si>
  <si>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</si>
  <si>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</si>
  <si>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</si>
  <si>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</si>
  <si>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</si>
  <si>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</si>
  <si>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</si>
  <si>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</si>
  <si>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</si>
  <si>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</si>
  <si>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</si>
  <si>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</si>
  <si>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</si>
  <si>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</si>
  <si>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</si>
  <si>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</si>
  <si>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</si>
  <si>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</si>
  <si>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</si>
  <si>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</si>
  <si>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</si>
  <si>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</si>
  <si>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</si>
  <si>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</si>
  <si>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</si>
  <si>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</si>
  <si>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</si>
  <si>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</si>
  <si>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</si>
  <si>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</si>
  <si>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</si>
  <si>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</si>
  <si>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</si>
  <si>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</si>
  <si>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</si>
  <si>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</si>
  <si>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</si>
  <si>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</si>
  <si>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</si>
  <si>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</si>
  <si>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</si>
  <si>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</si>
  <si>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</si>
  <si>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</si>
  <si>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</si>
  <si>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</si>
  <si>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</si>
  <si>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</si>
  <si>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</si>
  <si>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</si>
  <si>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</si>
  <si>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</si>
  <si>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</si>
  <si>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</si>
  <si>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</si>
  <si>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</si>
  <si>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</si>
  <si>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</si>
  <si>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</si>
  <si>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</si>
  <si>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</si>
  <si>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</si>
  <si>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</si>
  <si>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</si>
  <si>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</si>
  <si>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</si>
  <si>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</si>
  <si>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</si>
  <si>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</si>
  <si>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</si>
  <si>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</si>
  <si>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</si>
  <si>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</si>
  <si>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</si>
  <si>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</si>
  <si>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</si>
  <si>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</si>
  <si>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</si>
  <si>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</si>
  <si>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</si>
  <si>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</si>
  <si>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</si>
  <si>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</si>
  <si>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</si>
  <si>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</si>
  <si>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</si>
  <si>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</si>
  <si>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</si>
  <si>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</si>
  <si>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</si>
  <si>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</si>
  <si>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</si>
  <si>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</si>
  <si>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</si>
  <si>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</si>
  <si>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</si>
  <si>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</si>
  <si>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</si>
  <si>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</si>
  <si>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</si>
  <si>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</si>
  <si>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</si>
  <si>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</si>
  <si>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</si>
  <si>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</si>
  <si>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</si>
  <si>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</si>
  <si>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</si>
  <si>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</si>
  <si>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</si>
  <si>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</si>
  <si>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</si>
  <si>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</si>
  <si>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</si>
  <si>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</si>
  <si>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</si>
  <si>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</si>
  <si>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</si>
  <si>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</si>
  <si>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</si>
  <si>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</si>
  <si>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</si>
  <si>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</si>
  <si>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</si>
  <si>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</si>
  <si>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</si>
  <si>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</si>
  <si>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</si>
  <si>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</si>
  <si>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</si>
  <si>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</si>
  <si>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</si>
  <si>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</si>
  <si>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</si>
  <si>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</si>
  <si>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</si>
  <si>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</si>
  <si>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</si>
  <si>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</si>
  <si>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</si>
  <si>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</si>
  <si>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</si>
  <si>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</si>
  <si>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</si>
  <si>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</si>
  <si>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</si>
  <si>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</si>
  <si>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</si>
  <si>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</si>
  <si>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</si>
  <si>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</si>
  <si>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</si>
  <si>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</si>
  <si>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</si>
  <si>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</si>
  <si>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</si>
  <si>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</si>
  <si>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</si>
  <si>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</si>
  <si>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</si>
  <si>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</si>
  <si>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</si>
  <si>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</si>
  <si>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</si>
  <si>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</si>
  <si>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</si>
  <si>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</si>
  <si>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</si>
  <si>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</si>
  <si>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</si>
  <si>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</si>
  <si>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</si>
  <si>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</si>
  <si>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</si>
  <si>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</si>
  <si>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</si>
  <si>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</si>
  <si>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</si>
  <si>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</si>
  <si>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</si>
  <si>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</si>
  <si>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</si>
  <si>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</si>
  <si>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</si>
  <si>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</si>
  <si>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</si>
  <si>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</si>
  <si>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</si>
  <si>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</si>
  <si>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</si>
  <si>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</si>
  <si>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</si>
  <si>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</si>
  <si>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</si>
  <si>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</si>
  <si>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</si>
  <si>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</si>
  <si>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</si>
  <si>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</si>
  <si>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</si>
  <si>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</si>
  <si>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</si>
  <si>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</si>
  <si>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</si>
  <si>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</si>
  <si>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</si>
  <si>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</si>
  <si>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</si>
  <si>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</si>
  <si>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</si>
  <si>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</si>
  <si>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</si>
  <si>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</si>
  <si>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</si>
  <si>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</si>
  <si>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</si>
  <si>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</si>
  <si>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</si>
  <si>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</si>
  <si>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</si>
  <si>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</si>
  <si>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</si>
  <si>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</si>
  <si>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</si>
  <si>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</si>
  <si>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</si>
  <si>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</si>
  <si>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</si>
  <si>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</si>
  <si>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</si>
  <si>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</si>
  <si>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</si>
  <si>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</si>
  <si>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</si>
  <si>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</si>
  <si>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</si>
  <si>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</si>
  <si>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</si>
  <si>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</si>
  <si>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</si>
  <si>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</si>
  <si>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</si>
  <si>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</si>
  <si>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</si>
  <si>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</si>
  <si>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</si>
  <si>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</si>
  <si>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</si>
  <si>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</si>
  <si>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</si>
  <si>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</si>
  <si>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</si>
  <si>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</si>
  <si>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</si>
  <si>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</si>
  <si>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</si>
  <si>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</si>
  <si>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</si>
  <si>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</si>
  <si>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</si>
  <si>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</si>
  <si>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</si>
  <si>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</si>
  <si>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</si>
  <si>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</si>
  <si>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</si>
  <si>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</si>
  <si>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</si>
  <si>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</si>
  <si>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</si>
  <si>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</si>
  <si>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</si>
  <si>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</si>
  <si>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</si>
  <si>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</si>
  <si>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</si>
  <si>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</si>
  <si>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</si>
  <si>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</si>
  <si>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</si>
  <si>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</si>
  <si>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</si>
  <si>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</si>
  <si>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</si>
  <si>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</si>
  <si>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</si>
  <si>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</si>
  <si>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</si>
  <si>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</si>
  <si>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</si>
  <si>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</si>
  <si>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</si>
  <si>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</si>
  <si>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</si>
  <si>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</si>
  <si>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</si>
  <si>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</si>
  <si>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</si>
  <si>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</si>
  <si>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</si>
  <si>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</si>
  <si>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</si>
  <si>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</si>
  <si>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</si>
  <si>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</si>
  <si>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</si>
  <si>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</si>
  <si>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</si>
  <si>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</si>
  <si>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</si>
  <si>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</si>
  <si>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</si>
  <si>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</si>
  <si>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</si>
  <si>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</si>
  <si>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</si>
  <si>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</si>
  <si>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</si>
  <si>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</si>
  <si>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</si>
  <si>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</si>
  <si>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</si>
  <si>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</si>
  <si>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</si>
  <si>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</si>
  <si>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</si>
  <si>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</si>
  <si>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</si>
  <si>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</si>
  <si>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</si>
  <si>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</si>
  <si>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</si>
  <si>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</si>
  <si>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</si>
  <si>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</si>
  <si>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</si>
  <si>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</si>
  <si>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</si>
  <si>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</si>
  <si>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</si>
  <si>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</si>
  <si>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</si>
  <si>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</si>
  <si>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</si>
  <si>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</si>
  <si>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</si>
  <si>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</si>
  <si>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</si>
  <si>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</si>
  <si>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</si>
  <si>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</si>
  <si>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</si>
  <si>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</si>
  <si>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</si>
  <si>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</si>
  <si>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</si>
  <si>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</si>
  <si>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</si>
  <si>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</si>
  <si>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</si>
  <si>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</si>
  <si>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</si>
  <si>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</si>
  <si>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</si>
  <si>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</si>
  <si>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</si>
  <si>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</si>
  <si>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</si>
  <si>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</si>
  <si>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</si>
  <si>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</si>
  <si>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</si>
  <si>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</si>
  <si>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</si>
  <si>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</si>
  <si>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</si>
  <si>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</si>
  <si>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</si>
  <si>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</si>
  <si>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</si>
  <si>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</si>
  <si>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</si>
  <si>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</si>
  <si>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</si>
  <si>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</si>
  <si>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</si>
  <si>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</si>
  <si>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</si>
  <si>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</si>
  <si>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</si>
  <si>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</si>
  <si>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</si>
  <si>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</si>
  <si>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</si>
  <si>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</si>
  <si>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</si>
  <si>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</si>
  <si>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</si>
  <si>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</si>
  <si>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</si>
  <si>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</si>
  <si>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</si>
  <si>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</si>
  <si>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</si>
  <si>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</si>
  <si>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</si>
  <si>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</si>
  <si>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</si>
  <si>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</si>
  <si>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</si>
  <si>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</si>
  <si>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</si>
  <si>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</si>
  <si>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</si>
  <si>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</si>
  <si>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</si>
  <si>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</si>
  <si>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</si>
  <si>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</si>
  <si>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</si>
  <si>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</si>
  <si>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</si>
  <si>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</si>
  <si>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</si>
  <si>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</si>
  <si>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</si>
  <si>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</si>
  <si>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</si>
  <si>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</si>
  <si>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</si>
  <si>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</si>
  <si>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</si>
  <si>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</si>
  <si>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</si>
  <si>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</si>
  <si>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</si>
  <si>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</si>
  <si>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</si>
  <si>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</si>
  <si>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</si>
  <si>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</si>
  <si>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</si>
  <si>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</si>
  <si>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</si>
  <si>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</si>
  <si>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</si>
  <si>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</si>
  <si>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</si>
  <si>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</si>
  <si>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</si>
  <si>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</si>
  <si>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</si>
  <si>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</si>
  <si>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</si>
  <si>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</si>
  <si>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</si>
  <si>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</si>
  <si>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</si>
  <si>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</si>
  <si>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</si>
  <si>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</si>
  <si>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</si>
  <si>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</si>
  <si>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</si>
  <si>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</si>
  <si>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</si>
  <si>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</si>
  <si>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</si>
  <si>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</si>
  <si>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</si>
  <si>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</si>
  <si>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</si>
  <si>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</si>
  <si>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</si>
  <si>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</si>
  <si>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</si>
  <si>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</si>
  <si>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</si>
  <si>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</si>
  <si>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</si>
  <si>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</si>
  <si>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</si>
  <si>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</si>
  <si>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</si>
  <si>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</si>
  <si>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</si>
  <si>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</si>
  <si>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</si>
  <si>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</si>
  <si>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</si>
  <si>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</si>
  <si>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</si>
  <si>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</si>
  <si>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</si>
  <si>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</si>
  <si>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</si>
  <si>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</si>
  <si>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</si>
  <si>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</si>
  <si>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</si>
  <si>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</si>
  <si>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</si>
  <si>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</si>
  <si>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</si>
  <si>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</si>
  <si>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</si>
  <si>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</si>
  <si>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</si>
  <si>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</si>
  <si>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</si>
  <si>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</si>
  <si>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</si>
  <si>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</si>
  <si>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</si>
  <si>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</si>
  <si>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</si>
  <si>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</si>
  <si>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</si>
  <si>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</si>
  <si>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</si>
  <si>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</si>
  <si>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</si>
  <si>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</si>
  <si>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</si>
  <si>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</si>
  <si>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</si>
  <si>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</si>
  <si>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</si>
  <si>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</si>
  <si>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</si>
  <si>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</si>
  <si>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</si>
  <si>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</si>
  <si>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</si>
  <si>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</si>
  <si>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</si>
  <si>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</si>
  <si>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</si>
  <si>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</si>
  <si>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</si>
  <si>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</si>
  <si>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</si>
  <si>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</si>
  <si>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</si>
  <si>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</si>
  <si>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</si>
  <si>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</si>
  <si>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</si>
  <si>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</si>
  <si>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</si>
  <si>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</si>
  <si>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</si>
  <si>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</si>
  <si>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</si>
  <si>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</si>
  <si>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</si>
  <si>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</si>
  <si>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</si>
  <si>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</si>
  <si>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</si>
  <si>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</si>
  <si>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</si>
  <si>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</si>
  <si>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</si>
  <si>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</si>
  <si>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</si>
  <si>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</si>
  <si>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</si>
  <si>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</si>
  <si>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</si>
  <si>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</si>
  <si>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</si>
  <si>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</si>
  <si>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</si>
  <si>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</si>
  <si>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</si>
  <si>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</si>
  <si>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</si>
  <si>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</si>
  <si>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</si>
  <si>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</si>
  <si>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</si>
  <si>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</si>
  <si>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</si>
  <si>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</si>
  <si>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</si>
  <si>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</si>
  <si>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</si>
  <si>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</si>
  <si>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</si>
  <si>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</si>
  <si>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</si>
  <si>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</si>
  <si>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</si>
  <si>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</si>
  <si>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</si>
  <si>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</si>
  <si>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</si>
  <si>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</si>
  <si>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</si>
  <si>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</si>
  <si>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</si>
  <si>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</si>
  <si>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</si>
  <si>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</si>
  <si>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</si>
  <si>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</si>
  <si>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</si>
  <si>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</si>
  <si>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</si>
  <si>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</si>
  <si>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</si>
  <si>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</si>
  <si>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</si>
  <si>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</si>
  <si>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</si>
  <si>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</si>
  <si>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</si>
  <si>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</si>
  <si>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</si>
  <si>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</si>
  <si>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</si>
  <si>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</si>
  <si>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</si>
  <si>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</si>
  <si>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</si>
  <si>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</si>
  <si>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</si>
  <si>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</si>
  <si>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</si>
  <si>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</si>
  <si>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</si>
  <si>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</si>
  <si>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</si>
  <si>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</si>
  <si>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</si>
  <si>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</si>
  <si>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</si>
  <si>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</si>
  <si>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</si>
  <si>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</si>
  <si>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</si>
  <si>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</si>
  <si>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</si>
  <si>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</si>
  <si>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</si>
  <si>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</si>
  <si>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</si>
  <si>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</si>
  <si>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</si>
  <si>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</si>
  <si>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</si>
  <si>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</si>
  <si>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</si>
  <si>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</si>
  <si>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</si>
  <si>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</si>
  <si>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</si>
  <si>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</si>
  <si>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</si>
  <si>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</si>
  <si>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</si>
  <si>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</si>
  <si>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</si>
  <si>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</si>
  <si>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</si>
  <si>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</si>
  <si>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</si>
  <si>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</si>
  <si>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</si>
  <si>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</si>
  <si>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</si>
  <si>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</si>
  <si>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</si>
  <si>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</si>
  <si>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</si>
  <si>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</si>
  <si>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</si>
  <si>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</si>
  <si>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</si>
  <si>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</si>
  <si>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</si>
  <si>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</si>
  <si>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</si>
  <si>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</si>
  <si>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</si>
  <si>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</si>
  <si>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</si>
  <si>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</si>
  <si>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</si>
  <si>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</si>
  <si>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</si>
  <si>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</si>
  <si>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</si>
  <si>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</si>
  <si>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</si>
  <si>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</si>
  <si>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</si>
  <si>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</si>
  <si>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</si>
  <si>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</si>
  <si>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</si>
  <si>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</si>
  <si>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</si>
  <si>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</si>
  <si>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</si>
  <si>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</si>
  <si>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</si>
  <si>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</si>
  <si>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</si>
  <si>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</si>
  <si>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</si>
  <si>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</si>
  <si>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</si>
  <si>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</si>
  <si>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</si>
  <si>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</si>
  <si>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</si>
  <si>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</si>
  <si>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</si>
  <si>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</si>
  <si>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</si>
  <si>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</si>
  <si>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</si>
  <si>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</si>
  <si>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</si>
  <si>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</si>
  <si>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</si>
  <si>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</si>
  <si>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</si>
  <si>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</si>
  <si>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</si>
  <si>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</si>
  <si>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</si>
  <si>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</si>
  <si>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</si>
  <si>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</si>
  <si>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</si>
  <si>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</si>
  <si>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</si>
  <si>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</si>
  <si>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</si>
  <si>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</si>
  <si>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</si>
  <si>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</si>
  <si>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</si>
  <si>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</si>
  <si>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</si>
  <si>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</si>
  <si>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</si>
  <si>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</si>
  <si>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</si>
  <si>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</si>
  <si>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</si>
  <si>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</si>
  <si>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</si>
  <si>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</si>
  <si>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</si>
  <si>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</si>
  <si>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</si>
  <si>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</si>
  <si>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</si>
  <si>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</si>
  <si>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</si>
  <si>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</si>
  <si>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</si>
  <si>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</si>
  <si>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</si>
  <si>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</si>
  <si>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</si>
  <si>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</si>
  <si>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</si>
  <si>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</si>
  <si>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</si>
  <si>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</si>
  <si>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</si>
  <si>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</si>
  <si>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</si>
  <si>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</si>
  <si>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</si>
  <si>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</si>
  <si>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</si>
  <si>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</si>
  <si>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</si>
  <si>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</si>
  <si>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</si>
  <si>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</si>
  <si>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</si>
  <si>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</si>
  <si>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</si>
  <si>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</si>
  <si>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</si>
  <si>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</si>
  <si>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</si>
  <si>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</si>
  <si>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</si>
  <si>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</si>
  <si>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</si>
  <si>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</si>
  <si>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</si>
  <si>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</si>
  <si>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</si>
  <si>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</si>
  <si>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</si>
  <si>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</si>
  <si>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</si>
  <si>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</si>
  <si>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</si>
  <si>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</si>
  <si>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</si>
  <si>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</si>
  <si>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</si>
  <si>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</si>
  <si>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</si>
  <si>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</si>
  <si>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</si>
  <si>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</si>
  <si>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</si>
  <si>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</si>
  <si>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</si>
  <si>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</si>
  <si>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</si>
  <si>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</si>
  <si>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</si>
  <si>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</si>
  <si>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</si>
  <si>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</si>
  <si>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</si>
  <si>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</si>
  <si>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</si>
  <si>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</si>
  <si>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</si>
  <si>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</si>
  <si>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</si>
  <si>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</si>
  <si>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</si>
  <si>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</si>
  <si>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</si>
  <si>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</si>
  <si>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</si>
  <si>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</si>
  <si>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</si>
  <si>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</si>
  <si>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</si>
  <si>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</si>
  <si>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</si>
  <si>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</si>
  <si>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</si>
  <si>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</si>
  <si>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</si>
  <si>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</si>
  <si>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</si>
  <si>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</si>
  <si>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</si>
  <si>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</si>
  <si>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</si>
  <si>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</si>
  <si>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</si>
  <si>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</si>
  <si>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</si>
  <si>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</si>
  <si>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</si>
  <si>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</si>
  <si>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</si>
  <si>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</si>
  <si>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</si>
  <si>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</si>
  <si>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</si>
  <si>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</si>
  <si>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</si>
  <si>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</si>
  <si>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</si>
  <si>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</si>
  <si>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</si>
  <si>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</si>
  <si>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</si>
  <si>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</si>
  <si>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</si>
  <si>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</si>
  <si>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</si>
  <si>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</si>
  <si>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</si>
  <si>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</si>
  <si>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</si>
  <si>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</si>
  <si>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</si>
  <si>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</si>
  <si>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</si>
  <si>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</si>
  <si>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</si>
  <si>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</si>
  <si>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</si>
  <si>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</si>
  <si>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</si>
  <si>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</si>
  <si>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</si>
  <si>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</si>
  <si>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</si>
  <si>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</si>
  <si>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</si>
  <si>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</si>
  <si>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</si>
  <si>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</si>
  <si>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</si>
  <si>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</si>
  <si>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</si>
  <si>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</si>
  <si>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</si>
  <si>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</si>
  <si>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</si>
  <si>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</si>
  <si>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</si>
  <si>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</si>
  <si>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</si>
  <si>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</si>
  <si>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</si>
  <si>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</si>
  <si>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</si>
  <si>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</si>
  <si>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</si>
  <si>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</si>
  <si>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</si>
  <si>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</si>
  <si>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</si>
  <si>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</si>
  <si>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</si>
  <si>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</si>
  <si>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</si>
  <si>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</si>
  <si>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</si>
  <si>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</si>
  <si>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</si>
  <si>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</si>
  <si>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</si>
  <si>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</si>
  <si>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</si>
  <si>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</si>
  <si>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</si>
  <si>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</si>
  <si>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</si>
  <si>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</si>
  <si>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</si>
  <si>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</si>
  <si>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</si>
  <si>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</si>
  <si>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</si>
  <si>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</si>
  <si>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</si>
  <si>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</si>
  <si>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</si>
  <si>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</si>
  <si>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</si>
  <si>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</si>
  <si>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</si>
  <si>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</si>
  <si>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</si>
  <si>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</si>
  <si>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</si>
  <si>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</si>
  <si>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</si>
  <si>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</si>
  <si>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</si>
  <si>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</si>
  <si>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</si>
  <si>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</si>
  <si>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</si>
  <si>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</si>
  <si>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</si>
  <si>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</si>
  <si>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</si>
  <si>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</si>
  <si>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</si>
  <si>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</si>
  <si>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</si>
  <si>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</si>
  <si>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</si>
  <si>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</si>
  <si>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</si>
  <si>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</si>
  <si>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</si>
  <si>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</si>
  <si>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</si>
  <si>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</si>
  <si>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</si>
  <si>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</si>
  <si>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</si>
  <si>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</si>
  <si>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</si>
  <si>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</si>
  <si>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</si>
  <si>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</si>
  <si>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</si>
  <si>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</si>
  <si>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</si>
  <si>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</si>
  <si>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</si>
  <si>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</si>
  <si>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</si>
  <si>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</si>
  <si>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</si>
  <si>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</si>
  <si>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</si>
  <si>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</si>
  <si>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</si>
  <si>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</si>
  <si>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</si>
  <si>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</si>
  <si>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</si>
  <si>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</si>
  <si>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</si>
  <si>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</si>
  <si>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</si>
  <si>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</si>
  <si>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</si>
  <si>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</si>
  <si>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</si>
  <si>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</si>
  <si>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</si>
  <si>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</si>
  <si>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</si>
  <si>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</si>
  <si>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</si>
  <si>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</si>
  <si>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</si>
  <si>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</si>
  <si>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</si>
  <si>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</si>
  <si>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</si>
  <si>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</si>
  <si>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</si>
  <si>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</si>
  <si>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</si>
  <si>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</si>
  <si>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</si>
  <si>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</si>
  <si>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</si>
  <si>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</si>
  <si>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</si>
  <si>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</si>
  <si>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</si>
  <si>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</si>
  <si>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</si>
  <si>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</si>
  <si>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</si>
  <si>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</si>
  <si>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</si>
  <si>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</si>
  <si>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</si>
  <si>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</si>
  <si>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</si>
  <si>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</si>
  <si>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</si>
  <si>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</si>
  <si>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</si>
  <si>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</si>
  <si>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</si>
  <si>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</si>
  <si>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</si>
  <si>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</si>
  <si>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</si>
  <si>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</si>
  <si>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</si>
  <si>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</si>
  <si>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</si>
  <si>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</si>
  <si>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</si>
  <si>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</si>
  <si>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</si>
  <si>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</si>
  <si>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</si>
  <si>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</si>
  <si>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</si>
  <si>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</si>
  <si>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</si>
  <si>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</si>
  <si>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</si>
  <si>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</si>
  <si>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</si>
  <si>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</si>
  <si>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</si>
  <si>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</si>
  <si>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</si>
  <si>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</si>
  <si>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</si>
  <si>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</si>
  <si>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</si>
  <si>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</si>
  <si>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</si>
  <si>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</si>
  <si>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</si>
  <si>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</si>
  <si>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</si>
  <si>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</si>
  <si>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</si>
  <si>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</si>
  <si>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</si>
  <si>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</si>
  <si>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</si>
  <si>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</si>
  <si>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</si>
  <si>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</si>
  <si>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</si>
  <si>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</si>
  <si>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</si>
  <si>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</si>
  <si>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</si>
  <si>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</si>
  <si>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</si>
  <si>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</si>
  <si>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</si>
  <si>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</si>
  <si>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</si>
  <si>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</si>
  <si>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</si>
  <si>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</si>
  <si>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</si>
  <si>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</si>
  <si>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</si>
  <si>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</si>
  <si>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</si>
  <si>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</si>
  <si>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</si>
  <si>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</si>
  <si>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</si>
  <si>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</si>
  <si>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</si>
  <si>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</si>
  <si>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</si>
  <si>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</si>
  <si>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</si>
  <si>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</si>
  <si>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</si>
  <si>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</si>
  <si>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</si>
  <si>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</si>
  <si>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</si>
  <si>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</si>
  <si>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</si>
  <si>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</si>
  <si>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</si>
  <si>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</si>
  <si>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</si>
  <si>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</si>
  <si>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</si>
  <si>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</si>
  <si>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</si>
  <si>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</si>
  <si>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</si>
  <si>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</si>
  <si>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</si>
  <si>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</si>
  <si>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</si>
  <si>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</si>
  <si>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</si>
  <si>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</si>
  <si>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</si>
  <si>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</si>
  <si>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</si>
  <si>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</si>
  <si>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</si>
  <si>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</si>
  <si>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</si>
  <si>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</si>
  <si>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</si>
  <si>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</si>
  <si>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</si>
  <si>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</si>
  <si>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</si>
  <si>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</si>
  <si>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</si>
  <si>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</si>
  <si>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</si>
  <si>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</si>
  <si>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</si>
  <si>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</si>
  <si>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</si>
  <si>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</si>
  <si>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</si>
  <si>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</si>
  <si>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</si>
  <si>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</si>
  <si>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</si>
  <si>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</si>
  <si>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</si>
  <si>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</si>
  <si>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</si>
  <si>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</si>
  <si>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</si>
  <si>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</si>
  <si>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</si>
  <si>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</si>
  <si>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</si>
  <si>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</si>
  <si>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</si>
  <si>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</si>
  <si>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</si>
  <si>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</si>
  <si>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</si>
  <si>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</si>
  <si>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</si>
  <si>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</si>
  <si>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</si>
  <si>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</si>
  <si>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</si>
  <si>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</si>
  <si>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</si>
  <si>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</si>
  <si>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</si>
  <si>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</si>
  <si>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</si>
  <si>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</si>
  <si>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</si>
  <si>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</si>
  <si>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</si>
  <si>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</si>
  <si>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</si>
  <si>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</si>
  <si>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</si>
  <si>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</si>
  <si>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</si>
  <si>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</si>
  <si>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</si>
  <si>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</si>
  <si>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</si>
  <si>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</si>
  <si>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</si>
  <si>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</si>
  <si>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</si>
  <si>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</si>
  <si>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</si>
  <si>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</si>
  <si>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</si>
  <si>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</si>
  <si>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</si>
  <si>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</si>
  <si>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</si>
  <si>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</si>
  <si>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</si>
  <si>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</si>
  <si>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</si>
  <si>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</si>
  <si>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</si>
  <si>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</si>
  <si>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</si>
  <si>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</si>
  <si>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</si>
  <si>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</si>
  <si>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</si>
  <si>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</si>
  <si>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</si>
  <si>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</si>
  <si>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</si>
  <si>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</si>
  <si>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</si>
  <si>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</si>
  <si>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</si>
  <si>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</si>
  <si>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</si>
  <si>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</si>
  <si>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</si>
  <si>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</si>
  <si>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</si>
  <si>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</si>
  <si>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</si>
  <si>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</si>
  <si>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</si>
  <si>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</si>
  <si>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</si>
  <si>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</si>
  <si>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</si>
  <si>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</si>
  <si>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</si>
  <si>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</si>
  <si>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</si>
  <si>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</si>
  <si>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</si>
  <si>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</si>
  <si>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</si>
  <si>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</si>
  <si>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</si>
  <si>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</si>
  <si>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</si>
  <si>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</si>
  <si>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</si>
  <si>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</si>
  <si>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</si>
  <si>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</si>
  <si>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</si>
  <si>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</si>
  <si>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</si>
  <si>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</si>
  <si>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</si>
  <si>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</si>
  <si>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</si>
  <si>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</si>
  <si>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</si>
  <si>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</si>
  <si>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</si>
  <si>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</si>
  <si>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</si>
  <si>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</si>
  <si>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</si>
  <si>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</si>
  <si>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</si>
  <si>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</si>
  <si>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</si>
  <si>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</si>
  <si>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</si>
  <si>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</si>
  <si>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</si>
  <si>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</si>
  <si>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</si>
  <si>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</si>
  <si>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</si>
  <si>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</si>
  <si>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</si>
  <si>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</si>
  <si>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</si>
  <si>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</si>
  <si>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</si>
  <si>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</si>
  <si>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</si>
  <si>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</si>
  <si>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</si>
  <si>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</si>
  <si>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</si>
  <si>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</si>
  <si>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</si>
  <si>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</si>
  <si>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</si>
  <si>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</si>
  <si>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</si>
  <si>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</si>
  <si>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</si>
  <si>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</si>
  <si>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</si>
  <si>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</si>
  <si>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</si>
  <si>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</si>
  <si>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</si>
  <si>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</si>
  <si>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</si>
  <si>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</si>
  <si>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</si>
  <si>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</si>
  <si>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</si>
  <si>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</si>
  <si>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</si>
  <si>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</si>
  <si>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</si>
  <si>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</si>
  <si>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</si>
  <si>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</si>
  <si>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</si>
  <si>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</si>
  <si>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</si>
  <si>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</si>
  <si>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</si>
  <si>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</si>
  <si>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</si>
  <si>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</si>
  <si>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</si>
  <si>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</si>
  <si>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</si>
  <si>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</si>
  <si>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</si>
  <si>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</si>
  <si>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</si>
  <si>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</si>
  <si>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</si>
  <si>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</si>
  <si>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</si>
  <si>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</si>
  <si>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</si>
  <si>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</si>
  <si>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</si>
  <si>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</si>
  <si>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</si>
  <si>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</si>
  <si>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</si>
  <si>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</si>
  <si>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</si>
  <si>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</si>
  <si>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</si>
  <si>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</si>
  <si>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</si>
  <si>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</si>
  <si>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</si>
  <si>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</si>
  <si>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</si>
  <si>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</si>
  <si>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</si>
  <si>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</si>
  <si>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</si>
  <si>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</si>
  <si>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</si>
  <si>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</si>
  <si>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</si>
  <si>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</si>
  <si>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</si>
  <si>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</si>
  <si>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</si>
  <si>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</si>
  <si>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</si>
  <si>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</si>
  <si>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</si>
  <si>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</si>
  <si>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</si>
  <si>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</si>
  <si>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</si>
  <si>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</si>
  <si>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</si>
  <si>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</si>
  <si>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</si>
  <si>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</si>
  <si>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</si>
  <si>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</si>
  <si>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</si>
  <si>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</si>
  <si>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</si>
  <si>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</si>
  <si>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</si>
  <si>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</si>
  <si>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</si>
  <si>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</si>
  <si>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</si>
  <si>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</si>
  <si>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</si>
  <si>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</si>
  <si>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</si>
  <si>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</si>
  <si>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</si>
  <si>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</si>
  <si>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</si>
  <si>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</si>
  <si>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</si>
  <si>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</si>
  <si>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</si>
  <si>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</si>
  <si>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</si>
  <si>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</si>
  <si>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</si>
  <si>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</si>
  <si>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</si>
  <si>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</si>
  <si>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</si>
  <si>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</si>
  <si>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</si>
  <si>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</si>
  <si>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</si>
  <si>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</si>
  <si>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</si>
  <si>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</si>
  <si>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</si>
  <si>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</si>
  <si>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</si>
  <si>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</si>
  <si>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</si>
  <si>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</si>
  <si>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</si>
  <si>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</si>
  <si>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</si>
  <si>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</si>
  <si>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</si>
  <si>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</si>
  <si>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</si>
  <si>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</si>
  <si>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</si>
  <si>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</si>
  <si>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</si>
  <si>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</si>
  <si>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</si>
  <si>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</si>
  <si>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</si>
  <si>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</si>
  <si>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</si>
  <si>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</si>
  <si>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</si>
  <si>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</si>
  <si>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</si>
  <si>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</si>
  <si>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</si>
  <si>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</si>
  <si>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</si>
  <si>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</si>
  <si>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</si>
  <si>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</si>
  <si>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</si>
  <si>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</si>
  <si>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</si>
  <si>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</si>
  <si>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</si>
  <si>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</si>
  <si>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</si>
  <si>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</si>
  <si>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</si>
  <si>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</si>
  <si>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</si>
  <si>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</si>
  <si>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</si>
  <si>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</si>
  <si>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</si>
  <si>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</si>
  <si>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</si>
  <si>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</si>
  <si>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</si>
  <si>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</si>
  <si>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</si>
  <si>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</si>
  <si>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</si>
  <si>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</si>
  <si>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</si>
  <si>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</si>
  <si>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</si>
  <si>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</si>
  <si>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</si>
  <si>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</si>
  <si>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</si>
  <si>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</si>
  <si>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</si>
  <si>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</si>
  <si>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</si>
  <si>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</si>
  <si>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</si>
  <si>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</si>
  <si>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</si>
  <si>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</si>
  <si>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</si>
  <si>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</si>
  <si>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</si>
  <si>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</si>
  <si>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</si>
  <si>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</si>
  <si>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</si>
  <si>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</si>
  <si>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</si>
  <si>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</si>
  <si>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</si>
  <si>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</si>
  <si>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</si>
  <si>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</si>
  <si>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</si>
  <si>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</si>
  <si>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</si>
  <si>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</si>
  <si>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</si>
  <si>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</si>
  <si>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</si>
  <si>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</si>
  <si>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</si>
  <si>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</si>
  <si>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</si>
  <si>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</si>
  <si>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</si>
  <si>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</si>
  <si>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</si>
  <si>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</si>
  <si>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</si>
  <si>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</si>
  <si>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</si>
  <si>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</si>
  <si>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</si>
  <si>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</si>
  <si>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</si>
  <si>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</si>
  <si>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</si>
  <si>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</si>
  <si>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</si>
  <si>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</si>
  <si>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</si>
  <si>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</si>
  <si>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</si>
  <si>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</si>
  <si>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</si>
  <si>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</si>
  <si>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</si>
  <si>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</si>
  <si>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</si>
  <si>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</si>
  <si>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</si>
  <si>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</si>
  <si>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</si>
  <si>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</si>
  <si>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</si>
  <si>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</si>
  <si>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</si>
  <si>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</si>
  <si>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</si>
  <si>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</si>
  <si>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</si>
  <si>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</si>
  <si>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</si>
  <si>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</si>
  <si>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</si>
  <si>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</si>
  <si>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</si>
  <si>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</si>
  <si>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</si>
  <si>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</si>
  <si>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</si>
  <si>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</si>
  <si>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</si>
  <si>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</si>
  <si>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</si>
  <si>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</si>
  <si>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</si>
  <si>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</si>
  <si>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</si>
  <si>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</si>
  <si>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</si>
  <si>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</si>
  <si>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</si>
  <si>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</si>
  <si>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</si>
  <si>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</si>
  <si>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</si>
  <si>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</si>
  <si>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</si>
  <si>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</si>
  <si>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</si>
  <si>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</si>
  <si>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</si>
  <si>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</si>
  <si>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</si>
  <si>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</si>
  <si>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</si>
  <si>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</si>
  <si>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</si>
  <si>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</si>
  <si>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</si>
  <si>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</si>
  <si>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</si>
  <si>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</si>
  <si>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</si>
  <si>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</si>
  <si>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</si>
  <si>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</si>
  <si>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</si>
  <si>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</si>
  <si>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</si>
  <si>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</si>
  <si>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</si>
  <si>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</si>
  <si>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</si>
  <si>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</si>
  <si>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</si>
  <si>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</si>
  <si>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</si>
  <si>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</si>
  <si>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</si>
  <si>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</si>
  <si>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</si>
  <si>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</si>
  <si>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</si>
  <si>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</si>
  <si>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</si>
  <si>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</si>
  <si>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</si>
  <si>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</si>
  <si>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</si>
  <si>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</si>
  <si>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</si>
  <si>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</si>
  <si>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</si>
  <si>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</si>
  <si>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</si>
  <si>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</si>
  <si>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</si>
  <si>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</si>
  <si>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</si>
  <si>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</si>
  <si>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</si>
  <si>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</si>
  <si>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</si>
  <si>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</si>
  <si>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</si>
  <si>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</si>
  <si>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</si>
  <si>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</si>
  <si>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</si>
  <si>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</si>
  <si>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</si>
  <si>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</si>
  <si>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</si>
  <si>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</si>
  <si>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</si>
  <si>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</si>
  <si>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</si>
  <si>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</si>
  <si>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</si>
  <si>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</si>
  <si>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</si>
  <si>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</si>
  <si>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</si>
  <si>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</si>
  <si>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</si>
  <si>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</si>
  <si>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</si>
  <si>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</si>
  <si>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</si>
  <si>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</si>
  <si>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</si>
  <si>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</si>
  <si>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</si>
  <si>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</si>
  <si>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</si>
  <si>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</si>
  <si>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</si>
  <si>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</si>
  <si>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</si>
  <si>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</si>
  <si>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</si>
  <si>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</si>
  <si>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</si>
  <si>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</si>
  <si>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</si>
  <si>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</si>
  <si>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</si>
  <si>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</si>
  <si>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</si>
  <si>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</si>
  <si>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</si>
  <si>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</si>
  <si>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</si>
  <si>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</si>
  <si>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</si>
  <si>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</si>
  <si>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</si>
  <si>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</si>
  <si>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</si>
  <si>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</si>
  <si>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</si>
  <si>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</si>
  <si>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</si>
  <si>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</si>
  <si>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</si>
  <si>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</si>
  <si>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</si>
  <si>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</si>
  <si>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</si>
  <si>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</si>
  <si>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</si>
  <si>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</si>
  <si>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</si>
  <si>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</si>
  <si>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</si>
  <si>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</si>
  <si>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</si>
  <si>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</si>
  <si>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</si>
  <si>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</si>
  <si>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</si>
  <si>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</si>
  <si>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</si>
  <si>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</si>
  <si>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</si>
  <si>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</si>
  <si>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</si>
  <si>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</si>
  <si>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</si>
  <si>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</si>
  <si>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</si>
  <si>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</si>
  <si>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</si>
  <si>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</si>
  <si>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</si>
  <si>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</si>
  <si>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</si>
  <si>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</si>
  <si>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</si>
  <si>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</si>
  <si>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</si>
  <si>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</si>
  <si>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</si>
  <si>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</si>
  <si>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</si>
  <si>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</si>
  <si>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</si>
  <si>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</si>
  <si>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</si>
  <si>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</si>
  <si>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</si>
  <si>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</si>
  <si>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</si>
  <si>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</si>
  <si>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</si>
  <si>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</si>
  <si>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</si>
  <si>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</si>
  <si>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</si>
  <si>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</si>
  <si>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</si>
  <si>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</si>
  <si>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</si>
  <si>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</si>
  <si>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</si>
  <si>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</si>
  <si>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</si>
  <si>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</si>
  <si>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</si>
  <si>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</si>
  <si>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</si>
  <si>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</si>
  <si>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</si>
  <si>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</si>
  <si>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</si>
  <si>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</si>
  <si>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</si>
  <si>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</si>
  <si>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</si>
  <si>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</si>
  <si>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</si>
  <si>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</si>
  <si>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</si>
  <si>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</si>
  <si>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</si>
  <si>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</si>
  <si>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</si>
  <si>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</si>
  <si>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</si>
  <si>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</si>
  <si>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</si>
  <si>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</si>
  <si>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</si>
  <si>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</si>
  <si>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</si>
  <si>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</si>
  <si>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</si>
  <si>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</si>
  <si>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</si>
  <si>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</si>
  <si>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</si>
  <si>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</si>
  <si>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</si>
  <si>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</si>
  <si>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</si>
  <si>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</si>
  <si>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</si>
  <si>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</si>
  <si>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</si>
  <si>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</si>
  <si>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</si>
  <si>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</si>
  <si>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</si>
  <si>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</si>
  <si>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</si>
  <si>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</si>
  <si>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</si>
  <si>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</si>
  <si>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</si>
  <si>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</si>
  <si>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</si>
  <si>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</si>
  <si>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</si>
  <si>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</si>
  <si>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</si>
  <si>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</si>
  <si>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</si>
  <si>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</si>
  <si>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</si>
  <si>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</si>
  <si>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</si>
  <si>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</si>
  <si>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</si>
  <si>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</si>
  <si>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</si>
  <si>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</si>
  <si>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</si>
  <si>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</si>
  <si>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</si>
  <si>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</si>
  <si>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</si>
  <si>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</si>
  <si>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</si>
  <si>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</si>
  <si>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</si>
  <si>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</si>
  <si>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</si>
  <si>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</si>
  <si>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</si>
  <si>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</si>
  <si>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</si>
  <si>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</si>
  <si>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</si>
  <si>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</si>
  <si>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</si>
  <si>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</si>
  <si>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</si>
  <si>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</si>
  <si>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</si>
  <si>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</si>
  <si>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</si>
  <si>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</si>
  <si>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</si>
  <si>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</si>
  <si>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</si>
  <si>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</si>
  <si>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</si>
  <si>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</si>
  <si>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</si>
  <si>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</si>
  <si>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</si>
  <si>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</si>
  <si>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</si>
  <si>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</si>
  <si>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</si>
  <si>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</si>
  <si>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</si>
  <si>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</si>
  <si>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</si>
  <si>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</si>
  <si>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</si>
  <si>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</si>
  <si>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</si>
  <si>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</si>
  <si>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</si>
  <si>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</si>
  <si>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</si>
  <si>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</si>
  <si>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</si>
  <si>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</si>
  <si>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</si>
  <si>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</si>
  <si>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</si>
  <si>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</si>
  <si>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</si>
  <si>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</si>
  <si>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</si>
  <si>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</si>
  <si>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</si>
  <si>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</si>
  <si>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</si>
  <si>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</si>
  <si>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</si>
  <si>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</si>
  <si>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</si>
  <si>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</si>
  <si>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</si>
  <si>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</si>
  <si>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</si>
  <si>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</si>
  <si>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</si>
  <si>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</si>
  <si>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</si>
  <si>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</si>
  <si>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</si>
  <si>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</si>
  <si>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</si>
  <si>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</si>
  <si>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</si>
  <si>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</si>
  <si>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</si>
  <si>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</si>
  <si>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</si>
  <si>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</si>
  <si>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</si>
  <si>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</si>
  <si>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</si>
  <si>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</si>
  <si>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</si>
  <si>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</si>
  <si>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</si>
  <si>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</si>
  <si>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</si>
  <si>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</si>
  <si>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</si>
  <si>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</si>
  <si>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</si>
  <si>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</si>
  <si>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</si>
  <si>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</si>
  <si>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</si>
  <si>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</si>
  <si>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</si>
  <si>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</si>
  <si>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</si>
  <si>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</si>
  <si>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</si>
  <si>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</si>
  <si>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</si>
  <si>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</si>
  <si>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</si>
  <si>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</si>
  <si>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</si>
  <si>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</si>
  <si>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</si>
  <si>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</si>
  <si>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</si>
  <si>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</si>
  <si>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</si>
  <si>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</si>
  <si>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</si>
  <si>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</si>
  <si>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</si>
  <si>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</si>
  <si>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</si>
  <si>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</si>
  <si>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</si>
  <si>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</si>
  <si>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</si>
  <si>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</si>
  <si>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</si>
  <si>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</si>
  <si>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</si>
  <si>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</si>
  <si>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</si>
  <si>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</si>
  <si>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</si>
  <si>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</si>
  <si>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</si>
  <si>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</si>
  <si>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</si>
  <si>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</si>
  <si>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</si>
  <si>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</si>
  <si>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</si>
  <si>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</si>
  <si>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</si>
  <si>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</si>
  <si>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</si>
  <si>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</si>
  <si>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</si>
  <si>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</si>
  <si>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</si>
  <si>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</si>
  <si>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</si>
  <si>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</si>
  <si>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</si>
  <si>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</si>
  <si>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</si>
  <si>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</si>
  <si>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</si>
  <si>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</si>
  <si>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</si>
  <si>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</si>
  <si>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</si>
  <si>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</si>
  <si>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</si>
  <si>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</si>
  <si>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</si>
  <si>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</si>
  <si>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</si>
  <si>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</si>
  <si>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</si>
  <si>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</si>
  <si>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</si>
  <si>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</si>
  <si>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</si>
  <si>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</si>
  <si>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</si>
  <si>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</si>
  <si>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</si>
  <si>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</si>
  <si>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</si>
  <si>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</si>
  <si>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</si>
  <si>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</si>
  <si>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</si>
  <si>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</si>
  <si>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</si>
  <si>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</si>
  <si>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</si>
  <si>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</si>
  <si>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</si>
  <si>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</si>
  <si>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</si>
  <si>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</si>
  <si>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</si>
  <si>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</si>
  <si>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</si>
  <si>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</si>
  <si>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</si>
  <si>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</si>
  <si>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</si>
  <si>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</si>
  <si>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</si>
  <si>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</si>
  <si>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</si>
  <si>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</si>
  <si>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</si>
  <si>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</si>
  <si>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</si>
  <si>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</si>
  <si>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</si>
  <si>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</si>
  <si>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</si>
  <si>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</si>
  <si>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</si>
  <si>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</si>
  <si>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</si>
  <si>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</si>
  <si>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</si>
  <si>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</si>
  <si>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</si>
  <si>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</si>
  <si>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</si>
  <si>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</si>
  <si>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</si>
  <si>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</si>
  <si>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</si>
  <si>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</si>
  <si>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</si>
  <si>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</si>
  <si>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</si>
  <si>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</si>
  <si>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</si>
  <si>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</si>
  <si>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</si>
  <si>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</si>
  <si>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</si>
  <si>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</si>
  <si>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</si>
  <si>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</si>
  <si>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</si>
  <si>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</si>
  <si>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</si>
  <si>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</si>
  <si>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</si>
  <si>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</si>
  <si>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</si>
  <si>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</si>
  <si>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</si>
  <si>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</si>
  <si>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</si>
  <si>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</si>
  <si>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</si>
  <si>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</si>
  <si>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</si>
  <si>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</si>
  <si>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</si>
  <si>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</si>
  <si>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</si>
  <si>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</si>
  <si>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</si>
  <si>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</si>
  <si>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</si>
  <si>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</si>
  <si>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</si>
  <si>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</si>
  <si>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</si>
  <si>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</si>
  <si>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</si>
  <si>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</si>
  <si>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</si>
  <si>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</si>
  <si>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</si>
  <si>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</si>
  <si>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</si>
  <si>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</si>
  <si>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</si>
  <si>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</si>
  <si>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</si>
  <si>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</si>
  <si>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</si>
  <si>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</si>
  <si>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</si>
  <si>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</si>
  <si>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</si>
  <si>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</si>
  <si>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</si>
  <si>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</si>
  <si>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</si>
  <si>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</si>
  <si>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</si>
  <si>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</si>
  <si>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</si>
  <si>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</si>
  <si>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</si>
  <si>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</si>
  <si>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</si>
  <si>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</si>
  <si>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</si>
  <si>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</si>
  <si>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</si>
  <si>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</si>
  <si>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</si>
  <si>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</si>
  <si>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</si>
  <si>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</si>
  <si>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</si>
  <si>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</si>
  <si>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</si>
  <si>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</si>
  <si>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</si>
  <si>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</si>
  <si>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</si>
  <si>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</si>
  <si>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</si>
  <si>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</si>
  <si>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</si>
  <si>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</si>
  <si>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</si>
  <si>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</si>
  <si>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</si>
  <si>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</si>
  <si>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</si>
  <si>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</si>
  <si>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</si>
  <si>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</si>
  <si>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</si>
  <si>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</si>
  <si>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</si>
  <si>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</si>
  <si>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</si>
  <si>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</si>
  <si>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</si>
  <si>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</si>
  <si>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</si>
  <si>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</si>
  <si>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</si>
  <si>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</si>
  <si>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</si>
  <si>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</si>
  <si>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</si>
  <si>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</si>
  <si>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</si>
  <si>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</si>
  <si>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</si>
  <si>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</si>
  <si>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</si>
  <si>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</si>
  <si>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</si>
  <si>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</si>
  <si>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</si>
  <si>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</si>
  <si>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</si>
  <si>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</si>
  <si>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</si>
  <si>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</si>
  <si>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</si>
  <si>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</si>
  <si>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</si>
  <si>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</si>
  <si>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</si>
  <si>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</si>
  <si>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</si>
  <si>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</si>
  <si>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</si>
  <si>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</si>
  <si>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</si>
  <si>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</si>
  <si>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</si>
  <si>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</si>
  <si>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</si>
  <si>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</si>
  <si>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</si>
  <si>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</si>
  <si>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</si>
  <si>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</si>
  <si>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</si>
  <si>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</si>
  <si>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</si>
  <si>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</si>
  <si>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</si>
  <si>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</si>
  <si>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</si>
  <si>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</si>
  <si>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</si>
  <si>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</si>
  <si>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</si>
  <si>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</si>
  <si>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</si>
  <si>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</si>
  <si>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</si>
  <si>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</si>
  <si>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</si>
  <si>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</si>
  <si>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</si>
  <si>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</si>
  <si>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</si>
  <si>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</si>
  <si>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</si>
  <si>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</si>
  <si>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</si>
  <si>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</si>
  <si>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</si>
  <si>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</si>
  <si>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</si>
  <si>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</si>
  <si>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</si>
  <si>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</si>
  <si>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</si>
  <si>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</si>
  <si>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</si>
  <si>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</si>
  <si>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</si>
  <si>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</si>
  <si>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</si>
  <si>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</si>
  <si>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</si>
  <si>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</si>
  <si>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</si>
  <si>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</si>
  <si>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</si>
  <si>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</si>
  <si>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</si>
  <si>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</si>
  <si>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</si>
  <si>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</si>
  <si>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</si>
  <si>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</si>
  <si>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</si>
  <si>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</si>
  <si>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</si>
  <si>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</si>
  <si>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</si>
  <si>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</si>
  <si>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</si>
  <si>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</si>
  <si>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</si>
  <si>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</si>
  <si>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</si>
  <si>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</si>
  <si>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</si>
  <si>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</si>
  <si>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</si>
  <si>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</si>
  <si>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</si>
  <si>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</si>
  <si>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</si>
  <si>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</si>
  <si>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</si>
  <si>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</si>
  <si>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</si>
  <si>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</si>
  <si>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</si>
  <si>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</si>
  <si>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</si>
  <si>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</si>
  <si>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</si>
  <si>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</si>
  <si>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</si>
  <si>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</si>
  <si>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</si>
  <si>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</si>
  <si>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</si>
  <si>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</si>
  <si>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</si>
  <si>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</si>
  <si>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</si>
  <si>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</si>
  <si>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</si>
  <si>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</si>
  <si>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</si>
  <si>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</si>
  <si>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</si>
  <si>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</si>
  <si>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</si>
  <si>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</si>
  <si>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</si>
  <si>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</si>
  <si>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</si>
  <si>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</si>
  <si>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</si>
  <si>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</si>
  <si>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</si>
  <si>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</si>
  <si>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</si>
  <si>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</si>
  <si>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</si>
  <si>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</si>
  <si>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</si>
  <si>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</si>
  <si>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</si>
  <si>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</si>
  <si>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</si>
  <si>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</si>
  <si>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</si>
  <si>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</si>
  <si>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</si>
  <si>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</si>
  <si>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</si>
  <si>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</si>
  <si>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</si>
  <si>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</si>
  <si>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</si>
  <si>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</si>
  <si>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</si>
  <si>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</si>
  <si>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</si>
  <si>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</si>
  <si>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</si>
  <si>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</si>
  <si>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</si>
  <si>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</si>
  <si>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</si>
  <si>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</si>
  <si>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</si>
  <si>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</si>
  <si>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</si>
  <si>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</si>
  <si>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</si>
  <si>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</si>
  <si>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</si>
  <si>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</si>
  <si>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</si>
  <si>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</si>
  <si>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</si>
  <si>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</si>
  <si>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</si>
  <si>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</si>
  <si>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</si>
  <si>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</si>
  <si>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</si>
  <si>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</si>
  <si>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</si>
  <si>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</si>
  <si>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</si>
  <si>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</si>
  <si>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</si>
  <si>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</si>
  <si>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</si>
  <si>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</si>
  <si>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</si>
  <si>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</si>
  <si>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</si>
  <si>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</si>
  <si>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</si>
  <si>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</si>
  <si>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</si>
  <si>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</si>
  <si>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</si>
  <si>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</si>
  <si>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</si>
  <si>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</si>
  <si>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</si>
  <si>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</si>
  <si>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</si>
  <si>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</si>
  <si>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</si>
  <si>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</si>
  <si>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</si>
  <si>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</si>
  <si>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</si>
  <si>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</si>
  <si>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</si>
  <si>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</si>
  <si>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</si>
  <si>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</si>
  <si>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</si>
  <si>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</si>
  <si>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</si>
  <si>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</si>
  <si>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</si>
  <si>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</si>
  <si>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</si>
  <si>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</si>
  <si>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</si>
  <si>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</si>
  <si>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</si>
  <si>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</si>
  <si>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</si>
  <si>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</si>
  <si>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</si>
  <si>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</si>
  <si>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</si>
  <si>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</si>
  <si>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</si>
  <si>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</si>
  <si>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</si>
  <si>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</si>
  <si>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</si>
  <si>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</si>
  <si>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</si>
  <si>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</si>
  <si>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</si>
  <si>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</si>
  <si>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</si>
  <si>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</si>
  <si>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</si>
  <si>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</si>
  <si>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</si>
  <si>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</si>
  <si>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</si>
  <si>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</si>
  <si>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</si>
  <si>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</si>
  <si>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</si>
  <si>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</si>
  <si>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</si>
  <si>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</si>
  <si>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</si>
  <si>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</si>
  <si>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</si>
  <si>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</si>
  <si>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</si>
  <si>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</si>
  <si>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</si>
  <si>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</si>
  <si>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</si>
  <si>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</si>
  <si>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</si>
  <si>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</si>
  <si>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</si>
  <si>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</si>
  <si>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</si>
  <si>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</si>
  <si>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</si>
  <si>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</si>
  <si>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</si>
  <si>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</si>
  <si>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</si>
  <si>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</si>
  <si>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</si>
  <si>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</si>
  <si>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</si>
  <si>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</si>
  <si>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</si>
  <si>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</si>
  <si>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</si>
  <si>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</si>
  <si>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</si>
  <si>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</si>
  <si>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</si>
  <si>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</si>
  <si>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</si>
  <si>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</si>
  <si>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</si>
  <si>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</si>
  <si>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</si>
  <si>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</si>
  <si>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</si>
  <si>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</si>
  <si>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</si>
  <si>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</si>
  <si>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</si>
  <si>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</si>
  <si>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</si>
  <si>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</si>
  <si>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</si>
  <si>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</si>
  <si>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</si>
  <si>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</si>
  <si>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</si>
  <si>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</si>
  <si>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</si>
  <si>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</si>
  <si>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</si>
  <si>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</si>
  <si>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</si>
  <si>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</si>
  <si>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</si>
  <si>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</si>
  <si>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</si>
  <si>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</si>
  <si>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</si>
  <si>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</si>
  <si>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</si>
  <si>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</si>
  <si>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</si>
  <si>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</si>
  <si>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</si>
  <si>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</si>
  <si>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</si>
  <si>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</si>
  <si>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</si>
  <si>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</si>
  <si>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</si>
  <si>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</si>
  <si>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</si>
  <si>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</si>
  <si>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</si>
  <si>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</si>
  <si>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</si>
  <si>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</si>
  <si>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</si>
  <si>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</si>
  <si>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</si>
  <si>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</si>
  <si>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</si>
  <si>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</si>
  <si>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</si>
  <si>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</si>
  <si>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</si>
  <si>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</si>
  <si>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</si>
  <si>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</si>
  <si>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</si>
  <si>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</si>
  <si>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</si>
  <si>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</si>
  <si>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</si>
  <si>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</si>
  <si>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</si>
  <si>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</si>
  <si>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</si>
  <si>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</si>
  <si>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</si>
  <si>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</si>
  <si>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</si>
  <si>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</si>
  <si>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</si>
  <si>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</si>
  <si>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</si>
  <si>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</si>
  <si>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</si>
  <si>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</si>
  <si>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</si>
  <si>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</si>
  <si>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</si>
  <si>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</si>
  <si>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</si>
  <si>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</si>
  <si>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</si>
  <si>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</si>
  <si>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</si>
  <si>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</si>
  <si>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</si>
  <si>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</si>
  <si>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</si>
  <si>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</si>
  <si>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</si>
  <si>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</si>
  <si>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</si>
  <si>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</si>
  <si>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</si>
  <si>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</si>
  <si>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</si>
  <si>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</si>
  <si>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</si>
  <si>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</si>
  <si>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</si>
  <si>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</si>
  <si>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</si>
  <si>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</si>
  <si>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</si>
  <si>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</si>
  <si>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</si>
  <si>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</si>
  <si>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</si>
  <si>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</si>
  <si>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</si>
  <si>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</si>
  <si>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</si>
  <si>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</si>
  <si>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</si>
  <si>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</si>
  <si>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</si>
  <si>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</si>
  <si>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</si>
  <si>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</si>
  <si>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</si>
  <si>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</si>
  <si>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</si>
  <si>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</si>
  <si>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</si>
  <si>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</si>
  <si>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</si>
  <si>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</si>
  <si>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</si>
  <si>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</si>
  <si>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</si>
  <si>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</si>
  <si>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</si>
  <si>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</si>
  <si>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</si>
  <si>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</si>
  <si>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</si>
  <si>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</si>
  <si>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</si>
  <si>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</si>
  <si>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</si>
  <si>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</si>
  <si>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</si>
  <si>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</si>
  <si>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</si>
  <si>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</si>
  <si>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</si>
  <si>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</si>
  <si>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</si>
  <si>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</si>
  <si>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</si>
  <si>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</si>
  <si>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</si>
  <si>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</si>
  <si>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</si>
  <si>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</si>
  <si>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</si>
  <si>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</si>
  <si>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</si>
  <si>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</si>
  <si>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</si>
  <si>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</si>
  <si>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</si>
  <si>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</si>
  <si>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</si>
  <si>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</si>
  <si>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</si>
  <si>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</si>
  <si>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</si>
  <si>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</si>
  <si>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</si>
  <si>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</si>
  <si>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</si>
  <si>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</si>
  <si>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</si>
  <si>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</si>
  <si>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</si>
  <si>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</si>
  <si>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</si>
  <si>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</si>
  <si>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</si>
  <si>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</si>
  <si>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</si>
  <si>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</si>
  <si>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</si>
  <si>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</si>
  <si>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</si>
  <si>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</si>
  <si>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</si>
  <si>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</si>
  <si>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</si>
  <si>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</si>
  <si>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</si>
  <si>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</si>
  <si>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</si>
  <si>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</si>
  <si>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</si>
  <si>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</si>
  <si>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</si>
  <si>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</si>
  <si>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</si>
  <si>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</si>
  <si>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</si>
  <si>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</si>
  <si>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</si>
  <si>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</si>
  <si>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</si>
  <si>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</si>
  <si>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</si>
  <si>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</si>
  <si>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</si>
  <si>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</si>
  <si>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</si>
  <si>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</si>
  <si>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</si>
  <si>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</si>
  <si>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</si>
  <si>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</si>
  <si>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</si>
  <si>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</si>
  <si>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</si>
  <si>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</si>
  <si>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</si>
  <si>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</si>
  <si>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</si>
  <si>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</si>
  <si>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</si>
  <si>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</si>
  <si>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</si>
  <si>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</si>
  <si>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</si>
  <si>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</si>
  <si>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</si>
  <si>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</si>
  <si>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</si>
  <si>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</si>
  <si>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</si>
  <si>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</si>
  <si>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</si>
  <si>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</si>
  <si>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</si>
  <si>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</si>
  <si>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</si>
  <si>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</si>
  <si>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</si>
  <si>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</si>
  <si>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</si>
  <si>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</si>
  <si>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</si>
  <si>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</si>
  <si>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</si>
  <si>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</si>
  <si>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</si>
  <si>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</si>
  <si>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</si>
  <si>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</si>
  <si>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</si>
  <si>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</si>
  <si>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</si>
  <si>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</si>
  <si>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</si>
  <si>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</si>
  <si>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</si>
  <si>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</si>
  <si>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</si>
  <si>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</si>
  <si>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</si>
  <si>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</si>
  <si>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</si>
  <si>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</si>
  <si>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</si>
  <si>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</si>
  <si>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</si>
  <si>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</si>
  <si>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</si>
  <si>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</si>
  <si>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</si>
  <si>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</si>
  <si>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</si>
  <si>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</si>
  <si>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</si>
  <si>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</si>
  <si>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</si>
  <si>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</si>
  <si>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</si>
  <si>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</si>
  <si>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</si>
  <si>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</si>
  <si>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</si>
  <si>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</si>
  <si>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</si>
  <si>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</si>
  <si>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</si>
  <si>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</si>
  <si>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</si>
  <si>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</si>
  <si>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</si>
  <si>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</si>
  <si>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</si>
  <si>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</si>
  <si>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</si>
  <si>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</si>
  <si>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</si>
  <si>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</si>
  <si>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</si>
  <si>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</si>
  <si>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</si>
  <si>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</si>
  <si>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</si>
  <si>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</si>
  <si>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</si>
  <si>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</si>
  <si>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</si>
  <si>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</si>
  <si>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</si>
  <si>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</si>
  <si>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</si>
  <si>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</si>
  <si>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</si>
  <si>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</si>
  <si>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</si>
  <si>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</si>
  <si>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</si>
  <si>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</si>
  <si>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</si>
  <si>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</si>
  <si>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</si>
  <si>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</si>
  <si>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</si>
  <si>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</si>
  <si>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</si>
  <si>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</si>
  <si>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</si>
  <si>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</si>
  <si>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</si>
  <si>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</si>
  <si>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</si>
  <si>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</si>
  <si>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</si>
  <si>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</si>
  <si>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</si>
  <si>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</si>
  <si>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</si>
  <si>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</si>
  <si>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</si>
  <si>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</si>
  <si>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</si>
  <si>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</si>
  <si>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</si>
  <si>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</si>
  <si>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</si>
  <si>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</si>
  <si>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</si>
  <si>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</si>
  <si>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</si>
  <si>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</si>
  <si>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</si>
  <si>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</si>
  <si>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</si>
  <si>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</si>
  <si>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</si>
  <si>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</si>
  <si>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</si>
  <si>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</si>
  <si>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</si>
  <si>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</si>
  <si>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</si>
  <si>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</si>
  <si>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</si>
  <si>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</si>
  <si>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</si>
  <si>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</si>
  <si>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</si>
  <si>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</si>
  <si>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</si>
  <si>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</si>
  <si>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</si>
  <si>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</si>
  <si>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</si>
  <si>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</si>
  <si>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</si>
  <si>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</si>
  <si>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</si>
  <si>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</si>
  <si>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</si>
  <si>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</si>
  <si>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</si>
  <si>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</si>
  <si>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</si>
  <si>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</si>
  <si>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</si>
  <si>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</si>
  <si>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</si>
  <si>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</si>
  <si>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</si>
  <si>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</si>
  <si>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</si>
  <si>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</si>
  <si>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</si>
  <si>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</si>
  <si>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</si>
  <si>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</si>
  <si>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</si>
  <si>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</si>
  <si>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</si>
  <si>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</si>
  <si>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</si>
  <si>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</si>
  <si>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</si>
  <si>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</si>
  <si>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</si>
  <si>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</si>
  <si>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</si>
  <si>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</si>
  <si>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</si>
  <si>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</si>
  <si>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</si>
  <si>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</si>
  <si>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</si>
  <si>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</si>
  <si>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</si>
  <si>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</si>
  <si>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</si>
  <si>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</si>
  <si>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</si>
  <si>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</si>
  <si>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</si>
  <si>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</si>
  <si>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</si>
  <si>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</si>
  <si>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</si>
  <si>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</si>
  <si>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</si>
  <si>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</si>
  <si>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</si>
  <si>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</si>
  <si>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</si>
  <si>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</si>
  <si>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</si>
  <si>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</si>
  <si>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</si>
  <si>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</si>
  <si>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</si>
  <si>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</si>
  <si>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</si>
  <si>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</si>
  <si>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</si>
  <si>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</si>
  <si>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</si>
  <si>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</si>
  <si>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</si>
  <si>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</si>
  <si>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</si>
  <si>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</si>
  <si>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</si>
  <si>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</si>
  <si>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</si>
  <si>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</si>
  <si>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</si>
  <si>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</si>
  <si>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</si>
  <si>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</si>
  <si>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</si>
  <si>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</si>
  <si>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</si>
  <si>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</si>
  <si>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</si>
  <si>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</si>
  <si>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</si>
  <si>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</si>
  <si>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</si>
  <si>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</si>
  <si>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</si>
  <si>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</si>
  <si>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</si>
  <si>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</si>
  <si>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</si>
  <si>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</si>
  <si>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</si>
  <si>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</si>
  <si>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</si>
  <si>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</si>
  <si>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</si>
  <si>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</si>
  <si>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</si>
  <si>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</si>
  <si>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</si>
  <si>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</si>
  <si>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</si>
  <si>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</si>
  <si>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</si>
  <si>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</si>
  <si>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</si>
  <si>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</si>
  <si>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</si>
  <si>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</si>
  <si>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</si>
  <si>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</si>
  <si>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</si>
  <si>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</si>
  <si>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</si>
  <si>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</si>
  <si>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</si>
  <si>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</si>
  <si>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</si>
  <si>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</si>
  <si>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</si>
  <si>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</si>
  <si>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</si>
  <si>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</si>
  <si>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</si>
  <si>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</si>
  <si>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</si>
  <si>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</si>
  <si>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</si>
  <si>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</si>
  <si>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</si>
  <si>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</si>
  <si>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</si>
  <si>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</si>
  <si>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</si>
  <si>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</si>
  <si>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</si>
  <si>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</si>
  <si>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</si>
  <si>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</si>
  <si>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</si>
  <si>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</si>
  <si>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</si>
  <si>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</si>
  <si>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</si>
  <si>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</si>
  <si>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</si>
  <si>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</si>
  <si>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</si>
  <si>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</si>
  <si>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</si>
  <si>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</si>
  <si>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</si>
  <si>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</si>
  <si>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</si>
  <si>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</si>
  <si>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</si>
  <si>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</si>
  <si>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</si>
  <si>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</si>
  <si>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</si>
  <si>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</si>
  <si>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</si>
  <si>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</si>
  <si>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</si>
  <si>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</si>
  <si>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</si>
  <si>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</si>
  <si>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</si>
  <si>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</si>
  <si>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</si>
  <si>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</si>
  <si>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</si>
  <si>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</si>
  <si>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</si>
  <si>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</si>
  <si>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</si>
  <si>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</si>
  <si>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</si>
  <si>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</si>
  <si>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</si>
  <si>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</si>
  <si>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</si>
  <si>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</si>
  <si>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</si>
  <si>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</si>
  <si>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</si>
  <si>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</si>
  <si>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</si>
  <si>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</si>
  <si>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</si>
  <si>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</si>
  <si>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</si>
  <si>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</si>
  <si>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</si>
  <si>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</si>
  <si>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</si>
  <si>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</si>
  <si>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</si>
  <si>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</si>
  <si>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</si>
  <si>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</si>
  <si>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</si>
  <si>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</si>
  <si>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</si>
  <si>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</si>
  <si>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</si>
  <si>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</si>
  <si>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</si>
  <si>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</si>
  <si>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</si>
  <si>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</si>
  <si>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</si>
  <si>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</si>
  <si>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</si>
  <si>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</si>
  <si>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</si>
  <si>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</si>
  <si>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</si>
  <si>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</si>
  <si>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</si>
  <si>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</si>
  <si>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</si>
  <si>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</si>
  <si>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</si>
  <si>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</si>
  <si>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</si>
  <si>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</si>
  <si>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</si>
  <si>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</si>
  <si>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</si>
  <si>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</si>
  <si>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</si>
  <si>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</si>
  <si>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</si>
  <si>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</si>
  <si>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</si>
  <si>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</si>
  <si>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</si>
  <si>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</si>
  <si>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</si>
  <si>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</si>
  <si>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</si>
  <si>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</si>
  <si>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</si>
  <si>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</si>
  <si>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</si>
  <si>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</si>
  <si>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</si>
  <si>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</si>
  <si>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</si>
  <si>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</si>
  <si>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</si>
  <si>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</si>
  <si>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</si>
  <si>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</si>
  <si>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</si>
  <si>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</si>
  <si>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</si>
  <si>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</si>
  <si>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</si>
  <si>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</si>
  <si>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</si>
  <si>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</si>
  <si>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</si>
  <si>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</si>
  <si>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</si>
  <si>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</si>
  <si>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</si>
  <si>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</si>
  <si>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</si>
  <si>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</si>
  <si>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</si>
  <si>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</si>
  <si>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</si>
  <si>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</si>
  <si>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</si>
  <si>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</si>
  <si>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</si>
  <si>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</si>
  <si>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</si>
  <si>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</si>
  <si>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</si>
  <si>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</si>
  <si>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</si>
  <si>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</si>
  <si>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</si>
  <si>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</si>
  <si>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</si>
  <si>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</si>
  <si>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</si>
  <si>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</si>
  <si>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</si>
  <si>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</si>
  <si>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</si>
  <si>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</si>
  <si>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</si>
  <si>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</si>
  <si>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</si>
  <si>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</si>
  <si>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</si>
  <si>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</si>
  <si>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</si>
  <si>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</si>
  <si>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</si>
  <si>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</si>
  <si>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</si>
  <si>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</si>
  <si>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</si>
  <si>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</si>
  <si>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</si>
  <si>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</si>
  <si>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</si>
  <si>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</si>
  <si>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</si>
  <si>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</si>
  <si>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</si>
  <si>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</si>
  <si>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</si>
  <si>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</si>
  <si>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</si>
  <si>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</si>
  <si>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</si>
  <si>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</si>
  <si>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</si>
  <si>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</si>
  <si>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</si>
  <si>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</si>
  <si>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</si>
  <si>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</si>
  <si>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</si>
  <si>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</si>
  <si>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</si>
  <si>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</si>
  <si>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</si>
  <si>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</si>
  <si>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</si>
  <si>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</si>
  <si>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</si>
  <si>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</si>
  <si>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</si>
  <si>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</si>
  <si>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</si>
  <si>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</si>
  <si>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</si>
  <si>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</si>
  <si>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</si>
  <si>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</si>
  <si>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</si>
  <si>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</si>
  <si>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</si>
  <si>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</si>
  <si>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</si>
  <si>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</si>
  <si>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</si>
  <si>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</si>
  <si>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</si>
  <si>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</si>
  <si>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</si>
  <si>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</si>
  <si>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</si>
  <si>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</si>
  <si>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</si>
  <si>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</si>
  <si>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</si>
  <si>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</si>
  <si>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</si>
  <si>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</si>
  <si>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</si>
  <si>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</si>
  <si>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</si>
  <si>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</si>
  <si>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</si>
  <si>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</si>
  <si>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</si>
  <si>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</si>
  <si>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</si>
  <si>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</si>
  <si>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</si>
  <si>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</si>
  <si>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</si>
  <si>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</si>
  <si>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</si>
  <si>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</si>
  <si>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</si>
  <si>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</si>
  <si>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</si>
  <si>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</si>
  <si>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</si>
  <si>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</si>
  <si>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</si>
  <si>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</si>
  <si>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</si>
  <si>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</si>
  <si>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</si>
  <si>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</si>
  <si>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</si>
  <si>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</si>
  <si>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</si>
  <si>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</si>
  <si>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</si>
  <si>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</si>
  <si>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</si>
  <si>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</si>
  <si>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</si>
  <si>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</si>
  <si>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</si>
  <si>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</si>
  <si>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</si>
  <si>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</si>
  <si>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</si>
  <si>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</si>
  <si>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</si>
  <si>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</si>
  <si>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</si>
  <si>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</si>
  <si>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</si>
  <si>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</si>
  <si>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</si>
  <si>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</si>
  <si>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</si>
  <si>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</si>
  <si>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</si>
  <si>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</si>
  <si>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</si>
  <si>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</si>
  <si>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</si>
  <si>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</si>
  <si>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</si>
  <si>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</si>
  <si>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</si>
  <si>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</si>
  <si>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</si>
  <si>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</si>
  <si>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</si>
  <si>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</si>
  <si>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</si>
  <si>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</si>
  <si>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</si>
  <si>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</si>
  <si>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</si>
  <si>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</si>
  <si>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</si>
  <si>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</si>
  <si>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</si>
  <si>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</si>
  <si>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</si>
  <si>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</si>
  <si>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</si>
  <si>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</si>
  <si>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</si>
  <si>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</si>
  <si>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</si>
  <si>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</si>
  <si>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</si>
  <si>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</si>
  <si>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</si>
  <si>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</si>
  <si>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</si>
  <si>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</si>
  <si>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</si>
  <si>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</si>
  <si>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</si>
  <si>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</si>
  <si>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</si>
  <si>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</si>
  <si>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</si>
  <si>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</si>
  <si>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</si>
  <si>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</si>
  <si>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</si>
  <si>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</si>
  <si>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</si>
  <si>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</si>
  <si>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</si>
  <si>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</si>
  <si>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</si>
  <si>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</si>
  <si>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</si>
  <si>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</si>
  <si>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</si>
  <si>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</si>
  <si>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</si>
  <si>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</si>
  <si>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</si>
  <si>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</si>
  <si>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</si>
  <si>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</si>
  <si>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</si>
  <si>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</si>
  <si>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</si>
  <si>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</si>
  <si>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</si>
  <si>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</si>
  <si>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</si>
  <si>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</si>
  <si>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</si>
  <si>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</si>
  <si>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</si>
  <si>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</si>
  <si>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</si>
  <si>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</si>
  <si>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</si>
  <si>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</si>
  <si>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</si>
  <si>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</si>
  <si>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</si>
  <si>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</si>
  <si>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</si>
  <si>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</si>
  <si>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</si>
  <si>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</si>
  <si>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</si>
  <si>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</si>
  <si>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</si>
  <si>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</si>
  <si>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</si>
  <si>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</si>
  <si>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</si>
  <si>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</si>
  <si>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</si>
  <si>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</si>
  <si>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</si>
  <si>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</si>
  <si>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</si>
  <si>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</si>
  <si>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</si>
  <si>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</si>
  <si>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</si>
  <si>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</si>
  <si>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</si>
  <si>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</si>
  <si>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</si>
  <si>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</si>
  <si>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</si>
  <si>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</si>
  <si>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</si>
  <si>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</si>
  <si>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</si>
  <si>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</si>
  <si>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</si>
  <si>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</si>
  <si>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</si>
  <si>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</si>
  <si>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</si>
  <si>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</si>
  <si>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</si>
  <si>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</si>
  <si>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</si>
  <si>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</si>
  <si>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</si>
  <si>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</si>
  <si>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</si>
  <si>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</si>
  <si>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</si>
  <si>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</si>
  <si>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</si>
  <si>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</si>
  <si>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</si>
  <si>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</si>
  <si>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</si>
  <si>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</si>
  <si>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</si>
  <si>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</si>
  <si>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</si>
  <si>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</si>
  <si>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</si>
  <si>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</si>
  <si>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</si>
  <si>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</si>
  <si>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</si>
  <si>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</si>
  <si>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</si>
  <si>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</si>
  <si>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</si>
  <si>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</si>
  <si>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</si>
  <si>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</si>
  <si>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</si>
  <si>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</si>
  <si>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</si>
  <si>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</si>
  <si>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</si>
  <si>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</si>
  <si>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</si>
  <si>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</si>
  <si>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</si>
  <si>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</si>
  <si>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</si>
  <si>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</si>
  <si>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</si>
  <si>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</si>
  <si>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</si>
  <si>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</si>
  <si>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</si>
  <si>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</si>
  <si>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</si>
  <si>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</si>
  <si>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</si>
  <si>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</si>
  <si>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</si>
  <si>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</si>
  <si>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</si>
  <si>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</si>
  <si>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</si>
  <si>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</si>
  <si>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</si>
  <si>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</si>
  <si>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</si>
  <si>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</si>
  <si>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</si>
  <si>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</si>
  <si>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</si>
  <si>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</si>
  <si>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</si>
  <si>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</si>
  <si>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</si>
  <si>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</si>
  <si>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</si>
  <si>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</si>
  <si>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</si>
  <si>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</si>
  <si>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</si>
  <si>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</si>
  <si>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</si>
  <si>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</si>
  <si>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</si>
  <si>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</si>
  <si>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</si>
  <si>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</si>
  <si>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</si>
  <si>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</si>
  <si>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</si>
  <si>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</si>
  <si>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</si>
  <si>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</si>
  <si>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</si>
  <si>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</si>
  <si>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</si>
  <si>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</si>
  <si>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</si>
  <si>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</si>
  <si>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</si>
  <si>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</si>
  <si>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</si>
  <si>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</si>
  <si>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</si>
  <si>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</si>
  <si>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</si>
  <si>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</si>
  <si>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</si>
  <si>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</si>
  <si>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</si>
  <si>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</si>
  <si>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</si>
  <si>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</si>
  <si>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</si>
  <si>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</si>
  <si>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</si>
  <si>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</si>
  <si>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</si>
  <si>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</si>
  <si>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</si>
  <si>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</si>
  <si>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</si>
  <si>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</si>
  <si>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</si>
  <si>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</si>
  <si>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</si>
  <si>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</si>
  <si>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</si>
  <si>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</si>
  <si>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</si>
  <si>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</si>
  <si>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</si>
  <si>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</si>
  <si>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</si>
  <si>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</si>
  <si>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</si>
  <si>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</si>
  <si>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</si>
  <si>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</si>
  <si>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</si>
  <si>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</si>
  <si>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</si>
  <si>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</si>
  <si>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</si>
  <si>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</si>
  <si>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</si>
  <si>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</si>
  <si>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</si>
  <si>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</si>
  <si>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</si>
  <si>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</si>
  <si>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</si>
  <si>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</si>
  <si>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</si>
  <si>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</si>
  <si>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</si>
  <si>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</si>
  <si>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</si>
  <si>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</si>
  <si>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</si>
  <si>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</si>
  <si>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</si>
  <si>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</si>
  <si>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</si>
  <si>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</si>
  <si>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</si>
  <si>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</si>
  <si>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</si>
  <si>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</si>
  <si>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</si>
  <si>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</si>
  <si>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</si>
  <si>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</si>
  <si>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</si>
  <si>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</si>
  <si>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</si>
  <si>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</si>
  <si>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</si>
  <si>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</si>
  <si>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</si>
  <si>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</si>
  <si>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</si>
  <si>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</si>
  <si>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</si>
  <si>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</si>
  <si>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</si>
  <si>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</si>
  <si>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</si>
  <si>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</si>
  <si>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</si>
  <si>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</si>
  <si>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</si>
  <si>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</si>
  <si>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</si>
  <si>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</si>
  <si>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</si>
  <si>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</si>
  <si>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</si>
  <si>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</si>
  <si>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</si>
  <si>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</si>
  <si>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</si>
  <si>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</si>
  <si>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</si>
  <si>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</si>
  <si>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</si>
  <si>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</si>
  <si>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</si>
  <si>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</si>
  <si>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</si>
  <si>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</si>
  <si>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</si>
  <si>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</si>
  <si>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</si>
  <si>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</si>
  <si>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</si>
  <si>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</si>
  <si>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</si>
  <si>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</si>
  <si>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</si>
  <si>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</si>
  <si>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</si>
  <si>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</si>
  <si>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</si>
  <si>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</si>
  <si>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</si>
  <si>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</si>
  <si>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</si>
  <si>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</si>
  <si>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</si>
  <si>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</si>
  <si>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</si>
  <si>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</si>
  <si>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</si>
  <si>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</si>
  <si>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</si>
  <si>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</si>
  <si>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</si>
  <si>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</si>
  <si>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</si>
  <si>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</si>
  <si>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</si>
  <si>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</si>
  <si>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</si>
  <si>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</si>
  <si>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</si>
  <si>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</si>
  <si>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</si>
  <si>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</si>
  <si>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</si>
  <si>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</si>
  <si>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</si>
  <si>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</si>
  <si>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</si>
  <si>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</si>
  <si>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</si>
  <si>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</si>
  <si>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</si>
  <si>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</si>
  <si>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</si>
  <si>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</si>
  <si>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</si>
  <si>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</si>
  <si>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</si>
  <si>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</si>
  <si>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</si>
  <si>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</si>
  <si>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</si>
  <si>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</si>
  <si>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</si>
  <si>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</si>
  <si>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</si>
  <si>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</si>
  <si>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</si>
  <si>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</si>
  <si>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</si>
  <si>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</si>
  <si>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</si>
  <si>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</si>
  <si>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</si>
  <si>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</si>
  <si>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</si>
  <si>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</si>
  <si>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</si>
  <si>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</si>
  <si>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</si>
  <si>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</si>
  <si>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</si>
  <si>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</si>
  <si>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</si>
  <si>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</si>
  <si>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</si>
  <si>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</si>
  <si>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</si>
  <si>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</si>
  <si>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</si>
  <si>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</si>
  <si>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</si>
  <si>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</si>
  <si>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</si>
  <si>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</si>
  <si>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</si>
  <si>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</si>
  <si>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</si>
  <si>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</si>
  <si>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</si>
  <si>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</si>
  <si>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</si>
  <si>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</si>
  <si>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</si>
  <si>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</si>
  <si>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</si>
  <si>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</si>
  <si>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</si>
  <si>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</si>
  <si>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</si>
  <si>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</si>
  <si>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</si>
  <si>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</si>
  <si>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</si>
  <si>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</si>
  <si>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</si>
  <si>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</si>
  <si>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</si>
  <si>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</si>
  <si>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</si>
  <si>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</si>
  <si>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</si>
  <si>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</si>
  <si>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</si>
  <si>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</si>
  <si>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</si>
  <si>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</si>
  <si>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</si>
  <si>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</si>
  <si>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</si>
  <si>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</si>
  <si>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</si>
  <si>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</si>
  <si>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</si>
  <si>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</si>
  <si>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</si>
  <si>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</si>
  <si>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</si>
  <si>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</si>
  <si>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</si>
  <si>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</si>
  <si>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</si>
  <si>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</si>
  <si>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</si>
  <si>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</si>
  <si>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</si>
  <si>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</si>
  <si>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</si>
  <si>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</si>
  <si>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</si>
  <si>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</si>
  <si>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</si>
  <si>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</si>
  <si>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</si>
  <si>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</si>
  <si>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</si>
  <si>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</si>
  <si>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</si>
  <si>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</si>
  <si>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</si>
  <si>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</si>
  <si>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</si>
  <si>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</si>
  <si>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</si>
  <si>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</si>
  <si>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</si>
  <si>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</si>
  <si>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</si>
  <si>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</si>
  <si>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</si>
  <si>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</si>
  <si>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</si>
  <si>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</si>
  <si>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</si>
  <si>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</si>
  <si>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</si>
  <si>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</si>
  <si>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</si>
  <si>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</si>
  <si>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</si>
  <si>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</si>
  <si>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</si>
  <si>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</si>
  <si>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</si>
  <si>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</si>
  <si>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</si>
  <si>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</si>
  <si>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</si>
  <si>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</si>
  <si>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</si>
  <si>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</si>
  <si>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</si>
  <si>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</si>
  <si>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</si>
  <si>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</si>
  <si>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</si>
  <si>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</si>
  <si>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</si>
  <si>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</si>
  <si>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</si>
  <si>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</si>
  <si>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</si>
  <si>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</si>
  <si>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</si>
  <si>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</si>
  <si>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</si>
  <si>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</si>
  <si>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</si>
  <si>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</si>
  <si>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</si>
  <si>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</si>
  <si>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</si>
  <si>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</si>
  <si>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</si>
  <si>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</si>
  <si>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</si>
  <si>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</si>
  <si>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</si>
  <si>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</si>
  <si>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</si>
  <si>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</si>
  <si>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</si>
  <si>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</si>
  <si>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</si>
  <si>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</si>
  <si>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</si>
  <si>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</si>
  <si>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</si>
  <si>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</si>
  <si>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</si>
  <si>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</si>
  <si>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</si>
  <si>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</si>
  <si>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</si>
  <si>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</si>
  <si>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</si>
  <si>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</si>
  <si>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</si>
  <si>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</si>
  <si>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</si>
  <si>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</si>
  <si>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</si>
  <si>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</si>
  <si>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</si>
  <si>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</si>
  <si>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</si>
  <si>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</si>
  <si>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</si>
  <si>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</si>
  <si>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</si>
  <si>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</si>
  <si>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</si>
  <si>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</si>
  <si>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</si>
  <si>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</si>
  <si>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</si>
  <si>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</si>
  <si>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</si>
  <si>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</si>
  <si>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</si>
  <si>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</si>
  <si>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</si>
  <si>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</si>
  <si>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</si>
  <si>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</si>
  <si>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</si>
  <si>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</si>
  <si>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</si>
  <si>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</si>
  <si>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</si>
  <si>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</si>
  <si>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</si>
  <si>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</si>
  <si>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</si>
  <si>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</si>
  <si>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</si>
  <si>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</si>
  <si>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</si>
  <si>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</si>
  <si>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</si>
  <si>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</si>
  <si>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</si>
  <si>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</si>
  <si>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</si>
  <si>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</si>
  <si>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</si>
  <si>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</si>
  <si>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</si>
  <si>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</si>
  <si>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</si>
  <si>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</si>
  <si>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</si>
  <si>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</si>
  <si>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</si>
  <si>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</si>
  <si>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</si>
  <si>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</si>
  <si>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</si>
  <si>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</si>
  <si>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</si>
  <si>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</si>
  <si>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</si>
  <si>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</si>
  <si>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</si>
  <si>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</si>
  <si>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</si>
  <si>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</si>
  <si>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</si>
  <si>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</si>
  <si>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</si>
  <si>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</si>
  <si>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</si>
  <si>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</si>
  <si>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</si>
  <si>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</si>
  <si>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</si>
  <si>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</si>
  <si>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</si>
  <si>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</si>
  <si>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</si>
  <si>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</si>
  <si>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</si>
  <si>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</si>
  <si>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</si>
  <si>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</si>
  <si>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</si>
  <si>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</si>
  <si>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</si>
  <si>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</si>
  <si>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</si>
  <si>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</si>
  <si>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</si>
  <si>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</si>
  <si>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</si>
  <si>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</si>
  <si>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</si>
  <si>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</si>
  <si>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</si>
  <si>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</si>
  <si>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</si>
  <si>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</si>
  <si>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</si>
  <si>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</si>
  <si>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</si>
  <si>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</si>
  <si>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</si>
  <si>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</si>
  <si>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</si>
  <si>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</si>
  <si>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</si>
  <si>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</si>
  <si>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</si>
  <si>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</si>
  <si>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</si>
  <si>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</si>
  <si>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</si>
  <si>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</si>
  <si>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</si>
  <si>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</si>
  <si>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</si>
  <si>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</si>
  <si>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</si>
  <si>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</si>
  <si>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</si>
  <si>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</si>
  <si>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</si>
  <si>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</si>
  <si>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</si>
  <si>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</si>
  <si>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</si>
  <si>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</si>
  <si>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</si>
  <si>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</si>
  <si>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</si>
  <si>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</si>
  <si>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</si>
  <si>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</si>
  <si>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</si>
  <si>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</si>
  <si>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</si>
  <si>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</si>
  <si>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</si>
  <si>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</si>
  <si>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</si>
  <si>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</si>
  <si>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</si>
  <si>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</si>
  <si>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</si>
  <si>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</si>
  <si>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</si>
  <si>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</si>
  <si>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</si>
  <si>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</si>
  <si>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</si>
  <si>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</si>
  <si>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</si>
  <si>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</si>
  <si>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</si>
  <si>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</si>
  <si>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</si>
  <si>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</si>
  <si>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</si>
  <si>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</si>
  <si>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</si>
  <si>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</si>
  <si>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</si>
  <si>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</si>
  <si>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</si>
  <si>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</si>
  <si>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</si>
  <si>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</si>
  <si>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</si>
  <si>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</si>
  <si>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</si>
  <si>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</si>
  <si>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</si>
  <si>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</si>
  <si>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</si>
  <si>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</si>
  <si>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</si>
  <si>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</si>
  <si>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</si>
  <si>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</si>
  <si>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</si>
  <si>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</si>
  <si>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</si>
  <si>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</si>
  <si>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</si>
  <si>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</si>
  <si>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</si>
  <si>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</si>
  <si>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</si>
  <si>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</si>
  <si>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</si>
  <si>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</si>
  <si>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</si>
  <si>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</si>
  <si>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</si>
  <si>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</si>
  <si>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</si>
  <si>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</si>
  <si>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</si>
  <si>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</si>
  <si>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</si>
  <si>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</si>
  <si>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</si>
  <si>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</si>
  <si>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</si>
  <si>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</si>
  <si>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</si>
  <si>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</si>
  <si>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</si>
  <si>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</si>
  <si>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</si>
  <si>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</si>
  <si>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</si>
  <si>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</si>
  <si>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</si>
  <si>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</si>
  <si>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</si>
  <si>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</si>
  <si>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</si>
  <si>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</si>
  <si>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</si>
  <si>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</si>
  <si>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</si>
  <si>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</si>
  <si>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</si>
  <si>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</si>
  <si>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</si>
  <si>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</si>
  <si>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</si>
  <si>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</si>
  <si>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</si>
  <si>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</si>
  <si>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</si>
  <si>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</si>
  <si>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</si>
  <si>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</si>
  <si>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</si>
  <si>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</si>
  <si>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</si>
  <si>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</si>
  <si>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</si>
  <si>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</si>
  <si>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</si>
  <si>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</si>
  <si>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</si>
  <si>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</si>
  <si>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</si>
  <si>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</si>
  <si>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</si>
  <si>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</si>
  <si>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</si>
  <si>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</si>
  <si>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</si>
  <si>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</si>
  <si>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</si>
  <si>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</si>
  <si>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</si>
  <si>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</si>
  <si>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</si>
  <si>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</si>
  <si>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</si>
  <si>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</si>
  <si>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</si>
  <si>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</si>
  <si>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</si>
  <si>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</si>
  <si>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</si>
  <si>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</si>
  <si>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</si>
  <si>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</si>
  <si>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</si>
  <si>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</si>
  <si>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</si>
  <si>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</si>
  <si>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</si>
  <si>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</si>
  <si>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</si>
  <si>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</si>
  <si>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</si>
  <si>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</si>
  <si>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</si>
  <si>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</si>
  <si>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</si>
  <si>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</si>
  <si>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</si>
  <si>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</si>
  <si>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</si>
  <si>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</si>
  <si>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</si>
  <si>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</si>
  <si>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</si>
  <si>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</si>
  <si>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</si>
  <si>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</si>
  <si>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</si>
  <si>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</si>
  <si>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</si>
  <si>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</si>
  <si>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</si>
  <si>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</si>
  <si>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</si>
  <si>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</si>
  <si>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</si>
  <si>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</si>
  <si>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</si>
  <si>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</si>
  <si>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</si>
  <si>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</si>
  <si>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</si>
  <si>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</si>
  <si>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</si>
  <si>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</si>
  <si>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</si>
  <si>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</si>
  <si>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</si>
  <si>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</si>
  <si>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</si>
  <si>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</si>
  <si>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</si>
  <si>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</si>
  <si>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</si>
  <si>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</si>
  <si>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</si>
  <si>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</si>
  <si>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</si>
  <si>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</si>
  <si>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</si>
  <si>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</si>
  <si>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</si>
  <si>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</si>
  <si>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</si>
  <si>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</si>
  <si>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</si>
  <si>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</si>
  <si>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</si>
  <si>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</si>
  <si>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</si>
  <si>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</si>
  <si>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</si>
  <si>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</si>
  <si>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</si>
  <si>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</si>
  <si>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</si>
  <si>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</si>
  <si>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</si>
  <si>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</si>
  <si>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</si>
  <si>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</si>
  <si>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</si>
  <si>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</si>
  <si>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</si>
  <si>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</si>
  <si>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</si>
  <si>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</si>
  <si>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</si>
  <si>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</si>
  <si>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</si>
  <si>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</si>
  <si>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</si>
  <si>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</si>
  <si>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</si>
  <si>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</si>
  <si>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</si>
  <si>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</si>
  <si>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</si>
  <si>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</si>
  <si>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</si>
  <si>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</si>
  <si>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</si>
  <si>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</si>
  <si>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</si>
  <si>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</si>
  <si>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</si>
  <si>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</si>
  <si>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</si>
  <si>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</si>
  <si>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</si>
  <si>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</si>
  <si>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</si>
  <si>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</si>
  <si>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</si>
  <si>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</si>
  <si>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</si>
  <si>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</si>
  <si>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</si>
  <si>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</si>
  <si>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</si>
  <si>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</si>
  <si>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</si>
  <si>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</si>
  <si>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</si>
  <si>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</si>
  <si>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</si>
  <si>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</si>
  <si>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</si>
  <si>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</si>
  <si>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</si>
  <si>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</si>
  <si>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</si>
  <si>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</si>
  <si>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</si>
  <si>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</si>
  <si>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</si>
  <si>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</si>
  <si>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</si>
  <si>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</si>
  <si>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</si>
  <si>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</si>
  <si>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</si>
  <si>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</si>
  <si>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</si>
  <si>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</si>
  <si>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</si>
  <si>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</si>
  <si>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</si>
  <si>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</si>
  <si>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</si>
  <si>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</si>
  <si>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</si>
  <si>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</si>
  <si>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</si>
  <si>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</si>
  <si>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</si>
  <si>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</si>
  <si>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</si>
  <si>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</si>
  <si>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</si>
  <si>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</si>
  <si>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</si>
  <si>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</si>
  <si>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</si>
  <si>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</si>
  <si>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</si>
  <si>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</si>
  <si>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</si>
  <si>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</si>
  <si>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</si>
  <si>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</si>
  <si>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</si>
  <si>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</si>
  <si>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</si>
  <si>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</si>
  <si>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</si>
  <si>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</si>
  <si>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</si>
  <si>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</si>
  <si>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</si>
  <si>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</si>
  <si>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</si>
  <si>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</si>
  <si>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</si>
  <si>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</si>
  <si>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</si>
  <si>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</si>
  <si>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</si>
  <si>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</si>
  <si>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</si>
  <si>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</si>
  <si>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</si>
  <si>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</si>
  <si>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</si>
  <si>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</si>
  <si>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</si>
  <si>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</si>
  <si>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</si>
  <si>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</si>
  <si>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</si>
  <si>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</si>
  <si>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</si>
  <si>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</si>
  <si>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</si>
  <si>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</si>
  <si>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</si>
  <si>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</si>
  <si>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</si>
  <si>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</si>
  <si>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</si>
  <si>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</si>
  <si>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</si>
  <si>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</si>
  <si>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</si>
  <si>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</si>
  <si>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</si>
  <si>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</si>
  <si>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</si>
  <si>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</si>
  <si>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</si>
  <si>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</si>
  <si>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</si>
  <si>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</si>
  <si>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</si>
  <si>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</si>
  <si>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</si>
  <si>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</si>
  <si>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</si>
  <si>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</si>
  <si>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</si>
  <si>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</si>
  <si>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</si>
  <si>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</si>
  <si>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</si>
  <si>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</si>
  <si>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</si>
  <si>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</si>
  <si>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</si>
  <si>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</si>
  <si>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</si>
  <si>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</si>
  <si>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</si>
  <si>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</si>
  <si>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</si>
  <si>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</si>
  <si>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</si>
  <si>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</si>
  <si>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</si>
  <si>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</si>
  <si>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</si>
  <si>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</si>
  <si>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</si>
  <si>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</si>
  <si>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</si>
  <si>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</si>
  <si>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</si>
  <si>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</si>
  <si>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</si>
  <si>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</si>
  <si>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</si>
  <si>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</si>
  <si>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</si>
  <si>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</si>
  <si>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</si>
  <si>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</si>
  <si>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</si>
  <si>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</si>
  <si>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</si>
  <si>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</si>
  <si>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</si>
  <si>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</si>
  <si>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</si>
  <si>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</si>
  <si>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</si>
  <si>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</si>
  <si>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</si>
  <si>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</si>
  <si>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</si>
  <si>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</si>
  <si>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</si>
  <si>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</si>
  <si>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</si>
  <si>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</si>
  <si>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</si>
  <si>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</si>
  <si>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</si>
  <si>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</si>
  <si>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</si>
  <si>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</si>
  <si>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</si>
  <si>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</si>
  <si>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</si>
  <si>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</si>
  <si>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</si>
  <si>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</si>
  <si>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</si>
  <si>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</si>
  <si>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</si>
  <si>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</si>
  <si>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</si>
  <si>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</si>
  <si>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</si>
  <si>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</si>
  <si>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</si>
  <si>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</si>
  <si>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</si>
  <si>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</si>
  <si>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</si>
  <si>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</si>
  <si>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</si>
  <si>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</si>
  <si>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</si>
  <si>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</si>
  <si>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</si>
  <si>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</si>
  <si>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</si>
  <si>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</si>
  <si>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</si>
  <si>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</si>
  <si>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</si>
  <si>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</si>
  <si>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</si>
  <si>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</si>
  <si>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</si>
  <si>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</si>
  <si>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</si>
  <si>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</si>
  <si>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</si>
  <si>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</si>
  <si>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</si>
  <si>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</si>
  <si>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</si>
  <si>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</si>
  <si>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</si>
  <si>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</si>
  <si>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</si>
  <si>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</si>
  <si>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</si>
  <si>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</si>
  <si>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</si>
  <si>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</si>
  <si>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</si>
  <si>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</si>
  <si>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</si>
  <si>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</si>
  <si>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</si>
  <si>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</si>
  <si>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</si>
  <si>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</si>
  <si>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</si>
  <si>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</si>
  <si>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</si>
  <si>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</si>
  <si>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</si>
  <si>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</si>
  <si>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</si>
  <si>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</si>
  <si>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</si>
  <si>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</si>
  <si>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</si>
  <si>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</si>
  <si>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</si>
  <si>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</si>
  <si>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</si>
  <si>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</si>
  <si>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</si>
  <si>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</si>
  <si>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</si>
  <si>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</si>
  <si>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</si>
  <si>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</si>
  <si>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</si>
  <si>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</si>
  <si>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</si>
  <si>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</si>
  <si>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</si>
  <si>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</si>
  <si>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</si>
  <si>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</si>
  <si>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</si>
  <si>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</si>
  <si>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</si>
  <si>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</si>
  <si>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</si>
  <si>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</si>
  <si>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</si>
  <si>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</si>
  <si>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</si>
  <si>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</si>
  <si>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</si>
  <si>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</si>
  <si>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</si>
  <si>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</si>
  <si>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</si>
  <si>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</si>
  <si>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</si>
  <si>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</si>
  <si>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</si>
  <si>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</si>
  <si>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</si>
  <si>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</si>
  <si>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</si>
  <si>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</si>
  <si>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</si>
  <si>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</si>
  <si>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</si>
  <si>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</si>
  <si>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</si>
  <si>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</si>
  <si>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</si>
  <si>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</si>
  <si>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</si>
  <si>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</si>
  <si>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</si>
  <si>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</si>
  <si>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</si>
  <si>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</si>
  <si>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</si>
  <si>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</si>
  <si>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</si>
  <si>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</si>
  <si>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</si>
  <si>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</si>
  <si>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</si>
  <si>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</si>
  <si>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</si>
  <si>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</si>
  <si>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</si>
  <si>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</si>
  <si>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</si>
  <si>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</si>
  <si>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</si>
  <si>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</si>
  <si>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</si>
  <si>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</si>
  <si>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</si>
  <si>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</si>
  <si>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</si>
  <si>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</si>
  <si>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</si>
  <si>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</si>
  <si>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</si>
  <si>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</si>
  <si>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</si>
  <si>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</si>
  <si>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</si>
  <si>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</si>
  <si>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</si>
  <si>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</si>
  <si>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</si>
  <si>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</si>
  <si>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</si>
  <si>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</si>
  <si>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</si>
  <si>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</si>
  <si>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</si>
  <si>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</si>
  <si>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</si>
  <si>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</si>
  <si>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</si>
  <si>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</si>
  <si>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</si>
  <si>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</si>
  <si>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</si>
  <si>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</si>
  <si>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</si>
  <si>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</si>
  <si>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</si>
  <si>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</si>
  <si>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</si>
  <si>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</si>
  <si>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</si>
  <si>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</si>
  <si>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</si>
  <si>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</si>
  <si>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</si>
  <si>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</si>
  <si>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</si>
  <si>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</si>
  <si>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</si>
  <si>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</si>
  <si>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</si>
  <si>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</si>
  <si>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</si>
  <si>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</si>
  <si>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</si>
  <si>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</si>
  <si>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</si>
  <si>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</si>
  <si>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</si>
  <si>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</si>
  <si>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</si>
  <si>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</si>
  <si>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</si>
  <si>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</si>
  <si>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</si>
  <si>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</si>
  <si>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</si>
  <si>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</si>
  <si>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</si>
  <si>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</si>
  <si>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</si>
  <si>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</si>
  <si>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</si>
  <si>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</si>
  <si>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</si>
  <si>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</si>
  <si>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</si>
  <si>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</si>
  <si>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</si>
  <si>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</si>
  <si>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</si>
  <si>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</si>
  <si>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</si>
  <si>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</si>
  <si>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</si>
  <si>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</si>
  <si>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</si>
  <si>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</si>
  <si>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</si>
  <si>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</si>
  <si>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</si>
  <si>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</si>
  <si>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</si>
  <si>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</si>
  <si>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</si>
  <si>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</si>
  <si>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</si>
  <si>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</si>
  <si>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</si>
  <si>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</si>
  <si>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</si>
  <si>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</si>
  <si>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</si>
  <si>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</si>
  <si>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</si>
  <si>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</si>
  <si>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</si>
  <si>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</si>
  <si>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</si>
  <si>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</si>
  <si>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</si>
  <si>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</si>
  <si>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</si>
  <si>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</si>
  <si>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</si>
  <si>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</si>
  <si>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</si>
  <si>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</si>
  <si>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</si>
  <si>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</si>
  <si>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</si>
  <si>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</si>
  <si>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</si>
  <si>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</si>
  <si>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</si>
  <si>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</si>
  <si>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</si>
  <si>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</si>
  <si>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</si>
  <si>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</si>
  <si>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</si>
  <si>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</si>
  <si>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</si>
  <si>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</si>
  <si>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</si>
  <si>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</si>
  <si>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</si>
  <si>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</si>
  <si>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</si>
  <si>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</si>
  <si>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</si>
  <si>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</si>
  <si>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</si>
  <si>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</si>
  <si>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</si>
  <si>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</si>
  <si>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</si>
  <si>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</si>
  <si>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</si>
  <si>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</si>
  <si>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</si>
  <si>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</si>
  <si>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</si>
  <si>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</si>
  <si>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</si>
  <si>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</si>
  <si>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</si>
  <si>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</si>
  <si>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</si>
  <si>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</si>
  <si>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</si>
  <si>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</si>
  <si>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</si>
  <si>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</si>
  <si>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</si>
  <si>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</si>
  <si>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</si>
  <si>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</si>
  <si>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</si>
  <si>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</si>
  <si>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</si>
  <si>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</si>
  <si>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</si>
  <si>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</si>
  <si>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</si>
  <si>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</si>
  <si>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</si>
  <si>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</si>
  <si>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</si>
  <si>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</si>
  <si>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</si>
  <si>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</si>
  <si>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</si>
  <si>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</si>
  <si>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</si>
  <si>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</si>
  <si>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</si>
  <si>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</si>
  <si>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</si>
  <si>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</si>
  <si>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</si>
  <si>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</si>
  <si>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</si>
  <si>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</si>
  <si>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</si>
  <si>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</si>
  <si>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</si>
  <si>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</si>
  <si>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</si>
  <si>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</si>
  <si>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</si>
  <si>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</si>
  <si>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</si>
  <si>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</si>
  <si>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</si>
  <si>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</si>
  <si>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</si>
  <si>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</si>
  <si>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</si>
  <si>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</si>
  <si>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</si>
  <si>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</si>
  <si>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</si>
  <si>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</si>
  <si>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</si>
  <si>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</si>
  <si>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</si>
  <si>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</si>
  <si>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</si>
  <si>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</si>
  <si>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</si>
  <si>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</si>
  <si>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</si>
  <si>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</si>
  <si>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</si>
  <si>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</si>
  <si>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</si>
  <si>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</si>
  <si>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</si>
  <si>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</si>
  <si>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</si>
  <si>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</si>
  <si>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</si>
  <si>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</si>
  <si>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</si>
  <si>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</si>
  <si>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</si>
  <si>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</si>
  <si>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</si>
  <si>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</si>
  <si>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</si>
  <si>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</si>
  <si>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</si>
  <si>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</si>
  <si>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</si>
  <si>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</si>
  <si>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</si>
  <si>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</si>
  <si>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</si>
  <si>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</si>
  <si>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</si>
  <si>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</si>
  <si>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</si>
  <si>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</si>
  <si>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</si>
  <si>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</si>
  <si>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</si>
  <si>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</si>
  <si>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</si>
  <si>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</si>
  <si>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</si>
  <si>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</si>
  <si>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</si>
  <si>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</si>
  <si>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</si>
  <si>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</si>
  <si>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</si>
  <si>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</si>
  <si>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</si>
  <si>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</si>
  <si>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</si>
  <si>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</si>
  <si>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</si>
  <si>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</si>
  <si>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</si>
  <si>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</si>
  <si>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</si>
  <si>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</si>
  <si>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</si>
  <si>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</si>
  <si>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</si>
  <si>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</si>
  <si>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</si>
  <si>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</si>
  <si>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</si>
  <si>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</si>
  <si>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</si>
  <si>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</si>
  <si>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</si>
  <si>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</si>
  <si>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</si>
  <si>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</si>
  <si>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</si>
  <si>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</si>
  <si>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</si>
  <si>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</si>
  <si>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</si>
  <si>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</si>
  <si>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</si>
  <si>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</si>
  <si>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</si>
  <si>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</si>
  <si>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</si>
  <si>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</si>
  <si>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</si>
  <si>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</si>
  <si>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</si>
  <si>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</si>
  <si>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</si>
  <si>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</si>
  <si>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</si>
  <si>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</si>
  <si>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</si>
  <si>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</si>
  <si>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</si>
  <si>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</si>
  <si>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</si>
  <si>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</si>
  <si>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</si>
  <si>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</si>
  <si>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</si>
  <si>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</si>
  <si>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</si>
  <si>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</si>
  <si>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</si>
  <si>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</si>
  <si>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</si>
  <si>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</si>
  <si>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</si>
  <si>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</si>
  <si>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</si>
  <si>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</si>
  <si>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</si>
  <si>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</si>
  <si>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</si>
  <si>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</si>
  <si>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</si>
  <si>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</si>
  <si>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</si>
  <si>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</si>
  <si>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</si>
  <si>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</si>
  <si>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</si>
  <si>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</si>
  <si>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</si>
  <si>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</si>
  <si>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</si>
  <si>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</si>
  <si>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</si>
  <si>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</si>
  <si>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</si>
  <si>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</si>
  <si>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</si>
  <si>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</si>
  <si>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</si>
  <si>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</si>
  <si>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</si>
  <si>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</si>
  <si>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</si>
  <si>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</si>
  <si>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</si>
  <si>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</si>
  <si>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</si>
  <si>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</si>
  <si>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</si>
  <si>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</si>
  <si>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</si>
  <si>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</si>
  <si>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</si>
  <si>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</si>
  <si>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</si>
  <si>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</si>
  <si>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</si>
  <si>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</si>
  <si>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</si>
  <si>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</si>
  <si>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</si>
  <si>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</si>
  <si>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</si>
  <si>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</si>
  <si>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</si>
  <si>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</si>
  <si>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</si>
  <si>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</si>
  <si>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</si>
  <si>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</si>
  <si>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</si>
  <si>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</si>
  <si>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</si>
  <si>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</si>
  <si>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</si>
  <si>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</si>
  <si>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</si>
  <si>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</si>
  <si>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</si>
  <si>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</si>
  <si>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</si>
  <si>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</si>
  <si>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</si>
  <si>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</si>
  <si>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</si>
  <si>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</si>
  <si>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</si>
  <si>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</si>
  <si>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</si>
  <si>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</si>
  <si>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</si>
  <si>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</si>
  <si>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</si>
  <si>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</si>
  <si>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</si>
  <si>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</si>
  <si>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</si>
  <si>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</si>
  <si>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</si>
  <si>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</si>
  <si>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</si>
  <si>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</si>
  <si>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</si>
  <si>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</si>
  <si>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</si>
  <si>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</si>
  <si>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</si>
  <si>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</si>
  <si>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</si>
  <si>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</si>
  <si>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</si>
  <si>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</si>
  <si>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</si>
  <si>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</si>
  <si>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</si>
  <si>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</si>
  <si>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</si>
  <si>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</si>
  <si>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</si>
  <si>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</si>
  <si>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</si>
  <si>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</si>
  <si>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</si>
  <si>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</si>
  <si>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</si>
  <si>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</si>
  <si>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</si>
  <si>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</si>
  <si>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</si>
  <si>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</si>
  <si>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</si>
  <si>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</si>
  <si>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</si>
  <si>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</si>
  <si>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</si>
  <si>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</si>
  <si>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</si>
  <si>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</si>
  <si>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</si>
  <si>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</si>
  <si>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</si>
  <si>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</si>
  <si>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</si>
  <si>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</si>
  <si>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</si>
  <si>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</si>
  <si>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</si>
  <si>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</si>
  <si>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</si>
  <si>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</si>
  <si>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</si>
  <si>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</si>
  <si>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</si>
  <si>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</si>
  <si>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</si>
  <si>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</si>
  <si>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</si>
  <si>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</si>
  <si>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</si>
  <si>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</si>
  <si>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</si>
  <si>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</si>
  <si>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</si>
  <si>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</si>
  <si>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</si>
  <si>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</si>
  <si>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</si>
  <si>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</si>
  <si>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</si>
  <si>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</si>
  <si>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</si>
  <si>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</si>
  <si>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</si>
  <si>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</si>
  <si>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</si>
  <si>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</si>
  <si>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</si>
  <si>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</si>
  <si>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</si>
  <si>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</si>
  <si>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</si>
  <si>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</si>
  <si>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</si>
  <si>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</si>
  <si>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</si>
  <si>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</si>
  <si>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</si>
  <si>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</si>
  <si>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</si>
  <si>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</si>
  <si>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</si>
  <si>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</si>
  <si>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</si>
  <si>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</si>
  <si>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</si>
  <si>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</si>
  <si>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</si>
  <si>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</si>
  <si>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</si>
  <si>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</si>
  <si>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</si>
  <si>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</si>
  <si>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</si>
  <si>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</si>
  <si>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</si>
  <si>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</si>
  <si>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</si>
  <si>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</si>
  <si>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</si>
  <si>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</si>
  <si>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</si>
  <si>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</si>
  <si>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</si>
  <si>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</si>
  <si>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</si>
  <si>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</si>
  <si>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</si>
  <si>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</si>
  <si>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</si>
  <si>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</si>
  <si>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</si>
  <si>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</si>
  <si>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</si>
  <si>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</si>
  <si>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</si>
  <si>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</si>
  <si>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</si>
  <si>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</si>
  <si>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</si>
  <si>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</si>
  <si>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</si>
  <si>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</si>
  <si>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</si>
  <si>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</si>
  <si>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</si>
  <si>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</si>
  <si>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</si>
  <si>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</si>
  <si>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</si>
  <si>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</si>
  <si>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</si>
  <si>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</si>
  <si>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</si>
  <si>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</si>
  <si>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</si>
  <si>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</si>
  <si>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</si>
  <si>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</si>
  <si>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</si>
  <si>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</si>
  <si>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</si>
  <si>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</si>
  <si>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</si>
  <si>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</si>
  <si>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</si>
  <si>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</si>
  <si>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</si>
  <si>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</si>
  <si>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</si>
  <si>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</si>
  <si>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</si>
  <si>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</si>
  <si>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</si>
  <si>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</si>
  <si>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</si>
  <si>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</si>
  <si>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</si>
  <si>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</si>
  <si>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</si>
  <si>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</si>
  <si>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</si>
  <si>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</si>
  <si>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</si>
  <si>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</si>
  <si>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</si>
  <si>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</si>
  <si>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</si>
  <si>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</si>
  <si>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</si>
  <si>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</si>
  <si>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</si>
  <si>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</si>
  <si>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</si>
  <si>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</si>
  <si>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</si>
  <si>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</si>
  <si>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</si>
  <si>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</si>
  <si>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</si>
  <si>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</si>
  <si>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</si>
  <si>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</si>
  <si>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</si>
  <si>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</si>
  <si>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</si>
  <si>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</si>
  <si>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</si>
  <si>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</si>
  <si>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</si>
  <si>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</si>
  <si>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</si>
  <si>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</si>
  <si>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</si>
  <si>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</si>
  <si>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</si>
  <si>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</si>
  <si>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</si>
  <si>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</si>
  <si>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</si>
  <si>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</si>
  <si>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</si>
  <si>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</si>
  <si>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</si>
  <si>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</si>
  <si>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</si>
  <si>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</si>
  <si>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</si>
  <si>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</si>
  <si>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</si>
  <si>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</si>
  <si>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</si>
  <si>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</si>
  <si>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</si>
  <si>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</si>
  <si>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</si>
  <si>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</si>
  <si>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</si>
  <si>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</si>
  <si>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</si>
  <si>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</si>
  <si>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</si>
  <si>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</si>
  <si>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</si>
  <si>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</si>
  <si>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</si>
  <si>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</si>
  <si>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</si>
  <si>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</si>
  <si>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</si>
  <si>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</si>
  <si>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</si>
  <si>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</si>
  <si>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</si>
  <si>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</si>
  <si>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</si>
  <si>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</si>
  <si>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</si>
  <si>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</si>
  <si>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</si>
  <si>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</si>
  <si>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</si>
  <si>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</si>
  <si>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</si>
  <si>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</si>
  <si>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</si>
  <si>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</si>
  <si>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</si>
  <si>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</si>
  <si>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</si>
  <si>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</si>
  <si>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</si>
  <si>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</si>
  <si>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</si>
  <si>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</si>
  <si>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</si>
  <si>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</si>
  <si>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</si>
  <si>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</si>
  <si>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</si>
  <si>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</si>
  <si>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</si>
  <si>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</si>
  <si>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</si>
  <si>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</si>
  <si>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</si>
  <si>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</si>
  <si>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</si>
  <si>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</si>
  <si>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</si>
  <si>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</si>
  <si>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</si>
  <si>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</si>
  <si>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</si>
  <si>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</si>
  <si>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</si>
  <si>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</si>
  <si>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</si>
  <si>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</si>
  <si>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</si>
  <si>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</si>
  <si>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</si>
  <si>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</si>
  <si>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</si>
  <si>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</si>
  <si>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</si>
  <si>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</si>
  <si>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</si>
  <si>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</si>
  <si>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</si>
  <si>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</si>
  <si>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</si>
  <si>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</si>
  <si>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</si>
  <si>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</si>
  <si>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</si>
  <si>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</si>
  <si>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</si>
  <si>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</si>
  <si>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</si>
  <si>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</si>
  <si>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</si>
  <si>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</si>
  <si>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</si>
  <si>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</si>
  <si>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</si>
  <si>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</si>
  <si>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</si>
  <si>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</si>
  <si>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</si>
  <si>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</si>
  <si>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</si>
  <si>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</si>
  <si>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</si>
  <si>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</si>
  <si>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</si>
  <si>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</si>
  <si>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</si>
  <si>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</si>
  <si>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</si>
  <si>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</si>
  <si>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</si>
  <si>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</si>
  <si>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</si>
  <si>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</si>
  <si>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</si>
  <si>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</si>
  <si>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</si>
  <si>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</si>
  <si>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</si>
  <si>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</si>
  <si>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</si>
  <si>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</si>
  <si>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</si>
  <si>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</si>
  <si>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</si>
  <si>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</si>
  <si>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</si>
  <si>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</si>
  <si>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</si>
  <si>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</si>
  <si>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</si>
  <si>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</si>
  <si>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</si>
  <si>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</si>
  <si>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</si>
  <si>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</si>
  <si>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</si>
  <si>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</si>
  <si>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</si>
  <si>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</si>
  <si>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</si>
  <si>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</si>
  <si>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</si>
  <si>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</si>
  <si>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</si>
  <si>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</si>
  <si>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</si>
  <si>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</si>
  <si>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</si>
  <si>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</si>
  <si>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</si>
  <si>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</si>
  <si>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</si>
  <si>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</si>
  <si>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</si>
  <si>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</si>
  <si>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</si>
  <si>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</si>
  <si>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</si>
  <si>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</si>
  <si>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</si>
  <si>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</si>
  <si>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</si>
  <si>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</si>
  <si>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</si>
  <si>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</si>
  <si>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</si>
  <si>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</si>
  <si>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</si>
  <si>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</si>
  <si>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</si>
  <si>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</si>
  <si>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</si>
  <si>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</si>
  <si>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</si>
  <si>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</si>
  <si>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</si>
  <si>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</si>
  <si>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</si>
  <si>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</si>
  <si>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</si>
  <si>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</si>
  <si>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</si>
  <si>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</si>
  <si>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</si>
  <si>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</si>
  <si>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</si>
  <si>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</si>
  <si>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</si>
  <si>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</si>
  <si>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</si>
  <si>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</si>
  <si>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</si>
  <si>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</si>
  <si>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</si>
  <si>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</si>
  <si>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</si>
  <si>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</si>
  <si>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</si>
  <si>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</si>
  <si>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</si>
  <si>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</si>
  <si>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</si>
  <si>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</si>
  <si>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</si>
  <si>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</si>
  <si>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</si>
  <si>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</si>
  <si>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</si>
  <si>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</si>
  <si>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</si>
  <si>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</si>
  <si>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</si>
  <si>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</si>
  <si>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</si>
  <si>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</si>
  <si>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</si>
  <si>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</si>
  <si>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</si>
  <si>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</si>
  <si>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</si>
  <si>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</si>
  <si>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</si>
  <si>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</si>
  <si>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</si>
  <si>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</si>
  <si>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</si>
  <si>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</si>
  <si>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</si>
  <si>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</si>
  <si>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</si>
  <si>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</si>
  <si>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</si>
  <si>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</si>
  <si>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</si>
  <si>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</si>
  <si>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</si>
  <si>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</si>
  <si>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</si>
  <si>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</si>
  <si>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</si>
  <si>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</si>
  <si>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</si>
  <si>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</si>
  <si>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</si>
  <si>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</si>
  <si>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</si>
  <si>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</si>
  <si>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</si>
  <si>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</si>
  <si>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</si>
  <si>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</si>
  <si>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</si>
  <si>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</si>
  <si>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</si>
  <si>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</si>
  <si>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</si>
  <si>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</si>
  <si>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</si>
  <si>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</si>
  <si>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</si>
  <si>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</si>
  <si>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</si>
  <si>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</si>
  <si>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</si>
  <si>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</si>
  <si>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</si>
  <si>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</si>
  <si>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</si>
  <si>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</si>
  <si>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</si>
  <si>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</si>
  <si>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</si>
  <si>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</si>
  <si>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</si>
  <si>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</si>
  <si>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</si>
  <si>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</si>
  <si>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</si>
  <si>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</si>
  <si>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</si>
  <si>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</si>
  <si>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</si>
  <si>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</si>
  <si>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</si>
  <si>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</si>
  <si>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</si>
  <si>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</si>
  <si>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</si>
  <si>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</si>
  <si>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</si>
  <si>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</si>
  <si>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</si>
  <si>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</si>
  <si>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</si>
  <si>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</si>
  <si>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</si>
  <si>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</si>
  <si>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</si>
  <si>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</si>
  <si>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</si>
  <si>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</si>
  <si>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</si>
  <si>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</si>
  <si>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</si>
  <si>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</si>
  <si>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</si>
  <si>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</si>
  <si>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</si>
  <si>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</si>
  <si>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</si>
  <si>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</si>
  <si>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</si>
  <si>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</si>
  <si>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</si>
  <si>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</si>
  <si>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</si>
  <si>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</si>
  <si>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</si>
  <si>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</si>
  <si>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</si>
  <si>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</si>
  <si>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</si>
  <si>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</si>
  <si>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</si>
  <si>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</si>
  <si>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</si>
  <si>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</si>
  <si>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</si>
  <si>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</si>
  <si>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</si>
  <si>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</si>
  <si>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</si>
  <si>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</si>
  <si>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</si>
  <si>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</si>
  <si>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</si>
  <si>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</si>
  <si>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</si>
  <si>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</si>
  <si>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</si>
  <si>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</si>
  <si>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</si>
  <si>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</si>
  <si>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</si>
  <si>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</si>
  <si>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</si>
  <si>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</si>
  <si>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</si>
  <si>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</si>
  <si>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</si>
  <si>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</si>
  <si>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</si>
  <si>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</si>
  <si>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</si>
  <si>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</si>
  <si>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</si>
  <si>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</si>
  <si>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</si>
  <si>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</si>
  <si>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</si>
  <si>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</si>
  <si>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</si>
  <si>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</si>
  <si>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</si>
  <si>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</si>
  <si>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</si>
  <si>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</si>
  <si>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</si>
  <si>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</si>
  <si>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</si>
  <si>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</si>
  <si>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</si>
  <si>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</si>
  <si>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</si>
  <si>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</si>
  <si>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</si>
  <si>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</si>
  <si>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</si>
  <si>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</si>
  <si>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</si>
  <si>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</si>
  <si>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</si>
  <si>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</si>
  <si>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</si>
  <si>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</si>
  <si>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</si>
  <si>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</si>
  <si>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</si>
  <si>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</si>
  <si>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</si>
  <si>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</si>
  <si>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</si>
  <si>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</si>
  <si>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</si>
  <si>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</si>
  <si>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</si>
  <si>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</si>
  <si>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</si>
  <si>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</si>
  <si>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</si>
  <si>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</si>
  <si>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</si>
  <si>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</si>
  <si>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</si>
  <si>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</si>
  <si>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</si>
  <si>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</si>
  <si>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</si>
  <si>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</si>
  <si>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</si>
  <si>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</si>
  <si>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</si>
  <si>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</si>
  <si>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</si>
  <si>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</si>
  <si>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</si>
  <si>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</si>
  <si>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</si>
  <si>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</si>
  <si>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</si>
  <si>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</si>
  <si>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</si>
  <si>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</si>
  <si>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</si>
  <si>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</si>
  <si>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</si>
  <si>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</si>
  <si>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</si>
  <si>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</si>
  <si>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</si>
  <si>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</si>
  <si>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</si>
  <si>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</si>
  <si>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</si>
  <si>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</si>
  <si>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</si>
  <si>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</si>
  <si>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</si>
  <si>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</si>
  <si>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</si>
  <si>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</si>
  <si>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</si>
  <si>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</si>
  <si>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</si>
  <si>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</si>
  <si>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</si>
  <si>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</si>
  <si>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</si>
  <si>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</si>
  <si>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</si>
  <si>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</si>
  <si>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</si>
  <si>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</si>
  <si>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</si>
  <si>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</si>
  <si>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</si>
  <si>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</si>
  <si>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</si>
  <si>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</si>
  <si>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</si>
  <si>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</si>
  <si>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</si>
  <si>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</si>
  <si>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</si>
  <si>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</si>
  <si>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</si>
  <si>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</si>
  <si>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</si>
  <si>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</si>
  <si>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</si>
  <si>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</si>
  <si>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</si>
  <si>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</si>
  <si>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</si>
  <si>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</si>
  <si>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</si>
  <si>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</si>
  <si>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</si>
  <si>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</si>
  <si>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</si>
  <si>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</si>
  <si>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</si>
  <si>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</si>
  <si>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</si>
  <si>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</si>
  <si>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</si>
  <si>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</si>
  <si>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</si>
  <si>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</si>
  <si>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</si>
  <si>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</si>
  <si>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</si>
  <si>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</si>
  <si>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</si>
  <si>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</si>
  <si>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</si>
  <si>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</si>
  <si>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</si>
  <si>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</si>
  <si>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</si>
  <si>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</si>
  <si>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</si>
  <si>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</si>
  <si>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</si>
  <si>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</si>
  <si>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</si>
  <si>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</si>
  <si>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</si>
  <si>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</si>
  <si>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</si>
  <si>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</si>
  <si>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</si>
  <si>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</si>
  <si>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</si>
  <si>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</si>
  <si>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</si>
  <si>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</si>
  <si>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</si>
  <si>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</si>
  <si>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</si>
  <si>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</si>
  <si>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</si>
  <si>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</si>
  <si>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</si>
  <si>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</si>
  <si>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to do in 2026;created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</si>
  <si>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</si>
  <si>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</si>
  <si>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</si>
  <si>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</si>
  <si>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</si>
  <si>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</si>
  <si>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</si>
  <si>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</si>
  <si>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</si>
  <si>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</si>
  <si>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</si>
  <si>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</si>
  <si>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</si>
  <si>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</si>
  <si>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</si>
  <si>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</si>
  <si>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</si>
  <si>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</si>
  <si>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</si>
  <si>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</si>
  <si>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</si>
  <si>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</si>
  <si>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</si>
  <si>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</si>
  <si>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</si>
  <si>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</si>
  <si>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</si>
  <si>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</si>
  <si>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</si>
  <si>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</si>
  <si>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</si>
  <si>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</si>
  <si>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</si>
  <si>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</si>
  <si>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</si>
  <si>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</si>
  <si>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</si>
  <si>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</si>
  <si>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</si>
  <si>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</si>
  <si>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</si>
  <si>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</si>
  <si>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</si>
  <si>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</si>
  <si>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</si>
  <si>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</si>
  <si>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</si>
  <si>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</si>
  <si>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</si>
  <si>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</si>
  <si>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</si>
  <si>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</si>
  <si>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</si>
  <si>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</si>
  <si>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</si>
  <si>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</si>
  <si>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</si>
  <si>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</si>
  <si>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</si>
  <si>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</si>
  <si>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</si>
  <si>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</si>
  <si>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</si>
  <si>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</si>
  <si>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</si>
  <si>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</si>
  <si>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</si>
  <si>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</si>
  <si>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</si>
  <si>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</si>
  <si>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</si>
  <si>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</si>
  <si>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</si>
  <si>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</si>
  <si>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</si>
  <si>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</si>
  <si>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</si>
  <si>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</si>
  <si>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</si>
  <si>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</si>
  <si>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</si>
  <si>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</si>
  <si>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</si>
  <si>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</si>
  <si>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</si>
  <si>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</si>
  <si>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</si>
  <si>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</si>
  <si>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</si>
  <si>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</si>
  <si>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</si>
  <si>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</si>
  <si>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</si>
  <si>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</si>
  <si>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</si>
  <si>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</si>
  <si>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</si>
  <si>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</si>
  <si>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</si>
  <si>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</si>
  <si>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</si>
  <si>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</si>
  <si>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</si>
  <si>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</si>
  <si>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</si>
  <si>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</si>
  <si>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</si>
  <si>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</si>
  <si>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</si>
  <si>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</si>
  <si>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</si>
  <si>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</si>
  <si>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</si>
  <si>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</si>
  <si>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</si>
  <si>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</si>
  <si>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</si>
  <si>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</si>
  <si>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</si>
  <si>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</si>
  <si>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</si>
  <si>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</si>
  <si>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</si>
  <si>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</si>
  <si>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</si>
  <si>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</si>
  <si>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</si>
  <si>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</si>
  <si>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</si>
  <si>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</si>
  <si>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</si>
  <si>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</si>
  <si>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</si>
  <si>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</si>
  <si>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</si>
  <si>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</si>
  <si>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</si>
  <si>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</si>
  <si>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</si>
  <si>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</si>
  <si>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</si>
  <si>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</si>
  <si>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</si>
  <si>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</si>
  <si>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</si>
  <si>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</si>
  <si>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</si>
  <si>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</si>
  <si>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</si>
  <si>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</si>
  <si>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</si>
  <si>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</si>
  <si>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</si>
  <si>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</si>
  <si>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</si>
  <si>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</si>
  <si>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</si>
  <si>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</si>
  <si>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</si>
  <si>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</si>
  <si>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</si>
  <si>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</si>
  <si>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</si>
  <si>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</si>
  <si>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</si>
  <si>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</si>
  <si>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</si>
  <si>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</si>
  <si>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</si>
  <si>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</si>
  <si>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</si>
  <si>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</si>
  <si>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</si>
  <si>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</si>
  <si>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</si>
  <si>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</si>
  <si>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</si>
  <si>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</si>
  <si>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</si>
  <si>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</si>
  <si>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</si>
  <si>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</si>
  <si>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</si>
  <si>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</si>
  <si>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</si>
  <si>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</si>
  <si>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</si>
  <si>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</si>
  <si>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</si>
  <si>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</si>
  <si>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</si>
  <si>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</si>
  <si>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</si>
  <si>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</si>
  <si>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</si>
  <si>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</si>
  <si>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</si>
  <si>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</si>
  <si>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</si>
  <si>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</si>
  <si>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</si>
  <si>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</si>
  <si>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</si>
  <si>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</si>
  <si>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</si>
  <si>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</si>
  <si>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</si>
  <si>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</si>
  <si>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</si>
  <si>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</si>
  <si>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</si>
  <si>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</si>
  <si>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</si>
  <si>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</si>
  <si>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</si>
  <si>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</si>
  <si>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</si>
  <si>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</si>
  <si>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</si>
  <si>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</si>
  <si>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</si>
  <si>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</si>
  <si>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</si>
  <si>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</si>
  <si>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</si>
  <si>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</si>
  <si>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</si>
  <si>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</si>
  <si>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</si>
  <si>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</si>
  <si>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</si>
  <si>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</si>
  <si>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</si>
  <si>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</si>
  <si>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</si>
  <si>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</si>
  <si>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</si>
  <si>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</si>
  <si>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</si>
  <si>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</si>
  <si>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</si>
  <si>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</si>
  <si>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</si>
  <si>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</si>
  <si>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</si>
  <si>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</si>
  <si>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</si>
  <si>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</si>
  <si>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</si>
  <si>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</si>
  <si>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</si>
  <si>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</si>
  <si>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</si>
  <si>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</si>
  <si>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</si>
  <si>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</si>
  <si>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</si>
  <si>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</si>
  <si>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</si>
  <si>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</si>
  <si>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</si>
  <si>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</si>
  <si>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</si>
  <si>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</si>
  <si>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</si>
  <si>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</si>
  <si>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</si>
  <si>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</si>
  <si>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</si>
  <si>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</si>
  <si>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</si>
  <si>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</si>
  <si>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</si>
  <si>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</si>
  <si>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</si>
  <si>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</si>
  <si>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</si>
  <si>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</si>
  <si>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</si>
  <si>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</si>
  <si>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</si>
  <si>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</si>
  <si>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</si>
  <si>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</si>
  <si>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</si>
  <si>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</si>
  <si>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</si>
  <si>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</si>
  <si>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</si>
  <si>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</si>
  <si>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</si>
  <si>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</si>
  <si>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</si>
  <si>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</si>
  <si>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</si>
  <si>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</si>
  <si>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</si>
  <si>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</si>
  <si>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</si>
  <si>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</si>
  <si>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</si>
  <si>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</si>
  <si>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</si>
  <si>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</si>
  <si>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</si>
  <si>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</si>
  <si>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</si>
  <si>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</si>
  <si>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</si>
  <si>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</si>
  <si>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</si>
  <si>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</si>
  <si>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</si>
  <si>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</si>
  <si>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</si>
  <si>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</si>
  <si>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</si>
  <si>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</si>
  <si>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</si>
  <si>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</si>
  <si>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</si>
  <si>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</si>
  <si>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</si>
  <si>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</si>
  <si>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</si>
  <si>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</si>
  <si>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</si>
  <si>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</si>
  <si>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</si>
  <si>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</si>
  <si>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</si>
  <si>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</si>
  <si>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</si>
  <si>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</si>
  <si>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</si>
  <si>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</si>
  <si>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</si>
  <si>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</si>
  <si>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</si>
  <si>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</si>
  <si>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</si>
  <si>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</si>
  <si>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</si>
  <si>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</si>
  <si>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</si>
  <si>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</si>
  <si>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</si>
  <si>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</si>
  <si>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</si>
  <si>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</si>
  <si>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</si>
  <si>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</si>
  <si>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</si>
  <si>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</si>
  <si>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</si>
  <si>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</si>
  <si>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</si>
  <si>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</si>
  <si>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</si>
  <si>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</si>
  <si>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</si>
  <si>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</si>
  <si>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</si>
  <si>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</si>
  <si>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</si>
  <si>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</si>
  <si>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</si>
  <si>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</si>
  <si>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</si>
  <si>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</si>
  <si>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</si>
  <si>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</si>
  <si>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</si>
  <si>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</si>
  <si>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</si>
  <si>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</si>
  <si>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</si>
  <si>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</si>
  <si>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</si>
  <si>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</si>
  <si>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</si>
  <si>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</si>
  <si>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</si>
  <si>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</si>
  <si>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</si>
  <si>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</si>
  <si>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</si>
  <si>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</si>
  <si>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</si>
  <si>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</si>
  <si>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</si>
  <si>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</si>
  <si>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</si>
  <si>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</si>
  <si>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</si>
  <si>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</si>
  <si>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</si>
  <si>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</si>
  <si>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</si>
  <si>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</si>
  <si>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</si>
  <si>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</si>
  <si>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</si>
  <si>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</si>
  <si>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</si>
  <si>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</si>
  <si>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</si>
  <si>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</si>
  <si>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</si>
  <si>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</si>
  <si>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</si>
  <si>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</si>
  <si>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</si>
  <si>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</si>
  <si>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</si>
  <si>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</si>
  <si>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</si>
  <si>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</si>
  <si>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</si>
  <si>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</si>
  <si>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</si>
  <si>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</si>
  <si>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</si>
  <si>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</si>
  <si>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</si>
  <si>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</si>
  <si>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</si>
  <si>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</si>
  <si>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</si>
  <si>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</si>
  <si>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</si>
  <si>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</si>
  <si>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</si>
  <si>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</si>
  <si>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</si>
  <si>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</si>
  <si>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</si>
  <si>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</si>
  <si>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</si>
  <si>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</si>
  <si>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(blank)</t>
  </si>
  <si>
    <t>TO be done</t>
  </si>
  <si>
    <t>FALSE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</si>
  <si>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</si>
  <si>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</si>
  <si>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</si>
  <si>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</si>
  <si>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</si>
  <si>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</si>
  <si>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</si>
  <si>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</si>
  <si>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</si>
  <si>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</si>
  <si>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</si>
  <si>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</si>
  <si>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</si>
  <si>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</si>
  <si>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</si>
  <si>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</si>
  <si>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</si>
  <si>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</si>
  <si>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</si>
  <si>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</si>
  <si>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</si>
  <si>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</si>
  <si>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</si>
  <si>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</si>
  <si>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</si>
  <si>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</si>
  <si>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</si>
  <si>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</si>
  <si>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</si>
  <si>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</si>
  <si>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</si>
  <si>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</si>
  <si>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</si>
  <si>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</si>
  <si>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</si>
  <si>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</si>
  <si>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</si>
  <si>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</si>
  <si>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</si>
  <si>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</si>
  <si>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</si>
  <si>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</si>
  <si>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</si>
  <si>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</si>
  <si>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</si>
  <si>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</si>
  <si>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</si>
  <si>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</si>
  <si>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</si>
  <si>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</si>
  <si>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</si>
  <si>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</si>
  <si>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</si>
  <si>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</si>
  <si>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</si>
  <si>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</si>
  <si>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</si>
  <si>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</si>
  <si>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</si>
  <si>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</si>
  <si>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</si>
  <si>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</si>
  <si>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</si>
  <si>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</si>
  <si>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</si>
  <si>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</si>
  <si>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</si>
  <si>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</si>
  <si>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</si>
  <si>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</si>
  <si>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</si>
  <si>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</si>
  <si>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</si>
  <si>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</si>
  <si>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</si>
  <si>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</si>
  <si>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</si>
  <si>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</si>
  <si>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</si>
  <si>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</si>
  <si>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</si>
  <si>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</si>
  <si>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</si>
  <si>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</si>
  <si>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</si>
  <si>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</si>
  <si>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</si>
  <si>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</si>
  <si>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</si>
  <si>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</si>
  <si>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</si>
  <si>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</si>
  <si>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</si>
  <si>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</si>
  <si>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</si>
  <si>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</si>
  <si>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</si>
  <si>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</si>
  <si>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</si>
  <si>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</si>
  <si>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</si>
  <si>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</si>
  <si>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</si>
  <si>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</si>
  <si>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</si>
  <si>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</si>
  <si>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</si>
  <si>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</si>
  <si>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</si>
  <si>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</si>
  <si>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</si>
  <si>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</si>
  <si>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</si>
  <si>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</si>
  <si>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</si>
  <si>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</si>
  <si>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</si>
  <si>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</si>
  <si>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</si>
  <si>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</si>
  <si>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</si>
  <si>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</si>
  <si>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</si>
  <si>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</si>
  <si>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</si>
  <si>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</si>
  <si>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</si>
  <si>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</si>
  <si>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</si>
  <si>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</si>
  <si>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</si>
  <si>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</si>
  <si>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</si>
  <si>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</si>
  <si>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</si>
  <si>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</si>
  <si>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</si>
  <si>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</si>
  <si>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</si>
  <si>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</si>
  <si>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</si>
  <si>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</si>
  <si>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</si>
  <si>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</si>
  <si>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</si>
  <si>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</si>
  <si>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</si>
  <si>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Assigned and named</t>
  </si>
  <si>
    <t>moved/renamed</t>
  </si>
  <si>
    <t>MOVED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</si>
  <si>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</si>
  <si>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</si>
  <si>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</si>
  <si>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</si>
  <si>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</si>
  <si>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</si>
  <si>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</si>
  <si>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</si>
  <si>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</si>
  <si>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</si>
  <si>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</si>
  <si>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</si>
  <si>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</si>
  <si>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</si>
  <si>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</si>
  <si>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</si>
  <si>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</si>
  <si>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</si>
  <si>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</si>
  <si>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</si>
  <si>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</si>
  <si>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</si>
  <si>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</si>
  <si>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</si>
  <si>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</si>
  <si>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</si>
  <si>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</si>
  <si>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</si>
  <si>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</si>
  <si>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</si>
  <si>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</si>
  <si>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</si>
  <si>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</si>
  <si>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</si>
  <si>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</si>
  <si>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</si>
  <si>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</si>
  <si>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</si>
  <si>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</si>
  <si>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</si>
  <si>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</si>
  <si>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</si>
  <si>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</si>
  <si>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</si>
  <si>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</si>
  <si>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</si>
  <si>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</si>
  <si>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</si>
  <si>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</si>
  <si>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</si>
  <si>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</si>
  <si>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</si>
  <si>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</si>
  <si>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</si>
  <si>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</si>
  <si>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</si>
  <si>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</si>
  <si>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</si>
  <si>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</si>
  <si>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</si>
  <si>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</si>
  <si>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</si>
  <si>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</si>
  <si>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</si>
  <si>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</si>
  <si>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</si>
  <si>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</si>
  <si>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</si>
  <si>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</si>
  <si>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</si>
  <si>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</si>
  <si>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</si>
  <si>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</si>
  <si>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</si>
  <si>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</si>
  <si>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</si>
  <si>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</si>
  <si>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</si>
  <si>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</si>
  <si>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</si>
  <si>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</si>
  <si>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</si>
  <si>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</si>
  <si>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</si>
  <si>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</si>
  <si>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</si>
  <si>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</si>
  <si>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</si>
  <si>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</si>
  <si>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</si>
  <si>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</si>
  <si>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</si>
  <si>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</si>
  <si>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</si>
  <si>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</si>
  <si>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</si>
  <si>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</si>
  <si>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</si>
  <si>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</si>
  <si>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</si>
  <si>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</si>
  <si>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</si>
  <si>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</si>
  <si>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</si>
  <si>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</si>
  <si>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</si>
  <si>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</si>
  <si>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</si>
  <si>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</si>
  <si>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</si>
  <si>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</si>
  <si>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</si>
  <si>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</si>
  <si>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</si>
  <si>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</si>
  <si>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</si>
  <si>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</si>
  <si>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</si>
  <si>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</si>
  <si>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</si>
  <si>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</si>
  <si>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</si>
  <si>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</si>
  <si>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</si>
  <si>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</si>
  <si>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</si>
  <si>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</si>
  <si>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</si>
  <si>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</si>
  <si>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</si>
  <si>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</si>
  <si>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</si>
  <si>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</si>
  <si>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</si>
  <si>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</si>
  <si>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</si>
  <si>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</si>
  <si>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</si>
  <si>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</si>
  <si>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</si>
  <si>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</si>
  <si>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</si>
  <si>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</si>
  <si>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</si>
  <si>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</si>
  <si>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</si>
  <si>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</si>
  <si>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</si>
  <si>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</si>
  <si>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</si>
  <si>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</si>
  <si>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</si>
  <si>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</si>
  <si>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</si>
  <si>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</si>
  <si>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</si>
  <si>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</si>
  <si>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</si>
  <si>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</si>
  <si>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</si>
  <si>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</si>
  <si>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</si>
  <si>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</si>
  <si>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</si>
  <si>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</si>
  <si>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</si>
  <si>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</si>
  <si>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</si>
  <si>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</si>
  <si>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</si>
  <si>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</si>
  <si>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</si>
  <si>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</si>
  <si>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</si>
  <si>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</si>
  <si>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</si>
  <si>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</si>
  <si>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</si>
  <si>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</si>
  <si>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</si>
  <si>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</si>
  <si>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</si>
  <si>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</si>
  <si>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</si>
  <si>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</si>
  <si>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</si>
  <si>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</si>
  <si>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</si>
  <si>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</si>
  <si>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</si>
  <si>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</si>
  <si>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</si>
  <si>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</si>
  <si>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</si>
  <si>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</si>
  <si>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</si>
  <si>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</si>
  <si>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</si>
  <si>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</si>
  <si>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</si>
  <si>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</si>
  <si>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</si>
  <si>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</si>
  <si>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</si>
  <si>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</si>
  <si>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</si>
  <si>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</si>
  <si>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</si>
  <si>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</si>
  <si>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</si>
  <si>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</si>
  <si>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</si>
  <si>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</si>
  <si>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</si>
  <si>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</si>
  <si>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</si>
  <si>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</si>
  <si>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</si>
  <si>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</si>
  <si>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</si>
  <si>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</si>
  <si>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</si>
  <si>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</si>
  <si>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</si>
  <si>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</si>
  <si>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</si>
  <si>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</si>
  <si>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</si>
  <si>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</si>
  <si>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</si>
  <si>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</si>
  <si>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</si>
  <si>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</si>
  <si>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</si>
  <si>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</si>
  <si>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</si>
  <si>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</si>
  <si>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</si>
  <si>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</si>
  <si>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</si>
  <si>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</si>
  <si>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</si>
  <si>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</si>
  <si>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 xml:space="preserve">Rare Tumor SW 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</si>
  <si>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</si>
  <si>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</si>
  <si>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</si>
  <si>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</si>
  <si>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</si>
  <si>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</si>
  <si>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 xml:space="preserve">100.00 Niro-No Program </t>
  </si>
  <si>
    <t>100.10 Niro, DT</t>
  </si>
  <si>
    <t xml:space="preserve">100.11 Niro, MM-GSK </t>
  </si>
  <si>
    <t xml:space="preserve">100.15 Niro, MM 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</si>
  <si>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</si>
  <si>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</si>
  <si>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</si>
  <si>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</si>
  <si>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</si>
  <si>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</si>
  <si>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</si>
  <si>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</si>
  <si>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</si>
  <si>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</si>
  <si>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</si>
  <si>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</si>
  <si>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</si>
  <si>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</si>
  <si>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</si>
  <si>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</si>
  <si>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</si>
  <si>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</si>
  <si>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</si>
  <si>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</si>
  <si>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</si>
  <si>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</si>
  <si>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</si>
  <si>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</si>
  <si>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</si>
  <si>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</si>
  <si>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</si>
  <si>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</si>
  <si>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</si>
  <si>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</si>
  <si>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 xml:space="preserve">L000013128 </t>
  </si>
  <si>
    <t>FR8196697</t>
  </si>
  <si>
    <t>L000005495</t>
  </si>
  <si>
    <t>L000013187 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</si>
  <si>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</si>
  <si>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</si>
  <si>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</si>
  <si>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</si>
  <si>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</si>
  <si>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</si>
  <si>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</si>
  <si>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Please dump all objects to O000000007 – Closed Cost Centers</t>
  </si>
  <si>
    <t>G000000235</t>
  </si>
  <si>
    <t>FR8204813</t>
  </si>
  <si>
    <t xml:space="preserve">L000013928 </t>
  </si>
  <si>
    <t>L000013681</t>
  </si>
  <si>
    <t>FR8204919</t>
  </si>
  <si>
    <t>FR8205239</t>
  </si>
  <si>
    <t>DS Value Stream</t>
  </si>
  <si>
    <t>H000001412</t>
  </si>
  <si>
    <t>H000001505</t>
  </si>
  <si>
    <t>FR8215482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</si>
</sst>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2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7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</cellXfs>
  <cellStyles count="92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0.143081134258" createdVersion="7" refreshedVersion="7" minRefreshableVersion="3" recordCount="592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92"/>
    </cacheField>
    <cacheField name="Forecast?" numFmtId="0">
      <sharedItems/>
    </cacheField>
    <cacheField name="Ticket" numFmtId="0">
      <sharedItems count="10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7289705" u="1"/>
        <s v="FR7529156"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unt="12">
        <s v="DONE"/>
        <b v="0"/>
        <s v="ON TM1"/>
        <b v="1"/>
        <s v="TO be done"/>
        <m/>
        <s v="Not to work on" u="1"/>
        <s v="submitted" u="1"/>
        <s v="completed" u="1"/>
        <s v="confirmed" u="1"/>
        <s v="pending approval" u="1"/>
        <s v="UNKNOWN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2">
  <r>
    <n v="1"/>
    <s v="F1"/>
    <x v="0"/>
    <s v="IT08030000"/>
    <s v="MGF_(non-IT)"/>
    <s v="G000000244"/>
    <s v="New"/>
    <x v="0"/>
    <x v="0"/>
    <s v="MGF"/>
    <m/>
    <s v="G000000244"/>
    <s v="Joshua Cachola"/>
  </r>
  <r>
    <n v="2"/>
    <s v="F1"/>
    <x v="0"/>
    <s v="G000000850"/>
    <m/>
    <s v="G000000400"/>
    <s v="Move"/>
    <x v="0"/>
    <x v="0"/>
    <s v="MGF"/>
    <s v="to do in 2026;moved"/>
    <s v="G000000400"/>
    <s v="Manuel Walther"/>
  </r>
  <r>
    <n v="3"/>
    <s v="F1"/>
    <x v="0"/>
    <s v="G000000927"/>
    <s v="NO USE"/>
    <s v="G000000873"/>
    <s v="Rename/Move"/>
    <x v="0"/>
    <x v="0"/>
    <s v="MGF"/>
    <s v="to do in 2026; renamed;moved"/>
    <s v="G000000873"/>
    <s v="Manuel Walther"/>
  </r>
  <r>
    <n v="4"/>
    <s v="F1"/>
    <x v="0"/>
    <s v="G000000928"/>
    <s v="NO USE"/>
    <s v="G000000873"/>
    <s v="Rename/Move"/>
    <x v="0"/>
    <x v="0"/>
    <s v="MGF"/>
    <s v="to do in 2026; renamed;moved"/>
    <s v="G000000873"/>
    <s v="Manuel Walther"/>
  </r>
  <r>
    <n v="5"/>
    <s v="F1"/>
    <x v="0"/>
    <s v="G000000849"/>
    <s v="NO USE"/>
    <s v="G000000873"/>
    <s v="Rename/Move"/>
    <x v="0"/>
    <x v="0"/>
    <s v="MGF"/>
    <s v="to do in 2026; renamed;moved"/>
    <s v="G000000873"/>
    <s v="Manuel Walther"/>
  </r>
  <r>
    <n v="6"/>
    <s v="F1"/>
    <x v="0"/>
    <s v="G000000851"/>
    <s v="NO USE"/>
    <s v="G000000873"/>
    <s v="Rename/Move"/>
    <x v="0"/>
    <x v="0"/>
    <s v="MGF"/>
    <s v="to do in 2026; renamed;moved"/>
    <s v="G000000873"/>
    <s v="Manuel Walther"/>
  </r>
  <r>
    <n v="7"/>
    <s v="F1"/>
    <x v="0"/>
    <s v="G000000847"/>
    <s v="SM-G Mirror CC Typ-C Equipment"/>
    <m/>
    <s v="Rename"/>
    <x v="0"/>
    <x v="0"/>
    <s v="MGF"/>
    <s v="to do in 2026; renamed"/>
    <m/>
    <s v="Manuel Walther"/>
  </r>
  <r>
    <n v="8"/>
    <s v="F1"/>
    <x v="0"/>
    <s v="G000000848"/>
    <s v="SM-G Mirror CC Typ-R Reimburs. (h alloc)"/>
    <m/>
    <s v="Rename"/>
    <x v="0"/>
    <x v="0"/>
    <s v="MGF"/>
    <s v="to do in 2026; renamed"/>
    <m/>
    <s v="Manuel Walther"/>
  </r>
  <r>
    <n v="9"/>
    <s v="F1"/>
    <x v="0"/>
    <s v="G000000929"/>
    <s v="NO USE"/>
    <m/>
    <s v="Rename"/>
    <x v="0"/>
    <x v="0"/>
    <s v="MGF"/>
    <s v="to do in 2026; renamed"/>
    <m/>
    <s v="Manuel Walther"/>
  </r>
  <r>
    <n v="10"/>
    <s v="F1"/>
    <x v="0"/>
    <s v="G000000930"/>
    <s v="NO USE"/>
    <m/>
    <s v="Rename"/>
    <x v="0"/>
    <x v="0"/>
    <s v="MGF"/>
    <s v="to do in 2026; renamed"/>
    <m/>
    <s v="Manuel Walther"/>
  </r>
  <r>
    <n v="11"/>
    <s v="F1"/>
    <x v="0"/>
    <s v="G000000931"/>
    <s v="NO USE"/>
    <m/>
    <s v="Rename"/>
    <x v="0"/>
    <x v="0"/>
    <s v="MGF"/>
    <s v="to do in 2026; renamed"/>
    <m/>
    <s v="Manuel Walther"/>
  </r>
  <r>
    <n v="12"/>
    <s v="F1"/>
    <x v="0"/>
    <s v="G000000926"/>
    <s v="NO USE"/>
    <m/>
    <s v="Rename"/>
    <x v="0"/>
    <x v="0"/>
    <s v="MGF"/>
    <s v="to do in 2026; renamed"/>
    <m/>
    <s v="Manuel Walther"/>
  </r>
  <r>
    <n v="13"/>
    <s v="F1"/>
    <x v="0"/>
    <s v="G000000852"/>
    <s v="NO USE"/>
    <m/>
    <s v="Rename"/>
    <x v="0"/>
    <x v="0"/>
    <s v="MGF"/>
    <s v="to do in 2026; renamed"/>
    <m/>
    <s v="Manuel Walther"/>
  </r>
  <r>
    <n v="14"/>
    <s v="F1"/>
    <x v="0"/>
    <s v="G000000935"/>
    <s v="NO USE"/>
    <m/>
    <s v="Rename"/>
    <x v="0"/>
    <x v="0"/>
    <s v="MGF"/>
    <s v="to do in 2026; renamed"/>
    <m/>
    <s v="Manuel Walther"/>
  </r>
  <r>
    <n v="15"/>
    <s v="F1"/>
    <x v="0"/>
    <s v="G000000936"/>
    <s v="NO USE"/>
    <m/>
    <s v="Rename"/>
    <x v="0"/>
    <x v="0"/>
    <s v="MGF"/>
    <s v="to do in 2026; renamed"/>
    <m/>
    <s v="Manuel Walther"/>
  </r>
  <r>
    <n v="16"/>
    <s v="F1"/>
    <x v="0"/>
    <s v="G000000937"/>
    <s v="NO USE"/>
    <m/>
    <s v="Rename"/>
    <x v="0"/>
    <x v="0"/>
    <s v="MGF"/>
    <s v="to do in 2026; renamed"/>
    <m/>
    <s v="Manuel Walther"/>
  </r>
  <r>
    <n v="17"/>
    <s v="F1"/>
    <x v="0"/>
    <s v="G000000938"/>
    <s v="NO USE"/>
    <m/>
    <s v="Rename"/>
    <x v="0"/>
    <x v="0"/>
    <s v="MGF"/>
    <s v="to do in 2026; renamed"/>
    <m/>
    <s v="Manuel Walther"/>
  </r>
  <r>
    <n v="18"/>
    <s v="F1"/>
    <x v="0"/>
    <s v="G000000939"/>
    <s v="NO USE"/>
    <m/>
    <s v="Rename"/>
    <x v="0"/>
    <x v="0"/>
    <s v="MGF"/>
    <s v="to do in 2026; renamed"/>
    <m/>
    <s v="Manuel Walther"/>
  </r>
  <r>
    <n v="19"/>
    <s v="F1"/>
    <x v="0"/>
    <s v="G000000940"/>
    <s v="NO USE"/>
    <m/>
    <s v="Rename"/>
    <x v="0"/>
    <x v="0"/>
    <s v="MGF"/>
    <s v="to do in 2026; renamed"/>
    <m/>
    <s v="Manuel Walther"/>
  </r>
  <r>
    <n v="20"/>
    <s v="F1"/>
    <x v="1"/>
    <s v="RDC0000095"/>
    <m/>
    <s v="H000004396"/>
    <s v="Move"/>
    <x v="0"/>
    <x v="1"/>
    <s v="MGF"/>
    <s v="to do in 2026"/>
    <s v="DFLTPGCOH_MISSING_NODES"/>
    <s v="Erjo Miguel Tagle"/>
  </r>
  <r>
    <n v="21"/>
    <s v="F1"/>
    <x v="2"/>
    <s v="H000004863"/>
    <s v="SCALA_1248 A350"/>
    <s v="H000000726"/>
    <s v="New"/>
    <x v="0"/>
    <x v="0"/>
    <s v="MGF"/>
    <s v="to do in 2026"/>
    <s v="H000000726"/>
    <s v="Erjo Miguel Tagle"/>
  </r>
  <r>
    <n v="22"/>
    <s v="F1"/>
    <x v="2"/>
    <s v="H000004864"/>
    <s v="SCALA_1248 A351"/>
    <s v="H000000802"/>
    <s v="New"/>
    <x v="0"/>
    <x v="0"/>
    <s v="MGF"/>
    <s v="to do in 2026"/>
    <s v="H000000802"/>
    <s v="Erjo Miguel Tagle"/>
  </r>
  <r>
    <n v="23"/>
    <s v="F1"/>
    <x v="2"/>
    <s v="H000004865"/>
    <s v="SCALA_1248 A353"/>
    <s v="H000000802"/>
    <s v="New"/>
    <x v="0"/>
    <x v="0"/>
    <s v="MGF"/>
    <s v="to do in 2026"/>
    <s v="H000000802"/>
    <s v="Erjo Miguel Tagle"/>
  </r>
  <r>
    <n v="24"/>
    <s v="F1"/>
    <x v="2"/>
    <s v="RDC0000095"/>
    <m/>
    <s v="H000004396"/>
    <s v="Move"/>
    <x v="0"/>
    <x v="1"/>
    <s v="MGF"/>
    <s v="to do in 2026"/>
    <s v="DFLTPGCOH_MISSING_NODES"/>
    <s v="Erjo Miguel Tagle"/>
  </r>
  <r>
    <n v="25"/>
    <s v="F1"/>
    <x v="3"/>
    <s v="H000004866"/>
    <s v="MERCK SERONO ITALY - BARI (CCH)"/>
    <s v="H000000471"/>
    <s v="New"/>
    <x v="0"/>
    <x v="0"/>
    <s v="HC"/>
    <s v="to do in 2026; renamed;mapped"/>
    <s v="H000000471"/>
    <s v="Murilo Barbosa"/>
  </r>
  <r>
    <n v="26"/>
    <s v="F1"/>
    <x v="3"/>
    <s v="H000004867"/>
    <s v="1250BA - OPERATIONS"/>
    <s v="H000004866"/>
    <s v="New"/>
    <x v="0"/>
    <x v="0"/>
    <s v="HC"/>
    <s v="to do in 2026; renamed;mapped"/>
    <s v="H000004866"/>
    <s v="Murilo Barbosa"/>
  </r>
  <r>
    <n v="27"/>
    <s v="F1"/>
    <x v="3"/>
    <s v="H000004868"/>
    <s v="1250BA - OPERATIONS SUPPORT SERVICES"/>
    <s v="H000004866"/>
    <s v="New"/>
    <x v="0"/>
    <x v="0"/>
    <s v="HC"/>
    <s v="to do in 2026; renamed;mapped"/>
    <s v="H000004866"/>
    <s v="Murilo Barbosa"/>
  </r>
  <r>
    <n v="28"/>
    <s v="F1"/>
    <x v="3"/>
    <s v="H000004869"/>
    <s v="1250BA - SITE INFRASTRUCTURE"/>
    <s v="H000004866"/>
    <s v="New"/>
    <x v="0"/>
    <x v="0"/>
    <s v="HC"/>
    <s v="to do in 2026; renamed;mapped"/>
    <s v="H000004866"/>
    <s v="Murilo Barbosa"/>
  </r>
  <r>
    <n v="29"/>
    <s v="F1"/>
    <x v="3"/>
    <s v="H000004870"/>
    <s v="1250BA - QUALITY"/>
    <s v="H000004866"/>
    <s v="New"/>
    <x v="0"/>
    <x v="0"/>
    <s v="HC"/>
    <s v="to do in 2026; renamed;mapped"/>
    <s v="H000004866"/>
    <s v="Murilo Barbosa"/>
  </r>
  <r>
    <n v="30"/>
    <s v="F1"/>
    <x v="3"/>
    <s v="H000004871"/>
    <s v="1250BA - OTHERS"/>
    <s v="H000004866"/>
    <s v="New"/>
    <x v="0"/>
    <x v="0"/>
    <s v="HC"/>
    <s v="to do in 2026; renamed;mapped"/>
    <s v="H000004866"/>
    <s v="Murilo Barbosa"/>
  </r>
  <r>
    <n v="31"/>
    <s v="F1"/>
    <x v="3"/>
    <s v="H000004872"/>
    <s v="1250BA - MANUFACTURING"/>
    <s v="H000004867"/>
    <s v="New"/>
    <x v="0"/>
    <x v="0"/>
    <s v="HC"/>
    <s v="to do in 2026; renamed;mapped"/>
    <s v="H000004867"/>
    <s v="Murilo Barbosa"/>
  </r>
  <r>
    <n v="32"/>
    <s v="F1"/>
    <x v="3"/>
    <s v="H000004873"/>
    <s v="1250BA - PACKAGING"/>
    <s v="H000004867"/>
    <s v="New"/>
    <x v="0"/>
    <x v="0"/>
    <s v="HC"/>
    <s v="to do in 2026; renamed;mapped"/>
    <s v="H000004867"/>
    <s v="Murilo Barbosa"/>
  </r>
  <r>
    <n v="33"/>
    <s v="F1"/>
    <x v="3"/>
    <s v="H000004874"/>
    <s v="1250BA - MAINTENANCE AND ENGINEERING"/>
    <s v="H000004868"/>
    <s v="New"/>
    <x v="0"/>
    <x v="0"/>
    <s v="HC"/>
    <s v="to do in 2026; renamed;mapped"/>
    <s v="H000004868"/>
    <s v="Murilo Barbosa"/>
  </r>
  <r>
    <n v="34"/>
    <s v="F1"/>
    <x v="3"/>
    <s v="H000004875"/>
    <s v="1250BA - SUPPLY AND PLANNING"/>
    <s v="H000004868"/>
    <s v="New"/>
    <x v="0"/>
    <x v="0"/>
    <s v="HC"/>
    <s v="to do in 2026; renamed;mapped"/>
    <s v="H000004868"/>
    <s v="Murilo Barbosa"/>
  </r>
  <r>
    <n v="35"/>
    <s v="F1"/>
    <x v="3"/>
    <s v="H000004876"/>
    <s v="1250BA - SITE SERVICES"/>
    <s v="H000004868"/>
    <s v="New"/>
    <x v="0"/>
    <x v="0"/>
    <s v="HC"/>
    <s v="to do in 2026; renamed;mapped"/>
    <s v="H000004868"/>
    <s v="Murilo Barbosa"/>
  </r>
  <r>
    <n v="36"/>
    <s v="F1"/>
    <x v="3"/>
    <s v="H000004877"/>
    <s v="1250BA - MANUFACTURING FACILITIES"/>
    <s v="H000004869"/>
    <s v="New"/>
    <x v="0"/>
    <x v="0"/>
    <s v="HC"/>
    <s v="to do in 2026; renamed;mapped"/>
    <s v="H000004869"/>
    <s v="Murilo Barbosa"/>
  </r>
  <r>
    <n v="37"/>
    <s v="F1"/>
    <x v="3"/>
    <s v="H000004878"/>
    <s v="1250BA - PACKAGING FACILITIES"/>
    <s v="H000004869"/>
    <s v="New"/>
    <x v="0"/>
    <x v="0"/>
    <s v="HC"/>
    <s v="to do in 2026; renamed;mapped"/>
    <s v="H000004869"/>
    <s v="Murilo Barbosa"/>
  </r>
  <r>
    <n v="38"/>
    <s v="F1"/>
    <x v="3"/>
    <s v="H000004879"/>
    <s v="1250BA - SHARED OPERATIONS FACILITIES"/>
    <s v="H000004869"/>
    <s v="New"/>
    <x v="0"/>
    <x v="0"/>
    <s v="HC"/>
    <s v="to do in 2026; renamed;mapped"/>
    <s v="H000004869"/>
    <s v="Murilo Barbosa"/>
  </r>
  <r>
    <n v="39"/>
    <s v="F1"/>
    <x v="3"/>
    <s v="H000004880"/>
    <s v="1250BA - OTHER FACILITIES"/>
    <s v="H000004869"/>
    <s v="New"/>
    <x v="0"/>
    <x v="0"/>
    <s v="HC"/>
    <s v="to do in 2026; renamed;mapped"/>
    <s v="H000004869"/>
    <s v="Murilo Barbosa"/>
  </r>
  <r>
    <n v="40"/>
    <s v="F1"/>
    <x v="3"/>
    <s v="H000004881"/>
    <s v="1250BA - DP"/>
    <s v="H000004872"/>
    <s v="New"/>
    <x v="0"/>
    <x v="0"/>
    <s v="HC"/>
    <s v="to do in 2026; renamed;mapped"/>
    <s v="H000004872"/>
    <s v="Murilo Barbosa"/>
  </r>
  <r>
    <n v="41"/>
    <s v="F1"/>
    <x v="3"/>
    <s v="H000004882"/>
    <s v="1250BA - FP"/>
    <s v="H000004873"/>
    <s v="New"/>
    <x v="0"/>
    <x v="0"/>
    <s v="HC"/>
    <s v="to do in 2026; renamed;mapped"/>
    <s v="H000004873"/>
    <s v="Murilo Barbosa"/>
  </r>
  <r>
    <n v="42"/>
    <s v="F1"/>
    <x v="3"/>
    <s v="H000004883"/>
    <s v="1250BA - LABOR"/>
    <s v="H000004872"/>
    <s v="New"/>
    <x v="0"/>
    <x v="0"/>
    <s v="HC"/>
    <s v="to do in 2026; renamed;mapped"/>
    <s v="H000004872"/>
    <s v="Murilo Barbosa"/>
  </r>
  <r>
    <n v="43"/>
    <s v="F1"/>
    <x v="3"/>
    <s v="H000004884"/>
    <s v="1250BA - EQUIPMENTS"/>
    <s v="H000004872"/>
    <s v="New"/>
    <x v="0"/>
    <x v="0"/>
    <s v="HC"/>
    <s v="to do in 2026; renamed;mapped"/>
    <s v="H000004872"/>
    <s v="Murilo Barbosa"/>
  </r>
  <r>
    <n v="44"/>
    <s v="F1"/>
    <x v="3"/>
    <s v="H000004885"/>
    <s v="1250BA - INDIRECT SERVICES"/>
    <s v="H000004872"/>
    <s v="New"/>
    <x v="0"/>
    <x v="0"/>
    <s v="HC"/>
    <s v="to do in 2026; renamed;mapped"/>
    <s v="H000004872"/>
    <s v="Murilo Barbosa"/>
  </r>
  <r>
    <n v="45"/>
    <s v="F1"/>
    <x v="3"/>
    <s v="H000004886"/>
    <s v="1250BA - MCC"/>
    <s v="H000004872"/>
    <s v="New"/>
    <x v="0"/>
    <x v="0"/>
    <s v="HC"/>
    <s v="to do in 2026; renamed;mapped"/>
    <s v="H000004872"/>
    <s v="Murilo Barbosa"/>
  </r>
  <r>
    <n v="46"/>
    <s v="F1"/>
    <x v="3"/>
    <s v="H000004887"/>
    <s v="1250BA - LABOR"/>
    <s v="H000004873"/>
    <s v="New"/>
    <x v="0"/>
    <x v="0"/>
    <s v="HC"/>
    <s v="to do in 2026; renamed;mapped"/>
    <s v="H000004873"/>
    <s v="Murilo Barbosa"/>
  </r>
  <r>
    <n v="47"/>
    <s v="F1"/>
    <x v="3"/>
    <s v="H000004888"/>
    <s v="1250BA - EQUIPMENTS"/>
    <s v="H000004873"/>
    <s v="New"/>
    <x v="0"/>
    <x v="0"/>
    <s v="HC"/>
    <s v="to do in 2026; renamed;mapped"/>
    <s v="H000004873"/>
    <s v="Murilo Barbosa"/>
  </r>
  <r>
    <n v="48"/>
    <s v="F1"/>
    <x v="3"/>
    <s v="H000004889"/>
    <s v="1250BA - INDIRECT SERVICES"/>
    <s v="H000004873"/>
    <s v="New"/>
    <x v="0"/>
    <x v="0"/>
    <s v="HC"/>
    <s v="to do in 2026; renamed;mapped"/>
    <s v="H000004873"/>
    <s v="Murilo Barbosa"/>
  </r>
  <r>
    <n v="49"/>
    <s v="F1"/>
    <x v="3"/>
    <s v="H000004890"/>
    <s v="1250BA - MCC"/>
    <s v="H000004873"/>
    <s v="New"/>
    <x v="0"/>
    <x v="0"/>
    <s v="HC"/>
    <s v="to do in 2026; renamed;mapped"/>
    <s v="H000004873"/>
    <s v="Murilo Barbosa"/>
  </r>
  <r>
    <n v="50"/>
    <s v="F1"/>
    <x v="3"/>
    <s v="H000004891"/>
    <s v="MERCK SERONO ITALY - BARI ( BEFORE CCH)"/>
    <s v="H000000471"/>
    <s v="New"/>
    <x v="0"/>
    <x v="0"/>
    <s v="HC"/>
    <s v="to do in 2026; renamed;mapped"/>
    <s v="H000000471"/>
    <s v="Murilo Barbosa"/>
  </r>
  <r>
    <n v="51"/>
    <s v="F1"/>
    <x v="4"/>
    <s v="G000001461"/>
    <s v="EF-DS-TIX Special Projects"/>
    <s v="G000000273"/>
    <s v="New"/>
    <x v="0"/>
    <x v="0"/>
    <s v="MGF"/>
    <s v="to do in 2026; renamed;mapped"/>
    <s v="G000000273"/>
    <s v="Jay-R Lizardo"/>
  </r>
  <r>
    <n v="52"/>
    <s v="F1"/>
    <x v="4"/>
    <s v="IT06042600"/>
    <s v="EF-DS-TIX Special Projects"/>
    <s v="G000001461"/>
    <s v="New"/>
    <x v="0"/>
    <x v="0"/>
    <s v="MGF"/>
    <s v="to do in 2026; renamed;mapped"/>
    <s v="G000001461"/>
    <s v="Jay-R Lizardo"/>
  </r>
  <r>
    <n v="53"/>
    <s v="F1"/>
    <x v="5"/>
    <s v="G000000416"/>
    <s v="SM-RG Restaurants &amp; Catering"/>
    <m/>
    <s v="Rename"/>
    <x v="0"/>
    <x v="0"/>
    <s v="HC"/>
    <s v="to do in 2026; renamed"/>
    <m/>
    <m/>
  </r>
  <r>
    <n v="54"/>
    <s v="F1"/>
    <x v="5"/>
    <s v="G000000882"/>
    <s v="SM-RG Catering &amp; Ursprung"/>
    <m/>
    <s v="Rename"/>
    <x v="0"/>
    <x v="0"/>
    <s v="HC"/>
    <s v="to do in 2026; renamed"/>
    <m/>
    <m/>
  </r>
  <r>
    <n v="55"/>
    <s v="F1"/>
    <x v="6"/>
    <s v="P000001381"/>
    <s v="Discontinued/Divested Sites"/>
    <s v="P000000578"/>
    <s v="New"/>
    <x v="0"/>
    <x v="0"/>
    <s v="EL"/>
    <s v="to do in 2026; renamed;mapped"/>
    <b v="1"/>
    <s v="John Rowie Del Rosario"/>
  </r>
  <r>
    <n v="56"/>
    <s v="F1"/>
    <x v="6"/>
    <s v="P000001382"/>
    <s v="Customer Supply Management"/>
    <s v="P000000467"/>
    <s v="New"/>
    <x v="0"/>
    <x v="0"/>
    <s v="EL"/>
    <s v="to do in 2026; renamed;mapped"/>
    <b v="1"/>
    <s v="John Rowie Del Rosario"/>
  </r>
  <r>
    <n v="57"/>
    <s v="F1"/>
    <x v="6"/>
    <s v="P000001383"/>
    <s v="Supply Planning Asia 1 (TW &amp; CN)"/>
    <s v="P000000467"/>
    <s v="New"/>
    <x v="0"/>
    <x v="0"/>
    <s v="EL"/>
    <s v="to do in 2026; renamed;mapped"/>
    <b v="1"/>
    <s v="John Rowie Del Rosario"/>
  </r>
  <r>
    <n v="58"/>
    <s v="F1"/>
    <x v="6"/>
    <s v="P000001384"/>
    <s v="Supply Planning Asia 2 (KR &amp; JP)"/>
    <s v="P000000467"/>
    <s v="New"/>
    <x v="0"/>
    <x v="0"/>
    <s v="EL"/>
    <s v="to do in 2026; renamed;mapped"/>
    <b v="1"/>
    <s v="John Rowie Del Rosario"/>
  </r>
  <r>
    <n v="59"/>
    <s v="F1"/>
    <x v="6"/>
    <s v="P000001385"/>
    <s v="Supply Planning Europe"/>
    <s v="P000000467"/>
    <s v="New"/>
    <x v="0"/>
    <x v="0"/>
    <s v="EL"/>
    <s v="to do in 2026; renamed;mapped"/>
    <b v="1"/>
    <s v="John Rowie Del Rosario"/>
  </r>
  <r>
    <n v="60"/>
    <s v="F1"/>
    <x v="6"/>
    <s v="P000001386"/>
    <s v="Supply Planning US"/>
    <s v="P000000467"/>
    <s v="New"/>
    <x v="0"/>
    <x v="0"/>
    <s v="EL"/>
    <s v="to do in 2026; renamed;mapped"/>
    <b v="1"/>
    <s v="John Rowie Del Rosario"/>
  </r>
  <r>
    <n v="61"/>
    <s v="F1"/>
    <x v="6"/>
    <s v="P000001387"/>
    <s v="S&amp;OP &amp; SPOC Form. &amp; Optronics"/>
    <s v="P000000467"/>
    <s v="New"/>
    <x v="0"/>
    <x v="0"/>
    <s v="EL"/>
    <s v="to do in 2026; renamed;mapped"/>
    <b v="1"/>
    <s v="John Rowie Del Rosario"/>
  </r>
  <r>
    <n v="62"/>
    <s v="F1"/>
    <x v="6"/>
    <s v="P000001388"/>
    <s v="S&amp;OP &amp; SPOC Spec Gas &amp; Thin Films"/>
    <s v="P000000467"/>
    <s v="New"/>
    <x v="0"/>
    <x v="0"/>
    <s v="EL"/>
    <s v="to do in 2026; renamed;mapped"/>
    <b v="1"/>
    <s v="John Rowie Del Rosario"/>
  </r>
  <r>
    <n v="63"/>
    <s v="F1"/>
    <x v="6"/>
    <s v="P000001389"/>
    <s v="Supply Chain Enablement"/>
    <s v="P000000467"/>
    <s v="New"/>
    <x v="0"/>
    <x v="0"/>
    <s v="EL"/>
    <s v="to do in 2026; renamed;mapped"/>
    <b v="1"/>
    <s v="John Rowie Del Rosario"/>
  </r>
  <r>
    <n v="64"/>
    <s v="F1"/>
    <x v="6"/>
    <s v="P000001390"/>
    <s v="Global Synthesis &amp; Purification Quality"/>
    <s v="P000000483"/>
    <s v="New"/>
    <x v="0"/>
    <x v="0"/>
    <s v="EL"/>
    <s v="to do in 2026; renamed;mapped"/>
    <b v="1"/>
    <s v="John Rowie Del Rosario"/>
  </r>
  <r>
    <n v="65"/>
    <s v="F1"/>
    <x v="6"/>
    <s v="P000001391"/>
    <s v="Global Formulations &amp; Optronics Quality"/>
    <s v="P000000483"/>
    <s v="New"/>
    <x v="0"/>
    <x v="0"/>
    <s v="EL"/>
    <s v="to do in 2026; renamed;mapped"/>
    <b v="1"/>
    <s v="John Rowie Del Rosario"/>
  </r>
  <r>
    <n v="66"/>
    <s v="F1"/>
    <x v="6"/>
    <s v="P000001392"/>
    <s v="Global Supply Chain Quality"/>
    <s v="P000000483"/>
    <s v="New"/>
    <x v="0"/>
    <x v="0"/>
    <s v="EL"/>
    <s v="to do in 2026; renamed;mapped"/>
    <b v="1"/>
    <s v="John Rowie Del Rosario"/>
  </r>
  <r>
    <n v="67"/>
    <s v="F1"/>
    <x v="6"/>
    <s v="P000001393"/>
    <s v="Global Metrology Quality"/>
    <s v="P000000483"/>
    <s v="New"/>
    <x v="0"/>
    <x v="0"/>
    <s v="EL"/>
    <s v="to do in 2026; renamed;mapped"/>
    <b v="1"/>
    <s v="John Rowie Del Rosario"/>
  </r>
  <r>
    <n v="68"/>
    <s v="F1"/>
    <x v="6"/>
    <s v="P000001394"/>
    <s v="ISC Strategy Realization"/>
    <s v="P000000466"/>
    <s v="New"/>
    <x v="0"/>
    <x v="0"/>
    <s v="EL"/>
    <s v="to do in 2026; renamed;mapped"/>
    <b v="1"/>
    <s v="John Rowie Del Rosario"/>
  </r>
  <r>
    <n v="69"/>
    <s v="F1"/>
    <x v="6"/>
    <s v="P000001395"/>
    <s v="Processes &amp; Systems"/>
    <s v="P000001394"/>
    <s v="New"/>
    <x v="0"/>
    <x v="0"/>
    <s v="EL"/>
    <s v="to do in 2026; renamed;mapped"/>
    <b v="1"/>
    <s v="John Rowie Del Rosario"/>
  </r>
  <r>
    <n v="70"/>
    <s v="F1"/>
    <x v="6"/>
    <s v="P000001396"/>
    <s v="ISC Strategy Network Optimization"/>
    <s v="P000001394"/>
    <s v="New"/>
    <x v="0"/>
    <x v="0"/>
    <s v="EL"/>
    <s v="to do in 2026; renamed;mapped"/>
    <b v="1"/>
    <s v="John Rowie Del Rosario"/>
  </r>
  <r>
    <n v="71"/>
    <s v="F1"/>
    <x v="6"/>
    <s v="P000001397"/>
    <s v="ISC Strategy Smart Prod. FO/OP/DS&amp;S"/>
    <s v="P000001394"/>
    <s v="New"/>
    <x v="0"/>
    <x v="0"/>
    <s v="EL"/>
    <s v="to do in 2026; renamed;mapped"/>
    <b v="1"/>
    <s v="John Rowie Del Rosario"/>
  </r>
  <r>
    <n v="72"/>
    <s v="F1"/>
    <x v="6"/>
    <s v="P000001398"/>
    <s v="ISC Strategy Smart Prod. Synth. &amp; Purif."/>
    <s v="P000001394"/>
    <s v="New"/>
    <x v="0"/>
    <x v="0"/>
    <s v="EL"/>
    <s v="to do in 2026; renamed;mapped"/>
    <b v="1"/>
    <s v="John Rowie Del Rosario"/>
  </r>
  <r>
    <n v="73"/>
    <s v="F1"/>
    <x v="6"/>
    <s v="P000001399"/>
    <s v="Cluster Formulations &amp; Optronics"/>
    <s v="P000000466"/>
    <s v="New"/>
    <x v="0"/>
    <x v="0"/>
    <s v="EL"/>
    <s v="to do in 2026; renamed;mapped"/>
    <b v="1"/>
    <s v="John Rowie Del Rosario"/>
  </r>
  <r>
    <n v="74"/>
    <s v="F1"/>
    <x v="6"/>
    <s v="P000001400"/>
    <s v="Formul. &amp; Opt. China Sites"/>
    <s v="P000001399"/>
    <s v="New"/>
    <x v="0"/>
    <x v="0"/>
    <s v="EL"/>
    <s v="to do in 2026; renamed;mapped"/>
    <b v="1"/>
    <s v="John Rowie Del Rosario"/>
  </r>
  <r>
    <n v="75"/>
    <s v="F1"/>
    <x v="6"/>
    <s v="P000001401"/>
    <s v="China Tolling"/>
    <s v="P000001400"/>
    <s v="New"/>
    <x v="0"/>
    <x v="0"/>
    <s v="EL"/>
    <s v="to do in 2026; renamed;mapped"/>
    <b v="1"/>
    <s v="John Rowie Del Rosario"/>
  </r>
  <r>
    <n v="76"/>
    <s v="F1"/>
    <x v="6"/>
    <s v="P000001402"/>
    <s v="Formul. &amp; Opt. Taiwan Sites"/>
    <s v="P000001399"/>
    <s v="New"/>
    <x v="0"/>
    <x v="0"/>
    <s v="EL"/>
    <s v="to do in 2026; renamed;mapped"/>
    <b v="1"/>
    <s v="John Rowie Del Rosario"/>
  </r>
  <r>
    <n v="77"/>
    <s v="F1"/>
    <x v="6"/>
    <s v="P000001403"/>
    <s v="Taiwan Tolling"/>
    <s v="P000001400"/>
    <s v="New"/>
    <x v="0"/>
    <x v="0"/>
    <s v="EL"/>
    <s v="to do in 2026; renamed;mapped"/>
    <b v="1"/>
    <s v="John Rowie Del Rosario"/>
  </r>
  <r>
    <n v="78"/>
    <s v="F1"/>
    <x v="6"/>
    <s v="P000001404"/>
    <s v="Formul. &amp; Opt. Japan Sites"/>
    <s v="P000001399"/>
    <s v="New"/>
    <x v="0"/>
    <x v="0"/>
    <s v="EL"/>
    <s v="to do in 2026; renamed;mapped"/>
    <b v="1"/>
    <s v="John Rowie Del Rosario"/>
  </r>
  <r>
    <n v="79"/>
    <s v="F1"/>
    <x v="6"/>
    <s v="P000001405"/>
    <s v="Formul. &amp; Opt. EU Sites"/>
    <s v="P000001399"/>
    <s v="New"/>
    <x v="0"/>
    <x v="0"/>
    <s v="EL"/>
    <s v="to do in 2026; renamed;mapped"/>
    <b v="1"/>
    <s v="John Rowie Del Rosario"/>
  </r>
  <r>
    <n v="80"/>
    <s v="F1"/>
    <x v="6"/>
    <s v="P000001406"/>
    <s v="EU Tolling"/>
    <s v="P000001405"/>
    <s v="New"/>
    <x v="0"/>
    <x v="0"/>
    <s v="EL"/>
    <s v="to do in 2026; renamed;mapped"/>
    <b v="1"/>
    <s v="John Rowie Del Rosario"/>
  </r>
  <r>
    <n v="81"/>
    <s v="F1"/>
    <x v="6"/>
    <s v="P000001407"/>
    <s v="Quality Darmstadt"/>
    <s v="P000001399"/>
    <s v="New"/>
    <x v="0"/>
    <x v="0"/>
    <s v="EL"/>
    <s v="to do in 2026; renamed;mapped"/>
    <b v="1"/>
    <s v="John Rowie Del Rosario"/>
  </r>
  <r>
    <n v="82"/>
    <s v="F1"/>
    <x v="6"/>
    <s v="P000001408"/>
    <s v="Formul. &amp; Opt. Korea Sites"/>
    <s v="P000001399"/>
    <s v="New"/>
    <x v="0"/>
    <x v="0"/>
    <s v="EL"/>
    <s v="to do in 2026; renamed;mapped"/>
    <b v="1"/>
    <s v="John Rowie Del Rosario"/>
  </r>
  <r>
    <n v="83"/>
    <s v="F1"/>
    <x v="6"/>
    <s v="P000001409"/>
    <s v="Formul. &amp; Opt. US Sites"/>
    <s v="P000001399"/>
    <s v="New"/>
    <x v="0"/>
    <x v="0"/>
    <s v="EL"/>
    <s v="to do in 2026; renamed;mapped"/>
    <b v="1"/>
    <s v="John Rowie Del Rosario"/>
  </r>
  <r>
    <n v="84"/>
    <s v="F1"/>
    <x v="6"/>
    <s v="P000001410"/>
    <s v="US Tolling"/>
    <s v="P000001409"/>
    <s v="New"/>
    <x v="0"/>
    <x v="0"/>
    <s v="EL"/>
    <s v="to do in 2026; renamed;mapped"/>
    <b v="1"/>
    <s v="John Rowie Del Rosario"/>
  </r>
  <r>
    <n v="85"/>
    <s v="F1"/>
    <x v="6"/>
    <s v="P000001411"/>
    <s v="Cluster Equipment (DS&amp;S)"/>
    <s v="P000000466"/>
    <s v="New"/>
    <x v="0"/>
    <x v="0"/>
    <s v="EL"/>
    <s v="to do in 2026; renamed;mapped"/>
    <b v="1"/>
    <s v="John Rowie Del Rosario"/>
  </r>
  <r>
    <n v="86"/>
    <s v="F1"/>
    <x v="6"/>
    <s v="P000001412"/>
    <s v="Cluster Synthesis &amp; Purification"/>
    <s v="P000000466"/>
    <s v="New"/>
    <x v="0"/>
    <x v="0"/>
    <s v="EL"/>
    <s v="to do in 2026; renamed;mapped"/>
    <b v="1"/>
    <s v="John Rowie Del Rosario"/>
  </r>
  <r>
    <n v="87"/>
    <s v="F1"/>
    <x v="6"/>
    <s v="P000001413"/>
    <s v="Syn. &amp; Purif. Taiwan &amp; China Sites"/>
    <s v="P000001412"/>
    <s v="New"/>
    <x v="0"/>
    <x v="0"/>
    <s v="EL"/>
    <s v="to do in 2026; renamed;mapped"/>
    <b v="1"/>
    <s v="John Rowie Del Rosario"/>
  </r>
  <r>
    <n v="88"/>
    <s v="F1"/>
    <x v="6"/>
    <s v="P000001414"/>
    <s v="Syn. &amp; Purif. Korea Sites"/>
    <s v="P000001412"/>
    <s v="New"/>
    <x v="0"/>
    <x v="0"/>
    <s v="EL"/>
    <s v="to do in 2026; renamed;mapped"/>
    <b v="1"/>
    <s v="John Rowie Del Rosario"/>
  </r>
  <r>
    <n v="89"/>
    <s v="F1"/>
    <x v="6"/>
    <s v="P000001415"/>
    <s v="Syn. &amp; Purif. US Sites"/>
    <s v="P000001412"/>
    <s v="New"/>
    <x v="0"/>
    <x v="0"/>
    <s v="EL"/>
    <s v="to do in 2026; renamed;mapped"/>
    <b v="1"/>
    <s v="John Rowie Del Rosario"/>
  </r>
  <r>
    <n v="90"/>
    <s v="F1"/>
    <x v="6"/>
    <s v="P000000494"/>
    <m/>
    <s v="P000000555"/>
    <s v="Move"/>
    <x v="0"/>
    <x v="0"/>
    <s v="EL"/>
    <s v="to do in 2026;moved"/>
    <b v="1"/>
    <s v="John Rowie Del Rosario"/>
  </r>
  <r>
    <n v="91"/>
    <s v="F1"/>
    <x v="6"/>
    <s v="P000000259"/>
    <m/>
    <s v="P000000642"/>
    <s v="Move"/>
    <x v="0"/>
    <x v="0"/>
    <s v="EL"/>
    <s v="to do in 2026;moved"/>
    <b v="1"/>
    <s v="John Rowie Del Rosario"/>
  </r>
  <r>
    <n v="92"/>
    <s v="F1"/>
    <x v="6"/>
    <s v="P000000269"/>
    <m/>
    <s v="P000000642"/>
    <s v="Move"/>
    <x v="0"/>
    <x v="0"/>
    <s v="EL"/>
    <s v="to do in 2026;moved"/>
    <b v="1"/>
    <s v="John Rowie Del Rosario"/>
  </r>
  <r>
    <n v="93"/>
    <s v="F1"/>
    <x v="6"/>
    <s v="P000000466"/>
    <m/>
    <s v="P000000000"/>
    <s v="Move"/>
    <x v="0"/>
    <x v="0"/>
    <s v="EL"/>
    <s v="to do in 2026;moved"/>
    <b v="1"/>
    <s v="John Rowie Del Rosario"/>
  </r>
  <r>
    <n v="94"/>
    <s v="F1"/>
    <x v="6"/>
    <s v="P000000087"/>
    <m/>
    <s v="P000001381"/>
    <s v="Move"/>
    <x v="0"/>
    <x v="0"/>
    <s v="EL"/>
    <s v="to do in 2026;moved"/>
    <b v="1"/>
    <s v="John Rowie Del Rosario"/>
  </r>
  <r>
    <n v="95"/>
    <s v="F1"/>
    <x v="6"/>
    <s v="P000000526"/>
    <m/>
    <s v="P000000578"/>
    <s v="Move"/>
    <x v="0"/>
    <x v="0"/>
    <s v="EL"/>
    <s v="to do in 2026;moved"/>
    <b v="1"/>
    <s v="John Rowie Del Rosario"/>
  </r>
  <r>
    <n v="96"/>
    <s v="F1"/>
    <x v="6"/>
    <s v="P000000513"/>
    <m/>
    <s v="P000000578"/>
    <s v="Move"/>
    <x v="0"/>
    <x v="0"/>
    <s v="EL"/>
    <s v="to do in 2026;moved"/>
    <b v="1"/>
    <s v="John Rowie Del Rosario"/>
  </r>
  <r>
    <n v="97"/>
    <s v="F1"/>
    <x v="6"/>
    <s v="P000000520"/>
    <m/>
    <s v="P000000578"/>
    <s v="Move"/>
    <x v="0"/>
    <x v="0"/>
    <s v="EL"/>
    <s v="to do in 2026;moved"/>
    <b v="1"/>
    <s v="John Rowie Del Rosario"/>
  </r>
  <r>
    <n v="98"/>
    <s v="F1"/>
    <x v="6"/>
    <s v="P000000522"/>
    <m/>
    <s v="P000000578"/>
    <s v="Move"/>
    <x v="0"/>
    <x v="0"/>
    <s v="EL"/>
    <s v="to do in 2026;moved"/>
    <b v="1"/>
    <s v="John Rowie Del Rosario"/>
  </r>
  <r>
    <n v="99"/>
    <s v="F1"/>
    <x v="6"/>
    <s v="P000001171"/>
    <m/>
    <s v="P000000522"/>
    <s v="Move"/>
    <x v="0"/>
    <x v="0"/>
    <s v="EL"/>
    <s v="to do in 2026;moved"/>
    <b v="1"/>
    <s v="John Rowie Del Rosario"/>
  </r>
  <r>
    <n v="100"/>
    <s v="F1"/>
    <x v="6"/>
    <s v="P000000506"/>
    <m/>
    <s v="P000000467"/>
    <s v="Move"/>
    <x v="0"/>
    <x v="0"/>
    <s v="EL"/>
    <s v="to do in 2026;moved"/>
    <b v="1"/>
    <s v="John Rowie Del Rosario"/>
  </r>
  <r>
    <n v="101"/>
    <s v="F1"/>
    <x v="6"/>
    <s v="P000001280"/>
    <m/>
    <s v="P000000467"/>
    <s v="Move"/>
    <x v="0"/>
    <x v="0"/>
    <s v="EL"/>
    <s v="to do in 2026;moved"/>
    <b v="1"/>
    <s v="John Rowie Del Rosario"/>
  </r>
  <r>
    <n v="102"/>
    <s v="F1"/>
    <x v="6"/>
    <s v="P000001146"/>
    <m/>
    <s v="P000001280"/>
    <s v="Move"/>
    <x v="0"/>
    <x v="0"/>
    <s v="EL"/>
    <s v="to do in 2026;moved"/>
    <b v="1"/>
    <s v="John Rowie Del Rosario"/>
  </r>
  <r>
    <n v="103"/>
    <s v="F1"/>
    <x v="6"/>
    <s v="P000001150"/>
    <m/>
    <s v="P000001280"/>
    <s v="Move"/>
    <x v="0"/>
    <x v="0"/>
    <s v="EL"/>
    <s v="to do in 2026;moved"/>
    <b v="1"/>
    <s v="John Rowie Del Rosario"/>
  </r>
  <r>
    <n v="104"/>
    <s v="F1"/>
    <x v="6"/>
    <s v="P000001154"/>
    <m/>
    <s v="P000001280"/>
    <s v="Move"/>
    <x v="0"/>
    <x v="0"/>
    <s v="EL"/>
    <s v="to do in 2026;moved"/>
    <b v="1"/>
    <s v="John Rowie Del Rosario"/>
  </r>
  <r>
    <n v="105"/>
    <s v="F1"/>
    <x v="6"/>
    <s v="P000000800"/>
    <m/>
    <s v="P000001390"/>
    <s v="Move"/>
    <x v="0"/>
    <x v="0"/>
    <s v="EL"/>
    <s v="to do in 2026;moved"/>
    <b v="1"/>
    <s v="John Rowie Del Rosario"/>
  </r>
  <r>
    <n v="106"/>
    <s v="F1"/>
    <x v="6"/>
    <s v="P000000904"/>
    <m/>
    <s v="P000001390"/>
    <s v="Move"/>
    <x v="0"/>
    <x v="0"/>
    <s v="EL"/>
    <s v="to do in 2026;moved"/>
    <b v="1"/>
    <s v="John Rowie Del Rosario"/>
  </r>
  <r>
    <n v="107"/>
    <s v="F1"/>
    <x v="6"/>
    <s v="P000000865"/>
    <m/>
    <s v="P000001391"/>
    <s v="Move"/>
    <x v="0"/>
    <x v="0"/>
    <s v="EL"/>
    <s v="to do in 2026;moved"/>
    <b v="1"/>
    <s v="John Rowie Del Rosario"/>
  </r>
  <r>
    <n v="108"/>
    <s v="F1"/>
    <x v="6"/>
    <s v="P000000837"/>
    <m/>
    <s v="P000001391"/>
    <s v="Move"/>
    <x v="0"/>
    <x v="0"/>
    <s v="EL"/>
    <s v="to do in 2026;moved"/>
    <b v="1"/>
    <s v="John Rowie Del Rosario"/>
  </r>
  <r>
    <n v="109"/>
    <s v="F1"/>
    <x v="6"/>
    <s v="P000000507"/>
    <m/>
    <s v="P000001391"/>
    <s v="Move"/>
    <x v="0"/>
    <x v="0"/>
    <s v="EL"/>
    <s v="to do in 2026;moved"/>
    <b v="1"/>
    <s v="John Rowie Del Rosario"/>
  </r>
  <r>
    <n v="110"/>
    <s v="F1"/>
    <x v="6"/>
    <s v="P000001283"/>
    <m/>
    <s v="P000000483"/>
    <s v="Move"/>
    <x v="0"/>
    <x v="0"/>
    <s v="EL"/>
    <s v="to do in 2026;moved"/>
    <b v="1"/>
    <s v="John Rowie Del Rosario"/>
  </r>
  <r>
    <n v="111"/>
    <s v="F1"/>
    <x v="6"/>
    <s v="P000000478"/>
    <m/>
    <s v="P000001394"/>
    <s v="Move"/>
    <x v="0"/>
    <x v="0"/>
    <s v="EL"/>
    <s v="to do in 2026;moved"/>
    <b v="1"/>
    <s v="John Rowie Del Rosario"/>
  </r>
  <r>
    <n v="112"/>
    <s v="F1"/>
    <x v="6"/>
    <s v="P000000584"/>
    <m/>
    <s v="P000001394"/>
    <s v="Move"/>
    <x v="0"/>
    <x v="0"/>
    <s v="EL"/>
    <s v="to do in 2026;moved"/>
    <b v="1"/>
    <s v="John Rowie Del Rosario"/>
  </r>
  <r>
    <n v="113"/>
    <s v="F1"/>
    <x v="6"/>
    <s v="P000001282"/>
    <m/>
    <s v="P000000584"/>
    <s v="Move"/>
    <x v="0"/>
    <x v="0"/>
    <s v="EL"/>
    <s v="to do in 2026;moved"/>
    <b v="1"/>
    <s v="John Rowie Del Rosario"/>
  </r>
  <r>
    <n v="114"/>
    <s v="F1"/>
    <x v="6"/>
    <s v="P000000097"/>
    <m/>
    <s v="P000001400"/>
    <s v="Move"/>
    <x v="0"/>
    <x v="0"/>
    <s v="EL"/>
    <s v="to do in 2026;moved"/>
    <b v="1"/>
    <s v="John Rowie Del Rosario"/>
  </r>
  <r>
    <n v="115"/>
    <s v="F1"/>
    <x v="6"/>
    <s v="P000000137"/>
    <m/>
    <s v="P000001400"/>
    <s v="Move"/>
    <x v="0"/>
    <x v="0"/>
    <s v="EL"/>
    <s v="to do in 2026;moved"/>
    <b v="1"/>
    <s v="John Rowie Del Rosario"/>
  </r>
  <r>
    <n v="116"/>
    <s v="F1"/>
    <x v="6"/>
    <s v="P000000107"/>
    <m/>
    <s v="P000001402"/>
    <s v="Move"/>
    <x v="0"/>
    <x v="0"/>
    <s v="EL"/>
    <s v="to do in 2026;moved"/>
    <b v="1"/>
    <s v="John Rowie Del Rosario"/>
  </r>
  <r>
    <n v="117"/>
    <s v="F1"/>
    <x v="6"/>
    <s v="P000000117"/>
    <m/>
    <s v="P000001402"/>
    <s v="Move"/>
    <x v="0"/>
    <x v="0"/>
    <s v="EL"/>
    <s v="to do in 2026;moved"/>
    <b v="1"/>
    <s v="John Rowie Del Rosario"/>
  </r>
  <r>
    <n v="118"/>
    <s v="F1"/>
    <x v="6"/>
    <s v="P000000229"/>
    <m/>
    <s v="P000001404"/>
    <s v="Move"/>
    <x v="0"/>
    <x v="0"/>
    <s v="EL"/>
    <s v="to do in 2026;moved"/>
    <b v="1"/>
    <s v="John Rowie Del Rosario"/>
  </r>
  <r>
    <n v="119"/>
    <s v="F1"/>
    <x v="6"/>
    <s v="P000000521"/>
    <m/>
    <s v="P000001404"/>
    <s v="Move"/>
    <x v="0"/>
    <x v="0"/>
    <s v="EL"/>
    <s v="to do in 2026;moved"/>
    <b v="1"/>
    <s v="John Rowie Del Rosario"/>
  </r>
  <r>
    <n v="120"/>
    <s v="F1"/>
    <x v="6"/>
    <s v="P000000056"/>
    <m/>
    <s v="P000001405"/>
    <s v="Move"/>
    <x v="0"/>
    <x v="0"/>
    <s v="EL"/>
    <s v="to do in 2026;moved"/>
    <b v="1"/>
    <s v="John Rowie Del Rosario"/>
  </r>
  <r>
    <n v="121"/>
    <s v="F1"/>
    <x v="6"/>
    <s v="P000001168"/>
    <m/>
    <s v="P000001405"/>
    <s v="Move"/>
    <x v="0"/>
    <x v="0"/>
    <s v="EL"/>
    <s v="to do in 2026;moved"/>
    <b v="1"/>
    <s v="John Rowie Del Rosario"/>
  </r>
  <r>
    <n v="122"/>
    <s v="F1"/>
    <x v="6"/>
    <s v="P000000239"/>
    <m/>
    <s v="P000001405"/>
    <s v="Move"/>
    <x v="0"/>
    <x v="0"/>
    <s v="EL"/>
    <s v="to do in 2026;moved"/>
    <b v="1"/>
    <s v="John Rowie Del Rosario"/>
  </r>
  <r>
    <n v="123"/>
    <s v="F1"/>
    <x v="6"/>
    <s v="P000000279"/>
    <m/>
    <s v="P000001408"/>
    <s v="Move"/>
    <x v="0"/>
    <x v="0"/>
    <s v="EL"/>
    <s v="to do in 2026;moved"/>
    <b v="1"/>
    <s v="John Rowie Del Rosario"/>
  </r>
  <r>
    <n v="124"/>
    <s v="F1"/>
    <x v="6"/>
    <s v="P000000525"/>
    <m/>
    <s v="P000001408"/>
    <s v="Move"/>
    <x v="0"/>
    <x v="0"/>
    <s v="EL"/>
    <s v="to do in 2026;moved"/>
    <b v="1"/>
    <s v="John Rowie Del Rosario"/>
  </r>
  <r>
    <n v="125"/>
    <s v="F1"/>
    <x v="6"/>
    <s v="P000000127"/>
    <m/>
    <s v="P000001408"/>
    <s v="Move"/>
    <x v="0"/>
    <x v="0"/>
    <s v="EL"/>
    <s v="to do in 2026;moved"/>
    <b v="1"/>
    <s v="John Rowie Del Rosario"/>
  </r>
  <r>
    <n v="126"/>
    <s v="F1"/>
    <x v="6"/>
    <s v="P000000524"/>
    <m/>
    <s v="P000001409"/>
    <s v="Move"/>
    <x v="0"/>
    <x v="0"/>
    <s v="EL"/>
    <s v="to do in 2026;moved"/>
    <b v="1"/>
    <s v="John Rowie Del Rosario"/>
  </r>
  <r>
    <n v="127"/>
    <s v="F1"/>
    <x v="6"/>
    <s v="P000000523"/>
    <m/>
    <s v="P000001409"/>
    <s v="Move"/>
    <x v="0"/>
    <x v="0"/>
    <s v="EL"/>
    <s v="to do in 2026;moved"/>
    <b v="1"/>
    <s v="John Rowie Del Rosario"/>
  </r>
  <r>
    <n v="128"/>
    <s v="F1"/>
    <x v="6"/>
    <s v="P000000209"/>
    <m/>
    <s v="P000001409"/>
    <s v="Move"/>
    <x v="0"/>
    <x v="0"/>
    <s v="EL"/>
    <s v="to do in 2026;moved"/>
    <b v="1"/>
    <s v="John Rowie Del Rosario"/>
  </r>
  <r>
    <n v="129"/>
    <s v="F1"/>
    <x v="6"/>
    <s v="P000001278"/>
    <m/>
    <s v="P000001411"/>
    <s v="Move"/>
    <x v="0"/>
    <x v="0"/>
    <s v="EL"/>
    <s v="to do in 2026;moved"/>
    <b v="1"/>
    <s v="John Rowie Del Rosario"/>
  </r>
  <r>
    <n v="130"/>
    <s v="F1"/>
    <x v="6"/>
    <s v="P000000966"/>
    <m/>
    <s v="P000001411"/>
    <s v="Move"/>
    <x v="0"/>
    <x v="0"/>
    <s v="EL"/>
    <s v="to do in 2026;moved"/>
    <b v="1"/>
    <s v="John Rowie Del Rosario"/>
  </r>
  <r>
    <n v="131"/>
    <s v="F1"/>
    <x v="6"/>
    <s v="P000000994"/>
    <m/>
    <s v="P000000966"/>
    <s v="Move"/>
    <x v="0"/>
    <x v="0"/>
    <s v="EL"/>
    <s v="to do in 2026;moved"/>
    <b v="1"/>
    <s v="John Rowie Del Rosario"/>
  </r>
  <r>
    <n v="132"/>
    <s v="F1"/>
    <x v="6"/>
    <s v="P000000981"/>
    <m/>
    <s v="P000000966"/>
    <s v="Move"/>
    <x v="0"/>
    <x v="0"/>
    <s v="EL"/>
    <s v="to do in 2026;moved"/>
    <b v="1"/>
    <s v="John Rowie Del Rosario"/>
  </r>
  <r>
    <n v="133"/>
    <s v="F1"/>
    <x v="6"/>
    <s v="P000000986"/>
    <m/>
    <s v="P000000966"/>
    <s v="Move"/>
    <x v="0"/>
    <x v="0"/>
    <s v="EL"/>
    <s v="to do in 2026;moved"/>
    <b v="1"/>
    <s v="John Rowie Del Rosario"/>
  </r>
  <r>
    <n v="134"/>
    <s v="F1"/>
    <x v="6"/>
    <s v="P000001281"/>
    <m/>
    <s v="P000001411"/>
    <s v="Move"/>
    <x v="0"/>
    <x v="0"/>
    <s v="EL"/>
    <s v="to do in 2026;moved"/>
    <b v="1"/>
    <s v="John Rowie Del Rosario"/>
  </r>
  <r>
    <n v="135"/>
    <s v="F1"/>
    <x v="6"/>
    <s v="P000000517"/>
    <m/>
    <s v="P000001413"/>
    <s v="Move"/>
    <x v="0"/>
    <x v="0"/>
    <s v="EL"/>
    <s v="to do in 2026;moved"/>
    <b v="1"/>
    <s v="John Rowie Del Rosario"/>
  </r>
  <r>
    <n v="136"/>
    <s v="F1"/>
    <x v="6"/>
    <s v="P000000249"/>
    <m/>
    <s v="P000001413"/>
    <s v="Move"/>
    <x v="0"/>
    <x v="0"/>
    <s v="EL"/>
    <s v="to do in 2026;moved"/>
    <b v="1"/>
    <s v="John Rowie Del Rosario"/>
  </r>
  <r>
    <n v="137"/>
    <s v="F1"/>
    <x v="6"/>
    <s v="P000000808"/>
    <m/>
    <s v="P000001413"/>
    <s v="Move"/>
    <x v="0"/>
    <x v="0"/>
    <s v="EL"/>
    <s v="to do in 2026;moved"/>
    <b v="1"/>
    <s v="John Rowie Del Rosario"/>
  </r>
  <r>
    <n v="138"/>
    <s v="F1"/>
    <x v="6"/>
    <s v="P000000909"/>
    <m/>
    <s v="P000001413"/>
    <s v="Move"/>
    <x v="0"/>
    <x v="0"/>
    <s v="EL"/>
    <s v="to do in 2026;moved"/>
    <b v="1"/>
    <s v="John Rowie Del Rosario"/>
  </r>
  <r>
    <n v="139"/>
    <s v="F1"/>
    <x v="6"/>
    <s v="P000000528"/>
    <m/>
    <s v="P000001414"/>
    <s v="Move"/>
    <x v="0"/>
    <x v="0"/>
    <s v="EL"/>
    <s v="to do in 2026;moved"/>
    <b v="1"/>
    <s v="John Rowie Del Rosario"/>
  </r>
  <r>
    <n v="140"/>
    <s v="F1"/>
    <x v="6"/>
    <s v="P000000805"/>
    <m/>
    <s v="P000001414"/>
    <s v="Move"/>
    <x v="0"/>
    <x v="0"/>
    <s v="EL"/>
    <s v="to do in 2026;moved"/>
    <b v="1"/>
    <s v="John Rowie Del Rosario"/>
  </r>
  <r>
    <n v="141"/>
    <s v="F1"/>
    <x v="6"/>
    <s v="P000000515"/>
    <m/>
    <s v="P000001414"/>
    <s v="Move"/>
    <x v="0"/>
    <x v="0"/>
    <s v="EL"/>
    <s v="to do in 2026;moved"/>
    <b v="1"/>
    <s v="John Rowie Del Rosario"/>
  </r>
  <r>
    <n v="142"/>
    <s v="F1"/>
    <x v="6"/>
    <s v="P000000514"/>
    <m/>
    <s v="P000001414"/>
    <s v="Move"/>
    <x v="0"/>
    <x v="0"/>
    <s v="EL"/>
    <s v="to do in 2026;moved"/>
    <b v="1"/>
    <s v="John Rowie Del Rosario"/>
  </r>
  <r>
    <n v="143"/>
    <s v="F1"/>
    <x v="6"/>
    <s v="P000000527"/>
    <m/>
    <s v="P000001415"/>
    <s v="Move"/>
    <x v="0"/>
    <x v="0"/>
    <s v="EL"/>
    <s v="to do in 2026;moved"/>
    <b v="1"/>
    <s v="John Rowie Del Rosario"/>
  </r>
  <r>
    <n v="144"/>
    <s v="F1"/>
    <x v="6"/>
    <s v="P000000518"/>
    <m/>
    <s v="P000001415"/>
    <s v="Move"/>
    <x v="0"/>
    <x v="0"/>
    <s v="EL"/>
    <s v="to do in 2026;moved"/>
    <b v="1"/>
    <s v="John Rowie Del Rosario"/>
  </r>
  <r>
    <n v="145"/>
    <s v="F1"/>
    <x v="6"/>
    <s v="P000000516"/>
    <m/>
    <s v="P000001415"/>
    <s v="Move"/>
    <x v="0"/>
    <x v="0"/>
    <s v="EL"/>
    <s v="to do in 2026;moved"/>
    <b v="1"/>
    <s v="John Rowie Del Rosario"/>
  </r>
  <r>
    <n v="146"/>
    <s v="F1"/>
    <x v="6"/>
    <s v="P000000149"/>
    <m/>
    <s v="P000001412"/>
    <s v="Move"/>
    <x v="0"/>
    <x v="0"/>
    <s v="EL"/>
    <s v="to do in 2026;moved"/>
    <b v="1"/>
    <s v="John Rowie Del Rosario"/>
  </r>
  <r>
    <n v="147"/>
    <s v="F1"/>
    <x v="6"/>
    <s v="P000001280"/>
    <s v="Supply Planning &amp; S&amp;OP DS&amp;S"/>
    <m/>
    <s v="Rename"/>
    <x v="0"/>
    <x v="2"/>
    <s v="EL"/>
    <s v="to do in 2026; renamed"/>
    <s v="P000001280"/>
    <s v="John Rowie Del Rosario"/>
  </r>
  <r>
    <n v="148"/>
    <s v="F1"/>
    <x v="6"/>
    <s v="P000000521"/>
    <s v="Japan Tolling incl. PHPS Ops"/>
    <m/>
    <s v="Rename"/>
    <x v="0"/>
    <x v="2"/>
    <s v="EL"/>
    <s v="to do in 2026; renamed"/>
    <s v="P000000521"/>
    <s v="John Rowie Del Rosario"/>
  </r>
  <r>
    <n v="149"/>
    <s v="F1"/>
    <x v="6"/>
    <s v="P000000486"/>
    <s v="Global Customer Quality"/>
    <m/>
    <s v="Rename"/>
    <x v="0"/>
    <x v="2"/>
    <s v="EL"/>
    <s v="to do in 2026; renamed"/>
    <s v="P000000486"/>
    <s v="John Rowie Del Rosario"/>
  </r>
  <r>
    <n v="150"/>
    <s v="F1"/>
    <x v="6"/>
    <s v="P000000488"/>
    <s v="Global Process Quality"/>
    <m/>
    <s v="Rename"/>
    <x v="0"/>
    <x v="2"/>
    <s v="EL"/>
    <s v="to do in 2026; renamed"/>
    <s v="P000000488"/>
    <s v="John Rowie Del Rosario"/>
  </r>
  <r>
    <n v="151"/>
    <s v="F1"/>
    <x v="6"/>
    <s v="P000000484"/>
    <s v="EL-SC-Q Proj. &amp; Program Mgmt"/>
    <m/>
    <s v="Rename"/>
    <x v="0"/>
    <x v="2"/>
    <s v="EL"/>
    <s v="to do in 2026; renamed"/>
    <s v="P000000484"/>
    <s v="John Rowie Del Rosario"/>
  </r>
  <r>
    <n v="152"/>
    <s v="F1"/>
    <x v="7"/>
    <s v="G000001461"/>
    <m/>
    <s v="G000000272"/>
    <s v="Move"/>
    <x v="1"/>
    <x v="1"/>
    <s v="MGF"/>
    <m/>
    <s v="G000000273"/>
    <s v="Jay-R Lizardo"/>
  </r>
  <r>
    <n v="153"/>
    <s v="F1"/>
    <x v="8"/>
    <s v="H000004892"/>
    <s v="MERCK BRAZIL - RIO (CCH)"/>
    <s v="H000000544"/>
    <s v="New"/>
    <x v="0"/>
    <x v="3"/>
    <s v="HC"/>
    <s v="to do in 2026;created"/>
    <s v="H000000544"/>
    <s v="Peter Souza"/>
  </r>
  <r>
    <n v="154"/>
    <s v="F1"/>
    <x v="8"/>
    <s v="H000004893"/>
    <s v="1227RI - OPERATIONS"/>
    <s v="H000004892"/>
    <s v="New"/>
    <x v="0"/>
    <x v="3"/>
    <s v="HC"/>
    <s v="to do in 2026;created"/>
    <s v="H000004892"/>
    <s v="Peter Souza"/>
  </r>
  <r>
    <n v="155"/>
    <s v="F1"/>
    <x v="8"/>
    <s v="H000004894"/>
    <s v="1227RI - OPERATIONS SUPPORT SERVICES"/>
    <s v="H000004892"/>
    <s v="New"/>
    <x v="0"/>
    <x v="3"/>
    <s v="HC"/>
    <s v="to do in 2026;created"/>
    <s v="H000004892"/>
    <s v="Peter Souza"/>
  </r>
  <r>
    <n v="156"/>
    <s v="F1"/>
    <x v="8"/>
    <s v="H000004895"/>
    <s v="1227RI - SITE INFRASTRUCTURE"/>
    <s v="H000004892"/>
    <s v="New"/>
    <x v="0"/>
    <x v="3"/>
    <s v="HC"/>
    <s v="to do in 2026;created"/>
    <s v="H000004892"/>
    <s v="Peter Souza"/>
  </r>
  <r>
    <n v="157"/>
    <s v="F1"/>
    <x v="8"/>
    <s v="H000004896"/>
    <s v="1227RI - QUALITY"/>
    <s v="H000004892"/>
    <s v="New"/>
    <x v="0"/>
    <x v="3"/>
    <s v="HC"/>
    <s v="to do in 2026;created"/>
    <s v="H000004892"/>
    <s v="Peter Souza"/>
  </r>
  <r>
    <n v="158"/>
    <s v="F1"/>
    <x v="8"/>
    <s v="H000004897"/>
    <s v="1227RI - OTHERS"/>
    <s v="H000004892"/>
    <s v="New"/>
    <x v="0"/>
    <x v="3"/>
    <s v="HC"/>
    <s v="to do in 2026;created"/>
    <s v="H000004892"/>
    <s v="Peter Souza"/>
  </r>
  <r>
    <n v="159"/>
    <s v="F1"/>
    <x v="8"/>
    <s v="H000004898"/>
    <s v="1227RI - MANUFACTURING"/>
    <s v="H000004893"/>
    <s v="New"/>
    <x v="0"/>
    <x v="3"/>
    <s v="HC"/>
    <s v="to do in 2026;created"/>
    <s v="H000004893"/>
    <s v="Peter Souza"/>
  </r>
  <r>
    <n v="160"/>
    <s v="F1"/>
    <x v="8"/>
    <s v="H000004899"/>
    <s v="1227RI - PACKAGING"/>
    <s v="H000004893"/>
    <s v="New"/>
    <x v="0"/>
    <x v="3"/>
    <s v="HC"/>
    <s v="to do in 2026;created"/>
    <s v="H000004893"/>
    <s v="Peter Souza"/>
  </r>
  <r>
    <n v="161"/>
    <s v="F1"/>
    <x v="8"/>
    <s v="H000004900"/>
    <s v="1227RI - MAINTENANCE AND ENGINEERING"/>
    <s v="H000004894"/>
    <s v="New"/>
    <x v="0"/>
    <x v="3"/>
    <s v="HC"/>
    <s v="to do in 2026;created"/>
    <s v="H000004894"/>
    <s v="Peter Souza"/>
  </r>
  <r>
    <n v="162"/>
    <s v="F1"/>
    <x v="8"/>
    <s v="H000004901"/>
    <s v="1227RI - SUPPLY AND PLANNING"/>
    <s v="H000004894"/>
    <s v="New"/>
    <x v="0"/>
    <x v="3"/>
    <s v="HC"/>
    <s v="to do in 2026;created"/>
    <s v="H000004894"/>
    <s v="Peter Souza"/>
  </r>
  <r>
    <n v="163"/>
    <s v="F1"/>
    <x v="8"/>
    <s v="H000004902"/>
    <s v="1227RI - SITE SERVICES"/>
    <s v="H000004894"/>
    <s v="New"/>
    <x v="0"/>
    <x v="3"/>
    <s v="HC"/>
    <s v="to do in 2026;created"/>
    <s v="H000004894"/>
    <s v="Peter Souza"/>
  </r>
  <r>
    <n v="164"/>
    <s v="F1"/>
    <x v="8"/>
    <s v="H000004903"/>
    <s v="1227RI - MANUFACTURING FACILITIES"/>
    <s v="H000004895"/>
    <s v="New"/>
    <x v="0"/>
    <x v="3"/>
    <s v="HC"/>
    <s v="to do in 2026;created"/>
    <s v="H000004895"/>
    <s v="Peter Souza"/>
  </r>
  <r>
    <n v="165"/>
    <s v="F1"/>
    <x v="8"/>
    <s v="H000004904"/>
    <s v="1227RI - PACKAGING FACILITIES"/>
    <s v="H000004895"/>
    <s v="New"/>
    <x v="0"/>
    <x v="3"/>
    <s v="HC"/>
    <s v="to do in 2026;created"/>
    <s v="H000004895"/>
    <s v="Peter Souza"/>
  </r>
  <r>
    <n v="166"/>
    <s v="F1"/>
    <x v="8"/>
    <s v="H000004905"/>
    <s v="1227RI - SHARED OPERATIONS FACILITIES"/>
    <s v="H000004895"/>
    <s v="New"/>
    <x v="0"/>
    <x v="3"/>
    <s v="HC"/>
    <s v="to do in 2026;created"/>
    <s v="H000004895"/>
    <s v="Peter Souza"/>
  </r>
  <r>
    <n v="167"/>
    <s v="F1"/>
    <x v="8"/>
    <s v="H000004906"/>
    <s v="1227RI - OTHER FACILITIES"/>
    <s v="H000004895"/>
    <s v="New"/>
    <x v="0"/>
    <x v="3"/>
    <s v="HC"/>
    <s v="to do in 2026;created"/>
    <s v="H000004895"/>
    <s v="Peter Souza"/>
  </r>
  <r>
    <n v="168"/>
    <s v="F1"/>
    <x v="8"/>
    <s v="H000004907"/>
    <s v="1227RI - SOLIDS"/>
    <s v="H000004898"/>
    <s v="New"/>
    <x v="0"/>
    <x v="3"/>
    <s v="HC"/>
    <s v="to do in 2026;created"/>
    <s v="H000004898"/>
    <s v="Peter Souza"/>
  </r>
  <r>
    <n v="169"/>
    <s v="F1"/>
    <x v="8"/>
    <s v="H000004908"/>
    <s v="1227RI - SOLIDS"/>
    <s v="H000004899"/>
    <s v="New"/>
    <x v="0"/>
    <x v="3"/>
    <s v="HC"/>
    <s v="to do in 2026;created"/>
    <s v="H000004899"/>
    <s v="Peter Souza"/>
  </r>
  <r>
    <n v="170"/>
    <s v="F1"/>
    <x v="8"/>
    <s v="H000004909"/>
    <s v="1227RI - LABOR"/>
    <s v="H000004907"/>
    <s v="New"/>
    <x v="0"/>
    <x v="3"/>
    <s v="HC"/>
    <s v="to do in 2026;created"/>
    <s v="H000004907"/>
    <s v="Peter Souza"/>
  </r>
  <r>
    <n v="171"/>
    <s v="F1"/>
    <x v="8"/>
    <s v="H000004910"/>
    <s v="1227RI - EQUIPMENTS"/>
    <s v="H000004907"/>
    <s v="New"/>
    <x v="0"/>
    <x v="3"/>
    <s v="HC"/>
    <s v="to do in 2026;created"/>
    <s v="H000004907"/>
    <s v="Peter Souza"/>
  </r>
  <r>
    <n v="172"/>
    <s v="F1"/>
    <x v="8"/>
    <s v="H000004911"/>
    <s v="1227RI - INDIRECT SERVICES"/>
    <s v="H000004907"/>
    <s v="New"/>
    <x v="0"/>
    <x v="3"/>
    <s v="HC"/>
    <s v="to do in 2026;created"/>
    <s v="H000004907"/>
    <s v="Peter Souza"/>
  </r>
  <r>
    <n v="173"/>
    <s v="F1"/>
    <x v="8"/>
    <s v="H000004912"/>
    <s v="1227RI - MCC"/>
    <s v="H000004907"/>
    <s v="New"/>
    <x v="0"/>
    <x v="3"/>
    <s v="HC"/>
    <s v="to do in 2026;created"/>
    <s v="H000004907"/>
    <s v="Peter Souza"/>
  </r>
  <r>
    <n v="174"/>
    <s v="F1"/>
    <x v="8"/>
    <s v="H000004913"/>
    <s v="1227RI - LABOR"/>
    <s v="H000004907"/>
    <s v="New"/>
    <x v="0"/>
    <x v="1"/>
    <s v="HC"/>
    <s v="to do in 2026;created"/>
    <s v="H000004908"/>
    <s v="Peter Souza"/>
  </r>
  <r>
    <n v="175"/>
    <s v="F1"/>
    <x v="8"/>
    <s v="H000004914"/>
    <s v="1227RI - EQUIPMENTS"/>
    <s v="H000004907"/>
    <s v="New"/>
    <x v="0"/>
    <x v="1"/>
    <s v="HC"/>
    <s v="to do in 2026;created"/>
    <s v="H000004908"/>
    <s v="Peter Souza"/>
  </r>
  <r>
    <n v="176"/>
    <s v="F1"/>
    <x v="8"/>
    <s v="H000004915"/>
    <s v="1227RI - INDIRECT SERVICES"/>
    <s v="H000004907"/>
    <s v="New"/>
    <x v="0"/>
    <x v="1"/>
    <s v="HC"/>
    <s v="to do in 2026;created"/>
    <s v="H000004908"/>
    <s v="Peter Souza"/>
  </r>
  <r>
    <n v="177"/>
    <s v="F1"/>
    <x v="8"/>
    <s v="H000004916"/>
    <s v="1227RI - MCC"/>
    <s v="H000004907"/>
    <s v="New"/>
    <x v="0"/>
    <x v="1"/>
    <s v="HC"/>
    <s v="to do in 2026;created"/>
    <s v="H000004908"/>
    <s v="Peter Souza"/>
  </r>
  <r>
    <n v="178"/>
    <s v="F1"/>
    <x v="8"/>
    <s v="H000004913"/>
    <m/>
    <s v="H000004908"/>
    <s v="Move"/>
    <x v="0"/>
    <x v="3"/>
    <s v="HC"/>
    <s v="to do in 2026;moved"/>
    <s v="H000004908"/>
    <s v="Peter Souza"/>
  </r>
  <r>
    <n v="179"/>
    <s v="F1"/>
    <x v="8"/>
    <s v="H000004914"/>
    <m/>
    <s v="H000004908"/>
    <s v="Move"/>
    <x v="0"/>
    <x v="3"/>
    <s v="HC"/>
    <s v="to do in 2026;moved"/>
    <s v="H000004908"/>
    <s v="Peter Souza"/>
  </r>
  <r>
    <n v="180"/>
    <s v="F1"/>
    <x v="8"/>
    <s v="H000004915"/>
    <m/>
    <s v="H000004908"/>
    <s v="Move"/>
    <x v="0"/>
    <x v="3"/>
    <s v="HC"/>
    <s v="to do in 2026;moved"/>
    <s v="H000004908"/>
    <s v="Peter Souza"/>
  </r>
  <r>
    <n v="181"/>
    <s v="F1"/>
    <x v="8"/>
    <s v="H000004916"/>
    <m/>
    <s v="H000004908"/>
    <s v="Move"/>
    <x v="0"/>
    <x v="3"/>
    <s v="HC"/>
    <s v="to do in 2026;moved"/>
    <s v="H000004908"/>
    <s v="Peter Souza"/>
  </r>
  <r>
    <n v="182"/>
    <s v="F1"/>
    <x v="8"/>
    <s v="H000004917"/>
    <s v="SCALA_1248 A350"/>
    <s v="H000000726"/>
    <s v="New"/>
    <x v="0"/>
    <x v="3"/>
    <s v="HC"/>
    <s v="to do in 2026;created"/>
    <s v="H000000726"/>
    <s v="Erjo Miguel Tagle"/>
  </r>
  <r>
    <n v="183"/>
    <s v="F1"/>
    <x v="8"/>
    <s v="H000004918"/>
    <s v="SCALA_1248 A351"/>
    <s v="H000000802"/>
    <s v="New"/>
    <x v="0"/>
    <x v="3"/>
    <s v="HC"/>
    <s v="to do in 2026;created"/>
    <s v="H000000802"/>
    <s v="Erjo Miguel Tagle"/>
  </r>
  <r>
    <n v="184"/>
    <s v="F1"/>
    <x v="8"/>
    <s v="H000004919"/>
    <s v="SCALA_1248 A353"/>
    <s v="H000000802"/>
    <s v="New"/>
    <x v="0"/>
    <x v="3"/>
    <s v="HC"/>
    <s v="to do in 2026;created"/>
    <s v="H000000802"/>
    <s v="Erjo Miguel Tagle"/>
  </r>
  <r>
    <n v="185"/>
    <s v="F1"/>
    <x v="9"/>
    <s v="H000004920"/>
    <s v="Business Unit RT"/>
    <s v="H000003975"/>
    <s v="New"/>
    <x v="0"/>
    <x v="3"/>
    <s v="HC"/>
    <s v="to do in 2026;created"/>
    <s v="H000003975"/>
    <s v="Rayneil"/>
  </r>
  <r>
    <n v="186"/>
    <s v="F1"/>
    <x v="9"/>
    <s v="H000004921"/>
    <s v="Field Force RT"/>
    <s v="H000004920"/>
    <s v="New"/>
    <x v="0"/>
    <x v="3"/>
    <s v="HC"/>
    <s v="to do in 2026;created"/>
    <s v="H000004920"/>
    <s v="Rayneil"/>
  </r>
  <r>
    <n v="187"/>
    <s v="F1"/>
    <x v="9"/>
    <s v="H000004922"/>
    <s v="ISS RT"/>
    <s v="H000004920"/>
    <s v="New"/>
    <x v="0"/>
    <x v="3"/>
    <s v="HC"/>
    <s v="to do in 2026;created"/>
    <s v="H000004920"/>
    <s v="Rayneil"/>
  </r>
  <r>
    <n v="188"/>
    <s v="F1"/>
    <x v="9"/>
    <s v="H000004923"/>
    <s v="Sales Promotion Ogsiveo"/>
    <s v="H000004920"/>
    <s v="New"/>
    <x v="0"/>
    <x v="3"/>
    <s v="HC"/>
    <s v="to do in 2026;created"/>
    <s v="H000004920"/>
    <s v="Rayneil"/>
  </r>
  <r>
    <n v="189"/>
    <s v="F1"/>
    <x v="9"/>
    <s v="H000004924"/>
    <s v="Sales Promotion Ezmekli"/>
    <s v="H000004920"/>
    <s v="New"/>
    <x v="0"/>
    <x v="3"/>
    <s v="HC"/>
    <s v="to do in 2026;created"/>
    <s v="H000004920"/>
    <s v="Rayneil"/>
  </r>
  <r>
    <n v="190"/>
    <s v="F1"/>
    <x v="9"/>
    <s v="H000004925"/>
    <s v="Medical Dptm. RT"/>
    <s v="H000003990"/>
    <s v="New"/>
    <x v="0"/>
    <x v="3"/>
    <s v="HC"/>
    <s v="to do in 2026;created"/>
    <s v="H000003990"/>
    <s v="Rayneil"/>
  </r>
  <r>
    <n v="191"/>
    <s v="F1"/>
    <x v="9"/>
    <s v="H000004926"/>
    <s v="Medical non R&amp;D Ogsiveo"/>
    <s v="H000003990"/>
    <s v="New"/>
    <x v="0"/>
    <x v="3"/>
    <s v="HC"/>
    <s v="to do in 2026;created"/>
    <s v="H000003990"/>
    <s v="Rayneil"/>
  </r>
  <r>
    <n v="192"/>
    <s v="F1"/>
    <x v="9"/>
    <s v="H000004927"/>
    <s v="Medical non R&amp;D Ezmekli"/>
    <s v="H000003990"/>
    <s v="New"/>
    <x v="0"/>
    <x v="3"/>
    <s v="HC"/>
    <s v="to do in 2026;created"/>
    <s v="H000003990"/>
    <s v="Rayneil"/>
  </r>
  <r>
    <n v="193"/>
    <s v="F1"/>
    <x v="9"/>
    <s v="H000004928"/>
    <s v="Medical Studies Ogsiveo"/>
    <s v="H000003990"/>
    <s v="New"/>
    <x v="0"/>
    <x v="3"/>
    <s v="HC"/>
    <s v="to do in 2026;created"/>
    <s v="H000003990"/>
    <s v="Rayneil"/>
  </r>
  <r>
    <n v="194"/>
    <s v="F1"/>
    <x v="9"/>
    <s v="H000004929"/>
    <s v="Medical Studies Ezmekli"/>
    <s v="H000003990"/>
    <s v="New"/>
    <x v="0"/>
    <x v="3"/>
    <s v="HC"/>
    <s v="to do in 2026;created"/>
    <s v="H000003990"/>
    <s v="Rayneil"/>
  </r>
  <r>
    <n v="195"/>
    <s v="F1"/>
    <x v="10"/>
    <s v="H000004930"/>
    <s v="Global Strategy and BD &amp; Alliance Mgmt."/>
    <s v="H000000000"/>
    <s v="New"/>
    <x v="1"/>
    <x v="4"/>
    <s v="HC"/>
    <m/>
    <m/>
    <s v="Luis Rivoir"/>
  </r>
  <r>
    <n v="196"/>
    <s v="F1"/>
    <x v="10"/>
    <s v="H000004931"/>
    <s v="HC HF CFO Area"/>
    <s v="H000000005"/>
    <s v="New"/>
    <x v="1"/>
    <x v="4"/>
    <s v="HC"/>
    <m/>
    <m/>
    <s v="Luis Rivoir"/>
  </r>
  <r>
    <n v="197"/>
    <s v="F1"/>
    <x v="10"/>
    <s v="H000000949"/>
    <m/>
    <s v="H000004930"/>
    <s v="Move"/>
    <x v="1"/>
    <x v="5"/>
    <s v="HC"/>
    <m/>
    <m/>
    <s v="Luis Rivoir"/>
  </r>
  <r>
    <n v="198"/>
    <s v="F1"/>
    <x v="10"/>
    <s v="H000000947"/>
    <m/>
    <s v="H000004930"/>
    <s v="Move"/>
    <x v="1"/>
    <x v="5"/>
    <s v="HC"/>
    <m/>
    <m/>
    <s v="Luis Rivoir"/>
  </r>
  <r>
    <n v="199"/>
    <s v="F1"/>
    <x v="10"/>
    <s v="H000004379"/>
    <m/>
    <s v="H000004930"/>
    <s v="Move"/>
    <x v="1"/>
    <x v="5"/>
    <s v="HC"/>
    <m/>
    <m/>
    <s v="Luis Rivoir"/>
  </r>
  <r>
    <n v="200"/>
    <s v="F1"/>
    <x v="10"/>
    <s v="H000000456"/>
    <m/>
    <s v="H000004931"/>
    <s v="Move"/>
    <x v="1"/>
    <x v="5"/>
    <s v="HC"/>
    <m/>
    <m/>
    <s v="Luis Rivoir"/>
  </r>
  <r>
    <n v="201"/>
    <s v="F1"/>
    <x v="10"/>
    <s v="H000004165"/>
    <m/>
    <s v="H000004931"/>
    <s v="Move"/>
    <x v="1"/>
    <x v="5"/>
    <s v="HC"/>
    <m/>
    <m/>
    <s v="Luis Rivoir"/>
  </r>
  <r>
    <n v="202"/>
    <s v="F1"/>
    <x v="10"/>
    <s v="H000004174"/>
    <m/>
    <s v="H000004931"/>
    <s v="Move"/>
    <x v="1"/>
    <x v="5"/>
    <s v="HC"/>
    <m/>
    <m/>
    <s v="Luis Rivoir"/>
  </r>
  <r>
    <n v="203"/>
    <s v="F1"/>
    <x v="10"/>
    <s v="H000004177"/>
    <m/>
    <s v="H000004931"/>
    <s v="Move"/>
    <x v="1"/>
    <x v="5"/>
    <s v="HC"/>
    <m/>
    <m/>
    <s v="Luis Rivoir"/>
  </r>
  <r>
    <n v="204"/>
    <s v="F1"/>
    <x v="11"/>
    <s v="L000013196"/>
    <s v="AS Value Stream"/>
    <s v="L000009201"/>
    <s v="New"/>
    <x v="1"/>
    <x v="4"/>
    <s v="LS"/>
    <m/>
    <m/>
    <s v="Ruby Grace Garcia"/>
  </r>
  <r>
    <n v="205"/>
    <s v="F1"/>
    <x v="11"/>
    <s v="L000013197"/>
    <s v="Global EHS"/>
    <s v="L000009201"/>
    <s v="New"/>
    <x v="1"/>
    <x v="4"/>
    <s v="LS"/>
    <m/>
    <m/>
    <s v="Ruby Grace Garcia"/>
  </r>
  <r>
    <n v="206"/>
    <s v="F1"/>
    <x v="11"/>
    <s v="L000013198"/>
    <s v="Value Chain Chemistry"/>
    <s v="L000013422"/>
    <s v="New"/>
    <x v="1"/>
    <x v="4"/>
    <s v="LS"/>
    <m/>
    <m/>
    <s v="Ruby Grace Garcia"/>
  </r>
  <r>
    <n v="207"/>
    <s v="F1"/>
    <x v="11"/>
    <s v="L000013199"/>
    <s v="Value Chain Biology"/>
    <s v="L000013422"/>
    <s v="New"/>
    <x v="1"/>
    <x v="4"/>
    <s v="LS"/>
    <m/>
    <m/>
    <s v="Ruby Grace Garcia"/>
  </r>
  <r>
    <n v="208"/>
    <s v="F1"/>
    <x v="11"/>
    <s v="L000013200"/>
    <s v="Process Governance &amp; Cap"/>
    <s v="L000013422"/>
    <s v="New"/>
    <x v="1"/>
    <x v="4"/>
    <s v="LS"/>
    <m/>
    <m/>
    <s v="Ruby Grace Garcia"/>
  </r>
  <r>
    <n v="209"/>
    <s v="F1"/>
    <x v="11"/>
    <s v="L000013201"/>
    <s v="Downfilling COE"/>
    <s v="L000013422"/>
    <s v="New"/>
    <x v="1"/>
    <x v="4"/>
    <s v="LS"/>
    <m/>
    <m/>
    <s v="Ruby Grace Garcia"/>
  </r>
  <r>
    <n v="210"/>
    <s v="F1"/>
    <x v="11"/>
    <s v="L000013202"/>
    <s v="Global Packaging"/>
    <s v="L000013422"/>
    <s v="New"/>
    <x v="1"/>
    <x v="4"/>
    <s v="LS"/>
    <m/>
    <m/>
    <s v="Ruby Grace Garcia"/>
  </r>
  <r>
    <n v="211"/>
    <s v="F1"/>
    <x v="11"/>
    <s v="L000013203"/>
    <s v="3PFG &amp; Resale"/>
    <s v="L000013422"/>
    <s v="New"/>
    <x v="1"/>
    <x v="4"/>
    <s v="LS"/>
    <m/>
    <m/>
    <s v="Ruby Grace Garcia"/>
  </r>
  <r>
    <n v="212"/>
    <s v="F1"/>
    <x v="11"/>
    <s v="L000013204"/>
    <s v="Value Chain DxRM"/>
    <s v="L000013196"/>
    <s v="New"/>
    <x v="1"/>
    <x v="4"/>
    <s v="LS"/>
    <m/>
    <m/>
    <s v="Ruby Grace Garcia"/>
  </r>
  <r>
    <n v="213"/>
    <s v="F1"/>
    <x v="11"/>
    <s v="L000013205"/>
    <s v="Value Chain BioM"/>
    <s v="L000013196"/>
    <s v="New"/>
    <x v="1"/>
    <x v="4"/>
    <s v="LS"/>
    <m/>
    <m/>
    <s v="Ruby Grace Garcia"/>
  </r>
  <r>
    <n v="214"/>
    <s v="F1"/>
    <x v="11"/>
    <s v="L000013206"/>
    <s v="Strat Projects"/>
    <s v="L000013196"/>
    <s v="New"/>
    <x v="1"/>
    <x v="4"/>
    <s v="LS"/>
    <m/>
    <m/>
    <s v="Ruby Grace Garcia"/>
  </r>
  <r>
    <n v="215"/>
    <s v="F1"/>
    <x v="11"/>
    <s v="L000013207"/>
    <s v="Value Chain LabW"/>
    <s v="L000013196"/>
    <s v="New"/>
    <x v="1"/>
    <x v="4"/>
    <s v="LS"/>
    <m/>
    <m/>
    <s v="Ruby Grace Garcia"/>
  </r>
  <r>
    <n v="216"/>
    <s v="F1"/>
    <x v="11"/>
    <s v="L000013208"/>
    <s v="Global Distribution"/>
    <s v="L000009201"/>
    <s v="New"/>
    <x v="1"/>
    <x v="4"/>
    <s v="LS"/>
    <m/>
    <m/>
    <s v="Ruby Grace Garcia"/>
  </r>
  <r>
    <n v="217"/>
    <s v="F1"/>
    <x v="11"/>
    <s v="L000013209"/>
    <s v="Integrated Business Management"/>
    <s v="L000009794"/>
    <s v="New"/>
    <x v="1"/>
    <x v="4"/>
    <s v="LS"/>
    <m/>
    <m/>
    <s v="Ruby Grace Garcia"/>
  </r>
  <r>
    <n v="218"/>
    <s v="F1"/>
    <x v="11"/>
    <s v="L000013210"/>
    <s v="Plan to Deliver ERP BPO"/>
    <s v="L000009794"/>
    <s v="New"/>
    <x v="1"/>
    <x v="4"/>
    <s v="LS"/>
    <m/>
    <m/>
    <s v="Ruby Grace Garcia"/>
  </r>
  <r>
    <n v="219"/>
    <s v="F1"/>
    <x v="11"/>
    <s v="L000013211"/>
    <s v="LS ERP Sustain &amp; Enhance"/>
    <s v="L000013728"/>
    <s v="New"/>
    <x v="1"/>
    <x v="4"/>
    <s v="LS"/>
    <m/>
    <m/>
    <s v="Ruby Grace Garcia"/>
  </r>
  <r>
    <n v="220"/>
    <s v="F1"/>
    <x v="11"/>
    <s v="L000013212"/>
    <s v="St. Louis Admin (Non-GPO)"/>
    <s v="L000013445"/>
    <s v="New"/>
    <x v="1"/>
    <x v="4"/>
    <s v="LS"/>
    <m/>
    <m/>
    <s v="Ruby Grace Garcia"/>
  </r>
  <r>
    <n v="221"/>
    <s v="F1"/>
    <x v="11"/>
    <s v="L000013213"/>
    <s v="Business Development AS"/>
    <s v="L000011322"/>
    <s v="New"/>
    <x v="1"/>
    <x v="4"/>
    <s v="LS"/>
    <m/>
    <m/>
    <s v="Ruby Grace Garcia"/>
  </r>
  <r>
    <n v="222"/>
    <s v="F1"/>
    <x v="11"/>
    <s v="L000013214"/>
    <s v="Business Development Ops"/>
    <s v="L000011322"/>
    <s v="New"/>
    <x v="1"/>
    <x v="4"/>
    <s v="LS"/>
    <m/>
    <m/>
    <s v="Ruby Grace Garcia"/>
  </r>
  <r>
    <n v="223"/>
    <s v="F1"/>
    <x v="11"/>
    <s v="L000013215"/>
    <s v="Business Development DS"/>
    <s v="L000011322"/>
    <s v="New"/>
    <x v="1"/>
    <x v="4"/>
    <s v="LS"/>
    <m/>
    <m/>
    <s v="Ruby Grace Garcia"/>
  </r>
  <r>
    <n v="224"/>
    <s v="F1"/>
    <x v="11"/>
    <s v="L000013216"/>
    <s v="Business Development PS"/>
    <s v="L000011322"/>
    <s v="New"/>
    <x v="1"/>
    <x v="4"/>
    <s v="LS"/>
    <m/>
    <m/>
    <s v="Ruby Grace Garcia"/>
  </r>
  <r>
    <n v="225"/>
    <s v="F1"/>
    <x v="11"/>
    <s v="L000013217"/>
    <s v="Business Development APAC"/>
    <s v="L000011322"/>
    <s v="New"/>
    <x v="1"/>
    <x v="4"/>
    <s v="LS"/>
    <m/>
    <m/>
    <s v="Ruby Grace Garcia"/>
  </r>
  <r>
    <n v="226"/>
    <s v="F1"/>
    <x v="11"/>
    <s v="L000013218"/>
    <s v="Out Licensing"/>
    <s v="L000011322"/>
    <s v="New"/>
    <x v="1"/>
    <x v="4"/>
    <s v="LS"/>
    <m/>
    <m/>
    <s v="Ruby Grace Garcia"/>
  </r>
  <r>
    <n v="227"/>
    <s v="F1"/>
    <x v="11"/>
    <s v="L000013219"/>
    <s v="In Organic Strategy"/>
    <s v="L000011322"/>
    <s v="New"/>
    <x v="1"/>
    <x v="4"/>
    <s v="LS"/>
    <m/>
    <m/>
    <s v="Ruby Grace Garcia"/>
  </r>
  <r>
    <n v="228"/>
    <s v="F1"/>
    <x v="11"/>
    <s v="L000013220"/>
    <s v="Pipeline Development &amp; Integration"/>
    <s v="L000011322"/>
    <s v="New"/>
    <x v="1"/>
    <x v="4"/>
    <s v="LS"/>
    <m/>
    <m/>
    <s v="Ruby Grace Garcia"/>
  </r>
  <r>
    <n v="229"/>
    <s v="F1"/>
    <x v="11"/>
    <s v="L000013221"/>
    <s v="LS Transformation"/>
    <s v="L000013623"/>
    <s v="New"/>
    <x v="1"/>
    <x v="4"/>
    <s v="LS"/>
    <m/>
    <m/>
    <s v="Ruby Grace Garcia"/>
  </r>
  <r>
    <n v="230"/>
    <s v="F1"/>
    <x v="11"/>
    <s v="L000013222"/>
    <s v="G1C PO - LS Process Solutions"/>
    <s v="L000013385"/>
    <s v="New"/>
    <x v="1"/>
    <x v="4"/>
    <s v="LS"/>
    <m/>
    <m/>
    <s v="Ruby Grace Garcia"/>
  </r>
  <r>
    <n v="231"/>
    <s v="F1"/>
    <x v="11"/>
    <s v="L000013223"/>
    <s v="G1C PO - LS Discovery Solutions"/>
    <s v="L000013385"/>
    <s v="New"/>
    <x v="1"/>
    <x v="4"/>
    <s v="LS"/>
    <m/>
    <m/>
    <s v="Ruby Grace Garcia"/>
  </r>
  <r>
    <n v="232"/>
    <s v="F1"/>
    <x v="11"/>
    <s v="L000013224"/>
    <s v="G1C PO - LS Advanced Solutions"/>
    <s v="L000013385"/>
    <s v="New"/>
    <x v="1"/>
    <x v="4"/>
    <s v="LS"/>
    <m/>
    <m/>
    <s v="Ruby Grace Garcia"/>
  </r>
  <r>
    <n v="233"/>
    <s v="F1"/>
    <x v="11"/>
    <s v="L000013225"/>
    <s v="G1C PO - LS Packaging"/>
    <s v="L000013385"/>
    <s v="New"/>
    <x v="1"/>
    <x v="4"/>
    <s v="LS"/>
    <m/>
    <m/>
    <s v="Ruby Grace Garcia"/>
  </r>
  <r>
    <n v="234"/>
    <s v="F1"/>
    <x v="11"/>
    <s v="L000013226"/>
    <s v="G1C PO - LS Global Sourcing Ops"/>
    <s v="L000013385"/>
    <s v="New"/>
    <x v="1"/>
    <x v="4"/>
    <s v="LS"/>
    <m/>
    <m/>
    <s v="Ruby Grace Garcia"/>
  </r>
  <r>
    <n v="235"/>
    <s v="F1"/>
    <x v="11"/>
    <s v="L000013227"/>
    <s v="G1C PO - LS Transformation"/>
    <s v="L000013385"/>
    <s v="New"/>
    <x v="1"/>
    <x v="4"/>
    <s v="LS"/>
    <m/>
    <m/>
    <s v="Ruby Grace Garcia"/>
  </r>
  <r>
    <n v="236"/>
    <s v="F1"/>
    <x v="11"/>
    <s v="L000013228"/>
    <s v="R&amp;D Innovation IT projects"/>
    <s v="L000010752"/>
    <s v="New"/>
    <x v="1"/>
    <x v="4"/>
    <s v="LS"/>
    <m/>
    <m/>
    <s v="Ruby Grace Garcia"/>
  </r>
  <r>
    <n v="237"/>
    <s v="F1"/>
    <x v="11"/>
    <s v="L000013229"/>
    <s v="Supply Chain &amp; MFG IT projects"/>
    <s v="L000010752"/>
    <s v="New"/>
    <x v="1"/>
    <x v="4"/>
    <s v="LS"/>
    <m/>
    <m/>
    <s v="Ruby Grace Garcia"/>
  </r>
  <r>
    <n v="238"/>
    <s v="F1"/>
    <x v="11"/>
    <s v="L000013230"/>
    <s v="Quality &amp; Regulatory IT projects"/>
    <s v="L000010752"/>
    <s v="New"/>
    <x v="1"/>
    <x v="4"/>
    <s v="LS"/>
    <m/>
    <m/>
    <s v="Ruby Grace Garcia"/>
  </r>
  <r>
    <n v="239"/>
    <s v="F1"/>
    <x v="11"/>
    <s v="L000013231"/>
    <s v="Customer Exp/Marketing &amp; Sales IT Proj"/>
    <s v="L000010752"/>
    <s v="New"/>
    <x v="1"/>
    <x v="4"/>
    <s v="LS"/>
    <m/>
    <m/>
    <s v="Ruby Grace Garcia"/>
  </r>
  <r>
    <n v="240"/>
    <s v="F1"/>
    <x v="11"/>
    <s v="L000013232"/>
    <s v="Global Business Partners Communications"/>
    <s v="L000013734"/>
    <s v="New"/>
    <x v="1"/>
    <x v="4"/>
    <s v="LS"/>
    <m/>
    <m/>
    <s v="Ruby Grace Garcia"/>
  </r>
  <r>
    <n v="241"/>
    <s v="F1"/>
    <x v="11"/>
    <s v="L000013233"/>
    <s v="Employee Communications &amp; Engagement"/>
    <s v="L000013734"/>
    <s v="New"/>
    <x v="1"/>
    <x v="4"/>
    <s v="LS"/>
    <m/>
    <m/>
    <s v="Ruby Grace Garcia"/>
  </r>
  <r>
    <n v="242"/>
    <s v="F1"/>
    <x v="11"/>
    <s v="L000013234"/>
    <s v="Regional Communication"/>
    <s v="L000013734"/>
    <s v="New"/>
    <x v="1"/>
    <x v="4"/>
    <s v="LS"/>
    <m/>
    <m/>
    <s v="Ruby Grace Garcia"/>
  </r>
  <r>
    <n v="243"/>
    <s v="F1"/>
    <x v="11"/>
    <s v="L000013235"/>
    <s v="Comms Strategy Realization Office"/>
    <s v="L000013734"/>
    <s v="New"/>
    <x v="1"/>
    <x v="4"/>
    <s v="LS"/>
    <m/>
    <m/>
    <s v="Ruby Grace Garcia"/>
  </r>
  <r>
    <n v="244"/>
    <s v="F1"/>
    <x v="11"/>
    <s v="L000013236"/>
    <s v="Change Management"/>
    <s v="L000013235"/>
    <s v="New"/>
    <x v="1"/>
    <x v="4"/>
    <s v="LS"/>
    <m/>
    <m/>
    <s v="Ruby Grace Garcia"/>
  </r>
  <r>
    <n v="245"/>
    <s v="F1"/>
    <x v="11"/>
    <s v="L000013237"/>
    <s v="Project Management"/>
    <s v="L000013235"/>
    <s v="New"/>
    <x v="1"/>
    <x v="4"/>
    <s v="LS"/>
    <m/>
    <m/>
    <s v="Ruby Grace Garcia"/>
  </r>
  <r>
    <n v="246"/>
    <s v="F1"/>
    <x v="11"/>
    <s v="L000013238"/>
    <s v="Tradeshows &amp; Events"/>
    <s v="L000013235"/>
    <s v="New"/>
    <x v="1"/>
    <x v="4"/>
    <s v="LS"/>
    <m/>
    <m/>
    <s v="Ruby Grace Garcia"/>
  </r>
  <r>
    <n v="247"/>
    <s v="F1"/>
    <x v="11"/>
    <s v="L000013239"/>
    <s v="LS China"/>
    <s v="L000000000"/>
    <s v="New"/>
    <x v="1"/>
    <x v="4"/>
    <s v="LS"/>
    <m/>
    <m/>
    <s v="Ruby Grace Garcia"/>
  </r>
  <r>
    <n v="248"/>
    <s v="F1"/>
    <x v="11"/>
    <s v="L000013240"/>
    <s v="Customer Service PS China"/>
    <s v="L000013249"/>
    <s v="New"/>
    <x v="1"/>
    <x v="4"/>
    <s v="LS"/>
    <m/>
    <m/>
    <s v="Ruby Grace Garcia"/>
  </r>
  <r>
    <n v="249"/>
    <s v="F1"/>
    <x v="11"/>
    <s v="L000013241"/>
    <s v="old PS China - Not to be used"/>
    <s v="L000013880"/>
    <s v="New"/>
    <x v="1"/>
    <x v="4"/>
    <s v="LS"/>
    <m/>
    <m/>
    <s v="Ruby Grace Garcia"/>
  </r>
  <r>
    <n v="250"/>
    <s v="F1"/>
    <x v="11"/>
    <s v="L000013242"/>
    <s v="Process Solutions Commercial China"/>
    <s v="L000013880"/>
    <s v="New"/>
    <x v="1"/>
    <x v="4"/>
    <s v="LS"/>
    <m/>
    <m/>
    <s v="Ruby Grace Garcia"/>
  </r>
  <r>
    <n v="251"/>
    <s v="F1"/>
    <x v="11"/>
    <s v="L000013243"/>
    <s v="Customer Application China"/>
    <s v="L000013880"/>
    <s v="New"/>
    <x v="1"/>
    <x v="4"/>
    <s v="LS"/>
    <m/>
    <m/>
    <s v="Ruby Grace Garcia"/>
  </r>
  <r>
    <n v="252"/>
    <s v="F1"/>
    <x v="11"/>
    <s v="L000013244"/>
    <s v="Sales China"/>
    <s v="L000013880"/>
    <s v="New"/>
    <x v="1"/>
    <x v="4"/>
    <s v="LS"/>
    <m/>
    <m/>
    <s v="Ruby Grace Garcia"/>
  </r>
  <r>
    <n v="253"/>
    <s v="F1"/>
    <x v="11"/>
    <s v="L000013245"/>
    <s v="Field Service China"/>
    <s v="L000013880"/>
    <s v="New"/>
    <x v="1"/>
    <x v="4"/>
    <s v="LS"/>
    <m/>
    <m/>
    <s v="Ruby Grace Garcia"/>
  </r>
  <r>
    <n v="254"/>
    <s v="F1"/>
    <x v="11"/>
    <s v="L000013246"/>
    <s v="Sales Enablement &amp; Operations China"/>
    <s v="L000013880"/>
    <s v="New"/>
    <x v="1"/>
    <x v="4"/>
    <s v="LS"/>
    <m/>
    <m/>
    <s v="Ruby Grace Garcia"/>
  </r>
  <r>
    <n v="255"/>
    <s v="F1"/>
    <x v="11"/>
    <s v="L000013247"/>
    <s v="Technical &amp; Scientific Solutions China"/>
    <s v="L000013880"/>
    <s v="New"/>
    <x v="1"/>
    <x v="4"/>
    <s v="LS"/>
    <m/>
    <m/>
    <s v="Ruby Grace Garcia"/>
  </r>
  <r>
    <n v="256"/>
    <s v="F1"/>
    <x v="11"/>
    <s v="L000013248"/>
    <s v="China Office"/>
    <s v="L000013239"/>
    <s v="New"/>
    <x v="1"/>
    <x v="4"/>
    <s v="LS"/>
    <m/>
    <m/>
    <s v="Ruby Grace Garcia"/>
  </r>
  <r>
    <n v="257"/>
    <s v="F1"/>
    <x v="11"/>
    <s v="L000013249"/>
    <s v="Customer Service China"/>
    <s v="L000013239"/>
    <s v="New"/>
    <x v="1"/>
    <x v="4"/>
    <s v="LS"/>
    <m/>
    <m/>
    <s v="Ruby Grace Garcia"/>
  </r>
  <r>
    <n v="258"/>
    <s v="F1"/>
    <x v="11"/>
    <s v="L000013250"/>
    <s v="old SLS China - Not to be used"/>
    <s v="L000008319"/>
    <s v="New"/>
    <x v="1"/>
    <x v="4"/>
    <s v="LS"/>
    <m/>
    <m/>
    <s v="Ruby Grace Garcia"/>
  </r>
  <r>
    <n v="259"/>
    <s v="F1"/>
    <x v="11"/>
    <s v="L000013251"/>
    <s v="DA Chem Solutions &amp; Strategic Accounts"/>
    <s v="L000008319"/>
    <s v="New"/>
    <x v="1"/>
    <x v="4"/>
    <s v="LS"/>
    <m/>
    <m/>
    <s v="Ruby Grace Garcia"/>
  </r>
  <r>
    <n v="260"/>
    <s v="F1"/>
    <x v="11"/>
    <s v="L000013252"/>
    <s v="DB Analytical &amp; Bio Solutions"/>
    <s v="L000008319"/>
    <s v="New"/>
    <x v="1"/>
    <x v="4"/>
    <s v="LS"/>
    <m/>
    <m/>
    <s v="Ruby Grace Garcia"/>
  </r>
  <r>
    <n v="261"/>
    <s v="F1"/>
    <x v="11"/>
    <s v="L000013253"/>
    <s v="DC Commercial Excellence &amp; Operation"/>
    <s v="L000008319"/>
    <s v="New"/>
    <x v="1"/>
    <x v="4"/>
    <s v="LS"/>
    <m/>
    <m/>
    <s v="Ruby Grace Garcia"/>
  </r>
  <r>
    <n v="262"/>
    <s v="F1"/>
    <x v="11"/>
    <s v="L000013254"/>
    <s v="China Office and Business Transformation"/>
    <s v="L000008319"/>
    <s v="New"/>
    <x v="1"/>
    <x v="4"/>
    <s v="LS"/>
    <m/>
    <m/>
    <s v="Ruby Grace Garcia"/>
  </r>
  <r>
    <n v="263"/>
    <s v="F1"/>
    <x v="11"/>
    <s v="L000013255"/>
    <s v="DR Business Management Excellence"/>
    <s v="L000008319"/>
    <s v="New"/>
    <x v="1"/>
    <x v="4"/>
    <s v="LS"/>
    <m/>
    <m/>
    <s v="Ruby Grace Garcia"/>
  </r>
  <r>
    <n v="264"/>
    <s v="F1"/>
    <x v="11"/>
    <s v="L000013256"/>
    <s v="DU LS China GBA and BD"/>
    <s v="L000008319"/>
    <s v="New"/>
    <x v="1"/>
    <x v="4"/>
    <s v="LS"/>
    <m/>
    <m/>
    <s v="Ruby Grace Garcia"/>
  </r>
  <r>
    <n v="265"/>
    <s v="F1"/>
    <x v="11"/>
    <s v="L000013257"/>
    <s v="Advanced Solutions Commercial China"/>
    <s v="L000013239"/>
    <s v="New"/>
    <x v="1"/>
    <x v="4"/>
    <s v="LS"/>
    <m/>
    <m/>
    <s v="Ruby Grace Garcia"/>
  </r>
  <r>
    <n v="266"/>
    <s v="F1"/>
    <x v="11"/>
    <s v="L000013258"/>
    <s v="AB BioM China Sales"/>
    <s v="L000013257"/>
    <s v="New"/>
    <x v="1"/>
    <x v="4"/>
    <s v="LS"/>
    <m/>
    <m/>
    <s v="Ruby Grace Garcia"/>
  </r>
  <r>
    <n v="267"/>
    <s v="F1"/>
    <x v="11"/>
    <s v="L000013259"/>
    <s v="AD DxRM Solutions"/>
    <s v="L000013257"/>
    <s v="New"/>
    <x v="1"/>
    <x v="4"/>
    <s v="LS"/>
    <m/>
    <m/>
    <s v="Ruby Grace Garcia"/>
  </r>
  <r>
    <n v="268"/>
    <s v="F1"/>
    <x v="11"/>
    <s v="L000013260"/>
    <s v="AL Lab Water China Sales &amp; Services"/>
    <s v="L000013257"/>
    <s v="New"/>
    <x v="1"/>
    <x v="4"/>
    <s v="LS"/>
    <m/>
    <m/>
    <s v="Ruby Grace Garcia"/>
  </r>
  <r>
    <n v="269"/>
    <s v="F1"/>
    <x v="11"/>
    <s v="L000013261"/>
    <s v="AB BioM China Sales"/>
    <s v="L000013257"/>
    <s v="New"/>
    <x v="1"/>
    <x v="4"/>
    <s v="LS"/>
    <m/>
    <m/>
    <s v="Ruby Grace Garcia"/>
  </r>
  <r>
    <n v="270"/>
    <s v="F1"/>
    <x v="11"/>
    <s v="L000013262"/>
    <s v="AT CTS Commercial China"/>
    <s v="L000013257"/>
    <s v="New"/>
    <x v="1"/>
    <x v="4"/>
    <s v="LS"/>
    <m/>
    <m/>
    <s v="Ruby Grace Garcia"/>
  </r>
  <r>
    <n v="271"/>
    <s v="F1"/>
    <x v="11"/>
    <s v="L000013263"/>
    <s v="Innovation &amp; Portfolio Management"/>
    <s v="L000007121"/>
    <s v="New"/>
    <x v="1"/>
    <x v="4"/>
    <s v="LS"/>
    <m/>
    <m/>
    <s v="Ruby Grace Garcia"/>
  </r>
  <r>
    <n v="272"/>
    <s v="F1"/>
    <x v="11"/>
    <s v="L000013264"/>
    <s v="Tissue and Molecular Diagnostics"/>
    <s v="L000005842"/>
    <s v="New"/>
    <x v="1"/>
    <x v="4"/>
    <s v="LS"/>
    <m/>
    <m/>
    <s v="Ruby Grace Garcia"/>
  </r>
  <r>
    <n v="273"/>
    <s v="F1"/>
    <x v="11"/>
    <s v="L000013265"/>
    <s v="Business Planning &amp; Execution"/>
    <s v="L000005842"/>
    <s v="New"/>
    <x v="1"/>
    <x v="4"/>
    <s v="LS"/>
    <m/>
    <m/>
    <s v="Ruby Grace Garcia"/>
  </r>
  <r>
    <n v="274"/>
    <s v="F1"/>
    <x v="11"/>
    <s v="L000013266"/>
    <s v="Commercial Americas"/>
    <s v="L000005842"/>
    <s v="New"/>
    <x v="1"/>
    <x v="4"/>
    <s v="LS"/>
    <m/>
    <m/>
    <s v="Ruby Grace Garcia"/>
  </r>
  <r>
    <n v="275"/>
    <s v="F1"/>
    <x v="11"/>
    <s v="L000013267"/>
    <s v="DxRM Sales Region East"/>
    <s v="L000013266"/>
    <s v="New"/>
    <x v="1"/>
    <x v="4"/>
    <s v="LS"/>
    <m/>
    <m/>
    <s v="Ruby Grace Garcia"/>
  </r>
  <r>
    <n v="276"/>
    <s v="F1"/>
    <x v="11"/>
    <s v="L000013268"/>
    <s v="DxRM Inside Sales"/>
    <s v="L000013266"/>
    <s v="New"/>
    <x v="1"/>
    <x v="4"/>
    <s v="LS"/>
    <m/>
    <m/>
    <s v="Ruby Grace Garcia"/>
  </r>
  <r>
    <n v="277"/>
    <s v="F1"/>
    <x v="11"/>
    <s v="L000013269"/>
    <s v="DxRM Latam"/>
    <s v="L000013266"/>
    <s v="New"/>
    <x v="1"/>
    <x v="4"/>
    <s v="LS"/>
    <m/>
    <m/>
    <s v="Ruby Grace Garcia"/>
  </r>
  <r>
    <n v="278"/>
    <s v="F1"/>
    <x v="11"/>
    <s v="L000013270"/>
    <s v="DxRM Sales Region West"/>
    <s v="L000013266"/>
    <s v="New"/>
    <x v="1"/>
    <x v="4"/>
    <s v="LS"/>
    <m/>
    <m/>
    <s v="Ruby Grace Garcia"/>
  </r>
  <r>
    <n v="279"/>
    <s v="F1"/>
    <x v="11"/>
    <s v="L000013271"/>
    <s v="IVD Sales Region West"/>
    <s v="L000013266"/>
    <s v="New"/>
    <x v="1"/>
    <x v="4"/>
    <s v="LS"/>
    <m/>
    <m/>
    <s v="Ruby Grace Garcia"/>
  </r>
  <r>
    <n v="280"/>
    <s v="F1"/>
    <x v="11"/>
    <s v="L000013272"/>
    <s v="IVD Sales Region East"/>
    <s v="L000013266"/>
    <s v="New"/>
    <x v="1"/>
    <x v="4"/>
    <s v="LS"/>
    <m/>
    <m/>
    <s v="Ruby Grace Garcia"/>
  </r>
  <r>
    <n v="281"/>
    <s v="F1"/>
    <x v="11"/>
    <s v="L000013273"/>
    <s v="Commercial EMEA"/>
    <s v="L000005842"/>
    <s v="New"/>
    <x v="1"/>
    <x v="4"/>
    <s v="LS"/>
    <m/>
    <m/>
    <s v="Ruby Grace Garcia"/>
  </r>
  <r>
    <n v="282"/>
    <s v="F1"/>
    <x v="11"/>
    <s v="L000013274"/>
    <s v="Commercial APeC"/>
    <s v="L000005842"/>
    <s v="New"/>
    <x v="1"/>
    <x v="4"/>
    <s v="LS"/>
    <m/>
    <m/>
    <s v="Ruby Grace Garcia"/>
  </r>
  <r>
    <n v="283"/>
    <s v="F1"/>
    <x v="11"/>
    <s v="L000013275"/>
    <s v="Sales Specialists"/>
    <s v="L000005842"/>
    <s v="New"/>
    <x v="1"/>
    <x v="4"/>
    <s v="LS"/>
    <m/>
    <m/>
    <s v="Ruby Grace Garcia"/>
  </r>
  <r>
    <n v="284"/>
    <s v="F1"/>
    <x v="11"/>
    <s v="L000013276"/>
    <s v="AS Strategy Mgmt"/>
    <s v="L000012321"/>
    <s v="New"/>
    <x v="1"/>
    <x v="4"/>
    <s v="LS"/>
    <m/>
    <m/>
    <s v="Ruby Grace Garcia"/>
  </r>
  <r>
    <n v="285"/>
    <s v="F1"/>
    <x v="11"/>
    <s v="L000013277"/>
    <s v="AS Strategy BPs"/>
    <s v="L000012321"/>
    <s v="New"/>
    <x v="1"/>
    <x v="4"/>
    <s v="LS"/>
    <m/>
    <m/>
    <s v="Ruby Grace Garcia"/>
  </r>
  <r>
    <n v="286"/>
    <s v="F1"/>
    <x v="11"/>
    <s v="L000013278"/>
    <s v="LSS ComEx Legacy - not to be used"/>
    <s v="L000013183"/>
    <s v="New"/>
    <x v="1"/>
    <x v="4"/>
    <s v="LS"/>
    <m/>
    <m/>
    <s v="Ruby Grace Garcia"/>
  </r>
  <r>
    <n v="287"/>
    <s v="F1"/>
    <x v="11"/>
    <s v="L000013279"/>
    <s v="ComEx Mgmt"/>
    <s v="L000013183"/>
    <s v="New"/>
    <x v="1"/>
    <x v="4"/>
    <s v="LS"/>
    <m/>
    <m/>
    <s v="Ruby Grace Garcia"/>
  </r>
  <r>
    <n v="288"/>
    <s v="F1"/>
    <x v="11"/>
    <s v="L000013280"/>
    <s v="Commercial Performance"/>
    <s v="L000013183"/>
    <s v="New"/>
    <x v="1"/>
    <x v="4"/>
    <s v="LS"/>
    <m/>
    <m/>
    <s v="Ruby Grace Garcia"/>
  </r>
  <r>
    <n v="289"/>
    <s v="F1"/>
    <x v="11"/>
    <s v="L000013281"/>
    <s v="Commercial Analytics &amp; Customer EX"/>
    <s v="L000013183"/>
    <s v="New"/>
    <x v="1"/>
    <x v="4"/>
    <s v="LS"/>
    <m/>
    <m/>
    <s v="Ruby Grace Garcia"/>
  </r>
  <r>
    <n v="290"/>
    <s v="F1"/>
    <x v="11"/>
    <s v="L000013282"/>
    <s v="LS Education &amp; Capability planning"/>
    <s v="L000013183"/>
    <s v="New"/>
    <x v="1"/>
    <x v="4"/>
    <s v="LS"/>
    <m/>
    <m/>
    <s v="Ruby Grace Garcia"/>
  </r>
  <r>
    <n v="291"/>
    <s v="F1"/>
    <x v="11"/>
    <s v="L000013283"/>
    <s v="CRM Excellence"/>
    <s v="L000013183"/>
    <s v="New"/>
    <x v="1"/>
    <x v="4"/>
    <s v="LS"/>
    <m/>
    <m/>
    <s v="Ruby Grace Garcia"/>
  </r>
  <r>
    <n v="292"/>
    <s v="F1"/>
    <x v="11"/>
    <s v="L000013284"/>
    <s v="IBM"/>
    <s v="L000013183"/>
    <s v="New"/>
    <x v="1"/>
    <x v="4"/>
    <s v="LS"/>
    <m/>
    <m/>
    <s v="Ruby Grace Garcia"/>
  </r>
  <r>
    <n v="293"/>
    <s v="F1"/>
    <x v="11"/>
    <s v="L000013285"/>
    <s v="Cell Biology Solutions"/>
    <s v="L000011911"/>
    <s v="New"/>
    <x v="1"/>
    <x v="4"/>
    <s v="LS"/>
    <m/>
    <m/>
    <s v="Ruby Grace Garcia"/>
  </r>
  <r>
    <n v="294"/>
    <s v="F1"/>
    <x v="11"/>
    <s v="L000013286"/>
    <s v="HUB Organoids"/>
    <s v="L000011911"/>
    <s v="New"/>
    <x v="1"/>
    <x v="4"/>
    <s v="LS"/>
    <m/>
    <m/>
    <s v="Ruby Grace Garcia"/>
  </r>
  <r>
    <n v="295"/>
    <s v="F1"/>
    <x v="11"/>
    <s v="L000013287"/>
    <s v="HUB Organoids Sales Marketing BD"/>
    <s v="L000013286"/>
    <s v="New"/>
    <x v="1"/>
    <x v="4"/>
    <s v="LS"/>
    <m/>
    <m/>
    <s v="Ruby Grace Garcia"/>
  </r>
  <r>
    <n v="296"/>
    <s v="F1"/>
    <x v="11"/>
    <s v="L000013288"/>
    <s v="HUB Organoids HR"/>
    <s v="L000013286"/>
    <s v="New"/>
    <x v="1"/>
    <x v="4"/>
    <s v="LS"/>
    <m/>
    <m/>
    <s v="Ruby Grace Garcia"/>
  </r>
  <r>
    <n v="297"/>
    <s v="F1"/>
    <x v="11"/>
    <s v="L000013289"/>
    <s v="HUB Organoids Operations"/>
    <s v="L000013286"/>
    <s v="New"/>
    <x v="1"/>
    <x v="4"/>
    <s v="LS"/>
    <m/>
    <m/>
    <s v="Ruby Grace Garcia"/>
  </r>
  <r>
    <n v="298"/>
    <s v="F1"/>
    <x v="11"/>
    <s v="L000013290"/>
    <s v="HUB Organoids Legal"/>
    <s v="L000013286"/>
    <s v="New"/>
    <x v="1"/>
    <x v="4"/>
    <s v="LS"/>
    <m/>
    <m/>
    <s v="Ruby Grace Garcia"/>
  </r>
  <r>
    <n v="299"/>
    <s v="F1"/>
    <x v="11"/>
    <s v="L000013291"/>
    <s v="HUB Organoids Science"/>
    <s v="L000013286"/>
    <s v="New"/>
    <x v="1"/>
    <x v="4"/>
    <s v="LS"/>
    <m/>
    <m/>
    <s v="Ruby Grace Garcia"/>
  </r>
  <r>
    <n v="300"/>
    <s v="F1"/>
    <x v="11"/>
    <s v="L000013292"/>
    <s v="DiS Commercial Office"/>
    <s v="L000007596"/>
    <s v="New"/>
    <x v="1"/>
    <x v="4"/>
    <s v="LS"/>
    <m/>
    <m/>
    <s v="Ruby Grace Garcia"/>
  </r>
  <r>
    <n v="301"/>
    <s v="F1"/>
    <x v="11"/>
    <s v="L000013293"/>
    <s v="Commercial Office Mgmt"/>
    <s v="L000013292"/>
    <s v="New"/>
    <x v="1"/>
    <x v="4"/>
    <s v="LS"/>
    <m/>
    <m/>
    <s v="Ruby Grace Garcia"/>
  </r>
  <r>
    <n v="302"/>
    <s v="F1"/>
    <x v="11"/>
    <s v="L000013294"/>
    <s v="Commercial Excellence"/>
    <s v="L000013292"/>
    <s v="New"/>
    <x v="1"/>
    <x v="4"/>
    <s v="LS"/>
    <m/>
    <m/>
    <s v="Ruby Grace Garcia"/>
  </r>
  <r>
    <n v="303"/>
    <s v="F1"/>
    <x v="11"/>
    <s v="L000013295"/>
    <s v="Commercial Analytics"/>
    <s v="L000013294"/>
    <s v="New"/>
    <x v="1"/>
    <x v="4"/>
    <s v="LS"/>
    <m/>
    <m/>
    <s v="Ruby Grace Garcia"/>
  </r>
  <r>
    <n v="304"/>
    <s v="F1"/>
    <x v="11"/>
    <s v="L000013296"/>
    <s v="Commercial Marketing Biology"/>
    <s v="L000013294"/>
    <s v="New"/>
    <x v="1"/>
    <x v="4"/>
    <s v="LS"/>
    <m/>
    <m/>
    <s v="Ruby Grace Garcia"/>
  </r>
  <r>
    <n v="305"/>
    <s v="F1"/>
    <x v="11"/>
    <s v="L000013297"/>
    <s v="Commercial Marketing Chemistry"/>
    <s v="L000013294"/>
    <s v="New"/>
    <x v="1"/>
    <x v="4"/>
    <s v="LS"/>
    <m/>
    <m/>
    <s v="Ruby Grace Garcia"/>
  </r>
  <r>
    <n v="306"/>
    <s v="F1"/>
    <x v="11"/>
    <s v="L000013298"/>
    <s v="Marketing Communications"/>
    <s v="L000013294"/>
    <s v="New"/>
    <x v="1"/>
    <x v="4"/>
    <s v="LS"/>
    <m/>
    <m/>
    <s v="Ruby Grace Garcia"/>
  </r>
  <r>
    <n v="307"/>
    <s v="F1"/>
    <x v="11"/>
    <s v="L000013299"/>
    <s v="Commercial Performance"/>
    <s v="L000013294"/>
    <s v="New"/>
    <x v="1"/>
    <x v="4"/>
    <s v="LS"/>
    <m/>
    <m/>
    <s v="Ruby Grace Garcia"/>
  </r>
  <r>
    <n v="308"/>
    <s v="F1"/>
    <x v="11"/>
    <s v="L000013300"/>
    <s v="Comm. Projects &amp; Impl."/>
    <s v="L000013292"/>
    <s v="New"/>
    <x v="1"/>
    <x v="4"/>
    <s v="LS"/>
    <m/>
    <m/>
    <s v="Ruby Grace Garcia"/>
  </r>
  <r>
    <n v="309"/>
    <s v="F1"/>
    <x v="11"/>
    <s v="L000013301"/>
    <s v="Customer Success"/>
    <s v="L000013292"/>
    <s v="New"/>
    <x v="1"/>
    <x v="4"/>
    <s v="LS"/>
    <m/>
    <m/>
    <s v="Ruby Grace Garcia"/>
  </r>
  <r>
    <n v="310"/>
    <s v="F1"/>
    <x v="11"/>
    <s v="L000013302"/>
    <s v="Digital Enablement"/>
    <s v="L000013301"/>
    <s v="New"/>
    <x v="1"/>
    <x v="4"/>
    <s v="LS"/>
    <m/>
    <m/>
    <s v="Ruby Grace Garcia"/>
  </r>
  <r>
    <n v="311"/>
    <s v="F1"/>
    <x v="11"/>
    <s v="L000013303"/>
    <s v="Sales Support"/>
    <s v="L000013301"/>
    <s v="New"/>
    <x v="1"/>
    <x v="4"/>
    <s v="LS"/>
    <m/>
    <m/>
    <s v="Ruby Grace Garcia"/>
  </r>
  <r>
    <n v="312"/>
    <s v="F1"/>
    <x v="11"/>
    <s v="L000013304"/>
    <s v="BraMex"/>
    <s v="L000007925"/>
    <s v="New"/>
    <x v="1"/>
    <x v="4"/>
    <s v="LS"/>
    <m/>
    <m/>
    <s v="Ruby Grace Garcia"/>
  </r>
  <r>
    <n v="313"/>
    <s v="F1"/>
    <x v="11"/>
    <s v="L000013305"/>
    <s v="Sales Development"/>
    <s v="L000007925"/>
    <s v="New"/>
    <x v="1"/>
    <x v="4"/>
    <s v="LS"/>
    <m/>
    <m/>
    <s v="Ruby Grace Garcia"/>
  </r>
  <r>
    <n v="314"/>
    <s v="F1"/>
    <x v="11"/>
    <s v="L000013306"/>
    <s v="Regional Territories East"/>
    <s v="L000007925"/>
    <s v="New"/>
    <x v="1"/>
    <x v="4"/>
    <s v="LS"/>
    <m/>
    <m/>
    <s v="Ruby Grace Garcia"/>
  </r>
  <r>
    <n v="315"/>
    <s v="F1"/>
    <x v="11"/>
    <s v="L000013307"/>
    <s v="Regional Territories West"/>
    <s v="L000007925"/>
    <s v="New"/>
    <x v="1"/>
    <x v="4"/>
    <s v="LS"/>
    <m/>
    <m/>
    <s v="Ruby Grace Garcia"/>
  </r>
  <r>
    <n v="316"/>
    <s v="F1"/>
    <x v="11"/>
    <s v="L000013308"/>
    <s v="Commercial Americas Legacy-to be deleted"/>
    <s v="L000007925"/>
    <s v="New"/>
    <x v="1"/>
    <x v="4"/>
    <s v="LS"/>
    <m/>
    <m/>
    <s v="Ruby Grace Garcia"/>
  </r>
  <r>
    <n v="317"/>
    <s v="F1"/>
    <x v="11"/>
    <s v="L000013309"/>
    <s v="Major Accounts"/>
    <s v="L000007925"/>
    <s v="New"/>
    <x v="1"/>
    <x v="4"/>
    <s v="LS"/>
    <m/>
    <m/>
    <s v="Ruby Grace Garcia"/>
  </r>
  <r>
    <n v="318"/>
    <s v="F1"/>
    <x v="11"/>
    <s v="L000013310"/>
    <s v="NA Key Accounts"/>
    <s v="L000013309"/>
    <s v="New"/>
    <x v="1"/>
    <x v="4"/>
    <s v="LS"/>
    <m/>
    <m/>
    <s v="Ruby Grace Garcia"/>
  </r>
  <r>
    <n v="319"/>
    <s v="F1"/>
    <x v="11"/>
    <s v="L000013311"/>
    <s v="EEMEA &amp; WE Dealer"/>
    <s v="L000008563"/>
    <s v="New"/>
    <x v="1"/>
    <x v="4"/>
    <s v="LS"/>
    <m/>
    <m/>
    <s v="Ruby Grace Garcia"/>
  </r>
  <r>
    <n v="320"/>
    <s v="F1"/>
    <x v="11"/>
    <s v="L000013312"/>
    <s v="South Africa"/>
    <s v="L000013311"/>
    <s v="New"/>
    <x v="1"/>
    <x v="4"/>
    <s v="LS"/>
    <m/>
    <m/>
    <s v="Ruby Grace Garcia"/>
  </r>
  <r>
    <n v="321"/>
    <s v="F1"/>
    <x v="11"/>
    <s v="L000013313"/>
    <s v="Middle East Egypt &amp; Pakistan"/>
    <s v="L000013311"/>
    <s v="New"/>
    <x v="1"/>
    <x v="4"/>
    <s v="LS"/>
    <m/>
    <m/>
    <s v="Ruby Grace Garcia"/>
  </r>
  <r>
    <n v="322"/>
    <s v="F1"/>
    <x v="11"/>
    <s v="L000013314"/>
    <s v="Channel Contract Execution"/>
    <s v="L000013311"/>
    <s v="New"/>
    <x v="1"/>
    <x v="4"/>
    <s v="LS"/>
    <m/>
    <m/>
    <s v="Ruby Grace Garcia"/>
  </r>
  <r>
    <n v="323"/>
    <s v="F1"/>
    <x v="11"/>
    <s v="L000013315"/>
    <s v="Central &amp; north"/>
    <s v="L000013311"/>
    <s v="New"/>
    <x v="1"/>
    <x v="4"/>
    <s v="LS"/>
    <m/>
    <m/>
    <s v="Ruby Grace Garcia"/>
  </r>
  <r>
    <n v="324"/>
    <s v="F1"/>
    <x v="11"/>
    <s v="L000013316"/>
    <s v="Southwest &amp; Nordics"/>
    <s v="L000013311"/>
    <s v="New"/>
    <x v="1"/>
    <x v="4"/>
    <s v="LS"/>
    <m/>
    <m/>
    <s v="Ruby Grace Garcia"/>
  </r>
  <r>
    <n v="325"/>
    <s v="F1"/>
    <x v="11"/>
    <s v="L000013317"/>
    <s v="Commercial recycler Prgm mgmt"/>
    <s v="L000013311"/>
    <s v="New"/>
    <x v="1"/>
    <x v="4"/>
    <s v="LS"/>
    <m/>
    <m/>
    <s v="Ruby Grace Garcia"/>
  </r>
  <r>
    <n v="326"/>
    <s v="F1"/>
    <x v="11"/>
    <s v="L000013318"/>
    <s v="Eastern Europe"/>
    <s v="L000013311"/>
    <s v="New"/>
    <x v="1"/>
    <x v="4"/>
    <s v="LS"/>
    <m/>
    <m/>
    <s v="Ruby Grace Garcia"/>
  </r>
  <r>
    <n v="327"/>
    <s v="F1"/>
    <x v="11"/>
    <s v="L000013319"/>
    <s v="Turkey Maghreb"/>
    <s v="L000013311"/>
    <s v="New"/>
    <x v="1"/>
    <x v="4"/>
    <s v="LS"/>
    <m/>
    <m/>
    <s v="Ruby Grace Garcia"/>
  </r>
  <r>
    <n v="328"/>
    <s v="F1"/>
    <x v="11"/>
    <s v="L000013320"/>
    <s v="EEMEA Commercial"/>
    <s v="L000013311"/>
    <s v="New"/>
    <x v="1"/>
    <x v="4"/>
    <s v="LS"/>
    <m/>
    <m/>
    <s v="Ruby Grace Garcia"/>
  </r>
  <r>
    <n v="329"/>
    <s v="F1"/>
    <x v="11"/>
    <s v="L000013321"/>
    <s v="Legacy SLS EMEA - to be deleted"/>
    <s v="L000008563"/>
    <s v="New"/>
    <x v="1"/>
    <x v="4"/>
    <s v="LS"/>
    <m/>
    <m/>
    <s v="Ruby Grace Garcia"/>
  </r>
  <r>
    <n v="330"/>
    <s v="F1"/>
    <x v="11"/>
    <s v="L000013322"/>
    <s v="EMEA Sales Development"/>
    <s v="L000008563"/>
    <s v="New"/>
    <x v="1"/>
    <x v="4"/>
    <s v="LS"/>
    <m/>
    <m/>
    <s v="Ruby Grace Garcia"/>
  </r>
  <r>
    <n v="331"/>
    <s v="F1"/>
    <x v="11"/>
    <s v="L000013323"/>
    <s v="EMEA Regional Territories"/>
    <s v="L000008563"/>
    <s v="New"/>
    <x v="1"/>
    <x v="4"/>
    <s v="LS"/>
    <m/>
    <m/>
    <s v="Ruby Grace Garcia"/>
  </r>
  <r>
    <n v="332"/>
    <s v="F1"/>
    <x v="11"/>
    <s v="L000013324"/>
    <s v="Field CE/SO"/>
    <s v="L000013323"/>
    <s v="New"/>
    <x v="1"/>
    <x v="4"/>
    <s v="LS"/>
    <m/>
    <m/>
    <s v="Ruby Grace Garcia"/>
  </r>
  <r>
    <n v="333"/>
    <s v="F1"/>
    <x v="11"/>
    <s v="L000013325"/>
    <s v="Dield NO/WE"/>
    <s v="L000013323"/>
    <s v="New"/>
    <x v="1"/>
    <x v="4"/>
    <s v="LS"/>
    <m/>
    <m/>
    <s v="Ruby Grace Garcia"/>
  </r>
  <r>
    <n v="334"/>
    <s v="F1"/>
    <x v="11"/>
    <s v="L000013326"/>
    <s v="Inside"/>
    <s v="L000013323"/>
    <s v="New"/>
    <x v="1"/>
    <x v="4"/>
    <s v="LS"/>
    <m/>
    <m/>
    <s v="Ruby Grace Garcia"/>
  </r>
  <r>
    <n v="335"/>
    <s v="F1"/>
    <x v="11"/>
    <s v="L000013327"/>
    <s v="Regional EE4"/>
    <s v="L000013323"/>
    <s v="New"/>
    <x v="1"/>
    <x v="4"/>
    <s v="LS"/>
    <m/>
    <m/>
    <s v="Ruby Grace Garcia"/>
  </r>
  <r>
    <n v="336"/>
    <s v="F1"/>
    <x v="11"/>
    <s v="L000013328"/>
    <s v="EMEA Sales Specialists"/>
    <s v="L000008563"/>
    <s v="New"/>
    <x v="1"/>
    <x v="4"/>
    <s v="LS"/>
    <m/>
    <m/>
    <s v="Ruby Grace Garcia"/>
  </r>
  <r>
    <n v="337"/>
    <s v="F1"/>
    <x v="11"/>
    <s v="L000013329"/>
    <s v="EMEA Major accounts"/>
    <s v="L000008563"/>
    <s v="New"/>
    <x v="1"/>
    <x v="4"/>
    <s v="LS"/>
    <m/>
    <m/>
    <s v="Ruby Grace Garcia"/>
  </r>
  <r>
    <n v="338"/>
    <s v="F1"/>
    <x v="11"/>
    <s v="L000013330"/>
    <s v="Major accounts"/>
    <s v="L000013329"/>
    <s v="New"/>
    <x v="1"/>
    <x v="4"/>
    <s v="LS"/>
    <m/>
    <m/>
    <s v="Ruby Grace Garcia"/>
  </r>
  <r>
    <n v="339"/>
    <s v="F1"/>
    <x v="11"/>
    <s v="L000013331"/>
    <s v="Innovation"/>
    <s v="L000006294"/>
    <s v="New"/>
    <x v="1"/>
    <x v="4"/>
    <s v="LS"/>
    <m/>
    <m/>
    <s v="Ruby Grace Garcia"/>
  </r>
  <r>
    <n v="340"/>
    <s v="F1"/>
    <x v="11"/>
    <s v="L000013332"/>
    <s v="Customer Engagement"/>
    <s v="L000013331"/>
    <s v="New"/>
    <x v="1"/>
    <x v="4"/>
    <s v="LS"/>
    <m/>
    <m/>
    <s v="Ruby Grace Garcia"/>
  </r>
  <r>
    <n v="341"/>
    <s v="F1"/>
    <x v="11"/>
    <s v="L000013333"/>
    <s v="Innovation Delivery and Value Managment"/>
    <s v="L000013332"/>
    <s v="New"/>
    <x v="1"/>
    <x v="4"/>
    <s v="LS"/>
    <m/>
    <m/>
    <s v="Ruby Grace Garcia"/>
  </r>
  <r>
    <n v="342"/>
    <s v="F1"/>
    <x v="11"/>
    <s v="L000013334"/>
    <s v="Digital Lab Solutions"/>
    <s v="L000013331"/>
    <s v="New"/>
    <x v="1"/>
    <x v="4"/>
    <s v="LS"/>
    <m/>
    <m/>
    <s v="Ruby Grace Garcia"/>
  </r>
  <r>
    <n v="343"/>
    <s v="F1"/>
    <x v="11"/>
    <s v="L000013335"/>
    <s v="Innovation , Project &amp; Portfolio Mgmt"/>
    <s v="L000012359"/>
    <s v="New"/>
    <x v="1"/>
    <x v="4"/>
    <s v="LS"/>
    <m/>
    <m/>
    <s v="Ruby Grace Garcia"/>
  </r>
  <r>
    <n v="344"/>
    <s v="F1"/>
    <x v="11"/>
    <s v="L000013336"/>
    <s v="Scientific Thought Leader &amp; Tech Scout"/>
    <s v="L000013331"/>
    <s v="New"/>
    <x v="1"/>
    <x v="4"/>
    <s v="LS"/>
    <m/>
    <m/>
    <s v="Ruby Grace Garcia"/>
  </r>
  <r>
    <n v="345"/>
    <s v="F1"/>
    <x v="11"/>
    <s v="L000013337"/>
    <s v="Global Scientific Leadersip"/>
    <s v="L000013336"/>
    <s v="New"/>
    <x v="1"/>
    <x v="4"/>
    <s v="LS"/>
    <m/>
    <m/>
    <s v="Ruby Grace Garcia"/>
  </r>
  <r>
    <n v="346"/>
    <s v="F1"/>
    <x v="11"/>
    <s v="L000013338"/>
    <s v="Business Planning &amp; Implementation"/>
    <s v="L000013289"/>
    <s v="New"/>
    <x v="1"/>
    <x v="4"/>
    <s v="LS"/>
    <m/>
    <m/>
    <s v="Ruby Grace Garcia"/>
  </r>
  <r>
    <n v="347"/>
    <s v="F1"/>
    <x v="11"/>
    <s v="L000013339"/>
    <s v="GSA BPI"/>
    <s v="L000011690"/>
    <s v="New"/>
    <x v="1"/>
    <x v="4"/>
    <s v="LS"/>
    <m/>
    <m/>
    <s v="Ruby Grace Garcia"/>
  </r>
  <r>
    <n v="348"/>
    <s v="F1"/>
    <x v="11"/>
    <s v="L000013340"/>
    <s v="Former Bex legacy - not to be used"/>
    <s v="L000011719"/>
    <s v="New"/>
    <x v="1"/>
    <x v="4"/>
    <s v="LS"/>
    <m/>
    <m/>
    <s v="Ruby Grace Garcia"/>
  </r>
  <r>
    <n v="349"/>
    <s v="F1"/>
    <x v="11"/>
    <s v="L000013341"/>
    <s v="CS Process Excellence"/>
    <s v="L000011719"/>
    <s v="New"/>
    <x v="1"/>
    <x v="4"/>
    <s v="LS"/>
    <m/>
    <m/>
    <s v="Ruby Grace Garcia"/>
  </r>
  <r>
    <n v="350"/>
    <s v="F1"/>
    <x v="11"/>
    <s v="L000013342"/>
    <s v="LS bad Debt"/>
    <s v="L000011719"/>
    <s v="New"/>
    <x v="1"/>
    <x v="4"/>
    <s v="LS"/>
    <m/>
    <m/>
    <s v="Ruby Grace Garcia"/>
  </r>
  <r>
    <n v="351"/>
    <s v="F1"/>
    <x v="11"/>
    <s v="L000009794"/>
    <s v="Supply Chain Planning"/>
    <m/>
    <s v="Rename"/>
    <x v="1"/>
    <x v="4"/>
    <s v="LS"/>
    <m/>
    <m/>
    <s v="Ruby Grace Garcia"/>
  </r>
  <r>
    <n v="352"/>
    <s v="F1"/>
    <x v="11"/>
    <s v="L000009959"/>
    <s v="Supply Chain Planning Management"/>
    <m/>
    <s v="Rename"/>
    <x v="1"/>
    <x v="4"/>
    <s v="LS"/>
    <m/>
    <m/>
    <s v="Ruby Grace Garcia"/>
  </r>
  <r>
    <n v="353"/>
    <s v="F1"/>
    <x v="11"/>
    <s v="L000010057"/>
    <s v="LS-ODL Supply Chain DS"/>
    <m/>
    <s v="Rename"/>
    <x v="1"/>
    <x v="4"/>
    <s v="LS"/>
    <m/>
    <m/>
    <s v="Ruby Grace Garcia"/>
  </r>
  <r>
    <n v="354"/>
    <s v="F1"/>
    <x v="11"/>
    <s v="L000013436"/>
    <s v="LS-ODE Supply Chain Advancements"/>
    <m/>
    <s v="Rename"/>
    <x v="1"/>
    <x v="4"/>
    <s v="LS"/>
    <m/>
    <m/>
    <s v="Ruby Grace Garcia"/>
  </r>
  <r>
    <n v="355"/>
    <s v="F1"/>
    <x v="11"/>
    <s v="L000013797"/>
    <s v="Supply Chain AS"/>
    <m/>
    <s v="Rename"/>
    <x v="1"/>
    <x v="4"/>
    <s v="LS"/>
    <m/>
    <m/>
    <s v="Ruby Grace Garcia"/>
  </r>
  <r>
    <n v="356"/>
    <s v="F1"/>
    <x v="11"/>
    <s v="L000013422"/>
    <s v="AS Value Stream"/>
    <m/>
    <s v="Rename"/>
    <x v="1"/>
    <x v="4"/>
    <s v="LS"/>
    <m/>
    <m/>
    <s v="Ruby Grace Garcia"/>
  </r>
  <r>
    <n v="357"/>
    <s v="F1"/>
    <x v="11"/>
    <s v="L000011345"/>
    <s v="Market Intelligence"/>
    <m/>
    <s v="Rename"/>
    <x v="1"/>
    <x v="4"/>
    <s v="LS"/>
    <m/>
    <m/>
    <s v="Ruby Grace Garcia"/>
  </r>
  <r>
    <n v="358"/>
    <s v="F1"/>
    <x v="11"/>
    <s v="L000011353"/>
    <s v="Strategic Program Management"/>
    <m/>
    <s v="Rename"/>
    <x v="1"/>
    <x v="4"/>
    <s v="LS"/>
    <m/>
    <m/>
    <s v="Ruby Grace Garcia"/>
  </r>
  <r>
    <n v="359"/>
    <s v="F1"/>
    <x v="11"/>
    <s v="L000010623"/>
    <s v="IT project IC holding cost centers"/>
    <m/>
    <s v="Rename"/>
    <x v="1"/>
    <x v="4"/>
    <s v="LS"/>
    <m/>
    <m/>
    <s v="Ruby Grace Garcia"/>
  </r>
  <r>
    <n v="360"/>
    <s v="F1"/>
    <x v="11"/>
    <s v="L000013734"/>
    <s v="Communications &amp; Portfolio Branding"/>
    <m/>
    <s v="Rename"/>
    <x v="1"/>
    <x v="4"/>
    <s v="LS"/>
    <m/>
    <m/>
    <s v="Ruby Grace Garcia"/>
  </r>
  <r>
    <n v="361"/>
    <s v="F1"/>
    <x v="11"/>
    <s v="L000011328"/>
    <s v="Corporate &amp; Portfolio Branding"/>
    <m/>
    <s v="Rename"/>
    <x v="1"/>
    <x v="4"/>
    <s v="LS"/>
    <m/>
    <m/>
    <s v="Ruby Grace Garcia"/>
  </r>
  <r>
    <n v="362"/>
    <s v="F1"/>
    <x v="11"/>
    <s v="L000013904"/>
    <s v="Business Process Excellence"/>
    <m/>
    <s v="Rename"/>
    <x v="1"/>
    <x v="4"/>
    <s v="LS"/>
    <m/>
    <m/>
    <s v="Ruby Grace Garcia"/>
  </r>
  <r>
    <n v="363"/>
    <s v="F1"/>
    <x v="11"/>
    <s v="L000008345"/>
    <s v="DM Commercial Marketing"/>
    <m/>
    <s v="Rename"/>
    <x v="1"/>
    <x v="4"/>
    <s v="LS"/>
    <m/>
    <m/>
    <s v="Ruby Grace Garcia"/>
  </r>
  <r>
    <n v="364"/>
    <s v="F1"/>
    <x v="11"/>
    <s v="L000013128"/>
    <s v="Advanced Solutions"/>
    <m/>
    <s v="Rename"/>
    <x v="1"/>
    <x v="4"/>
    <s v="LS"/>
    <m/>
    <m/>
    <s v="Ruby Grace Garcia"/>
  </r>
  <r>
    <n v="365"/>
    <s v="F1"/>
    <x v="11"/>
    <s v="L000007122"/>
    <s v="Global testing Operations"/>
    <m/>
    <s v="Rename"/>
    <x v="1"/>
    <x v="4"/>
    <s v="LS"/>
    <m/>
    <m/>
    <s v="Ruby Grace Garcia"/>
  </r>
  <r>
    <n v="366"/>
    <s v="F1"/>
    <x v="11"/>
    <s v="L000007200"/>
    <s v="Contract Testing Services APAC"/>
    <m/>
    <s v="Rename"/>
    <x v="1"/>
    <x v="4"/>
    <s v="LS"/>
    <m/>
    <m/>
    <s v="Ruby Grace Garcia"/>
  </r>
  <r>
    <n v="367"/>
    <s v="F1"/>
    <x v="11"/>
    <s v="L000007211"/>
    <s v="Commercial NA and Europe"/>
    <m/>
    <s v="Rename"/>
    <x v="1"/>
    <x v="4"/>
    <s v="LS"/>
    <m/>
    <m/>
    <s v="Ruby Grace Garcia"/>
  </r>
  <r>
    <n v="368"/>
    <s v="F1"/>
    <x v="11"/>
    <s v="L000012321"/>
    <s v="AS Strategy &amp; Transformation"/>
    <m/>
    <s v="Rename"/>
    <x v="1"/>
    <x v="4"/>
    <s v="LS"/>
    <m/>
    <m/>
    <s v="Ruby Grace Garcia"/>
  </r>
  <r>
    <n v="369"/>
    <s v="F1"/>
    <x v="11"/>
    <s v="L000013183"/>
    <s v="AS Commercial Excellence"/>
    <m/>
    <s v="Rename"/>
    <x v="1"/>
    <x v="4"/>
    <s v="LS"/>
    <m/>
    <m/>
    <s v="Ruby Grace Garcia"/>
  </r>
  <r>
    <n v="370"/>
    <s v="F1"/>
    <x v="11"/>
    <s v="L000013814"/>
    <s v="Marketing Communication"/>
    <m/>
    <s v="Rename"/>
    <x v="1"/>
    <x v="4"/>
    <s v="LS"/>
    <m/>
    <m/>
    <s v="Ruby Grace Garcia"/>
  </r>
  <r>
    <n v="371"/>
    <s v="F1"/>
    <x v="11"/>
    <s v="L000013182"/>
    <s v="AS Management -G"/>
    <m/>
    <s v="Rename"/>
    <x v="1"/>
    <x v="4"/>
    <s v="LS"/>
    <m/>
    <m/>
    <s v="Ruby Grace Garcia"/>
  </r>
  <r>
    <n v="372"/>
    <s v="F1"/>
    <x v="11"/>
    <s v="L000013365"/>
    <s v="AS GoGlobal -G"/>
    <m/>
    <s v="Rename"/>
    <x v="1"/>
    <x v="4"/>
    <s v="LS"/>
    <m/>
    <m/>
    <s v="Ruby Grace Garcia"/>
  </r>
  <r>
    <n v="373"/>
    <s v="F1"/>
    <x v="11"/>
    <s v="L000013461"/>
    <s v="AS Exceptionals"/>
    <m/>
    <s v="Rename"/>
    <x v="1"/>
    <x v="4"/>
    <s v="LS"/>
    <m/>
    <m/>
    <s v="Ruby Grace Garcia"/>
  </r>
  <r>
    <n v="374"/>
    <s v="F1"/>
    <x v="11"/>
    <s v="L000013187"/>
    <s v="AS Sales &amp; COGS"/>
    <m/>
    <s v="Rename"/>
    <x v="1"/>
    <x v="4"/>
    <s v="LS"/>
    <m/>
    <m/>
    <s v="Ruby Grace Garcia"/>
  </r>
  <r>
    <n v="375"/>
    <s v="F1"/>
    <x v="11"/>
    <s v="L000007596"/>
    <s v="Discovery Solutions"/>
    <m/>
    <s v="Rename"/>
    <x v="1"/>
    <x v="4"/>
    <s v="LS"/>
    <m/>
    <m/>
    <s v="Ruby Grace Garcia"/>
  </r>
  <r>
    <n v="376"/>
    <s v="F1"/>
    <x v="11"/>
    <s v="L000007850"/>
    <s v="Biology Workflow Essentials"/>
    <m/>
    <s v="Rename"/>
    <x v="1"/>
    <x v="4"/>
    <s v="LS"/>
    <m/>
    <m/>
    <s v="Ruby Grace Garcia"/>
  </r>
  <r>
    <n v="377"/>
    <s v="F1"/>
    <x v="11"/>
    <s v="L000007892"/>
    <s v="Separation &amp; Purification Solutions"/>
    <m/>
    <s v="Rename"/>
    <x v="1"/>
    <x v="4"/>
    <s v="LS"/>
    <m/>
    <m/>
    <s v="Ruby Grace Garcia"/>
  </r>
  <r>
    <n v="378"/>
    <s v="F1"/>
    <x v="11"/>
    <s v="L000007904"/>
    <s v="Protein Science Solutions"/>
    <m/>
    <s v="Rename"/>
    <x v="1"/>
    <x v="4"/>
    <s v="LS"/>
    <m/>
    <m/>
    <s v="Ruby Grace Garcia"/>
  </r>
  <r>
    <n v="379"/>
    <s v="F1"/>
    <x v="11"/>
    <s v="L000013113"/>
    <s v="Integration Planning &amp; Execution"/>
    <m/>
    <s v="Rename"/>
    <x v="1"/>
    <x v="4"/>
    <s v="LS"/>
    <m/>
    <m/>
    <s v="Ruby Grace Garcia"/>
  </r>
  <r>
    <n v="380"/>
    <s v="F1"/>
    <x v="11"/>
    <s v="L000013706"/>
    <s v="Strategic Marketing"/>
    <m/>
    <s v="Rename"/>
    <x v="1"/>
    <x v="4"/>
    <s v="LS"/>
    <m/>
    <m/>
    <s v="Ruby Grace Garcia"/>
  </r>
  <r>
    <n v="381"/>
    <s v="F1"/>
    <x v="11"/>
    <s v="L000008293"/>
    <s v="APeC -G"/>
    <m/>
    <s v="Rename"/>
    <x v="1"/>
    <x v="4"/>
    <s v="LS"/>
    <m/>
    <m/>
    <s v="Ruby Grace Garcia"/>
  </r>
  <r>
    <n v="382"/>
    <s v="F1"/>
    <x v="11"/>
    <s v="L000005091"/>
    <s v="DiS APeC - Attrition-G"/>
    <m/>
    <s v="Rename"/>
    <x v="1"/>
    <x v="4"/>
    <s v="LS"/>
    <m/>
    <m/>
    <s v="Ruby Grace Garcia"/>
  </r>
  <r>
    <n v="383"/>
    <s v="F1"/>
    <x v="11"/>
    <s v="L000005114"/>
    <s v="Head of DiS APeC-G"/>
    <m/>
    <s v="Rename"/>
    <x v="1"/>
    <x v="4"/>
    <s v="LS"/>
    <m/>
    <m/>
    <s v="Ruby Grace Garcia"/>
  </r>
  <r>
    <n v="384"/>
    <s v="F1"/>
    <x v="11"/>
    <s v="L000008294"/>
    <s v="DiS APeC - Other"/>
    <m/>
    <s v="Rename"/>
    <x v="1"/>
    <x v="4"/>
    <s v="LS"/>
    <m/>
    <m/>
    <s v="Ruby Grace Garcia"/>
  </r>
  <r>
    <n v="385"/>
    <s v="F1"/>
    <x v="11"/>
    <s v="L000008295"/>
    <s v="Australia &amp; New Zealand"/>
    <m/>
    <s v="Rename"/>
    <x v="1"/>
    <x v="4"/>
    <s v="LS"/>
    <m/>
    <m/>
    <s v="Ruby Grace Garcia"/>
  </r>
  <r>
    <n v="386"/>
    <s v="F1"/>
    <x v="11"/>
    <s v="L000008350"/>
    <s v="APeC Dealer Stratification &amp; Governance"/>
    <m/>
    <s v="Rename"/>
    <x v="1"/>
    <x v="4"/>
    <s v="LS"/>
    <m/>
    <m/>
    <s v="Ruby Grace Garcia"/>
  </r>
  <r>
    <n v="387"/>
    <s v="F1"/>
    <x v="11"/>
    <s v="L000008367"/>
    <s v="India"/>
    <m/>
    <s v="Rename"/>
    <x v="1"/>
    <x v="4"/>
    <s v="LS"/>
    <m/>
    <m/>
    <s v="Ruby Grace Garcia"/>
  </r>
  <r>
    <n v="388"/>
    <s v="F1"/>
    <x v="11"/>
    <s v="L000008393"/>
    <s v="Japan"/>
    <m/>
    <s v="Rename"/>
    <x v="1"/>
    <x v="4"/>
    <s v="LS"/>
    <m/>
    <m/>
    <s v="Ruby Grace Garcia"/>
  </r>
  <r>
    <n v="389"/>
    <s v="F1"/>
    <x v="11"/>
    <s v="L000008414"/>
    <s v="South Korea"/>
    <m/>
    <s v="Rename"/>
    <x v="1"/>
    <x v="4"/>
    <s v="LS"/>
    <m/>
    <m/>
    <s v="Ruby Grace Garcia"/>
  </r>
  <r>
    <n v="390"/>
    <s v="F1"/>
    <x v="11"/>
    <s v="L000008463"/>
    <s v="Southeast Asia"/>
    <m/>
    <s v="Rename"/>
    <x v="1"/>
    <x v="4"/>
    <s v="LS"/>
    <m/>
    <m/>
    <s v="Ruby Grace Garcia"/>
  </r>
  <r>
    <n v="391"/>
    <s v="F1"/>
    <x v="11"/>
    <s v="L000008442"/>
    <s v="Singapore Commercial -G"/>
    <m/>
    <s v="Rename"/>
    <x v="1"/>
    <x v="4"/>
    <s v="LS"/>
    <m/>
    <m/>
    <s v="Ruby Grace Garcia"/>
  </r>
  <r>
    <n v="392"/>
    <s v="F1"/>
    <x v="11"/>
    <s v="L000008545"/>
    <s v="Taiwan"/>
    <m/>
    <s v="Rename"/>
    <x v="1"/>
    <x v="4"/>
    <s v="LS"/>
    <m/>
    <m/>
    <s v="Ruby Grace Garcia"/>
  </r>
  <r>
    <n v="393"/>
    <s v="F1"/>
    <x v="11"/>
    <s v="L000012001"/>
    <s v="DiS APeC- Savings"/>
    <m/>
    <s v="Rename"/>
    <x v="1"/>
    <x v="4"/>
    <s v="LS"/>
    <m/>
    <m/>
    <s v="Ruby Grace Garcia"/>
  </r>
  <r>
    <n v="394"/>
    <s v="F1"/>
    <x v="11"/>
    <s v="L000013111"/>
    <s v="DiS APeC - Initiatives"/>
    <m/>
    <s v="Rename"/>
    <x v="1"/>
    <x v="4"/>
    <s v="LS"/>
    <m/>
    <m/>
    <s v="Ruby Grace Garcia"/>
  </r>
  <r>
    <n v="395"/>
    <s v="F1"/>
    <x v="11"/>
    <s v="L000005300"/>
    <s v="DiS Chief of Staff"/>
    <m/>
    <s v="Rename"/>
    <x v="1"/>
    <x v="4"/>
    <s v="LS"/>
    <m/>
    <m/>
    <s v="Ruby Grace Garcia"/>
  </r>
  <r>
    <n v="396"/>
    <s v="F1"/>
    <x v="11"/>
    <s v="L000005326"/>
    <s v="Strategy &amp; Transformation"/>
    <m/>
    <s v="Rename"/>
    <x v="1"/>
    <x v="4"/>
    <s v="LS"/>
    <m/>
    <m/>
    <s v="Ruby Grace Garcia"/>
  </r>
  <r>
    <n v="397"/>
    <s v="F1"/>
    <x v="11"/>
    <s v="L000005327"/>
    <s v="Strategy Development &amp; Market Insights"/>
    <m/>
    <s v="Rename"/>
    <x v="1"/>
    <x v="4"/>
    <s v="LS"/>
    <m/>
    <m/>
    <s v="Ruby Grace Garcia"/>
  </r>
  <r>
    <n v="398"/>
    <s v="F1"/>
    <x v="11"/>
    <s v="L000005433"/>
    <s v="InnovationPMO"/>
    <m/>
    <s v="Rename"/>
    <x v="1"/>
    <x v="4"/>
    <s v="LS"/>
    <m/>
    <m/>
    <s v="Ruby Grace Garcia"/>
  </r>
  <r>
    <n v="399"/>
    <s v="F1"/>
    <x v="11"/>
    <s v="L000005434"/>
    <s v="Innovation PMO Biology"/>
    <m/>
    <s v="Rename"/>
    <x v="1"/>
    <x v="4"/>
    <s v="LS"/>
    <m/>
    <m/>
    <s v="Ruby Grace Garcia"/>
  </r>
  <r>
    <n v="400"/>
    <s v="F1"/>
    <x v="11"/>
    <s v="L000009198"/>
    <s v="Innovation PMO Chemistry"/>
    <m/>
    <s v="Rename"/>
    <x v="1"/>
    <x v="4"/>
    <s v="LS"/>
    <m/>
    <m/>
    <s v="Ruby Grace Garcia"/>
  </r>
  <r>
    <n v="401"/>
    <s v="F1"/>
    <x v="11"/>
    <s v="L000005299"/>
    <s v="Discovery Solutions Mgmt"/>
    <m/>
    <s v="Rename"/>
    <x v="1"/>
    <x v="4"/>
    <s v="LS"/>
    <m/>
    <m/>
    <s v="Ruby Grace Garcia"/>
  </r>
  <r>
    <n v="402"/>
    <s v="F1"/>
    <x v="11"/>
    <s v="L000005302"/>
    <s v="DiS Go Global Program -G"/>
    <m/>
    <s v="Rename"/>
    <x v="1"/>
    <x v="4"/>
    <s v="LS"/>
    <m/>
    <m/>
    <s v="Ruby Grace Garcia"/>
  </r>
  <r>
    <n v="403"/>
    <s v="F1"/>
    <x v="11"/>
    <s v="L000005305"/>
    <s v="DiS Management -G"/>
    <m/>
    <s v="Rename"/>
    <x v="1"/>
    <x v="4"/>
    <s v="LS"/>
    <m/>
    <m/>
    <s v="Ruby Grace Garcia"/>
  </r>
  <r>
    <n v="404"/>
    <s v="F1"/>
    <x v="11"/>
    <s v="L000005307"/>
    <s v="DiS Miscellaneous -G"/>
    <m/>
    <s v="Rename"/>
    <x v="1"/>
    <x v="4"/>
    <s v="LS"/>
    <m/>
    <m/>
    <s v="Ruby Grace Garcia"/>
  </r>
  <r>
    <n v="405"/>
    <s v="F1"/>
    <x v="11"/>
    <s v="L000013188"/>
    <s v="DiS Sales &amp; COGs -G"/>
    <m/>
    <s v="Rename"/>
    <x v="1"/>
    <x v="4"/>
    <s v="LS"/>
    <m/>
    <m/>
    <s v="Ruby Grace Garcia"/>
  </r>
  <r>
    <n v="406"/>
    <s v="F1"/>
    <x v="11"/>
    <s v="L000005321"/>
    <s v="DiS Special Projects -G"/>
    <m/>
    <s v="Rename"/>
    <x v="1"/>
    <x v="4"/>
    <s v="LS"/>
    <m/>
    <m/>
    <s v="Ruby Grace Garcia"/>
  </r>
  <r>
    <n v="407"/>
    <s v="F1"/>
    <x v="11"/>
    <s v="L000007925"/>
    <s v="Americas"/>
    <m/>
    <s v="Rename"/>
    <x v="1"/>
    <x v="4"/>
    <s v="LS"/>
    <m/>
    <m/>
    <s v="Ruby Grace Garcia"/>
  </r>
  <r>
    <n v="408"/>
    <s v="F1"/>
    <x v="11"/>
    <s v="L000007714"/>
    <s v="Dealer NA"/>
    <m/>
    <s v="Rename"/>
    <x v="1"/>
    <x v="4"/>
    <s v="LS"/>
    <m/>
    <m/>
    <s v="Ruby Grace Garcia"/>
  </r>
  <r>
    <n v="409"/>
    <s v="F1"/>
    <x v="11"/>
    <s v="L000007998"/>
    <s v="LATAM excl BraMex"/>
    <m/>
    <s v="Rename"/>
    <x v="1"/>
    <x v="4"/>
    <s v="LS"/>
    <m/>
    <m/>
    <s v="Ruby Grace Garcia"/>
  </r>
  <r>
    <n v="410"/>
    <s v="F1"/>
    <x v="11"/>
    <s v="L000008563"/>
    <s v="EMEA"/>
    <m/>
    <s v="Rename"/>
    <x v="1"/>
    <x v="4"/>
    <s v="LS"/>
    <m/>
    <m/>
    <s v="Ruby Grace Garcia"/>
  </r>
  <r>
    <n v="411"/>
    <s v="F1"/>
    <x v="11"/>
    <s v="L000008564"/>
    <s v="Tech Service"/>
    <m/>
    <s v="Rename"/>
    <x v="1"/>
    <x v="4"/>
    <s v="LS"/>
    <m/>
    <m/>
    <s v="Ruby Grace Garcia"/>
  </r>
  <r>
    <n v="412"/>
    <s v="F1"/>
    <x v="11"/>
    <s v="L000013514"/>
    <s v="Strategy Development &amp; Market Insights"/>
    <m/>
    <s v="Rename"/>
    <x v="1"/>
    <x v="4"/>
    <s v="LS"/>
    <m/>
    <m/>
    <s v="Ruby Grace Garcia"/>
  </r>
  <r>
    <n v="413"/>
    <s v="F1"/>
    <x v="11"/>
    <s v="L000013520"/>
    <s v="GSA Operations"/>
    <m/>
    <s v="Rename"/>
    <x v="1"/>
    <x v="4"/>
    <s v="LS"/>
    <m/>
    <m/>
    <s v="Ruby Grace Garcia"/>
  </r>
  <r>
    <n v="414"/>
    <s v="F1"/>
    <x v="11"/>
    <s v="L000011719"/>
    <s v="Customer Service"/>
    <m/>
    <s v="Rename"/>
    <x v="1"/>
    <x v="4"/>
    <s v="LS"/>
    <m/>
    <m/>
    <s v="Ruby Grace Garcia"/>
  </r>
  <r>
    <n v="415"/>
    <s v="F1"/>
    <x v="11"/>
    <s v="L000006602"/>
    <s v="PS Product Development"/>
    <m/>
    <s v="Rename"/>
    <x v="1"/>
    <x v="4"/>
    <s v="LS"/>
    <m/>
    <m/>
    <s v="Ruby Grace Garcia"/>
  </r>
  <r>
    <n v="416"/>
    <s v="F1"/>
    <x v="11"/>
    <s v="L000013198"/>
    <s v="LW - Marketing Ops - R&amp;D"/>
    <m/>
    <s v="Rename"/>
    <x v="1"/>
    <x v="4"/>
    <s v="LS"/>
    <m/>
    <m/>
    <s v="Ruby Grace Garcia"/>
  </r>
  <r>
    <n v="417"/>
    <s v="F1"/>
    <x v="11"/>
    <s v="L000013782"/>
    <s v="LW - Marketing Ops - SG&amp;A"/>
    <m/>
    <s v="Rename"/>
    <x v="1"/>
    <x v="4"/>
    <s v="LS"/>
    <m/>
    <m/>
    <s v="Ruby Grace Garcia"/>
  </r>
  <r>
    <n v="418"/>
    <s v="F1"/>
    <x v="11"/>
    <s v="L000012434"/>
    <s v="Integrated Communications"/>
    <s v="L000013734"/>
    <s v="Rename/Move"/>
    <x v="1"/>
    <x v="4"/>
    <s v="LS"/>
    <m/>
    <m/>
    <s v="Ruby Grace Garcia"/>
  </r>
  <r>
    <n v="419"/>
    <s v="F1"/>
    <x v="11"/>
    <s v="L000013880"/>
    <s v="Process Solutions Commercial China"/>
    <s v="L000013239"/>
    <s v="Rename/Move"/>
    <x v="1"/>
    <x v="4"/>
    <s v="LS"/>
    <s v="L000013239"/>
    <m/>
    <s v="Ruby Grace Garcia"/>
  </r>
  <r>
    <n v="420"/>
    <s v="F1"/>
    <x v="11"/>
    <s v="L000008319"/>
    <s v="Discovery Solutions Commercial China"/>
    <s v="L000013239"/>
    <s v="Rename/Move"/>
    <x v="1"/>
    <x v="4"/>
    <s v="LS"/>
    <s v="L000013239"/>
    <m/>
    <s v="Ruby Grace Garcia"/>
  </r>
  <r>
    <n v="421"/>
    <s v="F1"/>
    <x v="11"/>
    <s v="L000008324"/>
    <s v="Customer Service DS / AS China"/>
    <s v="L000013249"/>
    <s v="Rename/Move"/>
    <x v="1"/>
    <x v="4"/>
    <s v="LS"/>
    <s v="L000013249"/>
    <m/>
    <s v="Ruby Grace Garcia"/>
  </r>
  <r>
    <n v="422"/>
    <s v="F1"/>
    <x v="11"/>
    <s v="L000013610"/>
    <s v="DxRM - Custom and Immunoassay Solutions"/>
    <s v="L000005842"/>
    <s v="Rename/Move"/>
    <x v="1"/>
    <x v="4"/>
    <s v="LS"/>
    <m/>
    <m/>
    <s v="Ruby Grace Garcia"/>
  </r>
  <r>
    <n v="423"/>
    <s v="F1"/>
    <x v="11"/>
    <s v="L000013167"/>
    <s v="GSA"/>
    <s v="L000005842"/>
    <s v="Rename/Move"/>
    <x v="1"/>
    <x v="4"/>
    <s v="LS"/>
    <m/>
    <m/>
    <s v="Ruby Grace Garcia"/>
  </r>
  <r>
    <n v="424"/>
    <s v="F1"/>
    <x v="11"/>
    <s v="L000013779"/>
    <s v="Digital &amp; Strategy Realization"/>
    <s v="L000012321"/>
    <s v="Rename/Move"/>
    <x v="1"/>
    <x v="4"/>
    <s v="LS"/>
    <m/>
    <m/>
    <s v="Ruby Grace Garcia"/>
  </r>
  <r>
    <n v="425"/>
    <s v="F1"/>
    <x v="11"/>
    <s v="L000005441"/>
    <s v="Innovation PMO"/>
    <s v="L000012321"/>
    <s v="Rename/Move"/>
    <x v="1"/>
    <x v="4"/>
    <s v="LS"/>
    <m/>
    <m/>
    <s v="Ruby Grace Garcia"/>
  </r>
  <r>
    <n v="426"/>
    <s v="F1"/>
    <x v="11"/>
    <s v="L000007859"/>
    <s v="Product management Ops (Biology) -G"/>
    <s v="L000013606"/>
    <s v="Rename/Move"/>
    <x v="1"/>
    <x v="4"/>
    <s v="LS"/>
    <m/>
    <m/>
    <s v="Ruby Grace Garcia"/>
  </r>
  <r>
    <n v="427"/>
    <s v="F1"/>
    <x v="11"/>
    <s v="L000005425"/>
    <s v="Tradeshows &amp; Events"/>
    <s v="L000013734"/>
    <s v="Rename/Move"/>
    <x v="1"/>
    <x v="4"/>
    <s v="LS"/>
    <m/>
    <m/>
    <s v="Ruby Grace Garcia"/>
  </r>
  <r>
    <n v="428"/>
    <s v="F1"/>
    <x v="11"/>
    <s v="L000005366"/>
    <s v="to be deleted SLS Marcom -G"/>
    <s v="L000005326"/>
    <s v="Rename/Move"/>
    <x v="1"/>
    <x v="4"/>
    <s v="LS"/>
    <m/>
    <m/>
    <s v="Ruby Grace Garcia"/>
  </r>
  <r>
    <n v="429"/>
    <s v="F1"/>
    <x v="11"/>
    <s v="L000005430"/>
    <s v="Integrated Business Management"/>
    <s v="L000005326"/>
    <s v="Rename/Move"/>
    <x v="1"/>
    <x v="4"/>
    <s v="LS"/>
    <m/>
    <m/>
    <s v="Ruby Grace Garcia"/>
  </r>
  <r>
    <n v="430"/>
    <s v="F1"/>
    <x v="11"/>
    <s v="L000005447"/>
    <s v="Pricing"/>
    <s v="L000013294"/>
    <s v="Rename/Move"/>
    <x v="1"/>
    <x v="4"/>
    <s v="LS"/>
    <s v="L000013294"/>
    <m/>
    <s v="Ruby Grace Garcia"/>
  </r>
  <r>
    <n v="431"/>
    <s v="F1"/>
    <x v="11"/>
    <s v="L000007741"/>
    <s v="Distributor"/>
    <s v="L000013311"/>
    <s v="Rename/Move"/>
    <x v="1"/>
    <x v="4"/>
    <s v="LS"/>
    <s v="L000013311"/>
    <m/>
    <s v="Ruby Grace Garcia"/>
  </r>
  <r>
    <n v="432"/>
    <s v="F1"/>
    <x v="11"/>
    <s v="L000012364"/>
    <s v="Commercial Excellence"/>
    <s v="L000013289"/>
    <s v="Rename/Move"/>
    <x v="1"/>
    <x v="4"/>
    <s v="LS"/>
    <m/>
    <m/>
    <s v="Ruby Grace Garcia"/>
  </r>
  <r>
    <n v="433"/>
    <s v="F1"/>
    <x v="11"/>
    <s v="L000013166"/>
    <s v="GSA Cluster 6"/>
    <s v="L000011690"/>
    <s v="Rename/Move"/>
    <x v="1"/>
    <x v="4"/>
    <s v="LS"/>
    <m/>
    <m/>
    <s v="Ruby Grace Garcia"/>
  </r>
  <r>
    <n v="434"/>
    <s v="F1"/>
    <x v="11"/>
    <s v="L000011589"/>
    <s v="CS Americas"/>
    <s v="L000011719"/>
    <s v="Rename/Move"/>
    <x v="1"/>
    <x v="4"/>
    <s v="LS"/>
    <m/>
    <m/>
    <s v="Ruby Grace Garcia"/>
  </r>
  <r>
    <n v="435"/>
    <s v="F1"/>
    <x v="11"/>
    <s v="L000011656"/>
    <s v="CS EMEA"/>
    <s v="L000011719"/>
    <s v="Rename/Move"/>
    <x v="1"/>
    <x v="4"/>
    <s v="LS"/>
    <m/>
    <m/>
    <s v="Ruby Grace Garcia"/>
  </r>
  <r>
    <n v="436"/>
    <s v="F1"/>
    <x v="11"/>
    <s v="L000011687"/>
    <s v="CS APAC"/>
    <s v="L000011719"/>
    <s v="Rename/Move"/>
    <x v="1"/>
    <x v="4"/>
    <s v="LS"/>
    <m/>
    <m/>
    <s v="Ruby Grace Garcia"/>
  </r>
  <r>
    <n v="437"/>
    <s v="F1"/>
    <x v="11"/>
    <s v="L000013526"/>
    <s v="CS GSA&amp;Export"/>
    <s v="L000011719"/>
    <s v="Rename/Move"/>
    <x v="1"/>
    <x v="4"/>
    <s v="LS"/>
    <m/>
    <m/>
    <s v="Ruby Grace Garcia"/>
  </r>
  <r>
    <n v="438"/>
    <s v="F1"/>
    <x v="11"/>
    <s v="L000013607"/>
    <s v="DxRM - APeC Business Operations"/>
    <s v="L000013274"/>
    <s v="Rename/Move"/>
    <x v="1"/>
    <x v="4"/>
    <s v="LS"/>
    <s v="L000013274"/>
    <m/>
    <s v="Ruby Grace Garcia"/>
  </r>
  <r>
    <n v="439"/>
    <s v="F1"/>
    <x v="11"/>
    <s v="L000009723"/>
    <m/>
    <s v="L000013447"/>
    <s v="Move"/>
    <x v="1"/>
    <x v="5"/>
    <s v="LS"/>
    <m/>
    <m/>
    <s v="Ruby Grace Garcia"/>
  </r>
  <r>
    <n v="440"/>
    <s v="F1"/>
    <x v="11"/>
    <s v="L000013816"/>
    <m/>
    <s v="L000013447"/>
    <s v="Move"/>
    <x v="1"/>
    <x v="5"/>
    <s v="LS"/>
    <m/>
    <m/>
    <s v="Ruby Grace Garcia"/>
  </r>
  <r>
    <n v="441"/>
    <s v="F1"/>
    <x v="11"/>
    <s v="L000011348"/>
    <m/>
    <s v="L000011353"/>
    <s v="Move"/>
    <x v="1"/>
    <x v="5"/>
    <s v="LS"/>
    <s v="L000011353"/>
    <m/>
    <s v="Ruby Grace Garcia"/>
  </r>
  <r>
    <n v="442"/>
    <s v="F1"/>
    <x v="11"/>
    <s v="L000012995"/>
    <m/>
    <s v="L000013275"/>
    <s v="Move"/>
    <x v="1"/>
    <x v="5"/>
    <s v="LS"/>
    <m/>
    <m/>
    <s v="Ruby Grace Garcia"/>
  </r>
  <r>
    <n v="443"/>
    <s v="F1"/>
    <x v="11"/>
    <s v="L000013118"/>
    <m/>
    <s v="L000009794"/>
    <s v="Move"/>
    <x v="1"/>
    <x v="5"/>
    <s v="LS"/>
    <m/>
    <m/>
    <s v="Ruby Grace Garcia"/>
  </r>
  <r>
    <n v="444"/>
    <s v="F1"/>
    <x v="11"/>
    <s v="L000013905"/>
    <m/>
    <s v="L000013221"/>
    <s v="Move"/>
    <x v="1"/>
    <x v="5"/>
    <s v="LS"/>
    <s v="L000013221"/>
    <m/>
    <s v="Ruby Grace Garcia"/>
  </r>
  <r>
    <n v="445"/>
    <s v="F1"/>
    <x v="11"/>
    <s v="L000013324"/>
    <m/>
    <s v="L000013886"/>
    <s v="Move"/>
    <x v="1"/>
    <x v="5"/>
    <s v="LS"/>
    <m/>
    <m/>
    <s v="Ruby Grace Garcia"/>
  </r>
  <r>
    <n v="446"/>
    <s v="F1"/>
    <x v="11"/>
    <s v="L000011112"/>
    <m/>
    <s v="L000013734"/>
    <s v="Move"/>
    <x v="1"/>
    <x v="5"/>
    <s v="LS"/>
    <m/>
    <m/>
    <s v="Ruby Grace Garcia"/>
  </r>
  <r>
    <n v="447"/>
    <s v="F1"/>
    <x v="11"/>
    <s v="L000011124"/>
    <m/>
    <s v="L000013734"/>
    <s v="Move"/>
    <x v="1"/>
    <x v="5"/>
    <s v="LS"/>
    <m/>
    <m/>
    <s v="Ruby Grace Garcia"/>
  </r>
  <r>
    <n v="448"/>
    <s v="F1"/>
    <x v="11"/>
    <s v="L000013903"/>
    <m/>
    <s v="L000000000"/>
    <s v="Move"/>
    <x v="1"/>
    <x v="5"/>
    <s v="LS"/>
    <m/>
    <m/>
    <s v="Ruby Grace Garcia"/>
  </r>
  <r>
    <n v="449"/>
    <s v="F1"/>
    <x v="11"/>
    <s v="L000011665"/>
    <m/>
    <s v="L000013241"/>
    <s v="Move"/>
    <x v="1"/>
    <x v="5"/>
    <s v="LS"/>
    <s v="L000013241"/>
    <m/>
    <s v="Ruby Grace Garcia"/>
  </r>
  <r>
    <n v="450"/>
    <s v="F1"/>
    <x v="11"/>
    <s v="L000006752"/>
    <m/>
    <s v="L000013240"/>
    <s v="Move"/>
    <x v="1"/>
    <x v="5"/>
    <s v="LS"/>
    <s v="L000013240"/>
    <m/>
    <s v="Ruby Grace Garcia"/>
  </r>
  <r>
    <n v="451"/>
    <s v="F1"/>
    <x v="11"/>
    <s v="L000013564"/>
    <m/>
    <s v="L000013241"/>
    <s v="Move"/>
    <x v="1"/>
    <x v="5"/>
    <s v="LS"/>
    <s v="L000013241"/>
    <m/>
    <s v="Ruby Grace Garcia"/>
  </r>
  <r>
    <n v="452"/>
    <s v="F1"/>
    <x v="11"/>
    <s v="L000006774"/>
    <m/>
    <s v="L000013244"/>
    <s v="Move"/>
    <x v="1"/>
    <x v="5"/>
    <s v="LS"/>
    <s v="L000013244"/>
    <m/>
    <s v="Ruby Grace Garcia"/>
  </r>
  <r>
    <n v="453"/>
    <s v="F1"/>
    <x v="11"/>
    <s v="L000008320"/>
    <m/>
    <s v="L000013248"/>
    <s v="Move"/>
    <x v="1"/>
    <x v="5"/>
    <s v="LS"/>
    <s v="L000013248"/>
    <m/>
    <s v="Ruby Grace Garcia"/>
  </r>
  <r>
    <n v="454"/>
    <s v="F1"/>
    <x v="11"/>
    <s v="L000008325"/>
    <m/>
    <s v="L000013253"/>
    <s v="Move"/>
    <x v="1"/>
    <x v="5"/>
    <s v="LS"/>
    <s v="L000013253"/>
    <m/>
    <s v="Ruby Grace Garcia"/>
  </r>
  <r>
    <n v="455"/>
    <s v="F1"/>
    <x v="11"/>
    <s v="L000008326"/>
    <m/>
    <s v="L000013253"/>
    <s v="Move"/>
    <x v="1"/>
    <x v="5"/>
    <s v="LS"/>
    <s v="L000013253"/>
    <m/>
    <s v="Ruby Grace Garcia"/>
  </r>
  <r>
    <n v="456"/>
    <s v="F1"/>
    <x v="11"/>
    <s v="L000008331"/>
    <m/>
    <s v="L000013250"/>
    <s v="Move"/>
    <x v="1"/>
    <x v="5"/>
    <s v="LS"/>
    <s v="L000013250"/>
    <m/>
    <s v="Ruby Grace Garcia"/>
  </r>
  <r>
    <n v="457"/>
    <s v="F1"/>
    <x v="11"/>
    <s v="L000008332"/>
    <m/>
    <s v="L000013250"/>
    <s v="Move"/>
    <x v="1"/>
    <x v="5"/>
    <s v="LS"/>
    <s v="L000013250"/>
    <m/>
    <s v="Ruby Grace Garcia"/>
  </r>
  <r>
    <n v="458"/>
    <s v="F1"/>
    <x v="11"/>
    <s v="L000008333"/>
    <m/>
    <s v="L000013250"/>
    <s v="Move"/>
    <x v="1"/>
    <x v="5"/>
    <s v="LS"/>
    <s v="L000013250"/>
    <m/>
    <s v="Ruby Grace Garcia"/>
  </r>
  <r>
    <n v="459"/>
    <s v="F1"/>
    <x v="11"/>
    <s v="L000008334"/>
    <m/>
    <s v="L000013250"/>
    <s v="Move"/>
    <x v="1"/>
    <x v="5"/>
    <s v="LS"/>
    <s v="L000013250"/>
    <m/>
    <s v="Ruby Grace Garcia"/>
  </r>
  <r>
    <n v="460"/>
    <s v="F1"/>
    <x v="11"/>
    <s v="L000008335"/>
    <m/>
    <s v="L000013250"/>
    <s v="Move"/>
    <x v="1"/>
    <x v="5"/>
    <s v="LS"/>
    <s v="L000013250"/>
    <m/>
    <s v="Ruby Grace Garcia"/>
  </r>
  <r>
    <n v="461"/>
    <s v="F1"/>
    <x v="11"/>
    <s v="L000008342"/>
    <m/>
    <s v="L000013250"/>
    <s v="Move"/>
    <x v="1"/>
    <x v="5"/>
    <s v="LS"/>
    <s v="L000013250"/>
    <m/>
    <s v="Ruby Grace Garcia"/>
  </r>
  <r>
    <n v="462"/>
    <s v="F1"/>
    <x v="11"/>
    <s v="L000008343"/>
    <m/>
    <s v="L000013250"/>
    <s v="Move"/>
    <x v="1"/>
    <x v="5"/>
    <s v="LS"/>
    <s v="L000013250"/>
    <m/>
    <s v="Ruby Grace Garcia"/>
  </r>
  <r>
    <n v="463"/>
    <s v="F1"/>
    <x v="11"/>
    <s v="L000008349"/>
    <m/>
    <s v="L000013250"/>
    <s v="Move"/>
    <x v="1"/>
    <x v="5"/>
    <s v="LS"/>
    <s v="L000013250"/>
    <m/>
    <s v="Ruby Grace Garcia"/>
  </r>
  <r>
    <n v="464"/>
    <s v="F1"/>
    <x v="11"/>
    <s v="L000005625"/>
    <m/>
    <s v="L000013258"/>
    <s v="Move"/>
    <x v="1"/>
    <x v="5"/>
    <s v="LS"/>
    <s v="L000013258"/>
    <m/>
    <s v="Ruby Grace Garcia"/>
  </r>
  <r>
    <n v="465"/>
    <s v="F1"/>
    <x v="11"/>
    <s v="L000011487"/>
    <m/>
    <s v="L000013262"/>
    <s v="Move"/>
    <x v="1"/>
    <x v="5"/>
    <s v="LS"/>
    <s v="L000013262"/>
    <m/>
    <s v="Ruby Grace Garcia"/>
  </r>
  <r>
    <n v="466"/>
    <s v="F1"/>
    <x v="11"/>
    <s v="L000013412"/>
    <m/>
    <s v="L000007121"/>
    <s v="Move"/>
    <x v="1"/>
    <x v="5"/>
    <s v="LS"/>
    <m/>
    <m/>
    <s v="Ruby Grace Garcia"/>
  </r>
  <r>
    <n v="467"/>
    <s v="F1"/>
    <x v="11"/>
    <s v="L000007239"/>
    <m/>
    <s v="L000013263"/>
    <s v="Move"/>
    <x v="1"/>
    <x v="5"/>
    <s v="LS"/>
    <s v="L000013263"/>
    <m/>
    <s v="Ruby Grace Garcia"/>
  </r>
  <r>
    <n v="468"/>
    <s v="F1"/>
    <x v="11"/>
    <s v="L000013414"/>
    <m/>
    <s v="L000013263"/>
    <s v="Move"/>
    <x v="1"/>
    <x v="5"/>
    <s v="LS"/>
    <s v="L000013263"/>
    <m/>
    <s v="Ruby Grace Garcia"/>
  </r>
  <r>
    <n v="469"/>
    <s v="F1"/>
    <x v="11"/>
    <s v="L000005843"/>
    <m/>
    <s v="L000013264"/>
    <s v="Move"/>
    <x v="1"/>
    <x v="5"/>
    <s v="LS"/>
    <s v="L000013264"/>
    <m/>
    <s v="Ruby Grace Garcia"/>
  </r>
  <r>
    <n v="470"/>
    <s v="F1"/>
    <x v="11"/>
    <s v="L000005926"/>
    <m/>
    <s v="L000013264"/>
    <s v="Move"/>
    <x v="1"/>
    <x v="5"/>
    <s v="LS"/>
    <s v="L000013264"/>
    <m/>
    <s v="Ruby Grace Garcia"/>
  </r>
  <r>
    <n v="471"/>
    <s v="F1"/>
    <x v="11"/>
    <s v="L000013125"/>
    <m/>
    <s v="L000013265"/>
    <s v="Move"/>
    <x v="1"/>
    <x v="5"/>
    <s v="LS"/>
    <s v="L000013265"/>
    <m/>
    <s v="Ruby Grace Garcia"/>
  </r>
  <r>
    <n v="472"/>
    <s v="F1"/>
    <x v="11"/>
    <s v="L000013609"/>
    <m/>
    <s v="L000013265"/>
    <s v="Move"/>
    <x v="1"/>
    <x v="5"/>
    <s v="LS"/>
    <s v="L000013265"/>
    <m/>
    <s v="Ruby Grace Garcia"/>
  </r>
  <r>
    <n v="473"/>
    <s v="F1"/>
    <x v="11"/>
    <s v="L000011549"/>
    <m/>
    <s v="L000013278"/>
    <s v="Move"/>
    <x v="1"/>
    <x v="5"/>
    <s v="LS"/>
    <s v="L000013278"/>
    <m/>
    <s v="Ruby Grace Garcia"/>
  </r>
  <r>
    <n v="474"/>
    <s v="F1"/>
    <x v="11"/>
    <s v="L000013354"/>
    <m/>
    <s v="L000013278"/>
    <s v="Move"/>
    <x v="1"/>
    <x v="5"/>
    <s v="LS"/>
    <s v="L000013278"/>
    <m/>
    <s v="Ruby Grace Garcia"/>
  </r>
  <r>
    <n v="475"/>
    <s v="F1"/>
    <x v="11"/>
    <s v="L000013356"/>
    <m/>
    <s v="L000013278"/>
    <s v="Move"/>
    <x v="1"/>
    <x v="5"/>
    <s v="LS"/>
    <s v="L000013278"/>
    <m/>
    <s v="Ruby Grace Garcia"/>
  </r>
  <r>
    <n v="476"/>
    <s v="F1"/>
    <x v="11"/>
    <s v="L000013815"/>
    <m/>
    <s v="L000013283"/>
    <s v="Move"/>
    <x v="1"/>
    <x v="5"/>
    <s v="LS"/>
    <s v="L000013283"/>
    <m/>
    <s v="Ruby Grace Garcia"/>
  </r>
  <r>
    <n v="477"/>
    <s v="F1"/>
    <x v="11"/>
    <s v="L000007835"/>
    <m/>
    <s v="L000013282"/>
    <s v="Move"/>
    <x v="1"/>
    <x v="5"/>
    <s v="LS"/>
    <s v="L000013282"/>
    <m/>
    <s v="Ruby Grace Garcia"/>
  </r>
  <r>
    <n v="478"/>
    <s v="F1"/>
    <x v="11"/>
    <s v="L000012360"/>
    <m/>
    <s v="L000013282"/>
    <s v="Move"/>
    <x v="1"/>
    <x v="5"/>
    <s v="LS"/>
    <s v="L000013282"/>
    <m/>
    <s v="Ruby Grace Garcia"/>
  </r>
  <r>
    <n v="479"/>
    <s v="F1"/>
    <x v="11"/>
    <s v="L000008991"/>
    <m/>
    <s v="L000013283"/>
    <s v="Move"/>
    <x v="1"/>
    <x v="5"/>
    <s v="LS"/>
    <s v="L000013283"/>
    <m/>
    <s v="Ruby Grace Garcia"/>
  </r>
  <r>
    <n v="480"/>
    <s v="F1"/>
    <x v="11"/>
    <s v="L000008992"/>
    <m/>
    <s v="L000013283"/>
    <s v="Move"/>
    <x v="1"/>
    <x v="5"/>
    <s v="LS"/>
    <s v="L000013283"/>
    <m/>
    <s v="Ruby Grace Garcia"/>
  </r>
  <r>
    <n v="481"/>
    <s v="F1"/>
    <x v="11"/>
    <s v="L000011888"/>
    <m/>
    <s v="L000013283"/>
    <s v="Move"/>
    <x v="1"/>
    <x v="5"/>
    <s v="LS"/>
    <s v="L000013283"/>
    <m/>
    <s v="Ruby Grace Garcia"/>
  </r>
  <r>
    <n v="482"/>
    <s v="F1"/>
    <x v="11"/>
    <s v="L000007847"/>
    <m/>
    <s v="L000013285"/>
    <s v="Move"/>
    <x v="1"/>
    <x v="5"/>
    <s v="LS"/>
    <s v="L000013285"/>
    <m/>
    <s v="Ruby Grace Garcia"/>
  </r>
  <r>
    <n v="483"/>
    <s v="F1"/>
    <x v="11"/>
    <s v="L000007871"/>
    <m/>
    <s v="L000013285"/>
    <s v="Move"/>
    <x v="1"/>
    <x v="5"/>
    <s v="LS"/>
    <s v="L000013285"/>
    <m/>
    <s v="Ruby Grace Garcia"/>
  </r>
  <r>
    <n v="484"/>
    <s v="F1"/>
    <x v="11"/>
    <s v="L000007844"/>
    <m/>
    <s v="L000011911"/>
    <s v="Move"/>
    <x v="1"/>
    <x v="5"/>
    <s v="LS"/>
    <m/>
    <m/>
    <s v="Ruby Grace Garcia"/>
  </r>
  <r>
    <n v="485"/>
    <s v="F1"/>
    <x v="11"/>
    <s v="L000007733"/>
    <m/>
    <s v="L000013606"/>
    <s v="Move"/>
    <x v="1"/>
    <x v="5"/>
    <s v="LS"/>
    <m/>
    <m/>
    <s v="Ruby Grace Garcia"/>
  </r>
  <r>
    <n v="486"/>
    <s v="F1"/>
    <x v="11"/>
    <s v="L000013172"/>
    <m/>
    <s v="L000013295"/>
    <s v="Move"/>
    <x v="1"/>
    <x v="5"/>
    <s v="LS"/>
    <s v="L000013295"/>
    <m/>
    <s v="Ruby Grace Garcia"/>
  </r>
  <r>
    <n v="487"/>
    <s v="F1"/>
    <x v="11"/>
    <s v="L000008985"/>
    <m/>
    <s v="L000013295"/>
    <s v="Move"/>
    <x v="1"/>
    <x v="5"/>
    <s v="LS"/>
    <s v="L000013295"/>
    <m/>
    <s v="Ruby Grace Garcia"/>
  </r>
  <r>
    <n v="488"/>
    <s v="F1"/>
    <x v="11"/>
    <s v="L000008753"/>
    <m/>
    <s v="L000013303"/>
    <s v="Move"/>
    <x v="1"/>
    <x v="5"/>
    <s v="LS"/>
    <s v="L000013303"/>
    <m/>
    <s v="Ruby Grace Garcia"/>
  </r>
  <r>
    <n v="489"/>
    <s v="F1"/>
    <x v="11"/>
    <s v="L000011810"/>
    <m/>
    <s v="L000013303"/>
    <s v="Move"/>
    <x v="1"/>
    <x v="5"/>
    <s v="LS"/>
    <s v="L000013303"/>
    <m/>
    <s v="Ruby Grace Garcia"/>
  </r>
  <r>
    <n v="490"/>
    <s v="F1"/>
    <x v="11"/>
    <s v="L000007991"/>
    <m/>
    <s v="L000007925"/>
    <s v="Move"/>
    <x v="1"/>
    <x v="5"/>
    <s v="LS"/>
    <m/>
    <m/>
    <s v="Ruby Grace Garcia"/>
  </r>
  <r>
    <n v="491"/>
    <s v="F1"/>
    <x v="11"/>
    <s v="L000012411"/>
    <m/>
    <s v="L000007925"/>
    <s v="Move"/>
    <x v="1"/>
    <x v="5"/>
    <s v="LS"/>
    <m/>
    <m/>
    <s v="Ruby Grace Garcia"/>
  </r>
  <r>
    <n v="492"/>
    <s v="F1"/>
    <x v="11"/>
    <s v="L000008010"/>
    <m/>
    <s v="L000013304"/>
    <s v="Move"/>
    <x v="1"/>
    <x v="5"/>
    <s v="LS"/>
    <s v="L000013304"/>
    <m/>
    <s v="Ruby Grace Garcia"/>
  </r>
  <r>
    <n v="493"/>
    <s v="F1"/>
    <x v="11"/>
    <s v="L000008068"/>
    <m/>
    <s v="L000013304"/>
    <s v="Move"/>
    <x v="1"/>
    <x v="5"/>
    <s v="LS"/>
    <s v="L000013304"/>
    <m/>
    <s v="Ruby Grace Garcia"/>
  </r>
  <r>
    <n v="494"/>
    <s v="F1"/>
    <x v="11"/>
    <s v="L000013674"/>
    <m/>
    <s v="L000013308"/>
    <s v="Move"/>
    <x v="1"/>
    <x v="5"/>
    <s v="LS"/>
    <s v="L000013308"/>
    <m/>
    <s v="Ruby Grace Garcia"/>
  </r>
  <r>
    <n v="495"/>
    <s v="F1"/>
    <x v="11"/>
    <s v="L000013675"/>
    <m/>
    <s v="L000013308"/>
    <s v="Move"/>
    <x v="1"/>
    <x v="5"/>
    <s v="LS"/>
    <s v="L000013308"/>
    <m/>
    <s v="Ruby Grace Garcia"/>
  </r>
  <r>
    <n v="496"/>
    <s v="F1"/>
    <x v="11"/>
    <s v="L000013168"/>
    <m/>
    <s v="L000013309"/>
    <s v="Move"/>
    <x v="1"/>
    <x v="5"/>
    <s v="LS"/>
    <s v="L000013309"/>
    <m/>
    <s v="Ruby Grace Garcia"/>
  </r>
  <r>
    <n v="497"/>
    <s v="F1"/>
    <x v="11"/>
    <s v="L000008649"/>
    <m/>
    <s v="L000013321"/>
    <s v="Move"/>
    <x v="1"/>
    <x v="5"/>
    <s v="LS"/>
    <s v="L000013321"/>
    <m/>
    <s v="Ruby Grace Garcia"/>
  </r>
  <r>
    <n v="498"/>
    <s v="F1"/>
    <x v="11"/>
    <s v="L000008895"/>
    <m/>
    <s v="L000013321"/>
    <s v="Move"/>
    <x v="1"/>
    <x v="5"/>
    <s v="LS"/>
    <s v="L000013321"/>
    <m/>
    <s v="Ruby Grace Garcia"/>
  </r>
  <r>
    <n v="499"/>
    <s v="F1"/>
    <x v="11"/>
    <s v="L000013619"/>
    <m/>
    <s v="L000013321"/>
    <s v="Move"/>
    <x v="1"/>
    <x v="5"/>
    <s v="LS"/>
    <s v="L000013321"/>
    <m/>
    <s v="Ruby Grace Garcia"/>
  </r>
  <r>
    <n v="500"/>
    <s v="F1"/>
    <x v="11"/>
    <s v="L000013663"/>
    <m/>
    <s v="L000013321"/>
    <s v="Move"/>
    <x v="1"/>
    <x v="5"/>
    <s v="LS"/>
    <s v="L000013321"/>
    <m/>
    <s v="Ruby Grace Garcia"/>
  </r>
  <r>
    <n v="501"/>
    <s v="F1"/>
    <x v="11"/>
    <s v="L000007710"/>
    <m/>
    <s v="L000013329"/>
    <s v="Move"/>
    <x v="1"/>
    <x v="5"/>
    <s v="LS"/>
    <s v="L000013329"/>
    <m/>
    <s v="Ruby Grace Garcia"/>
  </r>
  <r>
    <n v="502"/>
    <s v="F1"/>
    <x v="11"/>
    <s v="L000007709"/>
    <m/>
    <s v="L000013680"/>
    <s v="Move"/>
    <x v="1"/>
    <x v="5"/>
    <s v="LS"/>
    <m/>
    <m/>
    <s v="Ruby Grace Garcia"/>
  </r>
  <r>
    <n v="503"/>
    <s v="F1"/>
    <x v="11"/>
    <s v="L000012359"/>
    <m/>
    <s v="L000013331"/>
    <s v="Move"/>
    <x v="1"/>
    <x v="5"/>
    <s v="LS"/>
    <s v="L000013331"/>
    <m/>
    <s v="Ruby Grace Garcia"/>
  </r>
  <r>
    <n v="504"/>
    <s v="F1"/>
    <x v="11"/>
    <s v="L000012361"/>
    <m/>
    <s v="L000013289"/>
    <s v="Move"/>
    <x v="1"/>
    <x v="5"/>
    <s v="LS"/>
    <m/>
    <m/>
    <s v="Ruby Grace Garcia"/>
  </r>
  <r>
    <n v="505"/>
    <s v="F1"/>
    <x v="11"/>
    <s v="L000013915"/>
    <m/>
    <s v="L000012361"/>
    <s v="Move"/>
    <x v="1"/>
    <x v="5"/>
    <s v="LS"/>
    <m/>
    <m/>
    <s v="Ruby Grace Garcia"/>
  </r>
  <r>
    <n v="506"/>
    <s v="F1"/>
    <x v="11"/>
    <s v="L000007292"/>
    <m/>
    <s v="L000013340"/>
    <s v="Move"/>
    <x v="1"/>
    <x v="5"/>
    <s v="LS"/>
    <s v="L000013340"/>
    <m/>
    <s v="Ruby Grace Garcia"/>
  </r>
  <r>
    <n v="507"/>
    <s v="F1"/>
    <x v="11"/>
    <s v="L000007462"/>
    <m/>
    <s v="L000013340"/>
    <s v="Move"/>
    <x v="1"/>
    <x v="5"/>
    <s v="LS"/>
    <s v="L000013340"/>
    <m/>
    <s v="Ruby Grace Garcia"/>
  </r>
  <r>
    <n v="508"/>
    <s v="F1"/>
    <x v="11"/>
    <s v="L000007463"/>
    <m/>
    <s v="L000013340"/>
    <s v="Move"/>
    <x v="1"/>
    <x v="5"/>
    <s v="LS"/>
    <s v="L000013340"/>
    <m/>
    <s v="Ruby Grace Garcia"/>
  </r>
  <r>
    <n v="509"/>
    <s v="F1"/>
    <x v="11"/>
    <s v="L000007466"/>
    <m/>
    <s v="L000013340"/>
    <s v="Move"/>
    <x v="1"/>
    <x v="5"/>
    <s v="LS"/>
    <s v="L000013340"/>
    <m/>
    <s v="Ruby Grace Garcia"/>
  </r>
  <r>
    <n v="510"/>
    <s v="F1"/>
    <x v="11"/>
    <s v="L000007470"/>
    <m/>
    <s v="L000013340"/>
    <s v="Move"/>
    <x v="1"/>
    <x v="5"/>
    <s v="LS"/>
    <s v="L000013340"/>
    <m/>
    <s v="Ruby Grace Garcia"/>
  </r>
  <r>
    <n v="511"/>
    <s v="F1"/>
    <x v="11"/>
    <s v="L000007471"/>
    <m/>
    <s v="L000013340"/>
    <s v="Move"/>
    <x v="1"/>
    <x v="5"/>
    <s v="LS"/>
    <s v="L000013340"/>
    <m/>
    <s v="Ruby Grace Garcia"/>
  </r>
  <r>
    <n v="512"/>
    <s v="F1"/>
    <x v="11"/>
    <s v="L000007475"/>
    <m/>
    <s v="L000013340"/>
    <s v="Move"/>
    <x v="1"/>
    <x v="5"/>
    <s v="LS"/>
    <s v="L000013340"/>
    <m/>
    <s v="Ruby Grace Garcia"/>
  </r>
  <r>
    <n v="513"/>
    <s v="F1"/>
    <x v="11"/>
    <s v="L000011696"/>
    <m/>
    <s v="L000013340"/>
    <s v="Move"/>
    <x v="1"/>
    <x v="5"/>
    <s v="LS"/>
    <s v="L000013340"/>
    <m/>
    <s v="Ruby Grace Garcia"/>
  </r>
  <r>
    <n v="514"/>
    <s v="F1"/>
    <x v="11"/>
    <s v="L000007961"/>
    <m/>
    <s v="L000011589"/>
    <s v="Move"/>
    <x v="1"/>
    <x v="5"/>
    <s v="LS"/>
    <m/>
    <m/>
    <s v="Ruby Grace Garcia"/>
  </r>
  <r>
    <n v="515"/>
    <s v="F1"/>
    <x v="11"/>
    <s v="L000011809"/>
    <m/>
    <s v="L000011589"/>
    <s v="Move"/>
    <x v="1"/>
    <x v="5"/>
    <s v="LS"/>
    <m/>
    <m/>
    <s v="Ruby Grace Garcia"/>
  </r>
  <r>
    <n v="516"/>
    <s v="F1"/>
    <x v="11"/>
    <s v="L000008693"/>
    <m/>
    <s v="L000011656"/>
    <s v="Move"/>
    <x v="1"/>
    <x v="5"/>
    <s v="LS"/>
    <m/>
    <m/>
    <s v="Ruby Grace Garcia"/>
  </r>
  <r>
    <n v="517"/>
    <s v="F1"/>
    <x v="11"/>
    <s v="L000008697"/>
    <m/>
    <s v="L000011656"/>
    <s v="Move"/>
    <x v="1"/>
    <x v="5"/>
    <s v="LS"/>
    <m/>
    <m/>
    <s v="Ruby Grace Garcia"/>
  </r>
  <r>
    <n v="518"/>
    <s v="F1"/>
    <x v="11"/>
    <s v="L000008739"/>
    <m/>
    <s v="L000011656"/>
    <s v="Move"/>
    <x v="1"/>
    <x v="5"/>
    <s v="LS"/>
    <m/>
    <m/>
    <s v="Ruby Grace Garcia"/>
  </r>
  <r>
    <n v="519"/>
    <s v="F1"/>
    <x v="11"/>
    <s v="L000012412"/>
    <m/>
    <s v="L000011656"/>
    <s v="Move"/>
    <x v="1"/>
    <x v="5"/>
    <s v="LS"/>
    <m/>
    <m/>
    <s v="Ruby Grace Garcia"/>
  </r>
  <r>
    <n v="520"/>
    <s v="F1"/>
    <x v="11"/>
    <s v="L000008299"/>
    <m/>
    <s v="L000011687"/>
    <s v="Move"/>
    <x v="1"/>
    <x v="5"/>
    <s v="LS"/>
    <m/>
    <m/>
    <s v="Ruby Grace Garcia"/>
  </r>
  <r>
    <n v="521"/>
    <s v="F1"/>
    <x v="11"/>
    <s v="L000008383"/>
    <m/>
    <s v="L000011687"/>
    <s v="Move"/>
    <x v="1"/>
    <x v="5"/>
    <s v="LS"/>
    <m/>
    <m/>
    <s v="Ruby Grace Garcia"/>
  </r>
  <r>
    <n v="522"/>
    <s v="F1"/>
    <x v="11"/>
    <s v="L000008405"/>
    <m/>
    <s v="L000011687"/>
    <s v="Move"/>
    <x v="1"/>
    <x v="5"/>
    <s v="LS"/>
    <m/>
    <m/>
    <s v="Ruby Grace Garcia"/>
  </r>
  <r>
    <n v="523"/>
    <s v="F1"/>
    <x v="11"/>
    <s v="L000008439"/>
    <m/>
    <s v="L000011687"/>
    <s v="Move"/>
    <x v="1"/>
    <x v="5"/>
    <s v="LS"/>
    <m/>
    <m/>
    <s v="Ruby Grace Garcia"/>
  </r>
  <r>
    <n v="524"/>
    <s v="F1"/>
    <x v="11"/>
    <s v="L000008446"/>
    <m/>
    <s v="L000011687"/>
    <s v="Move"/>
    <x v="1"/>
    <x v="5"/>
    <s v="LS"/>
    <m/>
    <m/>
    <s v="Ruby Grace Garcia"/>
  </r>
  <r>
    <n v="525"/>
    <s v="F1"/>
    <x v="11"/>
    <s v="L000011881"/>
    <m/>
    <s v="L000011687"/>
    <s v="Move"/>
    <x v="1"/>
    <x v="5"/>
    <s v="LS"/>
    <m/>
    <m/>
    <s v="Ruby Grace Garcia"/>
  </r>
  <r>
    <n v="526"/>
    <s v="F1"/>
    <x v="11"/>
    <s v="L000008547"/>
    <m/>
    <s v="L000011687"/>
    <s v="Move"/>
    <x v="1"/>
    <x v="5"/>
    <s v="LS"/>
    <m/>
    <m/>
    <s v="Ruby Grace Garcia"/>
  </r>
  <r>
    <n v="527"/>
    <s v="F1"/>
    <x v="11"/>
    <s v="L000008791"/>
    <m/>
    <s v="L000013526"/>
    <s v="Move"/>
    <x v="1"/>
    <x v="5"/>
    <s v="LS"/>
    <m/>
    <m/>
    <s v="Ruby Grace Garcia"/>
  </r>
  <r>
    <n v="528"/>
    <s v="F1"/>
    <x v="11"/>
    <s v="L000011720"/>
    <m/>
    <s v="L000013340"/>
    <s v="Move"/>
    <x v="1"/>
    <x v="5"/>
    <s v="LS"/>
    <s v="L000013340"/>
    <m/>
    <s v="Ruby Grace Garcia"/>
  </r>
  <r>
    <n v="529"/>
    <s v="F1"/>
    <x v="11"/>
    <s v="L000011721"/>
    <m/>
    <s v="L000013340"/>
    <s v="Move"/>
    <x v="1"/>
    <x v="5"/>
    <s v="LS"/>
    <s v="L000013340"/>
    <m/>
    <s v="Ruby Grace Garcia"/>
  </r>
  <r>
    <n v="530"/>
    <s v="F1"/>
    <x v="11"/>
    <s v="L000011723"/>
    <m/>
    <s v="L000013340"/>
    <s v="Move"/>
    <x v="1"/>
    <x v="5"/>
    <s v="LS"/>
    <s v="L000013340"/>
    <m/>
    <s v="Ruby Grace Garcia"/>
  </r>
  <r>
    <n v="531"/>
    <s v="F1"/>
    <x v="11"/>
    <s v="L000011726"/>
    <m/>
    <s v="L000013340"/>
    <s v="Move"/>
    <x v="1"/>
    <x v="5"/>
    <s v="LS"/>
    <s v="L000013340"/>
    <m/>
    <s v="Ruby Grace Garcia"/>
  </r>
  <r>
    <n v="532"/>
    <s v="F1"/>
    <x v="11"/>
    <s v="L000011727"/>
    <m/>
    <s v="L000013340"/>
    <s v="Move"/>
    <x v="1"/>
    <x v="5"/>
    <s v="LS"/>
    <s v="L000013340"/>
    <m/>
    <s v="Ruby Grace Garcia"/>
  </r>
  <r>
    <n v="533"/>
    <s v="F1"/>
    <x v="11"/>
    <s v="L000011728"/>
    <m/>
    <s v="L000013340"/>
    <s v="Move"/>
    <x v="1"/>
    <x v="5"/>
    <s v="LS"/>
    <s v="L000013340"/>
    <m/>
    <s v="Ruby Grace Garcia"/>
  </r>
  <r>
    <n v="534"/>
    <s v="F1"/>
    <x v="11"/>
    <s v="L000012595"/>
    <m/>
    <s v="L000013340"/>
    <s v="Move"/>
    <x v="1"/>
    <x v="5"/>
    <s v="LS"/>
    <s v="L000013340"/>
    <m/>
    <s v="Ruby Grace Garcia"/>
  </r>
  <r>
    <n v="535"/>
    <s v="F1"/>
    <x v="11"/>
    <s v="L000012596"/>
    <m/>
    <s v="L000013340"/>
    <s v="Move"/>
    <x v="1"/>
    <x v="5"/>
    <s v="LS"/>
    <s v="L000013340"/>
    <m/>
    <s v="Ruby Grace Garcia"/>
  </r>
  <r>
    <n v="536"/>
    <s v="F1"/>
    <x v="11"/>
    <s v="L000013518"/>
    <m/>
    <s v="L000013340"/>
    <s v="Move"/>
    <x v="1"/>
    <x v="5"/>
    <s v="LS"/>
    <s v="L000013340"/>
    <m/>
    <s v="Ruby Grace Garcia"/>
  </r>
  <r>
    <n v="537"/>
    <s v="F1"/>
    <x v="11"/>
    <s v="L000013528"/>
    <m/>
    <s v="L000013340"/>
    <s v="Move"/>
    <x v="1"/>
    <x v="5"/>
    <s v="LS"/>
    <s v="L000013340"/>
    <m/>
    <s v="Ruby Grace Garcia"/>
  </r>
  <r>
    <n v="538"/>
    <s v="F1"/>
    <x v="11"/>
    <s v="L000013530"/>
    <m/>
    <s v="L000013341"/>
    <s v="Move"/>
    <x v="1"/>
    <x v="5"/>
    <s v="LS"/>
    <s v="L000013341"/>
    <m/>
    <s v="Ruby Grace Garcia"/>
  </r>
  <r>
    <n v="539"/>
    <s v="F1"/>
    <x v="11"/>
    <s v="L000008698"/>
    <m/>
    <s v="L000013341"/>
    <s v="Move"/>
    <x v="1"/>
    <x v="5"/>
    <s v="LS"/>
    <s v="L000013341"/>
    <m/>
    <s v="Ruby Grace Garcia"/>
  </r>
  <r>
    <n v="540"/>
    <s v="F1"/>
    <x v="11"/>
    <s v="L000011741"/>
    <m/>
    <s v="L000013342"/>
    <s v="Move"/>
    <x v="1"/>
    <x v="5"/>
    <s v="LS"/>
    <s v="L000013342"/>
    <m/>
    <s v="Ruby Grace Garcia"/>
  </r>
  <r>
    <n v="541"/>
    <s v="F1"/>
    <x v="11"/>
    <s v="L000008650"/>
    <m/>
    <s v="L000013342"/>
    <s v="Move"/>
    <x v="1"/>
    <x v="5"/>
    <s v="LS"/>
    <s v="L000013342"/>
    <m/>
    <s v="Ruby Grace Garcia"/>
  </r>
  <r>
    <n v="542"/>
    <s v="F1"/>
    <x v="11"/>
    <s v="L000007116"/>
    <m/>
    <s v="L000013342"/>
    <s v="Move"/>
    <x v="1"/>
    <x v="5"/>
    <s v="LS"/>
    <s v="L000013342"/>
    <m/>
    <s v="Ruby Grace Garcia"/>
  </r>
  <r>
    <n v="543"/>
    <s v="F1"/>
    <x v="11"/>
    <s v="L000013227"/>
    <m/>
    <s v="L000013342"/>
    <s v="Move"/>
    <x v="1"/>
    <x v="5"/>
    <s v="LS"/>
    <s v="L000013342"/>
    <m/>
    <s v="Ruby Grace Garcia"/>
  </r>
  <r>
    <n v="544"/>
    <s v="F1"/>
    <x v="11"/>
    <s v="L000013228"/>
    <m/>
    <s v="L000013342"/>
    <s v="Move"/>
    <x v="1"/>
    <x v="5"/>
    <s v="LS"/>
    <s v="L000013342"/>
    <m/>
    <s v="Ruby Grace Garcia"/>
  </r>
  <r>
    <n v="545"/>
    <s v="F1"/>
    <x v="11"/>
    <s v="L000011773"/>
    <m/>
    <s v="L000013342"/>
    <s v="Move"/>
    <x v="1"/>
    <x v="5"/>
    <s v="LS"/>
    <s v="L000013342"/>
    <m/>
    <s v="Ruby Grace Garcia"/>
  </r>
  <r>
    <n v="546"/>
    <s v="F1"/>
    <x v="11"/>
    <s v="L000008829"/>
    <m/>
    <s v="L000013342"/>
    <s v="Move"/>
    <x v="1"/>
    <x v="5"/>
    <s v="LS"/>
    <s v="L000013342"/>
    <m/>
    <s v="Ruby Grace Garcia"/>
  </r>
  <r>
    <n v="547"/>
    <s v="F1"/>
    <x v="11"/>
    <s v="L000008408"/>
    <m/>
    <s v="L000013342"/>
    <s v="Move"/>
    <x v="1"/>
    <x v="5"/>
    <s v="LS"/>
    <s v="L000013342"/>
    <m/>
    <s v="Ruby Grace Garcia"/>
  </r>
  <r>
    <n v="548"/>
    <s v="F1"/>
    <x v="11"/>
    <s v="L000008386"/>
    <m/>
    <s v="L000013342"/>
    <s v="Move"/>
    <x v="1"/>
    <x v="5"/>
    <s v="LS"/>
    <s v="L000013342"/>
    <m/>
    <s v="Ruby Grace Garcia"/>
  </r>
  <r>
    <n v="549"/>
    <s v="F1"/>
    <x v="11"/>
    <s v="L000008453"/>
    <m/>
    <s v="L000013342"/>
    <s v="Move"/>
    <x v="1"/>
    <x v="5"/>
    <s v="LS"/>
    <s v="L000013342"/>
    <m/>
    <s v="Ruby Grace Garcia"/>
  </r>
  <r>
    <n v="550"/>
    <s v="F1"/>
    <x v="11"/>
    <s v="L000008479"/>
    <m/>
    <s v="L000013342"/>
    <s v="Move"/>
    <x v="1"/>
    <x v="5"/>
    <s v="LS"/>
    <s v="L000013342"/>
    <m/>
    <s v="Ruby Grace Garcia"/>
  </r>
  <r>
    <n v="551"/>
    <s v="F1"/>
    <x v="11"/>
    <s v="L000008427"/>
    <m/>
    <s v="L000013342"/>
    <s v="Move"/>
    <x v="1"/>
    <x v="5"/>
    <s v="LS"/>
    <s v="L000013342"/>
    <m/>
    <s v="Ruby Grace Garcia"/>
  </r>
  <r>
    <n v="552"/>
    <s v="F1"/>
    <x v="11"/>
    <s v="L000008553"/>
    <m/>
    <s v="L000013342"/>
    <s v="Move"/>
    <x v="1"/>
    <x v="5"/>
    <s v="LS"/>
    <s v="L000013342"/>
    <m/>
    <s v="Ruby Grace Garcia"/>
  </r>
  <r>
    <n v="553"/>
    <s v="F1"/>
    <x v="11"/>
    <s v="L000008300"/>
    <m/>
    <s v="L000013342"/>
    <s v="Move"/>
    <x v="1"/>
    <x v="5"/>
    <s v="LS"/>
    <s v="L000013342"/>
    <m/>
    <s v="Ruby Grace Garcia"/>
  </r>
  <r>
    <n v="554"/>
    <s v="F1"/>
    <x v="11"/>
    <s v="L000008305"/>
    <m/>
    <s v="L000013342"/>
    <s v="Move"/>
    <x v="1"/>
    <x v="5"/>
    <s v="LS"/>
    <s v="L000013342"/>
    <m/>
    <s v="Ruby Grace Garcia"/>
  </r>
  <r>
    <n v="555"/>
    <s v="F1"/>
    <x v="11"/>
    <s v="L000008502"/>
    <m/>
    <s v="L000013342"/>
    <s v="Move"/>
    <x v="1"/>
    <x v="5"/>
    <s v="LS"/>
    <s v="L000013342"/>
    <m/>
    <s v="Ruby Grace Garcia"/>
  </r>
  <r>
    <n v="556"/>
    <s v="F1"/>
    <x v="11"/>
    <s v="L000008515"/>
    <m/>
    <s v="L000013342"/>
    <s v="Move"/>
    <x v="1"/>
    <x v="5"/>
    <s v="LS"/>
    <s v="L000013342"/>
    <m/>
    <s v="Ruby Grace Garcia"/>
  </r>
  <r>
    <n v="557"/>
    <s v="F1"/>
    <x v="11"/>
    <s v="L000008527"/>
    <m/>
    <s v="L000013342"/>
    <s v="Move"/>
    <x v="1"/>
    <x v="5"/>
    <s v="LS"/>
    <s v="L000013342"/>
    <m/>
    <s v="Ruby Grace Garcia"/>
  </r>
  <r>
    <n v="558"/>
    <s v="F1"/>
    <x v="11"/>
    <s v="L000008537"/>
    <m/>
    <s v="L000013342"/>
    <s v="Move"/>
    <x v="1"/>
    <x v="5"/>
    <s v="LS"/>
    <s v="L000013342"/>
    <m/>
    <s v="Ruby Grace Garcia"/>
  </r>
  <r>
    <n v="559"/>
    <s v="F1"/>
    <x v="11"/>
    <s v="L000013312"/>
    <m/>
    <s v="L000013829"/>
    <s v="Move"/>
    <x v="1"/>
    <x v="5"/>
    <s v="LS"/>
    <m/>
    <m/>
    <s v="Ruby Grace Garcia"/>
  </r>
  <r>
    <n v="560"/>
    <s v="F1"/>
    <x v="11"/>
    <s v="L000006085"/>
    <m/>
    <s v="L000013782"/>
    <s v="Move"/>
    <x v="1"/>
    <x v="5"/>
    <s v="LS"/>
    <m/>
    <m/>
    <s v="Ruby Grace Garcia"/>
  </r>
  <r>
    <n v="561"/>
    <s v="F1"/>
    <x v="11"/>
    <s v="L000012795"/>
    <m/>
    <s v="L000013782"/>
    <s v="Move"/>
    <x v="1"/>
    <x v="5"/>
    <s v="LS"/>
    <m/>
    <m/>
    <s v="Ruby Grace Garcia"/>
  </r>
  <r>
    <n v="562"/>
    <s v="F1"/>
    <x v="11"/>
    <s v="L000012796"/>
    <m/>
    <s v="L000013782"/>
    <s v="Move"/>
    <x v="1"/>
    <x v="5"/>
    <s v="LS"/>
    <m/>
    <m/>
    <s v="Ruby Grace Garcia"/>
  </r>
  <r>
    <n v="563"/>
    <s v="F1"/>
    <x v="11"/>
    <s v="L000013672"/>
    <m/>
    <s v="L000011322"/>
    <s v="Move"/>
    <x v="1"/>
    <x v="5"/>
    <s v="LS"/>
    <m/>
    <m/>
    <s v="Ruby Grace Garcia"/>
  </r>
  <r>
    <n v="564"/>
    <s v="F1"/>
    <x v="11"/>
    <s v="L000006677"/>
    <m/>
    <s v="L000013514"/>
    <s v="Move"/>
    <x v="1"/>
    <x v="5"/>
    <s v="LS"/>
    <m/>
    <m/>
    <s v="Ruby Grace Garcia"/>
  </r>
  <r>
    <n v="565"/>
    <s v="F1"/>
    <x v="11"/>
    <s v="L000006678"/>
    <m/>
    <s v="L000013514"/>
    <s v="Move"/>
    <x v="1"/>
    <x v="5"/>
    <s v="LS"/>
    <m/>
    <m/>
    <s v="Ruby Grace Garcia"/>
  </r>
  <r>
    <n v="566"/>
    <s v="F1"/>
    <x v="11"/>
    <s v="L000013515"/>
    <m/>
    <s v="L000013514"/>
    <s v="Move"/>
    <x v="1"/>
    <x v="5"/>
    <s v="LS"/>
    <m/>
    <m/>
    <s v="Ruby Grace Garcia"/>
  </r>
  <r>
    <n v="567"/>
    <s v="F1"/>
    <x v="11"/>
    <s v="L000013516"/>
    <m/>
    <s v="L000013514"/>
    <s v="Move"/>
    <x v="1"/>
    <x v="5"/>
    <s v="LS"/>
    <m/>
    <m/>
    <s v="Ruby Grace Garcia"/>
  </r>
  <r>
    <n v="568"/>
    <s v="F1"/>
    <x v="11"/>
    <s v="L000006422"/>
    <m/>
    <s v="L000013685"/>
    <s v="Remove"/>
    <x v="1"/>
    <x v="5"/>
    <s v="LS"/>
    <s v="Wag mona gawen"/>
    <m/>
    <s v="Ruby Grace Garcia"/>
  </r>
  <r>
    <n v="569"/>
    <s v="F1"/>
    <x v="11"/>
    <s v="L000013003"/>
    <m/>
    <s v="L000013687"/>
    <s v="Remove"/>
    <x v="1"/>
    <x v="5"/>
    <s v="LS"/>
    <s v="Wag mona gawen"/>
    <m/>
    <s v="Ruby Grace Garcia"/>
  </r>
  <r>
    <n v="570"/>
    <s v="F1"/>
    <x v="11"/>
    <s v="L000013735"/>
    <m/>
    <s v="L000013687"/>
    <s v="Remove"/>
    <x v="1"/>
    <x v="5"/>
    <s v="LS"/>
    <s v="Wag mona gawen"/>
    <m/>
    <s v="Ruby Grace Garcia"/>
  </r>
  <r>
    <n v="571"/>
    <s v="F1"/>
    <x v="11"/>
    <s v="L000013736"/>
    <m/>
    <s v="L000013687"/>
    <s v="Remove"/>
    <x v="1"/>
    <x v="5"/>
    <s v="LS"/>
    <s v="Wag mona gawen"/>
    <m/>
    <s v="Ruby Grace Garcia"/>
  </r>
  <r>
    <n v="572"/>
    <s v="F1"/>
    <x v="11"/>
    <s v="L000005336"/>
    <m/>
    <s v="L000013687"/>
    <s v="Remove"/>
    <x v="1"/>
    <x v="5"/>
    <s v="LS"/>
    <s v="Wag mona gawen"/>
    <m/>
    <s v="Ruby Grace Garcia"/>
  </r>
  <r>
    <n v="573"/>
    <s v="F1"/>
    <x v="11"/>
    <s v="L000005348"/>
    <m/>
    <s v="L000013687"/>
    <s v="Remove"/>
    <x v="1"/>
    <x v="5"/>
    <s v="LS"/>
    <s v="Wag mona gawen"/>
    <m/>
    <s v="Ruby Grace Garcia"/>
  </r>
  <r>
    <n v="574"/>
    <s v="F1"/>
    <x v="11"/>
    <s v="L000005351"/>
    <m/>
    <s v="L000013687"/>
    <s v="Remove"/>
    <x v="1"/>
    <x v="5"/>
    <s v="LS"/>
    <s v="Wag mona gawen"/>
    <m/>
    <s v="Ruby Grace Garcia"/>
  </r>
  <r>
    <n v="575"/>
    <s v="F1"/>
    <x v="11"/>
    <s v="L000005353"/>
    <m/>
    <s v="L000013687"/>
    <s v="Remove"/>
    <x v="1"/>
    <x v="5"/>
    <s v="LS"/>
    <s v="Wag mona gawen"/>
    <m/>
    <s v="Ruby Grace Garcia"/>
  </r>
  <r>
    <n v="576"/>
    <s v="F1"/>
    <x v="11"/>
    <s v="L000005355"/>
    <m/>
    <s v="L000013687"/>
    <s v="Remove"/>
    <x v="1"/>
    <x v="5"/>
    <s v="LS"/>
    <s v="Wag mona gawen"/>
    <m/>
    <s v="Ruby Grace Garcia"/>
  </r>
  <r>
    <n v="577"/>
    <s v="F1"/>
    <x v="11"/>
    <s v="L000005356"/>
    <m/>
    <s v="L000013687"/>
    <s v="Remove"/>
    <x v="1"/>
    <x v="5"/>
    <s v="LS"/>
    <s v="Wag mona gawen"/>
    <m/>
    <s v="Ruby Grace Garcia"/>
  </r>
  <r>
    <n v="578"/>
    <s v="F1"/>
    <x v="11"/>
    <s v="L000005357"/>
    <m/>
    <s v="L000013687"/>
    <s v="Remove"/>
    <x v="1"/>
    <x v="5"/>
    <s v="LS"/>
    <s v="Wag mona gawen"/>
    <m/>
    <s v="Ruby Grace Garcia"/>
  </r>
  <r>
    <n v="579"/>
    <s v="F1"/>
    <x v="11"/>
    <s v="L000009145"/>
    <m/>
    <s v="L000013687"/>
    <s v="Remove"/>
    <x v="1"/>
    <x v="5"/>
    <s v="LS"/>
    <s v="Wag mona gawen"/>
    <m/>
    <s v="Ruby Grace Garcia"/>
  </r>
  <r>
    <n v="580"/>
    <s v="F1"/>
    <x v="11"/>
    <s v="L000009147"/>
    <m/>
    <s v="L000013687"/>
    <s v="Remove"/>
    <x v="1"/>
    <x v="5"/>
    <s v="LS"/>
    <s v="Wag mona gawen"/>
    <m/>
    <s v="Ruby Grace Garcia"/>
  </r>
  <r>
    <n v="581"/>
    <s v="F1"/>
    <x v="11"/>
    <s v="L000009148"/>
    <m/>
    <s v="L000013687"/>
    <s v="Remove"/>
    <x v="1"/>
    <x v="5"/>
    <s v="LS"/>
    <s v="Wag mona gawen"/>
    <m/>
    <s v="Ruby Grace Garcia"/>
  </r>
  <r>
    <n v="582"/>
    <s v="F1"/>
    <x v="11"/>
    <s v="L000009177"/>
    <m/>
    <s v="L000013687"/>
    <s v="Remove"/>
    <x v="1"/>
    <x v="5"/>
    <s v="LS"/>
    <s v="Wag mona gawen"/>
    <m/>
    <s v="Ruby Grace Garcia"/>
  </r>
  <r>
    <n v="583"/>
    <s v="F1"/>
    <x v="11"/>
    <s v="L000013737"/>
    <m/>
    <s v="L000013687"/>
    <s v="Remove"/>
    <x v="1"/>
    <x v="5"/>
    <s v="LS"/>
    <s v="Wag mona gawen"/>
    <m/>
    <s v="Ruby Grace Garcia"/>
  </r>
  <r>
    <n v="584"/>
    <s v="F1"/>
    <x v="11"/>
    <s v="L000013738"/>
    <m/>
    <s v="L000013687"/>
    <s v="Remove"/>
    <x v="1"/>
    <x v="5"/>
    <s v="LS"/>
    <s v="Wag mona gawen"/>
    <m/>
    <s v="Ruby Grace Garcia"/>
  </r>
  <r>
    <n v="585"/>
    <s v="F1"/>
    <x v="11"/>
    <s v="L000011323"/>
    <m/>
    <s v="L000013687"/>
    <s v="Remove"/>
    <x v="1"/>
    <x v="5"/>
    <s v="LS"/>
    <s v="Wag mona gawen"/>
    <m/>
    <s v="Ruby Grace Garcia"/>
  </r>
  <r>
    <n v="586"/>
    <s v="F1"/>
    <x v="11"/>
    <s v="L000011324"/>
    <m/>
    <s v="L000013687"/>
    <s v="Remove"/>
    <x v="1"/>
    <x v="5"/>
    <s v="LS"/>
    <s v="Wag mona gawen"/>
    <m/>
    <s v="Ruby Grace Garcia"/>
  </r>
  <r>
    <n v="587"/>
    <s v="F1"/>
    <x v="11"/>
    <s v="L000011325"/>
    <m/>
    <s v="L000013687"/>
    <s v="Remove"/>
    <x v="1"/>
    <x v="5"/>
    <s v="LS"/>
    <s v="Wag mona gawen"/>
    <m/>
    <s v="Ruby Grace Garcia"/>
  </r>
  <r>
    <n v="588"/>
    <s v="F1"/>
    <x v="11"/>
    <s v="L000011326"/>
    <m/>
    <s v="L000013687"/>
    <s v="Remove"/>
    <x v="1"/>
    <x v="5"/>
    <s v="LS"/>
    <s v="Wag mona gawen"/>
    <m/>
    <s v="Ruby Grace Garcia"/>
  </r>
  <r>
    <n v="589"/>
    <s v="F1"/>
    <x v="11"/>
    <s v="L000011111"/>
    <m/>
    <s v="L000013687"/>
    <s v="Remove"/>
    <x v="1"/>
    <x v="5"/>
    <s v="LS"/>
    <s v="Wag mona gawen"/>
    <m/>
    <s v="Ruby Grace Garcia"/>
  </r>
  <r>
    <n v="590"/>
    <s v="F1"/>
    <x v="12"/>
    <s v="H000004917"/>
    <m/>
    <m/>
    <s v="Remove"/>
    <x v="1"/>
    <x v="5"/>
    <s v="HC"/>
    <m/>
    <m/>
    <s v="Erjo Miguel Tagle"/>
  </r>
  <r>
    <n v="591"/>
    <s v="F1"/>
    <x v="12"/>
    <s v="H000004865"/>
    <m/>
    <m/>
    <s v="Remove"/>
    <x v="1"/>
    <x v="5"/>
    <s v="HC"/>
    <m/>
    <m/>
    <s v="Erjo Miguel Tagle"/>
  </r>
  <r>
    <n v="592"/>
    <s v="F1"/>
    <x v="12"/>
    <s v="H000004919"/>
    <m/>
    <m/>
    <s v="Remove"/>
    <x v="1"/>
    <x v="5"/>
    <s v="HC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4" firstHeaderRow="1" firstDataRow="1" firstDataCol="1" rowPageCount="1" colPageCount="1"/>
  <pivotFields count="13">
    <pivotField showAll="0"/>
    <pivotField showAll="0"/>
    <pivotField axis="axisRow" showAll="0">
      <items count="104">
        <item m="1" x="68"/>
        <item m="1" x="22"/>
        <item m="1" x="40"/>
        <item m="1" x="77"/>
        <item m="1" x="36"/>
        <item m="1" x="80"/>
        <item m="1" x="26"/>
        <item m="1" x="90"/>
        <item m="1" x="19"/>
        <item m="1" x="51"/>
        <item m="1" x="61"/>
        <item m="1" x="81"/>
        <item m="1" x="66"/>
        <item m="1" x="44"/>
        <item m="1" x="62"/>
        <item m="1" x="37"/>
        <item m="1" x="98"/>
        <item m="1" x="34"/>
        <item m="1" x="96"/>
        <item m="1" x="27"/>
        <item m="1" x="82"/>
        <item m="1" x="97"/>
        <item m="1" x="83"/>
        <item m="1" x="52"/>
        <item m="1" x="100"/>
        <item m="1" x="56"/>
        <item m="1" x="45"/>
        <item m="1" x="102"/>
        <item m="1" x="41"/>
        <item m="1" x="63"/>
        <item m="1" x="58"/>
        <item m="1" x="42"/>
        <item m="1" x="64"/>
        <item m="1" x="16"/>
        <item m="1" x="46"/>
        <item m="1" x="71"/>
        <item m="1" x="38"/>
        <item m="1" x="93"/>
        <item m="1" x="87"/>
        <item m="1" x="95"/>
        <item m="1" x="17"/>
        <item m="1" x="69"/>
        <item m="1" x="13"/>
        <item m="1" x="55"/>
        <item m="1" x="94"/>
        <item m="1" x="74"/>
        <item m="1" x="35"/>
        <item m="1" x="54"/>
        <item m="1" x="67"/>
        <item m="1" x="57"/>
        <item m="1" x="20"/>
        <item m="1" x="32"/>
        <item m="1" x="28"/>
        <item m="1" x="101"/>
        <item m="1" x="48"/>
        <item m="1" x="14"/>
        <item m="1" x="88"/>
        <item m="1" x="50"/>
        <item m="1" x="43"/>
        <item m="1" x="79"/>
        <item m="1" x="49"/>
        <item m="1" x="18"/>
        <item m="1" x="84"/>
        <item m="1" x="53"/>
        <item m="1" x="29"/>
        <item m="1" x="59"/>
        <item m="1" x="33"/>
        <item m="1" x="72"/>
        <item m="1" x="76"/>
        <item m="1" x="23"/>
        <item m="1" x="21"/>
        <item m="1" x="60"/>
        <item m="1" x="99"/>
        <item m="1" x="31"/>
        <item m="1" x="24"/>
        <item m="1" x="75"/>
        <item m="1" x="70"/>
        <item m="1" x="73"/>
        <item m="1" x="89"/>
        <item m="1" x="39"/>
        <item m="1" x="15"/>
        <item m="1" x="85"/>
        <item m="1" x="30"/>
        <item m="1" x="25"/>
        <item m="1" x="86"/>
        <item m="1" x="91"/>
        <item m="1" x="47"/>
        <item m="1" x="92"/>
        <item m="1" x="78"/>
        <item m="1"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13">
        <item m="1" x="8"/>
        <item m="1" x="9"/>
        <item m="1" x="6"/>
        <item m="1" x="10"/>
        <item x="5"/>
        <item m="1" x="7"/>
        <item x="0"/>
        <item m="1" x="11"/>
        <item x="2"/>
        <item x="1"/>
        <item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1">
    <i>
      <x v="97"/>
    </i>
    <i r="1">
      <x v="9"/>
    </i>
    <i>
      <x v="100"/>
    </i>
    <i r="1">
      <x v="4"/>
    </i>
    <i r="1">
      <x v="10"/>
    </i>
    <i>
      <x v="101"/>
    </i>
    <i r="1">
      <x v="4"/>
    </i>
    <i r="1">
      <x v="10"/>
    </i>
    <i>
      <x v="102"/>
    </i>
    <i r="1">
      <x v="4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845" totalsRowShown="0">
  <autoFilter ref="A1:M845" xr:uid="{00000000-000C-0000-FFFF-FFFF00000000}">
    <filterColumn colId="10">
      <filters>
        <filter val="Please dump all objects to O000000007 – Closed Cost Centers"/>
        <filter val="todo"/>
      </filters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4"/>
  <sheetViews>
    <sheetView workbookViewId="0">
      <selection activeCell="E16" sqref="E16"/>
    </sheetView>
  </sheetViews>
  <sheetFormatPr defaultRowHeight="15"/>
  <cols>
    <col min="1" max="1" width="14.85546875" bestFit="1" customWidth="1"/>
    <col min="2" max="2" width="14.7109375" bestFit="1" customWidth="1"/>
  </cols>
  <sheetData>
    <row r="1" spans="1:2">
      <c r="A1" s="45" t="s">
        <v>0</v>
      </c>
    </row>
    <row r="3" spans="1:2">
      <c r="A3" s="45" t="s">
        <v>11</v>
      </c>
      <c r="B3" t="s">
        <v>6619</v>
      </c>
    </row>
    <row r="4" spans="1:2">
      <c r="A4" s="32" t="s">
        <v>8066</v>
      </c>
      <c r="B4" s="44">
        <v>1</v>
      </c>
    </row>
    <row r="5" spans="1:2">
      <c r="A5" s="67" t="s">
        <v>8557</v>
      </c>
      <c r="B5" s="44">
        <v>1</v>
      </c>
    </row>
    <row r="6" spans="1:2">
      <c r="A6" s="32" t="s">
        <v>8149</v>
      </c>
      <c r="B6" s="44">
        <v>9</v>
      </c>
    </row>
    <row r="7" spans="1:2">
      <c r="A7" s="67" t="s">
        <v>8555</v>
      </c>
      <c r="B7" s="44">
        <v>7</v>
      </c>
    </row>
    <row r="8" spans="1:2">
      <c r="A8" s="67" t="s">
        <v>8556</v>
      </c>
      <c r="B8" s="44">
        <v>2</v>
      </c>
    </row>
    <row r="9" spans="1:2">
      <c r="A9" s="32" t="s">
        <v>8551</v>
      </c>
      <c r="B9" s="44">
        <v>386</v>
      </c>
    </row>
    <row r="10" spans="1:2">
      <c r="A10" s="67" t="s">
        <v>8555</v>
      </c>
      <c r="B10" s="44">
        <v>151</v>
      </c>
    </row>
    <row r="11" spans="1:2">
      <c r="A11" s="67" t="s">
        <v>8556</v>
      </c>
      <c r="B11" s="44">
        <v>235</v>
      </c>
    </row>
    <row r="12" spans="1:2">
      <c r="A12" s="32" t="s">
        <v>8553</v>
      </c>
      <c r="B12" s="44">
        <v>3</v>
      </c>
    </row>
    <row r="13" spans="1:2">
      <c r="A13" s="67" t="s">
        <v>8555</v>
      </c>
      <c r="B13" s="44">
        <v>3</v>
      </c>
    </row>
    <row r="14" spans="1:2">
      <c r="A14" s="32" t="s">
        <v>10</v>
      </c>
      <c r="B14" s="44">
        <v>399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845"/>
  <sheetViews>
    <sheetView tabSelected="1" zoomScale="115" zoomScaleNormal="115" workbookViewId="0">
      <selection activeCell="I847" sqref="I847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7907</v>
      </c>
      <c r="D2" s="9" t="s">
        <v>7903</v>
      </c>
      <c r="E2" s="38" t="s">
        <v>7909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9" t="s">
        <v>7975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7907</v>
      </c>
      <c r="D3" s="9" t="s">
        <v>7863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7975</v>
      </c>
      <c r="J3" s="36" t="s">
        <v>17</v>
      </c>
      <c r="K3" s="9" t="s">
        <v>8064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7907</v>
      </c>
      <c r="D4" s="9" t="s">
        <v>7866</v>
      </c>
      <c r="E4" s="9" t="s">
        <v>7904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7975</v>
      </c>
      <c r="J4" s="36" t="s">
        <v>17</v>
      </c>
      <c r="K4" s="36" t="s">
        <v>8065</v>
      </c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7907</v>
      </c>
      <c r="D5" s="9" t="s">
        <v>7867</v>
      </c>
      <c r="E5" s="9" t="s">
        <v>7904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7975</v>
      </c>
      <c r="J5" s="36" t="s">
        <v>17</v>
      </c>
      <c r="K5" s="36" t="s">
        <v>8065</v>
      </c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7907</v>
      </c>
      <c r="D6" s="9" t="s">
        <v>7862</v>
      </c>
      <c r="E6" s="9" t="s">
        <v>7904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7975</v>
      </c>
      <c r="J6" s="36" t="s">
        <v>17</v>
      </c>
      <c r="K6" s="36" t="s">
        <v>8065</v>
      </c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7907</v>
      </c>
      <c r="D7" s="9" t="s">
        <v>7864</v>
      </c>
      <c r="E7" s="9" t="s">
        <v>7904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7975</v>
      </c>
      <c r="J7" s="36" t="s">
        <v>17</v>
      </c>
      <c r="K7" s="36" t="s">
        <v>8065</v>
      </c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7907</v>
      </c>
      <c r="D8" s="9" t="s">
        <v>7861</v>
      </c>
      <c r="E8" s="9" t="s">
        <v>7905</v>
      </c>
      <c r="G8" s="9" t="s">
        <v>15</v>
      </c>
      <c r="H8" s="36" t="str">
        <f>IFERROR(VLOOKUP(Table2[[#This Row], [Ticket]],Okey!A:B,2,0),"")</f>
        <v>ok</v>
      </c>
      <c r="I8" s="9" t="s">
        <v>7975</v>
      </c>
      <c r="J8" s="36" t="s">
        <v>17</v>
      </c>
      <c r="K8" s="36" t="s">
        <v>8062</v>
      </c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7907</v>
      </c>
      <c r="D9" s="9" t="s">
        <v>7865</v>
      </c>
      <c r="E9" s="9" t="s">
        <v>7906</v>
      </c>
      <c r="G9" s="36" t="s">
        <v>15</v>
      </c>
      <c r="H9" s="36" t="str">
        <f>IFERROR(VLOOKUP(Table2[[#This Row], [Ticket]],Okey!A:B,2,0),"")</f>
        <v>ok</v>
      </c>
      <c r="I9" s="36" t="s">
        <v>7975</v>
      </c>
      <c r="J9" s="36" t="s">
        <v>17</v>
      </c>
      <c r="K9" s="36" t="s">
        <v>8062</v>
      </c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7907</v>
      </c>
      <c r="D10" s="9" t="s">
        <v>7868</v>
      </c>
      <c r="E10" s="9" t="s">
        <v>7904</v>
      </c>
      <c r="G10" s="36" t="s">
        <v>15</v>
      </c>
      <c r="H10" s="36" t="str">
        <f>IFERROR(VLOOKUP(Table2[[#This Row], [Ticket]],Okey!A:B,2,0),"")</f>
        <v>ok</v>
      </c>
      <c r="I10" s="36" t="s">
        <v>7975</v>
      </c>
      <c r="J10" s="36" t="s">
        <v>17</v>
      </c>
      <c r="K10" s="36" t="s">
        <v>8062</v>
      </c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7907</v>
      </c>
      <c r="D11" s="9" t="s">
        <v>7869</v>
      </c>
      <c r="E11" s="9" t="s">
        <v>7904</v>
      </c>
      <c r="G11" s="36" t="s">
        <v>15</v>
      </c>
      <c r="H11" s="36" t="str">
        <f>IFERROR(VLOOKUP(Table2[[#This Row], [Ticket]],Okey!A:B,2,0),"")</f>
        <v>ok</v>
      </c>
      <c r="I11" s="36" t="s">
        <v>7975</v>
      </c>
      <c r="J11" s="36" t="s">
        <v>17</v>
      </c>
      <c r="K11" s="36" t="s">
        <v>8062</v>
      </c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7907</v>
      </c>
      <c r="D12" s="9" t="s">
        <v>7870</v>
      </c>
      <c r="E12" s="9" t="s">
        <v>7904</v>
      </c>
      <c r="G12" s="36" t="s">
        <v>15</v>
      </c>
      <c r="H12" s="36" t="str">
        <f>IFERROR(VLOOKUP(Table2[[#This Row], [Ticket]],Okey!A:B,2,0),"")</f>
        <v>ok</v>
      </c>
      <c r="I12" s="36" t="s">
        <v>7975</v>
      </c>
      <c r="J12" s="36" t="s">
        <v>17</v>
      </c>
      <c r="K12" s="36" t="s">
        <v>8062</v>
      </c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7907</v>
      </c>
      <c r="D13" s="9" t="s">
        <v>7871</v>
      </c>
      <c r="E13" s="9" t="s">
        <v>7904</v>
      </c>
      <c r="G13" s="36" t="s">
        <v>15</v>
      </c>
      <c r="H13" s="36" t="str">
        <f>IFERROR(VLOOKUP(Table2[[#This Row], [Ticket]],Okey!A:B,2,0),"")</f>
        <v>ok</v>
      </c>
      <c r="I13" s="36" t="s">
        <v>7975</v>
      </c>
      <c r="J13" s="36" t="s">
        <v>17</v>
      </c>
      <c r="K13" s="36" t="s">
        <v>8062</v>
      </c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7907</v>
      </c>
      <c r="D14" s="9" t="s">
        <v>7878</v>
      </c>
      <c r="E14" s="9" t="s">
        <v>7904</v>
      </c>
      <c r="G14" s="36" t="s">
        <v>15</v>
      </c>
      <c r="H14" s="36" t="str">
        <f>IFERROR(VLOOKUP(Table2[[#This Row], [Ticket]],Okey!A:B,2,0),"")</f>
        <v>ok</v>
      </c>
      <c r="I14" s="36" t="s">
        <v>7975</v>
      </c>
      <c r="J14" s="36" t="s">
        <v>17</v>
      </c>
      <c r="K14" s="36" t="s">
        <v>8062</v>
      </c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7907</v>
      </c>
      <c r="D15" s="9" t="s">
        <v>7872</v>
      </c>
      <c r="E15" s="9" t="s">
        <v>7904</v>
      </c>
      <c r="G15" s="36" t="s">
        <v>15</v>
      </c>
      <c r="H15" s="36" t="str">
        <f>IFERROR(VLOOKUP(Table2[[#This Row], [Ticket]],Okey!A:B,2,0),"")</f>
        <v>ok</v>
      </c>
      <c r="I15" s="36" t="s">
        <v>7975</v>
      </c>
      <c r="J15" s="36" t="s">
        <v>17</v>
      </c>
      <c r="K15" s="36" t="s">
        <v>8062</v>
      </c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7907</v>
      </c>
      <c r="D16" s="9" t="s">
        <v>7873</v>
      </c>
      <c r="E16" s="9" t="s">
        <v>7904</v>
      </c>
      <c r="G16" s="36" t="s">
        <v>15</v>
      </c>
      <c r="H16" s="36" t="str">
        <f>IFERROR(VLOOKUP(Table2[[#This Row], [Ticket]],Okey!A:B,2,0),"")</f>
        <v>ok</v>
      </c>
      <c r="I16" s="36" t="s">
        <v>7975</v>
      </c>
      <c r="J16" s="36" t="s">
        <v>17</v>
      </c>
      <c r="K16" s="36" t="s">
        <v>8062</v>
      </c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7907</v>
      </c>
      <c r="D17" s="9" t="s">
        <v>7874</v>
      </c>
      <c r="E17" s="9" t="s">
        <v>7904</v>
      </c>
      <c r="G17" s="36" t="s">
        <v>15</v>
      </c>
      <c r="H17" s="36" t="str">
        <f>IFERROR(VLOOKUP(Table2[[#This Row], [Ticket]],Okey!A:B,2,0),"")</f>
        <v>ok</v>
      </c>
      <c r="I17" s="36" t="s">
        <v>7975</v>
      </c>
      <c r="J17" s="36" t="s">
        <v>17</v>
      </c>
      <c r="K17" s="36" t="s">
        <v>8062</v>
      </c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7907</v>
      </c>
      <c r="D18" s="9" t="s">
        <v>7875</v>
      </c>
      <c r="E18" s="9" t="s">
        <v>7904</v>
      </c>
      <c r="G18" s="36" t="s">
        <v>15</v>
      </c>
      <c r="H18" s="36" t="str">
        <f>IFERROR(VLOOKUP(Table2[[#This Row], [Ticket]],Okey!A:B,2,0),"")</f>
        <v>ok</v>
      </c>
      <c r="I18" s="36" t="s">
        <v>7975</v>
      </c>
      <c r="J18" s="36" t="s">
        <v>17</v>
      </c>
      <c r="K18" s="36" t="s">
        <v>8062</v>
      </c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7907</v>
      </c>
      <c r="D19" s="9" t="s">
        <v>7876</v>
      </c>
      <c r="E19" s="9" t="s">
        <v>7904</v>
      </c>
      <c r="G19" s="36" t="s">
        <v>15</v>
      </c>
      <c r="H19" s="36" t="str">
        <f>IFERROR(VLOOKUP(Table2[[#This Row], [Ticket]],Okey!A:B,2,0),"")</f>
        <v>ok</v>
      </c>
      <c r="I19" s="36" t="s">
        <v>7975</v>
      </c>
      <c r="J19" s="36" t="s">
        <v>17</v>
      </c>
      <c r="K19" s="36" t="s">
        <v>8062</v>
      </c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7907</v>
      </c>
      <c r="D20" s="9" t="s">
        <v>7877</v>
      </c>
      <c r="E20" s="9" t="s">
        <v>7904</v>
      </c>
      <c r="G20" s="36" t="s">
        <v>15</v>
      </c>
      <c r="H20" s="36" t="str">
        <f>IFERROR(VLOOKUP(Table2[[#This Row], [Ticket]],Okey!A:B,2,0),"")</f>
        <v>ok</v>
      </c>
      <c r="I20" s="36" t="s">
        <v>7975</v>
      </c>
      <c r="J20" s="36" t="s">
        <v>17</v>
      </c>
      <c r="K20" s="36" t="s">
        <v>8062</v>
      </c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7910</v>
      </c>
      <c r="D21" s="9" t="s">
        <v>7911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e">
        <f>VLOOKUP(Table2[[#This Row],[Node]],#REF!,2,0)=Table2[[#This Row],[Parent]]</f>
        <v>#REF!</v>
      </c>
      <c r="J21" s="36" t="s">
        <v>17</v>
      </c>
      <c r="K21" s="36" t="s">
        <v>7908</v>
      </c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7912</v>
      </c>
      <c r="D22" s="36" t="s">
        <v>7918</v>
      </c>
      <c r="E22" s="36" t="s">
        <v>7913</v>
      </c>
      <c r="F22" s="9" t="s">
        <v>7914</v>
      </c>
      <c r="G22" s="9" t="s">
        <v>14</v>
      </c>
      <c r="H22" s="36" t="str">
        <f>IFERROR(VLOOKUP(Table2[[#This Row], [Ticket]],Okey!A:B,2,0),"")</f>
        <v>ok</v>
      </c>
      <c r="I22" s="36" t="s">
        <v>7975</v>
      </c>
      <c r="J22" s="36" t="s">
        <v>17</v>
      </c>
      <c r="K22" s="36" t="s">
        <v>7908</v>
      </c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7912</v>
      </c>
      <c r="D23" s="36" t="s">
        <v>7919</v>
      </c>
      <c r="E23" s="36" t="s">
        <v>7915</v>
      </c>
      <c r="F23" s="9" t="s">
        <v>7917</v>
      </c>
      <c r="G23" s="36" t="s">
        <v>14</v>
      </c>
      <c r="H23" s="36" t="str">
        <f>IFERROR(VLOOKUP(Table2[[#This Row], [Ticket]],Okey!A:B,2,0),"")</f>
        <v>ok</v>
      </c>
      <c r="I23" s="36" t="s">
        <v>7975</v>
      </c>
      <c r="J23" s="36" t="s">
        <v>17</v>
      </c>
      <c r="K23" s="36" t="s">
        <v>7908</v>
      </c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7912</v>
      </c>
      <c r="D24" s="36" t="s">
        <v>7920</v>
      </c>
      <c r="E24" s="36" t="s">
        <v>7916</v>
      </c>
      <c r="F24" s="9" t="s">
        <v>7917</v>
      </c>
      <c r="G24" s="36" t="s">
        <v>14</v>
      </c>
      <c r="H24" s="36" t="str">
        <f>IFERROR(VLOOKUP(Table2[[#This Row], [Ticket]],Okey!A:B,2,0),"")</f>
        <v>ok</v>
      </c>
      <c r="I24" s="36" t="s">
        <v>7975</v>
      </c>
      <c r="J24" s="36" t="s">
        <v>17</v>
      </c>
      <c r="K24" s="36" t="s">
        <v>7908</v>
      </c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7912</v>
      </c>
      <c r="D25" s="9" t="s">
        <v>7911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e">
        <f>VLOOKUP(Table2[[#This Row],[Node]],#REF!,2,0)=Table2[[#This Row],[Parent]]</f>
        <v>#REF!</v>
      </c>
      <c r="J25" s="36" t="s">
        <v>17</v>
      </c>
      <c r="K25" s="36" t="s">
        <v>7908</v>
      </c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7944</v>
      </c>
      <c r="D26" s="9" t="s">
        <v>7948</v>
      </c>
      <c r="E26" s="9" t="s">
        <v>7921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7975</v>
      </c>
      <c r="J26" s="36" t="s">
        <v>19</v>
      </c>
      <c r="K26" s="36" t="s">
        <v>8063</v>
      </c>
      <c r="L26" s="36"/>
      <c r="M26" s="9" t="s">
        <v>7943</v>
      </c>
    </row>
    <row r="27" spans="1:13" hidden="1">
      <c r="A27" s="42">
        <f t="shared" si="1"/>
        <v>26</v>
      </c>
      <c r="B27" s="36" t="s">
        <v>6</v>
      </c>
      <c r="C27" s="36" t="s">
        <v>7944</v>
      </c>
      <c r="D27" s="9" t="s">
        <v>7949</v>
      </c>
      <c r="E27" s="9" t="s">
        <v>7922</v>
      </c>
      <c r="F27" s="9" t="s">
        <v>7948</v>
      </c>
      <c r="G27" s="36" t="s">
        <v>14</v>
      </c>
      <c r="H27" s="36" t="str">
        <f>IFERROR(VLOOKUP(Table2[[#This Row], [Ticket]],Okey!A:B,2,0),"")</f>
        <v>ok</v>
      </c>
      <c r="I27" s="36" t="s">
        <v>7975</v>
      </c>
      <c r="J27" s="36" t="s">
        <v>19</v>
      </c>
      <c r="K27" s="36" t="s">
        <v>8063</v>
      </c>
      <c r="L27" s="36"/>
      <c r="M27" s="36" t="s">
        <v>7943</v>
      </c>
    </row>
    <row r="28" spans="1:13" hidden="1">
      <c r="A28" s="42">
        <f t="shared" si="1"/>
        <v>27</v>
      </c>
      <c r="B28" s="36" t="s">
        <v>6</v>
      </c>
      <c r="C28" s="36" t="s">
        <v>7944</v>
      </c>
      <c r="D28" s="9" t="s">
        <v>7950</v>
      </c>
      <c r="E28" s="9" t="s">
        <v>7923</v>
      </c>
      <c r="F28" s="9" t="s">
        <v>7948</v>
      </c>
      <c r="G28" s="36" t="s">
        <v>14</v>
      </c>
      <c r="H28" s="36" t="str">
        <f>IFERROR(VLOOKUP(Table2[[#This Row], [Ticket]],Okey!A:B,2,0),"")</f>
        <v>ok</v>
      </c>
      <c r="I28" s="36" t="s">
        <v>7975</v>
      </c>
      <c r="J28" s="36" t="s">
        <v>19</v>
      </c>
      <c r="K28" s="36" t="s">
        <v>8063</v>
      </c>
      <c r="L28" s="36"/>
      <c r="M28" s="36" t="s">
        <v>7943</v>
      </c>
    </row>
    <row r="29" spans="1:13" hidden="1">
      <c r="A29" s="42">
        <f t="shared" si="1"/>
        <v>28</v>
      </c>
      <c r="B29" s="36" t="s">
        <v>6</v>
      </c>
      <c r="C29" s="36" t="s">
        <v>7944</v>
      </c>
      <c r="D29" s="9" t="s">
        <v>7951</v>
      </c>
      <c r="E29" s="9" t="s">
        <v>7924</v>
      </c>
      <c r="F29" s="9" t="s">
        <v>7948</v>
      </c>
      <c r="G29" s="36" t="s">
        <v>14</v>
      </c>
      <c r="H29" s="36" t="str">
        <f>IFERROR(VLOOKUP(Table2[[#This Row], [Ticket]],Okey!A:B,2,0),"")</f>
        <v>ok</v>
      </c>
      <c r="I29" s="36" t="s">
        <v>7975</v>
      </c>
      <c r="J29" s="36" t="s">
        <v>19</v>
      </c>
      <c r="K29" s="36" t="s">
        <v>8063</v>
      </c>
      <c r="L29" s="36"/>
      <c r="M29" s="36" t="s">
        <v>7943</v>
      </c>
    </row>
    <row r="30" spans="1:13" hidden="1">
      <c r="A30" s="42">
        <f t="shared" si="1"/>
        <v>29</v>
      </c>
      <c r="B30" s="36" t="s">
        <v>6</v>
      </c>
      <c r="C30" s="36" t="s">
        <v>7944</v>
      </c>
      <c r="D30" s="9" t="s">
        <v>7952</v>
      </c>
      <c r="E30" s="9" t="s">
        <v>7925</v>
      </c>
      <c r="F30" s="9" t="s">
        <v>7948</v>
      </c>
      <c r="G30" s="36" t="s">
        <v>14</v>
      </c>
      <c r="H30" s="36" t="str">
        <f>IFERROR(VLOOKUP(Table2[[#This Row], [Ticket]],Okey!A:B,2,0),"")</f>
        <v>ok</v>
      </c>
      <c r="I30" s="36" t="s">
        <v>7975</v>
      </c>
      <c r="J30" s="36" t="s">
        <v>19</v>
      </c>
      <c r="K30" s="36" t="s">
        <v>8063</v>
      </c>
      <c r="L30" s="36"/>
      <c r="M30" s="36" t="s">
        <v>7943</v>
      </c>
    </row>
    <row r="31" spans="1:13" hidden="1">
      <c r="A31" s="42">
        <f t="shared" si="1"/>
        <v>30</v>
      </c>
      <c r="B31" s="36" t="s">
        <v>6</v>
      </c>
      <c r="C31" s="36" t="s">
        <v>7944</v>
      </c>
      <c r="D31" s="9" t="s">
        <v>7953</v>
      </c>
      <c r="E31" s="9" t="s">
        <v>7926</v>
      </c>
      <c r="F31" s="9" t="s">
        <v>7948</v>
      </c>
      <c r="G31" s="36" t="s">
        <v>14</v>
      </c>
      <c r="H31" s="36" t="str">
        <f>IFERROR(VLOOKUP(Table2[[#This Row], [Ticket]],Okey!A:B,2,0),"")</f>
        <v>ok</v>
      </c>
      <c r="I31" s="36" t="s">
        <v>7975</v>
      </c>
      <c r="J31" s="36" t="s">
        <v>19</v>
      </c>
      <c r="K31" s="36" t="s">
        <v>8063</v>
      </c>
      <c r="L31" s="36"/>
      <c r="M31" s="36" t="s">
        <v>7943</v>
      </c>
    </row>
    <row r="32" spans="1:13" hidden="1">
      <c r="A32" s="42">
        <f t="shared" si="1"/>
        <v>31</v>
      </c>
      <c r="B32" s="36" t="s">
        <v>6</v>
      </c>
      <c r="C32" s="36" t="s">
        <v>7944</v>
      </c>
      <c r="D32" s="9" t="s">
        <v>7954</v>
      </c>
      <c r="E32" s="9" t="s">
        <v>7927</v>
      </c>
      <c r="F32" s="9" t="s">
        <v>7949</v>
      </c>
      <c r="G32" s="36" t="s">
        <v>14</v>
      </c>
      <c r="H32" s="36" t="str">
        <f>IFERROR(VLOOKUP(Table2[[#This Row], [Ticket]],Okey!A:B,2,0),"")</f>
        <v>ok</v>
      </c>
      <c r="I32" s="36" t="s">
        <v>7975</v>
      </c>
      <c r="J32" s="36" t="s">
        <v>19</v>
      </c>
      <c r="K32" s="36" t="s">
        <v>8063</v>
      </c>
      <c r="L32" s="36"/>
      <c r="M32" s="36" t="s">
        <v>7943</v>
      </c>
    </row>
    <row r="33" spans="1:13" hidden="1">
      <c r="A33" s="42">
        <f t="shared" si="1"/>
        <v>32</v>
      </c>
      <c r="B33" s="36" t="s">
        <v>6</v>
      </c>
      <c r="C33" s="36" t="s">
        <v>7944</v>
      </c>
      <c r="D33" s="9" t="s">
        <v>7955</v>
      </c>
      <c r="E33" s="9" t="s">
        <v>7928</v>
      </c>
      <c r="F33" s="9" t="s">
        <v>7949</v>
      </c>
      <c r="G33" s="36" t="s">
        <v>14</v>
      </c>
      <c r="H33" s="36" t="str">
        <f>IFERROR(VLOOKUP(Table2[[#This Row], [Ticket]],Okey!A:B,2,0),"")</f>
        <v>ok</v>
      </c>
      <c r="I33" s="36" t="s">
        <v>7975</v>
      </c>
      <c r="J33" s="36" t="s">
        <v>19</v>
      </c>
      <c r="K33" s="36" t="s">
        <v>8063</v>
      </c>
      <c r="L33" s="36"/>
      <c r="M33" s="36" t="s">
        <v>7943</v>
      </c>
    </row>
    <row r="34" spans="1:13" hidden="1">
      <c r="A34" s="42">
        <f t="shared" si="1"/>
        <v>33</v>
      </c>
      <c r="B34" s="36" t="s">
        <v>6</v>
      </c>
      <c r="C34" s="36" t="s">
        <v>7944</v>
      </c>
      <c r="D34" s="9" t="s">
        <v>7956</v>
      </c>
      <c r="E34" s="9" t="s">
        <v>7929</v>
      </c>
      <c r="F34" s="9" t="s">
        <v>7950</v>
      </c>
      <c r="G34" s="36" t="s">
        <v>14</v>
      </c>
      <c r="H34" s="36" t="str">
        <f>IFERROR(VLOOKUP(Table2[[#This Row], [Ticket]],Okey!A:B,2,0),"")</f>
        <v>ok</v>
      </c>
      <c r="I34" s="36" t="s">
        <v>7975</v>
      </c>
      <c r="J34" s="36" t="s">
        <v>19</v>
      </c>
      <c r="K34" s="36" t="s">
        <v>8063</v>
      </c>
      <c r="L34" s="36"/>
      <c r="M34" s="36" t="s">
        <v>7943</v>
      </c>
    </row>
    <row r="35" spans="1:13" hidden="1">
      <c r="A35" s="42">
        <f t="shared" si="1"/>
        <v>34</v>
      </c>
      <c r="B35" s="36" t="s">
        <v>6</v>
      </c>
      <c r="C35" s="36" t="s">
        <v>7944</v>
      </c>
      <c r="D35" s="9" t="s">
        <v>7957</v>
      </c>
      <c r="E35" s="9" t="s">
        <v>7930</v>
      </c>
      <c r="F35" s="9" t="s">
        <v>7950</v>
      </c>
      <c r="G35" s="36" t="s">
        <v>14</v>
      </c>
      <c r="H35" s="36" t="str">
        <f>IFERROR(VLOOKUP(Table2[[#This Row], [Ticket]],Okey!A:B,2,0),"")</f>
        <v>ok</v>
      </c>
      <c r="I35" s="36" t="s">
        <v>7975</v>
      </c>
      <c r="J35" s="36" t="s">
        <v>19</v>
      </c>
      <c r="K35" s="36" t="s">
        <v>8063</v>
      </c>
      <c r="L35" s="36"/>
      <c r="M35" s="36" t="s">
        <v>7943</v>
      </c>
    </row>
    <row r="36" spans="1:13" hidden="1">
      <c r="A36" s="42">
        <f t="shared" si="1"/>
        <v>35</v>
      </c>
      <c r="B36" s="36" t="s">
        <v>6</v>
      </c>
      <c r="C36" s="36" t="s">
        <v>7944</v>
      </c>
      <c r="D36" s="9" t="s">
        <v>7958</v>
      </c>
      <c r="E36" s="9" t="s">
        <v>7931</v>
      </c>
      <c r="F36" s="9" t="s">
        <v>7950</v>
      </c>
      <c r="G36" s="36" t="s">
        <v>14</v>
      </c>
      <c r="H36" s="36" t="str">
        <f>IFERROR(VLOOKUP(Table2[[#This Row], [Ticket]],Okey!A:B,2,0),"")</f>
        <v>ok</v>
      </c>
      <c r="I36" s="36" t="s">
        <v>7975</v>
      </c>
      <c r="J36" s="36" t="s">
        <v>19</v>
      </c>
      <c r="K36" s="36" t="s">
        <v>8063</v>
      </c>
      <c r="L36" s="36"/>
      <c r="M36" s="36" t="s">
        <v>7943</v>
      </c>
    </row>
    <row r="37" spans="1:13" hidden="1">
      <c r="A37" s="42">
        <f t="shared" si="1"/>
        <v>36</v>
      </c>
      <c r="B37" s="36" t="s">
        <v>6</v>
      </c>
      <c r="C37" s="36" t="s">
        <v>7944</v>
      </c>
      <c r="D37" s="9" t="s">
        <v>7959</v>
      </c>
      <c r="E37" s="9" t="s">
        <v>7932</v>
      </c>
      <c r="F37" s="9" t="s">
        <v>7951</v>
      </c>
      <c r="G37" s="36" t="s">
        <v>14</v>
      </c>
      <c r="H37" s="36" t="str">
        <f>IFERROR(VLOOKUP(Table2[[#This Row], [Ticket]],Okey!A:B,2,0),"")</f>
        <v>ok</v>
      </c>
      <c r="I37" s="36" t="s">
        <v>7975</v>
      </c>
      <c r="J37" s="36" t="s">
        <v>19</v>
      </c>
      <c r="K37" s="36" t="s">
        <v>8063</v>
      </c>
      <c r="L37" s="36"/>
      <c r="M37" s="36" t="s">
        <v>7943</v>
      </c>
    </row>
    <row r="38" spans="1:13" hidden="1">
      <c r="A38" s="42">
        <f t="shared" si="1"/>
        <v>37</v>
      </c>
      <c r="B38" s="36" t="s">
        <v>6</v>
      </c>
      <c r="C38" s="36" t="s">
        <v>7944</v>
      </c>
      <c r="D38" s="9" t="s">
        <v>7960</v>
      </c>
      <c r="E38" s="9" t="s">
        <v>7933</v>
      </c>
      <c r="F38" s="9" t="s">
        <v>7951</v>
      </c>
      <c r="G38" s="36" t="s">
        <v>14</v>
      </c>
      <c r="H38" s="36" t="str">
        <f>IFERROR(VLOOKUP(Table2[[#This Row], [Ticket]],Okey!A:B,2,0),"")</f>
        <v>ok</v>
      </c>
      <c r="I38" s="36" t="s">
        <v>7975</v>
      </c>
      <c r="J38" s="36" t="s">
        <v>19</v>
      </c>
      <c r="K38" s="36" t="s">
        <v>8063</v>
      </c>
      <c r="L38" s="36"/>
      <c r="M38" s="36" t="s">
        <v>7943</v>
      </c>
    </row>
    <row r="39" spans="1:13" hidden="1">
      <c r="A39" s="42">
        <f t="shared" si="1"/>
        <v>38</v>
      </c>
      <c r="B39" s="36" t="s">
        <v>6</v>
      </c>
      <c r="C39" s="36" t="s">
        <v>7944</v>
      </c>
      <c r="D39" s="9" t="s">
        <v>7961</v>
      </c>
      <c r="E39" s="9" t="s">
        <v>7934</v>
      </c>
      <c r="F39" s="9" t="s">
        <v>7951</v>
      </c>
      <c r="G39" s="36" t="s">
        <v>14</v>
      </c>
      <c r="H39" s="36" t="str">
        <f>IFERROR(VLOOKUP(Table2[[#This Row], [Ticket]],Okey!A:B,2,0),"")</f>
        <v>ok</v>
      </c>
      <c r="I39" s="36" t="s">
        <v>7975</v>
      </c>
      <c r="J39" s="36" t="s">
        <v>19</v>
      </c>
      <c r="K39" s="36" t="s">
        <v>8063</v>
      </c>
      <c r="L39" s="36"/>
      <c r="M39" s="36" t="s">
        <v>7943</v>
      </c>
    </row>
    <row r="40" spans="1:13" hidden="1">
      <c r="A40" s="42">
        <f t="shared" si="1"/>
        <v>39</v>
      </c>
      <c r="B40" s="36" t="s">
        <v>6</v>
      </c>
      <c r="C40" s="36" t="s">
        <v>7944</v>
      </c>
      <c r="D40" s="9" t="s">
        <v>7962</v>
      </c>
      <c r="E40" s="9" t="s">
        <v>7935</v>
      </c>
      <c r="F40" s="9" t="s">
        <v>7951</v>
      </c>
      <c r="G40" s="36" t="s">
        <v>14</v>
      </c>
      <c r="H40" s="36" t="str">
        <f>IFERROR(VLOOKUP(Table2[[#This Row], [Ticket]],Okey!A:B,2,0),"")</f>
        <v>ok</v>
      </c>
      <c r="I40" s="36" t="s">
        <v>7975</v>
      </c>
      <c r="J40" s="36" t="s">
        <v>19</v>
      </c>
      <c r="K40" s="36" t="s">
        <v>8063</v>
      </c>
      <c r="L40" s="36"/>
      <c r="M40" s="36" t="s">
        <v>7943</v>
      </c>
    </row>
    <row r="41" spans="1:13" hidden="1">
      <c r="A41" s="42">
        <f t="shared" si="1"/>
        <v>40</v>
      </c>
      <c r="B41" s="36" t="s">
        <v>6</v>
      </c>
      <c r="C41" s="36" t="s">
        <v>7944</v>
      </c>
      <c r="D41" s="9" t="s">
        <v>7963</v>
      </c>
      <c r="E41" s="9" t="s">
        <v>7936</v>
      </c>
      <c r="F41" s="9" t="s">
        <v>7954</v>
      </c>
      <c r="G41" s="36" t="s">
        <v>14</v>
      </c>
      <c r="H41" s="36" t="str">
        <f>IFERROR(VLOOKUP(Table2[[#This Row], [Ticket]],Okey!A:B,2,0),"")</f>
        <v>ok</v>
      </c>
      <c r="I41" s="36" t="s">
        <v>7975</v>
      </c>
      <c r="J41" s="36" t="s">
        <v>19</v>
      </c>
      <c r="K41" s="36" t="s">
        <v>8063</v>
      </c>
      <c r="L41" s="36"/>
      <c r="M41" s="36" t="s">
        <v>7943</v>
      </c>
    </row>
    <row r="42" spans="1:13" hidden="1">
      <c r="A42" s="42">
        <f t="shared" si="1"/>
        <v>41</v>
      </c>
      <c r="B42" s="36" t="s">
        <v>6</v>
      </c>
      <c r="C42" s="36" t="s">
        <v>7944</v>
      </c>
      <c r="D42" s="9" t="s">
        <v>7964</v>
      </c>
      <c r="E42" s="9" t="s">
        <v>7937</v>
      </c>
      <c r="F42" s="9" t="s">
        <v>7955</v>
      </c>
      <c r="G42" s="36" t="s">
        <v>14</v>
      </c>
      <c r="H42" s="36" t="str">
        <f>IFERROR(VLOOKUP(Table2[[#This Row], [Ticket]],Okey!A:B,2,0),"")</f>
        <v>ok</v>
      </c>
      <c r="I42" s="36" t="s">
        <v>7975</v>
      </c>
      <c r="J42" s="36" t="s">
        <v>19</v>
      </c>
      <c r="K42" s="36" t="s">
        <v>8063</v>
      </c>
      <c r="L42" s="36"/>
      <c r="M42" s="36" t="s">
        <v>7943</v>
      </c>
    </row>
    <row r="43" spans="1:13" hidden="1">
      <c r="A43" s="42">
        <f t="shared" si="1"/>
        <v>42</v>
      </c>
      <c r="B43" s="36" t="s">
        <v>6</v>
      </c>
      <c r="C43" s="36" t="s">
        <v>7944</v>
      </c>
      <c r="D43" s="9" t="s">
        <v>7965</v>
      </c>
      <c r="E43" s="9" t="s">
        <v>7938</v>
      </c>
      <c r="F43" s="9" t="s">
        <v>7954</v>
      </c>
      <c r="G43" s="36" t="s">
        <v>14</v>
      </c>
      <c r="H43" s="36" t="str">
        <f>IFERROR(VLOOKUP(Table2[[#This Row], [Ticket]],Okey!A:B,2,0),"")</f>
        <v>ok</v>
      </c>
      <c r="I43" s="36" t="s">
        <v>7975</v>
      </c>
      <c r="J43" s="36" t="s">
        <v>19</v>
      </c>
      <c r="K43" s="36" t="s">
        <v>8063</v>
      </c>
      <c r="L43" s="36"/>
      <c r="M43" s="36" t="s">
        <v>7943</v>
      </c>
    </row>
    <row r="44" spans="1:13" hidden="1">
      <c r="A44" s="42">
        <f t="shared" si="1"/>
        <v>43</v>
      </c>
      <c r="B44" s="36" t="s">
        <v>6</v>
      </c>
      <c r="C44" s="36" t="s">
        <v>7944</v>
      </c>
      <c r="D44" s="9" t="s">
        <v>7966</v>
      </c>
      <c r="E44" s="9" t="s">
        <v>7939</v>
      </c>
      <c r="F44" s="9" t="s">
        <v>7954</v>
      </c>
      <c r="G44" s="36" t="s">
        <v>14</v>
      </c>
      <c r="H44" s="36" t="str">
        <f>IFERROR(VLOOKUP(Table2[[#This Row], [Ticket]],Okey!A:B,2,0),"")</f>
        <v>ok</v>
      </c>
      <c r="I44" s="36" t="s">
        <v>7975</v>
      </c>
      <c r="J44" s="36" t="s">
        <v>19</v>
      </c>
      <c r="K44" s="36" t="s">
        <v>8063</v>
      </c>
      <c r="L44" s="36"/>
      <c r="M44" s="36" t="s">
        <v>7943</v>
      </c>
    </row>
    <row r="45" spans="1:13" hidden="1">
      <c r="A45" s="42">
        <f t="shared" si="1"/>
        <v>44</v>
      </c>
      <c r="B45" s="36" t="s">
        <v>6</v>
      </c>
      <c r="C45" s="36" t="s">
        <v>7944</v>
      </c>
      <c r="D45" s="9" t="s">
        <v>7967</v>
      </c>
      <c r="E45" s="9" t="s">
        <v>7940</v>
      </c>
      <c r="F45" s="9" t="s">
        <v>7954</v>
      </c>
      <c r="G45" s="36" t="s">
        <v>14</v>
      </c>
      <c r="H45" s="36" t="str">
        <f>IFERROR(VLOOKUP(Table2[[#This Row], [Ticket]],Okey!A:B,2,0),"")</f>
        <v>ok</v>
      </c>
      <c r="I45" s="36" t="s">
        <v>7975</v>
      </c>
      <c r="J45" s="36" t="s">
        <v>19</v>
      </c>
      <c r="K45" s="36" t="s">
        <v>8063</v>
      </c>
      <c r="L45" s="36"/>
      <c r="M45" s="36" t="s">
        <v>7943</v>
      </c>
    </row>
    <row r="46" spans="1:13" hidden="1">
      <c r="A46" s="42">
        <f t="shared" si="1"/>
        <v>45</v>
      </c>
      <c r="B46" s="36" t="s">
        <v>6</v>
      </c>
      <c r="C46" s="36" t="s">
        <v>7944</v>
      </c>
      <c r="D46" s="9" t="s">
        <v>7968</v>
      </c>
      <c r="E46" s="9" t="s">
        <v>7941</v>
      </c>
      <c r="F46" s="9" t="s">
        <v>7954</v>
      </c>
      <c r="G46" s="36" t="s">
        <v>14</v>
      </c>
      <c r="H46" s="36" t="str">
        <f>IFERROR(VLOOKUP(Table2[[#This Row], [Ticket]],Okey!A:B,2,0),"")</f>
        <v>ok</v>
      </c>
      <c r="I46" s="36" t="s">
        <v>7975</v>
      </c>
      <c r="J46" s="36" t="s">
        <v>19</v>
      </c>
      <c r="K46" s="36" t="s">
        <v>8063</v>
      </c>
      <c r="L46" s="36"/>
      <c r="M46" s="36" t="s">
        <v>7943</v>
      </c>
    </row>
    <row r="47" spans="1:13" hidden="1">
      <c r="A47" s="42">
        <f t="shared" si="1"/>
        <v>46</v>
      </c>
      <c r="B47" s="36" t="s">
        <v>6</v>
      </c>
      <c r="C47" s="36" t="s">
        <v>7944</v>
      </c>
      <c r="D47" s="9" t="s">
        <v>7969</v>
      </c>
      <c r="E47" s="9" t="s">
        <v>7938</v>
      </c>
      <c r="F47" s="9" t="s">
        <v>7955</v>
      </c>
      <c r="G47" s="36" t="s">
        <v>14</v>
      </c>
      <c r="H47" s="36" t="str">
        <f>IFERROR(VLOOKUP(Table2[[#This Row], [Ticket]],Okey!A:B,2,0),"")</f>
        <v>ok</v>
      </c>
      <c r="I47" s="36" t="s">
        <v>7975</v>
      </c>
      <c r="J47" s="36" t="s">
        <v>19</v>
      </c>
      <c r="K47" s="36" t="s">
        <v>8063</v>
      </c>
      <c r="L47" s="36"/>
      <c r="M47" s="36" t="s">
        <v>7943</v>
      </c>
    </row>
    <row r="48" spans="1:13" hidden="1">
      <c r="A48" s="42">
        <f t="shared" si="1"/>
        <v>47</v>
      </c>
      <c r="B48" s="36" t="s">
        <v>6</v>
      </c>
      <c r="C48" s="36" t="s">
        <v>7944</v>
      </c>
      <c r="D48" s="9" t="s">
        <v>7970</v>
      </c>
      <c r="E48" s="9" t="s">
        <v>7939</v>
      </c>
      <c r="F48" s="9" t="s">
        <v>7955</v>
      </c>
      <c r="G48" s="36" t="s">
        <v>14</v>
      </c>
      <c r="H48" s="36" t="str">
        <f>IFERROR(VLOOKUP(Table2[[#This Row], [Ticket]],Okey!A:B,2,0),"")</f>
        <v>ok</v>
      </c>
      <c r="I48" s="36" t="s">
        <v>7975</v>
      </c>
      <c r="J48" s="36" t="s">
        <v>19</v>
      </c>
      <c r="K48" s="36" t="s">
        <v>8063</v>
      </c>
      <c r="L48" s="36"/>
      <c r="M48" s="36" t="s">
        <v>7943</v>
      </c>
    </row>
    <row r="49" spans="1:13" hidden="1">
      <c r="A49" s="42">
        <f t="shared" si="1"/>
        <v>48</v>
      </c>
      <c r="B49" s="36" t="s">
        <v>6</v>
      </c>
      <c r="C49" s="36" t="s">
        <v>7944</v>
      </c>
      <c r="D49" s="9" t="s">
        <v>7971</v>
      </c>
      <c r="E49" s="9" t="s">
        <v>7940</v>
      </c>
      <c r="F49" s="9" t="s">
        <v>7955</v>
      </c>
      <c r="G49" s="36" t="s">
        <v>14</v>
      </c>
      <c r="H49" s="36" t="str">
        <f>IFERROR(VLOOKUP(Table2[[#This Row], [Ticket]],Okey!A:B,2,0),"")</f>
        <v>ok</v>
      </c>
      <c r="I49" s="36" t="s">
        <v>7975</v>
      </c>
      <c r="J49" s="36" t="s">
        <v>19</v>
      </c>
      <c r="K49" s="36" t="s">
        <v>8063</v>
      </c>
      <c r="L49" s="36"/>
      <c r="M49" s="36" t="s">
        <v>7943</v>
      </c>
    </row>
    <row r="50" spans="1:13" hidden="1">
      <c r="A50" s="42">
        <f t="shared" si="1"/>
        <v>49</v>
      </c>
      <c r="B50" s="36" t="s">
        <v>6</v>
      </c>
      <c r="C50" s="36" t="s">
        <v>7944</v>
      </c>
      <c r="D50" s="9" t="s">
        <v>7972</v>
      </c>
      <c r="E50" s="9" t="s">
        <v>7941</v>
      </c>
      <c r="F50" s="9" t="s">
        <v>7955</v>
      </c>
      <c r="G50" s="36" t="s">
        <v>14</v>
      </c>
      <c r="H50" s="36" t="str">
        <f>IFERROR(VLOOKUP(Table2[[#This Row], [Ticket]],Okey!A:B,2,0),"")</f>
        <v>ok</v>
      </c>
      <c r="I50" s="36" t="s">
        <v>7975</v>
      </c>
      <c r="J50" s="36" t="s">
        <v>19</v>
      </c>
      <c r="K50" s="36" t="s">
        <v>8063</v>
      </c>
      <c r="L50" s="36"/>
      <c r="M50" s="36" t="s">
        <v>7943</v>
      </c>
    </row>
    <row r="51" spans="1:13" hidden="1">
      <c r="A51" s="42">
        <f t="shared" si="1"/>
        <v>50</v>
      </c>
      <c r="B51" s="36" t="s">
        <v>6</v>
      </c>
      <c r="C51" s="36" t="s">
        <v>7944</v>
      </c>
      <c r="D51" s="9" t="s">
        <v>7973</v>
      </c>
      <c r="E51" s="9" t="s">
        <v>7942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7975</v>
      </c>
      <c r="J51" s="36" t="s">
        <v>19</v>
      </c>
      <c r="K51" s="36" t="s">
        <v>8063</v>
      </c>
      <c r="L51" s="36"/>
      <c r="M51" s="36" t="s">
        <v>7943</v>
      </c>
    </row>
    <row r="52" spans="1:13" hidden="1">
      <c r="A52" s="42">
        <f t="shared" si="1"/>
        <v>51</v>
      </c>
      <c r="B52" s="36" t="s">
        <v>6</v>
      </c>
      <c r="C52" s="9" t="s">
        <v>7947</v>
      </c>
      <c r="D52" s="36" t="s">
        <v>7974</v>
      </c>
      <c r="E52" s="9" t="s">
        <v>7945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7975</v>
      </c>
      <c r="J52" s="36" t="s">
        <v>17</v>
      </c>
      <c r="K52" s="36" t="s">
        <v>8063</v>
      </c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7947</v>
      </c>
      <c r="D53" s="9" t="s">
        <v>7946</v>
      </c>
      <c r="E53" s="9" t="s">
        <v>7945</v>
      </c>
      <c r="F53" s="36" t="s">
        <v>7974</v>
      </c>
      <c r="G53" s="36" t="s">
        <v>14</v>
      </c>
      <c r="H53" s="36" t="str">
        <f>IFERROR(VLOOKUP(Table2[[#This Row], [Ticket]],Okey!A:B,2,0),"")</f>
        <v>ok</v>
      </c>
      <c r="I53" s="36" t="s">
        <v>7975</v>
      </c>
      <c r="J53" s="36" t="s">
        <v>17</v>
      </c>
      <c r="K53" s="36" t="s">
        <v>8063</v>
      </c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7978</v>
      </c>
      <c r="D54" s="9" t="s">
        <v>653</v>
      </c>
      <c r="E54" s="9" t="s">
        <v>7976</v>
      </c>
      <c r="G54" s="9" t="s">
        <v>15</v>
      </c>
      <c r="H54" s="36" t="str">
        <f>IFERROR(VLOOKUP(Table2[[#This Row], [Ticket]],Okey!A:B,2,0),"")</f>
        <v>ok</v>
      </c>
      <c r="I54" s="36" t="s">
        <v>7975</v>
      </c>
      <c r="J54" s="36" t="s">
        <v>19</v>
      </c>
      <c r="K54" s="36" t="s">
        <v>8062</v>
      </c>
    </row>
    <row r="55" spans="1:13" hidden="1">
      <c r="A55" s="42">
        <f t="shared" si="1"/>
        <v>54</v>
      </c>
      <c r="B55" s="36" t="s">
        <v>6</v>
      </c>
      <c r="C55" s="9" t="s">
        <v>7978</v>
      </c>
      <c r="D55" s="9" t="s">
        <v>1700</v>
      </c>
      <c r="E55" s="9" t="s">
        <v>7977</v>
      </c>
      <c r="G55" s="36" t="s">
        <v>15</v>
      </c>
      <c r="H55" s="36" t="str">
        <f>IFERROR(VLOOKUP(Table2[[#This Row], [Ticket]],Okey!A:B,2,0),"")</f>
        <v>ok</v>
      </c>
      <c r="I55" s="36" t="s">
        <v>7975</v>
      </c>
      <c r="J55" s="36" t="s">
        <v>19</v>
      </c>
      <c r="K55" s="36" t="s">
        <v>8062</v>
      </c>
    </row>
    <row r="56" spans="1:13" hidden="1">
      <c r="A56" s="42">
        <f t="shared" si="1"/>
        <v>55</v>
      </c>
      <c r="B56" s="36" t="s">
        <v>6</v>
      </c>
      <c r="C56" s="9" t="s">
        <v>7979</v>
      </c>
      <c r="D56" s="36" t="s">
        <v>8017</v>
      </c>
      <c r="E56" s="9" t="s">
        <v>7980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7975</v>
      </c>
      <c r="J56" s="9" t="s">
        <v>20</v>
      </c>
      <c r="K56" s="36" t="s">
        <v>8063</v>
      </c>
      <c r="L56" s="36"/>
      <c r="M56" s="9" t="s">
        <v>8016</v>
      </c>
    </row>
    <row r="57" spans="1:13" hidden="1">
      <c r="A57" s="42">
        <f t="shared" si="1"/>
        <v>56</v>
      </c>
      <c r="B57" s="36" t="s">
        <v>6</v>
      </c>
      <c r="C57" s="36" t="s">
        <v>7979</v>
      </c>
      <c r="D57" s="36" t="s">
        <v>8018</v>
      </c>
      <c r="E57" s="9" t="s">
        <v>7981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7975</v>
      </c>
      <c r="J57" s="36" t="s">
        <v>20</v>
      </c>
      <c r="K57" s="36" t="s">
        <v>8063</v>
      </c>
      <c r="L57" s="36"/>
      <c r="M57" s="36" t="s">
        <v>8016</v>
      </c>
    </row>
    <row r="58" spans="1:13" hidden="1">
      <c r="A58" s="42">
        <f t="shared" si="1"/>
        <v>57</v>
      </c>
      <c r="B58" s="36" t="s">
        <v>6</v>
      </c>
      <c r="C58" s="36" t="s">
        <v>7979</v>
      </c>
      <c r="D58" s="36" t="s">
        <v>8019</v>
      </c>
      <c r="E58" s="9" t="s">
        <v>7982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7975</v>
      </c>
      <c r="J58" s="36" t="s">
        <v>20</v>
      </c>
      <c r="K58" s="36" t="s">
        <v>8063</v>
      </c>
      <c r="L58" s="36"/>
      <c r="M58" s="36" t="s">
        <v>8016</v>
      </c>
    </row>
    <row r="59" spans="1:13" hidden="1">
      <c r="A59" s="42">
        <f t="shared" si="1"/>
        <v>58</v>
      </c>
      <c r="B59" s="36" t="s">
        <v>6</v>
      </c>
      <c r="C59" s="36" t="s">
        <v>7979</v>
      </c>
      <c r="D59" s="36" t="s">
        <v>8020</v>
      </c>
      <c r="E59" s="9" t="s">
        <v>7983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7975</v>
      </c>
      <c r="J59" s="36" t="s">
        <v>20</v>
      </c>
      <c r="K59" s="36" t="s">
        <v>8063</v>
      </c>
      <c r="L59" s="36"/>
      <c r="M59" s="36" t="s">
        <v>8016</v>
      </c>
    </row>
    <row r="60" spans="1:13" hidden="1">
      <c r="A60" s="42">
        <f t="shared" si="1"/>
        <v>59</v>
      </c>
      <c r="B60" s="36" t="s">
        <v>6</v>
      </c>
      <c r="C60" s="36" t="s">
        <v>7979</v>
      </c>
      <c r="D60" s="36" t="s">
        <v>8021</v>
      </c>
      <c r="E60" s="9" t="s">
        <v>7984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7975</v>
      </c>
      <c r="J60" s="36" t="s">
        <v>20</v>
      </c>
      <c r="K60" s="36" t="s">
        <v>8063</v>
      </c>
      <c r="L60" s="36"/>
      <c r="M60" s="36" t="s">
        <v>8016</v>
      </c>
    </row>
    <row r="61" spans="1:13" hidden="1">
      <c r="A61" s="42">
        <f t="shared" si="1"/>
        <v>60</v>
      </c>
      <c r="B61" s="36" t="s">
        <v>6</v>
      </c>
      <c r="C61" s="36" t="s">
        <v>7979</v>
      </c>
      <c r="D61" s="36" t="s">
        <v>8022</v>
      </c>
      <c r="E61" s="9" t="s">
        <v>7985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7975</v>
      </c>
      <c r="J61" s="36" t="s">
        <v>20</v>
      </c>
      <c r="K61" s="36" t="s">
        <v>8063</v>
      </c>
      <c r="L61" s="36"/>
      <c r="M61" s="36" t="s">
        <v>8016</v>
      </c>
    </row>
    <row r="62" spans="1:13" hidden="1">
      <c r="A62" s="42">
        <f t="shared" si="1"/>
        <v>61</v>
      </c>
      <c r="B62" s="36" t="s">
        <v>6</v>
      </c>
      <c r="C62" s="36" t="s">
        <v>7979</v>
      </c>
      <c r="D62" s="36" t="s">
        <v>8023</v>
      </c>
      <c r="E62" s="9" t="s">
        <v>7986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7975</v>
      </c>
      <c r="J62" s="36" t="s">
        <v>20</v>
      </c>
      <c r="K62" s="36" t="s">
        <v>8063</v>
      </c>
      <c r="L62" s="36"/>
      <c r="M62" s="36" t="s">
        <v>8016</v>
      </c>
    </row>
    <row r="63" spans="1:13" hidden="1">
      <c r="A63" s="42">
        <f t="shared" si="1"/>
        <v>62</v>
      </c>
      <c r="B63" s="36" t="s">
        <v>6</v>
      </c>
      <c r="C63" s="36" t="s">
        <v>7979</v>
      </c>
      <c r="D63" s="36" t="s">
        <v>8024</v>
      </c>
      <c r="E63" s="9" t="s">
        <v>7987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7975</v>
      </c>
      <c r="J63" s="36" t="s">
        <v>20</v>
      </c>
      <c r="K63" s="36" t="s">
        <v>8063</v>
      </c>
      <c r="L63" s="36"/>
      <c r="M63" s="36" t="s">
        <v>8016</v>
      </c>
    </row>
    <row r="64" spans="1:13" hidden="1">
      <c r="A64" s="42">
        <f t="shared" si="1"/>
        <v>63</v>
      </c>
      <c r="B64" s="36" t="s">
        <v>6</v>
      </c>
      <c r="C64" s="36" t="s">
        <v>7979</v>
      </c>
      <c r="D64" s="36" t="s">
        <v>8025</v>
      </c>
      <c r="E64" s="9" t="s">
        <v>7988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7975</v>
      </c>
      <c r="J64" s="36" t="s">
        <v>20</v>
      </c>
      <c r="K64" s="36" t="s">
        <v>8063</v>
      </c>
      <c r="L64" s="36"/>
      <c r="M64" s="36" t="s">
        <v>8016</v>
      </c>
    </row>
    <row r="65" spans="1:13" hidden="1">
      <c r="A65" s="42">
        <f t="shared" si="1"/>
        <v>64</v>
      </c>
      <c r="B65" s="36" t="s">
        <v>6</v>
      </c>
      <c r="C65" s="36" t="s">
        <v>7979</v>
      </c>
      <c r="D65" s="36" t="s">
        <v>8026</v>
      </c>
      <c r="E65" s="9" t="s">
        <v>7989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7975</v>
      </c>
      <c r="J65" s="36" t="s">
        <v>20</v>
      </c>
      <c r="K65" s="36" t="s">
        <v>8063</v>
      </c>
      <c r="L65" s="36"/>
      <c r="M65" s="36" t="s">
        <v>8016</v>
      </c>
    </row>
    <row r="66" spans="1:13" hidden="1">
      <c r="A66" s="42">
        <f t="shared" si="1"/>
        <v>65</v>
      </c>
      <c r="B66" s="36" t="s">
        <v>6</v>
      </c>
      <c r="C66" s="36" t="s">
        <v>7979</v>
      </c>
      <c r="D66" s="36" t="s">
        <v>8027</v>
      </c>
      <c r="E66" s="9" t="s">
        <v>7990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7975</v>
      </c>
      <c r="J66" s="36" t="s">
        <v>20</v>
      </c>
      <c r="K66" s="36" t="s">
        <v>8063</v>
      </c>
      <c r="L66" s="36"/>
      <c r="M66" s="36" t="s">
        <v>8016</v>
      </c>
    </row>
    <row r="67" spans="1:13" hidden="1">
      <c r="A67" s="42">
        <f t="shared" si="1"/>
        <v>66</v>
      </c>
      <c r="B67" s="36" t="s">
        <v>6</v>
      </c>
      <c r="C67" s="36" t="s">
        <v>7979</v>
      </c>
      <c r="D67" s="36" t="s">
        <v>8028</v>
      </c>
      <c r="E67" s="9" t="s">
        <v>7991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7975</v>
      </c>
      <c r="J67" s="36" t="s">
        <v>20</v>
      </c>
      <c r="K67" s="36" t="s">
        <v>8063</v>
      </c>
      <c r="L67" s="36"/>
      <c r="M67" s="36" t="s">
        <v>8016</v>
      </c>
    </row>
    <row r="68" spans="1:13" hidden="1">
      <c r="A68" s="42">
        <f t="shared" si="1"/>
        <v>67</v>
      </c>
      <c r="B68" s="36" t="s">
        <v>6</v>
      </c>
      <c r="C68" s="36" t="s">
        <v>7979</v>
      </c>
      <c r="D68" s="36" t="s">
        <v>8029</v>
      </c>
      <c r="E68" s="9" t="s">
        <v>7992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7975</v>
      </c>
      <c r="J68" s="36" t="s">
        <v>20</v>
      </c>
      <c r="K68" s="36" t="s">
        <v>8063</v>
      </c>
      <c r="L68" s="36"/>
      <c r="M68" s="36" t="s">
        <v>8016</v>
      </c>
    </row>
    <row r="69" spans="1:13" hidden="1">
      <c r="A69" s="42">
        <f t="shared" si="1"/>
        <v>68</v>
      </c>
      <c r="B69" s="36" t="s">
        <v>6</v>
      </c>
      <c r="C69" s="36" t="s">
        <v>7979</v>
      </c>
      <c r="D69" s="36" t="s">
        <v>8030</v>
      </c>
      <c r="E69" s="9" t="s">
        <v>7993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7975</v>
      </c>
      <c r="J69" s="36" t="s">
        <v>20</v>
      </c>
      <c r="K69" s="36" t="s">
        <v>8063</v>
      </c>
      <c r="L69" s="36"/>
      <c r="M69" s="36" t="s">
        <v>8016</v>
      </c>
    </row>
    <row r="70" spans="1:13" hidden="1">
      <c r="A70" s="42">
        <f t="shared" si="1"/>
        <v>69</v>
      </c>
      <c r="B70" s="36" t="s">
        <v>6</v>
      </c>
      <c r="C70" s="36" t="s">
        <v>7979</v>
      </c>
      <c r="D70" s="36" t="s">
        <v>8031</v>
      </c>
      <c r="E70" s="9" t="s">
        <v>7994</v>
      </c>
      <c r="F70" s="36" t="s">
        <v>8030</v>
      </c>
      <c r="G70" s="36" t="s">
        <v>14</v>
      </c>
      <c r="H70" s="36" t="str">
        <f>IFERROR(VLOOKUP(Table2[[#This Row], [Ticket]],Okey!A:B,2,0),"")</f>
        <v>ok</v>
      </c>
      <c r="I70" s="36" t="s">
        <v>7975</v>
      </c>
      <c r="J70" s="36" t="s">
        <v>20</v>
      </c>
      <c r="K70" s="36" t="s">
        <v>8063</v>
      </c>
      <c r="L70" s="36"/>
      <c r="M70" s="36" t="s">
        <v>8016</v>
      </c>
    </row>
    <row r="71" spans="1:13" hidden="1">
      <c r="A71" s="42">
        <f t="shared" si="1"/>
        <v>70</v>
      </c>
      <c r="B71" s="36" t="s">
        <v>6</v>
      </c>
      <c r="C71" s="36" t="s">
        <v>7979</v>
      </c>
      <c r="D71" s="36" t="s">
        <v>8032</v>
      </c>
      <c r="E71" s="9" t="s">
        <v>7995</v>
      </c>
      <c r="F71" s="36" t="s">
        <v>8030</v>
      </c>
      <c r="G71" s="36" t="s">
        <v>14</v>
      </c>
      <c r="H71" s="36" t="str">
        <f>IFERROR(VLOOKUP(Table2[[#This Row], [Ticket]],Okey!A:B,2,0),"")</f>
        <v>ok</v>
      </c>
      <c r="I71" s="36" t="s">
        <v>7975</v>
      </c>
      <c r="J71" s="36" t="s">
        <v>20</v>
      </c>
      <c r="K71" s="36" t="s">
        <v>8063</v>
      </c>
      <c r="L71" s="36"/>
      <c r="M71" s="36" t="s">
        <v>8016</v>
      </c>
    </row>
    <row r="72" spans="1:13" hidden="1">
      <c r="A72" s="42">
        <f t="shared" si="1"/>
        <v>71</v>
      </c>
      <c r="B72" s="36" t="s">
        <v>6</v>
      </c>
      <c r="C72" s="36" t="s">
        <v>7979</v>
      </c>
      <c r="D72" s="36" t="s">
        <v>8033</v>
      </c>
      <c r="E72" s="9" t="s">
        <v>7996</v>
      </c>
      <c r="F72" s="36" t="s">
        <v>8030</v>
      </c>
      <c r="G72" s="36" t="s">
        <v>14</v>
      </c>
      <c r="H72" s="36" t="str">
        <f>IFERROR(VLOOKUP(Table2[[#This Row], [Ticket]],Okey!A:B,2,0),"")</f>
        <v>ok</v>
      </c>
      <c r="I72" s="36" t="s">
        <v>7975</v>
      </c>
      <c r="J72" s="36" t="s">
        <v>20</v>
      </c>
      <c r="K72" s="36" t="s">
        <v>8063</v>
      </c>
      <c r="L72" s="36"/>
      <c r="M72" s="36" t="s">
        <v>8016</v>
      </c>
    </row>
    <row r="73" spans="1:13" hidden="1">
      <c r="A73" s="42">
        <f t="shared" si="1"/>
        <v>72</v>
      </c>
      <c r="B73" s="36" t="s">
        <v>6</v>
      </c>
      <c r="C73" s="36" t="s">
        <v>7979</v>
      </c>
      <c r="D73" s="36" t="s">
        <v>8034</v>
      </c>
      <c r="E73" s="9" t="s">
        <v>7997</v>
      </c>
      <c r="F73" s="36" t="s">
        <v>8030</v>
      </c>
      <c r="G73" s="36" t="s">
        <v>14</v>
      </c>
      <c r="H73" s="36" t="str">
        <f>IFERROR(VLOOKUP(Table2[[#This Row], [Ticket]],Okey!A:B,2,0),"")</f>
        <v>ok</v>
      </c>
      <c r="I73" s="36" t="s">
        <v>7975</v>
      </c>
      <c r="J73" s="36" t="s">
        <v>20</v>
      </c>
      <c r="K73" s="36" t="s">
        <v>8063</v>
      </c>
      <c r="L73" s="36"/>
      <c r="M73" s="36" t="s">
        <v>8016</v>
      </c>
    </row>
    <row r="74" spans="1:13" hidden="1">
      <c r="A74" s="42">
        <f t="shared" si="1"/>
        <v>73</v>
      </c>
      <c r="B74" s="36" t="s">
        <v>6</v>
      </c>
      <c r="C74" s="36" t="s">
        <v>7979</v>
      </c>
      <c r="D74" s="36" t="s">
        <v>8035</v>
      </c>
      <c r="E74" s="9" t="s">
        <v>7998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7975</v>
      </c>
      <c r="J74" s="36" t="s">
        <v>20</v>
      </c>
      <c r="K74" s="36" t="s">
        <v>8063</v>
      </c>
      <c r="L74" s="36"/>
      <c r="M74" s="36" t="s">
        <v>8016</v>
      </c>
    </row>
    <row r="75" spans="1:13" hidden="1">
      <c r="A75" s="42">
        <f t="shared" si="1"/>
        <v>74</v>
      </c>
      <c r="B75" s="36" t="s">
        <v>6</v>
      </c>
      <c r="C75" s="36" t="s">
        <v>7979</v>
      </c>
      <c r="D75" s="36" t="s">
        <v>8036</v>
      </c>
      <c r="E75" s="9" t="s">
        <v>7999</v>
      </c>
      <c r="F75" s="36" t="s">
        <v>8035</v>
      </c>
      <c r="G75" s="36" t="s">
        <v>14</v>
      </c>
      <c r="H75" s="36" t="str">
        <f>IFERROR(VLOOKUP(Table2[[#This Row], [Ticket]],Okey!A:B,2,0),"")</f>
        <v>ok</v>
      </c>
      <c r="I75" s="36" t="s">
        <v>7975</v>
      </c>
      <c r="J75" s="36" t="s">
        <v>20</v>
      </c>
      <c r="K75" s="36" t="s">
        <v>8063</v>
      </c>
      <c r="L75" s="36"/>
      <c r="M75" s="36" t="s">
        <v>8016</v>
      </c>
    </row>
    <row r="76" spans="1:13" hidden="1">
      <c r="A76" s="42">
        <f t="shared" si="1"/>
        <v>75</v>
      </c>
      <c r="B76" s="36" t="s">
        <v>6</v>
      </c>
      <c r="C76" s="36" t="s">
        <v>7979</v>
      </c>
      <c r="D76" s="36" t="s">
        <v>8037</v>
      </c>
      <c r="E76" s="9" t="s">
        <v>8000</v>
      </c>
      <c r="F76" s="36" t="s">
        <v>8036</v>
      </c>
      <c r="G76" s="36" t="s">
        <v>14</v>
      </c>
      <c r="H76" s="36" t="str">
        <f>IFERROR(VLOOKUP(Table2[[#This Row], [Ticket]],Okey!A:B,2,0),"")</f>
        <v>ok</v>
      </c>
      <c r="I76" s="36" t="s">
        <v>7975</v>
      </c>
      <c r="J76" s="36" t="s">
        <v>20</v>
      </c>
      <c r="K76" s="36" t="s">
        <v>8063</v>
      </c>
      <c r="L76" s="36"/>
      <c r="M76" s="36" t="s">
        <v>8016</v>
      </c>
    </row>
    <row r="77" spans="1:13" hidden="1">
      <c r="A77" s="42">
        <f t="shared" si="1"/>
        <v>76</v>
      </c>
      <c r="B77" s="36" t="s">
        <v>6</v>
      </c>
      <c r="C77" s="36" t="s">
        <v>7979</v>
      </c>
      <c r="D77" s="36" t="s">
        <v>8038</v>
      </c>
      <c r="E77" s="9" t="s">
        <v>8001</v>
      </c>
      <c r="F77" s="36" t="s">
        <v>8035</v>
      </c>
      <c r="G77" s="36" t="s">
        <v>14</v>
      </c>
      <c r="H77" s="36" t="str">
        <f>IFERROR(VLOOKUP(Table2[[#This Row], [Ticket]],Okey!A:B,2,0),"")</f>
        <v>ok</v>
      </c>
      <c r="I77" s="36" t="s">
        <v>7975</v>
      </c>
      <c r="J77" s="36" t="s">
        <v>20</v>
      </c>
      <c r="K77" s="36" t="s">
        <v>8063</v>
      </c>
      <c r="L77" s="36"/>
      <c r="M77" s="36" t="s">
        <v>8016</v>
      </c>
    </row>
    <row r="78" spans="1:13" hidden="1">
      <c r="A78" s="42">
        <f t="shared" si="1"/>
        <v>77</v>
      </c>
      <c r="B78" s="36" t="s">
        <v>6</v>
      </c>
      <c r="C78" s="36" t="s">
        <v>7979</v>
      </c>
      <c r="D78" s="36" t="s">
        <v>8039</v>
      </c>
      <c r="E78" s="9" t="s">
        <v>8002</v>
      </c>
      <c r="F78" s="36" t="s">
        <v>8036</v>
      </c>
      <c r="G78" s="36" t="s">
        <v>14</v>
      </c>
      <c r="H78" s="36" t="str">
        <f>IFERROR(VLOOKUP(Table2[[#This Row], [Ticket]],Okey!A:B,2,0),"")</f>
        <v>ok</v>
      </c>
      <c r="I78" s="36" t="s">
        <v>7975</v>
      </c>
      <c r="J78" s="36" t="s">
        <v>20</v>
      </c>
      <c r="K78" s="36" t="s">
        <v>8063</v>
      </c>
      <c r="L78" s="36"/>
      <c r="M78" s="36" t="s">
        <v>8016</v>
      </c>
    </row>
    <row r="79" spans="1:13" hidden="1">
      <c r="A79" s="42">
        <f t="shared" si="1"/>
        <v>78</v>
      </c>
      <c r="B79" s="36" t="s">
        <v>6</v>
      </c>
      <c r="C79" s="36" t="s">
        <v>7979</v>
      </c>
      <c r="D79" s="36" t="s">
        <v>8040</v>
      </c>
      <c r="E79" s="9" t="s">
        <v>8003</v>
      </c>
      <c r="F79" s="36" t="s">
        <v>8035</v>
      </c>
      <c r="G79" s="36" t="s">
        <v>14</v>
      </c>
      <c r="H79" s="36" t="str">
        <f>IFERROR(VLOOKUP(Table2[[#This Row], [Ticket]],Okey!A:B,2,0),"")</f>
        <v>ok</v>
      </c>
      <c r="I79" s="36" t="s">
        <v>7975</v>
      </c>
      <c r="J79" s="36" t="s">
        <v>20</v>
      </c>
      <c r="K79" s="36" t="s">
        <v>8063</v>
      </c>
      <c r="L79" s="36"/>
      <c r="M79" s="36" t="s">
        <v>8016</v>
      </c>
    </row>
    <row r="80" spans="1:13" hidden="1">
      <c r="A80" s="42">
        <f t="shared" si="1"/>
        <v>79</v>
      </c>
      <c r="B80" s="36" t="s">
        <v>6</v>
      </c>
      <c r="C80" s="36" t="s">
        <v>7979</v>
      </c>
      <c r="D80" s="36" t="s">
        <v>8041</v>
      </c>
      <c r="E80" s="9" t="s">
        <v>8004</v>
      </c>
      <c r="F80" s="36" t="s">
        <v>8035</v>
      </c>
      <c r="G80" s="36" t="s">
        <v>14</v>
      </c>
      <c r="H80" s="36" t="str">
        <f>IFERROR(VLOOKUP(Table2[[#This Row], [Ticket]],Okey!A:B,2,0),"")</f>
        <v>ok</v>
      </c>
      <c r="I80" s="36" t="s">
        <v>7975</v>
      </c>
      <c r="J80" s="36" t="s">
        <v>20</v>
      </c>
      <c r="K80" s="36" t="s">
        <v>8063</v>
      </c>
      <c r="L80" s="36"/>
      <c r="M80" s="36" t="s">
        <v>8016</v>
      </c>
    </row>
    <row r="81" spans="1:13" hidden="1">
      <c r="A81" s="42">
        <f t="shared" si="1"/>
        <v>80</v>
      </c>
      <c r="B81" s="36" t="s">
        <v>6</v>
      </c>
      <c r="C81" s="36" t="s">
        <v>7979</v>
      </c>
      <c r="D81" s="36" t="s">
        <v>8042</v>
      </c>
      <c r="E81" s="9" t="s">
        <v>8005</v>
      </c>
      <c r="F81" s="36" t="s">
        <v>8041</v>
      </c>
      <c r="G81" s="36" t="s">
        <v>14</v>
      </c>
      <c r="H81" s="36" t="str">
        <f>IFERROR(VLOOKUP(Table2[[#This Row], [Ticket]],Okey!A:B,2,0),"")</f>
        <v>ok</v>
      </c>
      <c r="I81" s="36" t="s">
        <v>7975</v>
      </c>
      <c r="J81" s="36" t="s">
        <v>20</v>
      </c>
      <c r="K81" s="36" t="s">
        <v>8063</v>
      </c>
      <c r="L81" s="36"/>
      <c r="M81" s="36" t="s">
        <v>8016</v>
      </c>
    </row>
    <row r="82" spans="1:13" hidden="1">
      <c r="A82" s="42">
        <f t="shared" si="1"/>
        <v>81</v>
      </c>
      <c r="B82" s="36" t="s">
        <v>6</v>
      </c>
      <c r="C82" s="36" t="s">
        <v>7979</v>
      </c>
      <c r="D82" s="36" t="s">
        <v>8043</v>
      </c>
      <c r="E82" s="9" t="s">
        <v>8006</v>
      </c>
      <c r="F82" s="36" t="s">
        <v>8035</v>
      </c>
      <c r="G82" s="36" t="s">
        <v>14</v>
      </c>
      <c r="H82" s="36" t="str">
        <f>IFERROR(VLOOKUP(Table2[[#This Row], [Ticket]],Okey!A:B,2,0),"")</f>
        <v>ok</v>
      </c>
      <c r="I82" s="36" t="s">
        <v>7975</v>
      </c>
      <c r="J82" s="36" t="s">
        <v>20</v>
      </c>
      <c r="K82" s="36" t="s">
        <v>8063</v>
      </c>
      <c r="L82" s="36"/>
      <c r="M82" s="36" t="s">
        <v>8016</v>
      </c>
    </row>
    <row r="83" spans="1:13" hidden="1">
      <c r="A83" s="42">
        <f t="shared" si="1"/>
        <v>82</v>
      </c>
      <c r="B83" s="36" t="s">
        <v>6</v>
      </c>
      <c r="C83" s="36" t="s">
        <v>7979</v>
      </c>
      <c r="D83" s="36" t="s">
        <v>8044</v>
      </c>
      <c r="E83" s="9" t="s">
        <v>8007</v>
      </c>
      <c r="F83" s="36" t="s">
        <v>8035</v>
      </c>
      <c r="G83" s="36" t="s">
        <v>14</v>
      </c>
      <c r="H83" s="36" t="str">
        <f>IFERROR(VLOOKUP(Table2[[#This Row], [Ticket]],Okey!A:B,2,0),"")</f>
        <v>ok</v>
      </c>
      <c r="I83" s="36" t="s">
        <v>7975</v>
      </c>
      <c r="J83" s="36" t="s">
        <v>20</v>
      </c>
      <c r="K83" s="36" t="s">
        <v>8063</v>
      </c>
      <c r="L83" s="36"/>
      <c r="M83" s="36" t="s">
        <v>8016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7979</v>
      </c>
      <c r="D84" s="36" t="s">
        <v>8045</v>
      </c>
      <c r="E84" s="9" t="s">
        <v>8008</v>
      </c>
      <c r="F84" s="36" t="s">
        <v>8035</v>
      </c>
      <c r="G84" s="36" t="s">
        <v>14</v>
      </c>
      <c r="H84" s="36" t="str">
        <f>IFERROR(VLOOKUP(Table2[[#This Row], [Ticket]],Okey!A:B,2,0),"")</f>
        <v>ok</v>
      </c>
      <c r="I84" s="36" t="s">
        <v>7975</v>
      </c>
      <c r="J84" s="36" t="s">
        <v>20</v>
      </c>
      <c r="K84" s="36" t="s">
        <v>8063</v>
      </c>
      <c r="L84" s="36"/>
      <c r="M84" s="36" t="s">
        <v>8016</v>
      </c>
    </row>
    <row r="85" spans="1:13" hidden="1">
      <c r="A85" s="42">
        <f t="shared" si="2"/>
        <v>84</v>
      </c>
      <c r="B85" s="36" t="s">
        <v>6</v>
      </c>
      <c r="C85" s="36" t="s">
        <v>7979</v>
      </c>
      <c r="D85" s="36" t="s">
        <v>8046</v>
      </c>
      <c r="E85" s="9" t="s">
        <v>8009</v>
      </c>
      <c r="F85" s="36" t="s">
        <v>8045</v>
      </c>
      <c r="G85" s="36" t="s">
        <v>14</v>
      </c>
      <c r="H85" s="36" t="str">
        <f>IFERROR(VLOOKUP(Table2[[#This Row], [Ticket]],Okey!A:B,2,0),"")</f>
        <v>ok</v>
      </c>
      <c r="I85" s="36" t="s">
        <v>7975</v>
      </c>
      <c r="J85" s="36" t="s">
        <v>20</v>
      </c>
      <c r="K85" s="36" t="s">
        <v>8063</v>
      </c>
      <c r="L85" s="36"/>
      <c r="M85" s="36" t="s">
        <v>8016</v>
      </c>
    </row>
    <row r="86" spans="1:13" hidden="1">
      <c r="A86" s="42">
        <f t="shared" si="2"/>
        <v>85</v>
      </c>
      <c r="B86" s="36" t="s">
        <v>6</v>
      </c>
      <c r="C86" s="36" t="s">
        <v>7979</v>
      </c>
      <c r="D86" s="36" t="s">
        <v>8047</v>
      </c>
      <c r="E86" s="9" t="s">
        <v>8010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7975</v>
      </c>
      <c r="J86" s="36" t="s">
        <v>20</v>
      </c>
      <c r="K86" s="36" t="s">
        <v>8063</v>
      </c>
      <c r="L86" s="36"/>
      <c r="M86" s="36" t="s">
        <v>8016</v>
      </c>
    </row>
    <row r="87" spans="1:13" hidden="1">
      <c r="A87" s="42">
        <f t="shared" si="2"/>
        <v>86</v>
      </c>
      <c r="B87" s="36" t="s">
        <v>6</v>
      </c>
      <c r="C87" s="36" t="s">
        <v>7979</v>
      </c>
      <c r="D87" s="36" t="s">
        <v>8048</v>
      </c>
      <c r="E87" s="9" t="s">
        <v>8011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7975</v>
      </c>
      <c r="J87" s="36" t="s">
        <v>20</v>
      </c>
      <c r="K87" s="36" t="s">
        <v>8063</v>
      </c>
      <c r="L87" s="36"/>
      <c r="M87" s="36" t="s">
        <v>8016</v>
      </c>
    </row>
    <row r="88" spans="1:13" hidden="1">
      <c r="A88" s="42">
        <f t="shared" si="2"/>
        <v>87</v>
      </c>
      <c r="B88" s="36" t="s">
        <v>6</v>
      </c>
      <c r="C88" s="36" t="s">
        <v>7979</v>
      </c>
      <c r="D88" s="36" t="s">
        <v>8049</v>
      </c>
      <c r="E88" s="9" t="s">
        <v>8012</v>
      </c>
      <c r="F88" s="36" t="s">
        <v>8048</v>
      </c>
      <c r="G88" s="36" t="s">
        <v>14</v>
      </c>
      <c r="H88" s="36" t="str">
        <f>IFERROR(VLOOKUP(Table2[[#This Row], [Ticket]],Okey!A:B,2,0),"")</f>
        <v>ok</v>
      </c>
      <c r="I88" s="36" t="s">
        <v>7975</v>
      </c>
      <c r="J88" s="36" t="s">
        <v>20</v>
      </c>
      <c r="K88" s="36" t="s">
        <v>8063</v>
      </c>
      <c r="L88" s="36"/>
      <c r="M88" s="36" t="s">
        <v>8016</v>
      </c>
    </row>
    <row r="89" spans="1:13" hidden="1">
      <c r="A89" s="42">
        <f t="shared" si="2"/>
        <v>88</v>
      </c>
      <c r="B89" s="36" t="s">
        <v>6</v>
      </c>
      <c r="C89" s="36" t="s">
        <v>7979</v>
      </c>
      <c r="D89" s="36" t="s">
        <v>8050</v>
      </c>
      <c r="E89" s="9" t="s">
        <v>8013</v>
      </c>
      <c r="F89" s="36" t="s">
        <v>8048</v>
      </c>
      <c r="G89" s="36" t="s">
        <v>14</v>
      </c>
      <c r="H89" s="36" t="str">
        <f>IFERROR(VLOOKUP(Table2[[#This Row], [Ticket]],Okey!A:B,2,0),"")</f>
        <v>ok</v>
      </c>
      <c r="I89" s="36" t="s">
        <v>7975</v>
      </c>
      <c r="J89" s="36" t="s">
        <v>20</v>
      </c>
      <c r="K89" s="36" t="s">
        <v>8063</v>
      </c>
      <c r="L89" s="36"/>
      <c r="M89" s="36" t="s">
        <v>8016</v>
      </c>
    </row>
    <row r="90" spans="1:13" hidden="1">
      <c r="A90" s="42">
        <f t="shared" si="2"/>
        <v>89</v>
      </c>
      <c r="B90" s="36" t="s">
        <v>6</v>
      </c>
      <c r="C90" s="36" t="s">
        <v>7979</v>
      </c>
      <c r="D90" s="36" t="s">
        <v>8051</v>
      </c>
      <c r="E90" s="9" t="s">
        <v>8014</v>
      </c>
      <c r="F90" s="36" t="s">
        <v>8048</v>
      </c>
      <c r="G90" s="36" t="s">
        <v>14</v>
      </c>
      <c r="H90" s="36" t="str">
        <f>IFERROR(VLOOKUP(Table2[[#This Row], [Ticket]],Okey!A:B,2,0),"")</f>
        <v>ok</v>
      </c>
      <c r="I90" s="36" t="s">
        <v>7975</v>
      </c>
      <c r="J90" s="36" t="s">
        <v>20</v>
      </c>
      <c r="K90" s="36" t="s">
        <v>8063</v>
      </c>
      <c r="L90" s="36"/>
      <c r="M90" s="36" t="s">
        <v>8016</v>
      </c>
    </row>
    <row r="91" spans="1:13" hidden="1">
      <c r="A91" s="42">
        <f t="shared" si="2"/>
        <v>90</v>
      </c>
      <c r="B91" s="36" t="s">
        <v>6</v>
      </c>
      <c r="C91" s="36" t="s">
        <v>7979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7975</v>
      </c>
      <c r="J91" s="36" t="s">
        <v>20</v>
      </c>
      <c r="K91" s="36" t="s">
        <v>8064</v>
      </c>
      <c r="L91" s="36"/>
      <c r="M91" s="36" t="s">
        <v>8016</v>
      </c>
    </row>
    <row r="92" spans="1:13" hidden="1">
      <c r="A92" s="42">
        <f t="shared" si="2"/>
        <v>91</v>
      </c>
      <c r="B92" s="36" t="s">
        <v>6</v>
      </c>
      <c r="C92" s="36" t="s">
        <v>7979</v>
      </c>
      <c r="D92" s="36" t="s">
        <v>2245</v>
      </c>
      <c r="F92" s="9" t="s">
        <v>8052</v>
      </c>
      <c r="G92" s="36" t="s">
        <v>13</v>
      </c>
      <c r="H92" s="36" t="str">
        <f>IFERROR(VLOOKUP(Table2[[#This Row], [Ticket]],Okey!A:B,2,0),"")</f>
        <v>ok</v>
      </c>
      <c r="I92" s="36" t="s">
        <v>7975</v>
      </c>
      <c r="J92" s="36" t="s">
        <v>20</v>
      </c>
      <c r="K92" s="36" t="s">
        <v>8064</v>
      </c>
      <c r="L92" s="36"/>
      <c r="M92" s="36" t="s">
        <v>8016</v>
      </c>
    </row>
    <row r="93" spans="1:13" hidden="1">
      <c r="A93" s="42">
        <f t="shared" si="2"/>
        <v>92</v>
      </c>
      <c r="B93" s="36" t="s">
        <v>6</v>
      </c>
      <c r="C93" s="36" t="s">
        <v>7979</v>
      </c>
      <c r="D93" s="36" t="s">
        <v>2250</v>
      </c>
      <c r="F93" s="9" t="s">
        <v>8052</v>
      </c>
      <c r="G93" s="36" t="s">
        <v>13</v>
      </c>
      <c r="H93" s="36" t="str">
        <f>IFERROR(VLOOKUP(Table2[[#This Row], [Ticket]],Okey!A:B,2,0),"")</f>
        <v>ok</v>
      </c>
      <c r="I93" s="36" t="s">
        <v>7975</v>
      </c>
      <c r="J93" s="36" t="s">
        <v>20</v>
      </c>
      <c r="K93" s="36" t="s">
        <v>8064</v>
      </c>
      <c r="L93" s="36"/>
      <c r="M93" s="36" t="s">
        <v>8016</v>
      </c>
    </row>
    <row r="94" spans="1:13" hidden="1">
      <c r="A94" s="42">
        <f t="shared" si="2"/>
        <v>93</v>
      </c>
      <c r="B94" s="36" t="s">
        <v>6</v>
      </c>
      <c r="C94" s="36" t="s">
        <v>7979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7975</v>
      </c>
      <c r="J94" s="36" t="s">
        <v>20</v>
      </c>
      <c r="K94" s="36" t="s">
        <v>8064</v>
      </c>
      <c r="L94" s="36"/>
      <c r="M94" s="36" t="s">
        <v>8016</v>
      </c>
    </row>
    <row r="95" spans="1:13" hidden="1">
      <c r="A95" s="42">
        <f t="shared" si="2"/>
        <v>94</v>
      </c>
      <c r="B95" s="36" t="s">
        <v>6</v>
      </c>
      <c r="C95" s="36" t="s">
        <v>7979</v>
      </c>
      <c r="D95" s="36" t="s">
        <v>2020</v>
      </c>
      <c r="F95" s="36" t="s">
        <v>8017</v>
      </c>
      <c r="G95" s="36" t="s">
        <v>13</v>
      </c>
      <c r="H95" s="36" t="str">
        <f>IFERROR(VLOOKUP(Table2[[#This Row], [Ticket]],Okey!A:B,2,0),"")</f>
        <v>ok</v>
      </c>
      <c r="I95" s="36" t="s">
        <v>7975</v>
      </c>
      <c r="J95" s="36" t="s">
        <v>20</v>
      </c>
      <c r="K95" s="36" t="s">
        <v>8064</v>
      </c>
      <c r="L95" s="36"/>
      <c r="M95" s="36" t="s">
        <v>8016</v>
      </c>
    </row>
    <row r="96" spans="1:13" hidden="1">
      <c r="A96" s="42">
        <f t="shared" si="2"/>
        <v>95</v>
      </c>
      <c r="B96" s="36" t="s">
        <v>6</v>
      </c>
      <c r="C96" s="36" t="s">
        <v>7979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7975</v>
      </c>
      <c r="J96" s="36" t="s">
        <v>20</v>
      </c>
      <c r="K96" s="36" t="s">
        <v>8064</v>
      </c>
      <c r="L96" s="36"/>
      <c r="M96" s="36" t="s">
        <v>8016</v>
      </c>
    </row>
    <row r="97" spans="1:13" hidden="1">
      <c r="A97" s="42">
        <f t="shared" si="2"/>
        <v>96</v>
      </c>
      <c r="B97" s="36" t="s">
        <v>6</v>
      </c>
      <c r="C97" s="36" t="s">
        <v>7979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7975</v>
      </c>
      <c r="J97" s="36" t="s">
        <v>20</v>
      </c>
      <c r="K97" s="36" t="s">
        <v>8064</v>
      </c>
      <c r="L97" s="36"/>
      <c r="M97" s="36" t="s">
        <v>8016</v>
      </c>
    </row>
    <row r="98" spans="1:13" hidden="1">
      <c r="A98" s="42">
        <f t="shared" si="2"/>
        <v>97</v>
      </c>
      <c r="B98" s="36" t="s">
        <v>6</v>
      </c>
      <c r="C98" s="36" t="s">
        <v>7979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7975</v>
      </c>
      <c r="J98" s="36" t="s">
        <v>20</v>
      </c>
      <c r="K98" s="36" t="s">
        <v>8064</v>
      </c>
      <c r="L98" s="36"/>
      <c r="M98" s="36" t="s">
        <v>8016</v>
      </c>
    </row>
    <row r="99" spans="1:13" hidden="1">
      <c r="A99" s="42">
        <f t="shared" si="2"/>
        <v>98</v>
      </c>
      <c r="B99" s="36" t="s">
        <v>6</v>
      </c>
      <c r="C99" s="36" t="s">
        <v>7979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7975</v>
      </c>
      <c r="J99" s="36" t="s">
        <v>20</v>
      </c>
      <c r="K99" s="36" t="s">
        <v>8064</v>
      </c>
      <c r="L99" s="36"/>
      <c r="M99" s="36" t="s">
        <v>8016</v>
      </c>
    </row>
    <row r="100" spans="1:13" hidden="1">
      <c r="A100" s="42">
        <f t="shared" si="2"/>
        <v>99</v>
      </c>
      <c r="B100" s="36" t="s">
        <v>6</v>
      </c>
      <c r="C100" s="36" t="s">
        <v>7979</v>
      </c>
      <c r="D100" s="36" t="s">
        <v>8053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7975</v>
      </c>
      <c r="J100" s="36" t="s">
        <v>20</v>
      </c>
      <c r="K100" s="36" t="s">
        <v>8064</v>
      </c>
      <c r="L100" s="36"/>
      <c r="M100" s="36" t="s">
        <v>8016</v>
      </c>
    </row>
    <row r="101" spans="1:13" hidden="1">
      <c r="A101" s="42">
        <f t="shared" si="2"/>
        <v>100</v>
      </c>
      <c r="B101" s="36" t="s">
        <v>6</v>
      </c>
      <c r="C101" s="36" t="s">
        <v>7979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7975</v>
      </c>
      <c r="J101" s="36" t="s">
        <v>20</v>
      </c>
      <c r="K101" s="36" t="s">
        <v>8064</v>
      </c>
      <c r="L101" s="36"/>
      <c r="M101" s="36" t="s">
        <v>8016</v>
      </c>
    </row>
    <row r="102" spans="1:13" hidden="1">
      <c r="A102" s="42">
        <f t="shared" si="2"/>
        <v>101</v>
      </c>
      <c r="B102" s="36" t="s">
        <v>6</v>
      </c>
      <c r="C102" s="36" t="s">
        <v>7979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7975</v>
      </c>
      <c r="J102" s="36" t="s">
        <v>20</v>
      </c>
      <c r="K102" s="36" t="s">
        <v>8064</v>
      </c>
      <c r="L102" s="36"/>
      <c r="M102" s="36" t="s">
        <v>8016</v>
      </c>
    </row>
    <row r="103" spans="1:13" hidden="1">
      <c r="A103" s="42">
        <f t="shared" si="2"/>
        <v>102</v>
      </c>
      <c r="B103" s="36" t="s">
        <v>6</v>
      </c>
      <c r="C103" s="36" t="s">
        <v>7979</v>
      </c>
      <c r="D103" s="36" t="s">
        <v>8054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7975</v>
      </c>
      <c r="J103" s="36" t="s">
        <v>20</v>
      </c>
      <c r="K103" s="36" t="s">
        <v>8064</v>
      </c>
      <c r="L103" s="36"/>
      <c r="M103" s="36" t="s">
        <v>8016</v>
      </c>
    </row>
    <row r="104" spans="1:13" hidden="1">
      <c r="A104" s="42">
        <f t="shared" si="2"/>
        <v>103</v>
      </c>
      <c r="B104" s="36" t="s">
        <v>6</v>
      </c>
      <c r="C104" s="36" t="s">
        <v>7979</v>
      </c>
      <c r="D104" s="36" t="s">
        <v>8055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7975</v>
      </c>
      <c r="J104" s="36" t="s">
        <v>20</v>
      </c>
      <c r="K104" s="36" t="s">
        <v>8064</v>
      </c>
      <c r="L104" s="36"/>
      <c r="M104" s="36" t="s">
        <v>8016</v>
      </c>
    </row>
    <row r="105" spans="1:13" hidden="1">
      <c r="A105" s="42">
        <f t="shared" si="2"/>
        <v>104</v>
      </c>
      <c r="B105" s="36" t="s">
        <v>6</v>
      </c>
      <c r="C105" s="36" t="s">
        <v>7979</v>
      </c>
      <c r="D105" s="36" t="s">
        <v>8056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7975</v>
      </c>
      <c r="J105" s="36" t="s">
        <v>20</v>
      </c>
      <c r="K105" s="36" t="s">
        <v>8064</v>
      </c>
      <c r="L105" s="36"/>
      <c r="M105" s="36" t="s">
        <v>8016</v>
      </c>
    </row>
    <row r="106" spans="1:13" hidden="1">
      <c r="A106" s="42">
        <f t="shared" si="2"/>
        <v>105</v>
      </c>
      <c r="B106" s="36" t="s">
        <v>6</v>
      </c>
      <c r="C106" s="36" t="s">
        <v>7979</v>
      </c>
      <c r="D106" s="36" t="s">
        <v>2079</v>
      </c>
      <c r="F106" s="36" t="s">
        <v>8026</v>
      </c>
      <c r="G106" s="36" t="s">
        <v>13</v>
      </c>
      <c r="H106" s="36" t="str">
        <f>IFERROR(VLOOKUP(Table2[[#This Row], [Ticket]],Okey!A:B,2,0),"")</f>
        <v>ok</v>
      </c>
      <c r="I106" s="36" t="s">
        <v>7975</v>
      </c>
      <c r="J106" s="36" t="s">
        <v>20</v>
      </c>
      <c r="K106" s="36" t="s">
        <v>8064</v>
      </c>
      <c r="L106" s="36"/>
      <c r="M106" s="36" t="s">
        <v>8016</v>
      </c>
    </row>
    <row r="107" spans="1:13" hidden="1">
      <c r="A107" s="42">
        <f t="shared" si="2"/>
        <v>106</v>
      </c>
      <c r="B107" s="36" t="s">
        <v>6</v>
      </c>
      <c r="C107" s="36" t="s">
        <v>7979</v>
      </c>
      <c r="D107" s="36" t="s">
        <v>2310</v>
      </c>
      <c r="F107" s="36" t="s">
        <v>8026</v>
      </c>
      <c r="G107" s="36" t="s">
        <v>13</v>
      </c>
      <c r="H107" s="36" t="str">
        <f>IFERROR(VLOOKUP(Table2[[#This Row], [Ticket]],Okey!A:B,2,0),"")</f>
        <v>ok</v>
      </c>
      <c r="I107" s="36" t="s">
        <v>7975</v>
      </c>
      <c r="J107" s="36" t="s">
        <v>20</v>
      </c>
      <c r="K107" s="36" t="s">
        <v>8064</v>
      </c>
      <c r="L107" s="36"/>
      <c r="M107" s="36" t="s">
        <v>8016</v>
      </c>
    </row>
    <row r="108" spans="1:13" hidden="1">
      <c r="A108" s="42">
        <f t="shared" si="2"/>
        <v>107</v>
      </c>
      <c r="B108" s="36" t="s">
        <v>6</v>
      </c>
      <c r="C108" s="36" t="s">
        <v>7979</v>
      </c>
      <c r="D108" s="36" t="s">
        <v>2221</v>
      </c>
      <c r="F108" s="9" t="s">
        <v>8027</v>
      </c>
      <c r="G108" s="36" t="s">
        <v>13</v>
      </c>
      <c r="H108" s="36" t="str">
        <f>IFERROR(VLOOKUP(Table2[[#This Row], [Ticket]],Okey!A:B,2,0),"")</f>
        <v>ok</v>
      </c>
      <c r="I108" s="36" t="s">
        <v>7975</v>
      </c>
      <c r="J108" s="36" t="s">
        <v>20</v>
      </c>
      <c r="K108" s="36" t="s">
        <v>8064</v>
      </c>
      <c r="L108" s="36"/>
      <c r="M108" s="36" t="s">
        <v>8016</v>
      </c>
    </row>
    <row r="109" spans="1:13" hidden="1">
      <c r="A109" s="42">
        <f t="shared" si="2"/>
        <v>108</v>
      </c>
      <c r="B109" s="36" t="s">
        <v>6</v>
      </c>
      <c r="C109" s="36" t="s">
        <v>7979</v>
      </c>
      <c r="D109" s="36" t="s">
        <v>2159</v>
      </c>
      <c r="F109" s="9" t="s">
        <v>8027</v>
      </c>
      <c r="G109" s="36" t="s">
        <v>13</v>
      </c>
      <c r="H109" s="36" t="str">
        <f>IFERROR(VLOOKUP(Table2[[#This Row], [Ticket]],Okey!A:B,2,0),"")</f>
        <v>ok</v>
      </c>
      <c r="I109" s="36" t="s">
        <v>7975</v>
      </c>
      <c r="J109" s="36" t="s">
        <v>20</v>
      </c>
      <c r="K109" s="36" t="s">
        <v>8064</v>
      </c>
      <c r="L109" s="36"/>
      <c r="M109" s="36" t="s">
        <v>8016</v>
      </c>
    </row>
    <row r="110" spans="1:13" hidden="1">
      <c r="A110" s="42">
        <f t="shared" si="2"/>
        <v>109</v>
      </c>
      <c r="B110" s="36" t="s">
        <v>6</v>
      </c>
      <c r="C110" s="36" t="s">
        <v>7979</v>
      </c>
      <c r="D110" s="36" t="s">
        <v>4359</v>
      </c>
      <c r="F110" s="9" t="s">
        <v>8027</v>
      </c>
      <c r="G110" s="36" t="s">
        <v>13</v>
      </c>
      <c r="H110" s="36" t="str">
        <f>IFERROR(VLOOKUP(Table2[[#This Row], [Ticket]],Okey!A:B,2,0),"")</f>
        <v>ok</v>
      </c>
      <c r="I110" s="36" t="s">
        <v>7975</v>
      </c>
      <c r="J110" s="36" t="s">
        <v>20</v>
      </c>
      <c r="K110" s="36" t="s">
        <v>8064</v>
      </c>
      <c r="L110" s="36"/>
      <c r="M110" s="36" t="s">
        <v>8016</v>
      </c>
    </row>
    <row r="111" spans="1:13" hidden="1">
      <c r="A111" s="42">
        <f t="shared" si="2"/>
        <v>110</v>
      </c>
      <c r="B111" s="36" t="s">
        <v>6</v>
      </c>
      <c r="C111" s="36" t="s">
        <v>7979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7975</v>
      </c>
      <c r="J111" s="36" t="s">
        <v>20</v>
      </c>
      <c r="K111" s="36" t="s">
        <v>8064</v>
      </c>
      <c r="L111" s="36"/>
      <c r="M111" s="36" t="s">
        <v>8016</v>
      </c>
    </row>
    <row r="112" spans="1:13" hidden="1">
      <c r="A112" s="42">
        <f t="shared" si="2"/>
        <v>111</v>
      </c>
      <c r="B112" s="36" t="s">
        <v>6</v>
      </c>
      <c r="C112" s="36" t="s">
        <v>7979</v>
      </c>
      <c r="D112" s="36" t="s">
        <v>2676</v>
      </c>
      <c r="F112" s="36" t="s">
        <v>8030</v>
      </c>
      <c r="G112" s="36" t="s">
        <v>13</v>
      </c>
      <c r="H112" s="36" t="str">
        <f>IFERROR(VLOOKUP(Table2[[#This Row], [Ticket]],Okey!A:B,2,0),"")</f>
        <v>ok</v>
      </c>
      <c r="I112" s="36" t="s">
        <v>7975</v>
      </c>
      <c r="J112" s="36" t="s">
        <v>20</v>
      </c>
      <c r="K112" s="36" t="s">
        <v>8064</v>
      </c>
      <c r="L112" s="36"/>
      <c r="M112" s="36" t="s">
        <v>8016</v>
      </c>
    </row>
    <row r="113" spans="1:13" hidden="1">
      <c r="A113" s="42">
        <f t="shared" si="2"/>
        <v>112</v>
      </c>
      <c r="B113" s="36" t="s">
        <v>6</v>
      </c>
      <c r="C113" s="36" t="s">
        <v>7979</v>
      </c>
      <c r="D113" s="36" t="s">
        <v>2732</v>
      </c>
      <c r="F113" s="36" t="s">
        <v>8030</v>
      </c>
      <c r="G113" s="36" t="s">
        <v>13</v>
      </c>
      <c r="H113" s="36" t="str">
        <f>IFERROR(VLOOKUP(Table2[[#This Row], [Ticket]],Okey!A:B,2,0),"")</f>
        <v>ok</v>
      </c>
      <c r="I113" s="36" t="s">
        <v>7975</v>
      </c>
      <c r="J113" s="36" t="s">
        <v>20</v>
      </c>
      <c r="K113" s="36" t="s">
        <v>8064</v>
      </c>
      <c r="L113" s="36"/>
      <c r="M113" s="36" t="s">
        <v>8016</v>
      </c>
    </row>
    <row r="114" spans="1:13" hidden="1">
      <c r="A114" s="42">
        <f t="shared" si="2"/>
        <v>113</v>
      </c>
      <c r="B114" s="36" t="s">
        <v>6</v>
      </c>
      <c r="C114" s="36" t="s">
        <v>7979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7975</v>
      </c>
      <c r="J114" s="36" t="s">
        <v>20</v>
      </c>
      <c r="K114" s="36" t="s">
        <v>8064</v>
      </c>
      <c r="L114" s="36"/>
      <c r="M114" s="36" t="s">
        <v>8016</v>
      </c>
    </row>
    <row r="115" spans="1:13" hidden="1">
      <c r="A115" s="42">
        <f t="shared" si="2"/>
        <v>114</v>
      </c>
      <c r="B115" s="36" t="s">
        <v>6</v>
      </c>
      <c r="C115" s="36" t="s">
        <v>7979</v>
      </c>
      <c r="D115" s="36" t="s">
        <v>2025</v>
      </c>
      <c r="F115" s="9" t="s">
        <v>8036</v>
      </c>
      <c r="G115" s="36" t="s">
        <v>13</v>
      </c>
      <c r="H115" s="36" t="str">
        <f>IFERROR(VLOOKUP(Table2[[#This Row], [Ticket]],Okey!A:B,2,0),"")</f>
        <v>ok</v>
      </c>
      <c r="I115" s="36" t="s">
        <v>7975</v>
      </c>
      <c r="J115" s="36" t="s">
        <v>20</v>
      </c>
      <c r="K115" s="36" t="s">
        <v>8064</v>
      </c>
      <c r="L115" s="36"/>
      <c r="M115" s="36" t="s">
        <v>8016</v>
      </c>
    </row>
    <row r="116" spans="1:13" hidden="1">
      <c r="A116" s="42">
        <f t="shared" si="2"/>
        <v>115</v>
      </c>
      <c r="B116" s="36" t="s">
        <v>6</v>
      </c>
      <c r="C116" s="36" t="s">
        <v>7979</v>
      </c>
      <c r="D116" s="36" t="s">
        <v>2045</v>
      </c>
      <c r="F116" s="9" t="s">
        <v>8036</v>
      </c>
      <c r="G116" s="36" t="s">
        <v>13</v>
      </c>
      <c r="H116" s="36" t="str">
        <f>IFERROR(VLOOKUP(Table2[[#This Row], [Ticket]],Okey!A:B,2,0),"")</f>
        <v>ok</v>
      </c>
      <c r="I116" s="36" t="s">
        <v>7975</v>
      </c>
      <c r="J116" s="36" t="s">
        <v>20</v>
      </c>
      <c r="K116" s="36" t="s">
        <v>8064</v>
      </c>
      <c r="L116" s="36"/>
      <c r="M116" s="36" t="s">
        <v>8016</v>
      </c>
    </row>
    <row r="117" spans="1:13" hidden="1">
      <c r="A117" s="42">
        <f t="shared" si="2"/>
        <v>116</v>
      </c>
      <c r="B117" s="36" t="s">
        <v>6</v>
      </c>
      <c r="C117" s="36" t="s">
        <v>7979</v>
      </c>
      <c r="D117" s="36" t="s">
        <v>2030</v>
      </c>
      <c r="F117" s="9" t="s">
        <v>8038</v>
      </c>
      <c r="G117" s="36" t="s">
        <v>13</v>
      </c>
      <c r="H117" s="36" t="str">
        <f>IFERROR(VLOOKUP(Table2[[#This Row], [Ticket]],Okey!A:B,2,0),"")</f>
        <v>ok</v>
      </c>
      <c r="I117" s="36" t="s">
        <v>7975</v>
      </c>
      <c r="J117" s="36" t="s">
        <v>20</v>
      </c>
      <c r="K117" s="36" t="s">
        <v>8064</v>
      </c>
      <c r="L117" s="36"/>
      <c r="M117" s="36" t="s">
        <v>8016</v>
      </c>
    </row>
    <row r="118" spans="1:13" hidden="1">
      <c r="A118" s="42">
        <f t="shared" si="2"/>
        <v>117</v>
      </c>
      <c r="B118" s="36" t="s">
        <v>6</v>
      </c>
      <c r="C118" s="36" t="s">
        <v>7979</v>
      </c>
      <c r="D118" s="36" t="s">
        <v>2035</v>
      </c>
      <c r="F118" s="9" t="s">
        <v>8038</v>
      </c>
      <c r="G118" s="36" t="s">
        <v>13</v>
      </c>
      <c r="H118" s="36" t="str">
        <f>IFERROR(VLOOKUP(Table2[[#This Row], [Ticket]],Okey!A:B,2,0),"")</f>
        <v>ok</v>
      </c>
      <c r="I118" s="36" t="s">
        <v>7975</v>
      </c>
      <c r="J118" s="36" t="s">
        <v>20</v>
      </c>
      <c r="K118" s="36" t="s">
        <v>8064</v>
      </c>
      <c r="L118" s="36"/>
      <c r="M118" s="36" t="s">
        <v>8016</v>
      </c>
    </row>
    <row r="119" spans="1:13" hidden="1">
      <c r="A119" s="42">
        <f t="shared" si="2"/>
        <v>118</v>
      </c>
      <c r="B119" s="36" t="s">
        <v>6</v>
      </c>
      <c r="C119" s="36" t="s">
        <v>7979</v>
      </c>
      <c r="D119" s="36" t="s">
        <v>2177</v>
      </c>
      <c r="F119" s="9" t="s">
        <v>8040</v>
      </c>
      <c r="G119" s="36" t="s">
        <v>13</v>
      </c>
      <c r="H119" s="36" t="str">
        <f>IFERROR(VLOOKUP(Table2[[#This Row], [Ticket]],Okey!A:B,2,0),"")</f>
        <v>ok</v>
      </c>
      <c r="I119" s="36" t="s">
        <v>7975</v>
      </c>
      <c r="J119" s="36" t="s">
        <v>20</v>
      </c>
      <c r="K119" s="36" t="s">
        <v>8064</v>
      </c>
      <c r="L119" s="36"/>
      <c r="M119" s="36" t="s">
        <v>8016</v>
      </c>
    </row>
    <row r="120" spans="1:13" hidden="1">
      <c r="A120" s="42">
        <f t="shared" si="2"/>
        <v>119</v>
      </c>
      <c r="B120" s="36" t="s">
        <v>6</v>
      </c>
      <c r="C120" s="36" t="s">
        <v>7979</v>
      </c>
      <c r="D120" s="36" t="s">
        <v>8057</v>
      </c>
      <c r="F120" s="9" t="s">
        <v>8040</v>
      </c>
      <c r="G120" s="36" t="s">
        <v>13</v>
      </c>
      <c r="H120" s="36" t="str">
        <f>IFERROR(VLOOKUP(Table2[[#This Row], [Ticket]],Okey!A:B,2,0),"")</f>
        <v>ok</v>
      </c>
      <c r="I120" s="36" t="s">
        <v>7975</v>
      </c>
      <c r="J120" s="36" t="s">
        <v>20</v>
      </c>
      <c r="K120" s="36" t="s">
        <v>8064</v>
      </c>
      <c r="L120" s="36"/>
      <c r="M120" s="36" t="s">
        <v>8016</v>
      </c>
    </row>
    <row r="121" spans="1:13" hidden="1">
      <c r="A121" s="42">
        <f t="shared" si="2"/>
        <v>120</v>
      </c>
      <c r="B121" s="36" t="s">
        <v>6</v>
      </c>
      <c r="C121" s="36" t="s">
        <v>7979</v>
      </c>
      <c r="D121" s="36" t="s">
        <v>2015</v>
      </c>
      <c r="F121" s="9" t="s">
        <v>8041</v>
      </c>
      <c r="G121" s="36" t="s">
        <v>13</v>
      </c>
      <c r="H121" s="36" t="str">
        <f>IFERROR(VLOOKUP(Table2[[#This Row], [Ticket]],Okey!A:B,2,0),"")</f>
        <v>ok</v>
      </c>
      <c r="I121" s="36" t="s">
        <v>7975</v>
      </c>
      <c r="J121" s="36" t="s">
        <v>20</v>
      </c>
      <c r="K121" s="36" t="s">
        <v>8064</v>
      </c>
      <c r="L121" s="36"/>
      <c r="M121" s="36" t="s">
        <v>8016</v>
      </c>
    </row>
    <row r="122" spans="1:13" hidden="1">
      <c r="A122" s="42">
        <f t="shared" si="2"/>
        <v>121</v>
      </c>
      <c r="B122" s="36" t="s">
        <v>6</v>
      </c>
      <c r="C122" s="36" t="s">
        <v>7979</v>
      </c>
      <c r="D122" s="36" t="s">
        <v>5834</v>
      </c>
      <c r="F122" s="9" t="s">
        <v>8041</v>
      </c>
      <c r="G122" s="36" t="s">
        <v>13</v>
      </c>
      <c r="H122" s="36" t="str">
        <f>IFERROR(VLOOKUP(Table2[[#This Row], [Ticket]],Okey!A:B,2,0),"")</f>
        <v>ok</v>
      </c>
      <c r="I122" s="36" t="s">
        <v>7975</v>
      </c>
      <c r="J122" s="36" t="s">
        <v>20</v>
      </c>
      <c r="K122" s="36" t="s">
        <v>8064</v>
      </c>
      <c r="L122" s="36"/>
      <c r="M122" s="36" t="s">
        <v>8016</v>
      </c>
    </row>
    <row r="123" spans="1:13" hidden="1">
      <c r="A123" s="42">
        <f t="shared" si="2"/>
        <v>122</v>
      </c>
      <c r="B123" s="36" t="s">
        <v>6</v>
      </c>
      <c r="C123" s="36" t="s">
        <v>7979</v>
      </c>
      <c r="D123" s="36" t="s">
        <v>2182</v>
      </c>
      <c r="F123" s="9" t="s">
        <v>8041</v>
      </c>
      <c r="G123" s="36" t="s">
        <v>13</v>
      </c>
      <c r="H123" s="36" t="str">
        <f>IFERROR(VLOOKUP(Table2[[#This Row], [Ticket]],Okey!A:B,2,0),"")</f>
        <v>ok</v>
      </c>
      <c r="I123" s="36" t="s">
        <v>7975</v>
      </c>
      <c r="J123" s="36" t="s">
        <v>20</v>
      </c>
      <c r="K123" s="36" t="s">
        <v>8064</v>
      </c>
      <c r="L123" s="36"/>
      <c r="M123" s="36" t="s">
        <v>8016</v>
      </c>
    </row>
    <row r="124" spans="1:13" hidden="1">
      <c r="A124" s="42">
        <f t="shared" si="2"/>
        <v>123</v>
      </c>
      <c r="B124" s="36" t="s">
        <v>6</v>
      </c>
      <c r="C124" s="36" t="s">
        <v>7979</v>
      </c>
      <c r="D124" s="36" t="s">
        <v>2187</v>
      </c>
      <c r="F124" s="9" t="s">
        <v>8044</v>
      </c>
      <c r="G124" s="36" t="s">
        <v>13</v>
      </c>
      <c r="H124" s="36" t="str">
        <f>IFERROR(VLOOKUP(Table2[[#This Row], [Ticket]],Okey!A:B,2,0),"")</f>
        <v>ok</v>
      </c>
      <c r="I124" s="36" t="s">
        <v>7975</v>
      </c>
      <c r="J124" s="36" t="s">
        <v>20</v>
      </c>
      <c r="K124" s="36" t="s">
        <v>8064</v>
      </c>
      <c r="L124" s="36"/>
      <c r="M124" s="36" t="s">
        <v>8016</v>
      </c>
    </row>
    <row r="125" spans="1:13" hidden="1">
      <c r="A125" s="42">
        <f t="shared" si="2"/>
        <v>124</v>
      </c>
      <c r="B125" s="36" t="s">
        <v>6</v>
      </c>
      <c r="C125" s="36" t="s">
        <v>7979</v>
      </c>
      <c r="D125" s="36" t="s">
        <v>2287</v>
      </c>
      <c r="F125" s="9" t="s">
        <v>8044</v>
      </c>
      <c r="G125" s="36" t="s">
        <v>13</v>
      </c>
      <c r="H125" s="36" t="str">
        <f>IFERROR(VLOOKUP(Table2[[#This Row], [Ticket]],Okey!A:B,2,0),"")</f>
        <v>ok</v>
      </c>
      <c r="I125" s="36" t="s">
        <v>7975</v>
      </c>
      <c r="J125" s="36" t="s">
        <v>20</v>
      </c>
      <c r="K125" s="36" t="s">
        <v>8064</v>
      </c>
      <c r="L125" s="36"/>
      <c r="M125" s="36" t="s">
        <v>8016</v>
      </c>
    </row>
    <row r="126" spans="1:13" hidden="1">
      <c r="A126" s="42">
        <f t="shared" si="2"/>
        <v>125</v>
      </c>
      <c r="B126" s="36" t="s">
        <v>6</v>
      </c>
      <c r="C126" s="36" t="s">
        <v>7979</v>
      </c>
      <c r="D126" s="36" t="s">
        <v>2040</v>
      </c>
      <c r="F126" s="9" t="s">
        <v>8044</v>
      </c>
      <c r="G126" s="36" t="s">
        <v>13</v>
      </c>
      <c r="H126" s="36" t="str">
        <f>IFERROR(VLOOKUP(Table2[[#This Row], [Ticket]],Okey!A:B,2,0),"")</f>
        <v>ok</v>
      </c>
      <c r="I126" s="36" t="s">
        <v>7975</v>
      </c>
      <c r="J126" s="36" t="s">
        <v>20</v>
      </c>
      <c r="K126" s="36" t="s">
        <v>8064</v>
      </c>
      <c r="L126" s="36"/>
      <c r="M126" s="36" t="s">
        <v>8016</v>
      </c>
    </row>
    <row r="127" spans="1:13" hidden="1">
      <c r="A127" s="42">
        <f t="shared" si="2"/>
        <v>126</v>
      </c>
      <c r="B127" s="36" t="s">
        <v>6</v>
      </c>
      <c r="C127" s="36" t="s">
        <v>7979</v>
      </c>
      <c r="D127" s="36" t="s">
        <v>2273</v>
      </c>
      <c r="F127" s="9" t="s">
        <v>8045</v>
      </c>
      <c r="G127" s="36" t="s">
        <v>13</v>
      </c>
      <c r="H127" s="36" t="str">
        <f>IFERROR(VLOOKUP(Table2[[#This Row], [Ticket]],Okey!A:B,2,0),"")</f>
        <v>ok</v>
      </c>
      <c r="I127" s="36" t="s">
        <v>7975</v>
      </c>
      <c r="J127" s="36" t="s">
        <v>20</v>
      </c>
      <c r="K127" s="36" t="s">
        <v>8064</v>
      </c>
      <c r="L127" s="36"/>
      <c r="M127" s="36" t="s">
        <v>8016</v>
      </c>
    </row>
    <row r="128" spans="1:13" hidden="1">
      <c r="A128" s="42">
        <f t="shared" si="2"/>
        <v>127</v>
      </c>
      <c r="B128" s="36" t="s">
        <v>6</v>
      </c>
      <c r="C128" s="36" t="s">
        <v>7979</v>
      </c>
      <c r="D128" s="36" t="s">
        <v>2255</v>
      </c>
      <c r="F128" s="9" t="s">
        <v>8045</v>
      </c>
      <c r="G128" s="36" t="s">
        <v>13</v>
      </c>
      <c r="H128" s="36" t="str">
        <f>IFERROR(VLOOKUP(Table2[[#This Row], [Ticket]],Okey!A:B,2,0),"")</f>
        <v>ok</v>
      </c>
      <c r="I128" s="36" t="s">
        <v>7975</v>
      </c>
      <c r="J128" s="36" t="s">
        <v>20</v>
      </c>
      <c r="K128" s="36" t="s">
        <v>8064</v>
      </c>
      <c r="L128" s="36"/>
      <c r="M128" s="36" t="s">
        <v>8016</v>
      </c>
    </row>
    <row r="129" spans="1:13" hidden="1">
      <c r="A129" s="42">
        <f t="shared" si="2"/>
        <v>128</v>
      </c>
      <c r="B129" s="36" t="s">
        <v>6</v>
      </c>
      <c r="C129" s="36" t="s">
        <v>7979</v>
      </c>
      <c r="D129" s="36" t="s">
        <v>2172</v>
      </c>
      <c r="F129" s="9" t="s">
        <v>8045</v>
      </c>
      <c r="G129" s="36" t="s">
        <v>13</v>
      </c>
      <c r="H129" s="36" t="str">
        <f>IFERROR(VLOOKUP(Table2[[#This Row], [Ticket]],Okey!A:B,2,0),"")</f>
        <v>ok</v>
      </c>
      <c r="I129" s="36" t="s">
        <v>7975</v>
      </c>
      <c r="J129" s="36" t="s">
        <v>20</v>
      </c>
      <c r="K129" s="36" t="s">
        <v>8064</v>
      </c>
      <c r="L129" s="36"/>
      <c r="M129" s="36" t="s">
        <v>8016</v>
      </c>
    </row>
    <row r="130" spans="1:13" hidden="1">
      <c r="A130" s="42">
        <f t="shared" si="2"/>
        <v>129</v>
      </c>
      <c r="B130" s="36" t="s">
        <v>6</v>
      </c>
      <c r="C130" s="36" t="s">
        <v>7979</v>
      </c>
      <c r="D130" s="36" t="s">
        <v>4865</v>
      </c>
      <c r="F130" s="9" t="s">
        <v>8047</v>
      </c>
      <c r="G130" s="36" t="s">
        <v>13</v>
      </c>
      <c r="H130" s="36" t="str">
        <f>IFERROR(VLOOKUP(Table2[[#This Row], [Ticket]],Okey!A:B,2,0),"")</f>
        <v>ok</v>
      </c>
      <c r="I130" s="36" t="s">
        <v>7975</v>
      </c>
      <c r="J130" s="36" t="s">
        <v>20</v>
      </c>
      <c r="K130" s="36" t="s">
        <v>8064</v>
      </c>
      <c r="L130" s="36"/>
      <c r="M130" s="36" t="s">
        <v>8016</v>
      </c>
    </row>
    <row r="131" spans="1:13" hidden="1">
      <c r="A131" s="42">
        <f t="shared" si="2"/>
        <v>130</v>
      </c>
      <c r="B131" s="36" t="s">
        <v>6</v>
      </c>
      <c r="C131" s="36" t="s">
        <v>7979</v>
      </c>
      <c r="D131" s="36" t="s">
        <v>2443</v>
      </c>
      <c r="F131" s="9" t="s">
        <v>8047</v>
      </c>
      <c r="G131" s="36" t="s">
        <v>13</v>
      </c>
      <c r="H131" s="36" t="str">
        <f>IFERROR(VLOOKUP(Table2[[#This Row], [Ticket]],Okey!A:B,2,0),"")</f>
        <v>ok</v>
      </c>
      <c r="I131" s="36" t="s">
        <v>7975</v>
      </c>
      <c r="J131" s="36" t="s">
        <v>20</v>
      </c>
      <c r="K131" s="36" t="s">
        <v>8064</v>
      </c>
      <c r="L131" s="36"/>
      <c r="M131" s="36" t="s">
        <v>8016</v>
      </c>
    </row>
    <row r="132" spans="1:13" hidden="1">
      <c r="A132" s="42">
        <f t="shared" si="2"/>
        <v>131</v>
      </c>
      <c r="B132" s="36" t="s">
        <v>6</v>
      </c>
      <c r="C132" s="36" t="s">
        <v>7979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7975</v>
      </c>
      <c r="J132" s="36" t="s">
        <v>20</v>
      </c>
      <c r="K132" s="36" t="s">
        <v>8064</v>
      </c>
      <c r="L132" s="36"/>
      <c r="M132" s="36" t="s">
        <v>8016</v>
      </c>
    </row>
    <row r="133" spans="1:13" hidden="1">
      <c r="A133" s="42">
        <f t="shared" si="2"/>
        <v>132</v>
      </c>
      <c r="B133" s="36" t="s">
        <v>6</v>
      </c>
      <c r="C133" s="36" t="s">
        <v>7979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7975</v>
      </c>
      <c r="J133" s="36" t="s">
        <v>20</v>
      </c>
      <c r="K133" s="36" t="s">
        <v>8064</v>
      </c>
      <c r="L133" s="36"/>
      <c r="M133" s="36" t="s">
        <v>8016</v>
      </c>
    </row>
    <row r="134" spans="1:13" hidden="1">
      <c r="A134" s="42">
        <f t="shared" si="2"/>
        <v>133</v>
      </c>
      <c r="B134" s="36" t="s">
        <v>6</v>
      </c>
      <c r="C134" s="36" t="s">
        <v>7979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7975</v>
      </c>
      <c r="J134" s="36" t="s">
        <v>20</v>
      </c>
      <c r="K134" s="36" t="s">
        <v>8064</v>
      </c>
      <c r="L134" s="36"/>
      <c r="M134" s="36" t="s">
        <v>8016</v>
      </c>
    </row>
    <row r="135" spans="1:13" hidden="1">
      <c r="A135" s="42">
        <f t="shared" si="2"/>
        <v>134</v>
      </c>
      <c r="B135" s="36" t="s">
        <v>6</v>
      </c>
      <c r="C135" s="36" t="s">
        <v>7979</v>
      </c>
      <c r="D135" s="36" t="s">
        <v>4870</v>
      </c>
      <c r="F135" s="9" t="s">
        <v>8047</v>
      </c>
      <c r="G135" s="36" t="s">
        <v>13</v>
      </c>
      <c r="H135" s="36" t="str">
        <f>IFERROR(VLOOKUP(Table2[[#This Row], [Ticket]],Okey!A:B,2,0),"")</f>
        <v>ok</v>
      </c>
      <c r="I135" s="36" t="s">
        <v>7975</v>
      </c>
      <c r="J135" s="36" t="s">
        <v>20</v>
      </c>
      <c r="K135" s="36" t="s">
        <v>8064</v>
      </c>
      <c r="L135" s="36"/>
      <c r="M135" s="36" t="s">
        <v>8016</v>
      </c>
    </row>
    <row r="136" spans="1:13" hidden="1">
      <c r="A136" s="42">
        <f t="shared" si="2"/>
        <v>135</v>
      </c>
      <c r="B136" s="36" t="s">
        <v>6</v>
      </c>
      <c r="C136" s="36" t="s">
        <v>7979</v>
      </c>
      <c r="D136" s="36" t="s">
        <v>2382</v>
      </c>
      <c r="F136" s="9" t="s">
        <v>8049</v>
      </c>
      <c r="G136" s="36" t="s">
        <v>13</v>
      </c>
      <c r="H136" s="36" t="str">
        <f>IFERROR(VLOOKUP(Table2[[#This Row], [Ticket]],Okey!A:B,2,0),"")</f>
        <v>ok</v>
      </c>
      <c r="I136" s="36" t="s">
        <v>7975</v>
      </c>
      <c r="J136" s="36" t="s">
        <v>20</v>
      </c>
      <c r="K136" s="36" t="s">
        <v>8064</v>
      </c>
      <c r="L136" s="36"/>
      <c r="M136" s="36" t="s">
        <v>8016</v>
      </c>
    </row>
    <row r="137" spans="1:13" hidden="1">
      <c r="A137" s="42">
        <f t="shared" si="2"/>
        <v>136</v>
      </c>
      <c r="B137" s="36" t="s">
        <v>6</v>
      </c>
      <c r="C137" s="36" t="s">
        <v>7979</v>
      </c>
      <c r="D137" s="36" t="s">
        <v>2105</v>
      </c>
      <c r="F137" s="9" t="s">
        <v>8049</v>
      </c>
      <c r="G137" s="36" t="s">
        <v>13</v>
      </c>
      <c r="H137" s="36" t="str">
        <f>IFERROR(VLOOKUP(Table2[[#This Row], [Ticket]],Okey!A:B,2,0),"")</f>
        <v>ok</v>
      </c>
      <c r="I137" s="36" t="s">
        <v>7975</v>
      </c>
      <c r="J137" s="36" t="s">
        <v>20</v>
      </c>
      <c r="K137" s="36" t="s">
        <v>8064</v>
      </c>
      <c r="L137" s="36"/>
      <c r="M137" s="36" t="s">
        <v>8016</v>
      </c>
    </row>
    <row r="138" spans="1:13" hidden="1">
      <c r="A138" s="42">
        <f t="shared" si="2"/>
        <v>137</v>
      </c>
      <c r="B138" s="36" t="s">
        <v>6</v>
      </c>
      <c r="C138" s="36" t="s">
        <v>7979</v>
      </c>
      <c r="D138" s="36" t="s">
        <v>2096</v>
      </c>
      <c r="F138" s="9" t="s">
        <v>8049</v>
      </c>
      <c r="G138" s="36" t="s">
        <v>13</v>
      </c>
      <c r="H138" s="36" t="str">
        <f>IFERROR(VLOOKUP(Table2[[#This Row], [Ticket]],Okey!A:B,2,0),"")</f>
        <v>ok</v>
      </c>
      <c r="I138" s="36" t="s">
        <v>7975</v>
      </c>
      <c r="J138" s="36" t="s">
        <v>20</v>
      </c>
      <c r="K138" s="36" t="s">
        <v>8064</v>
      </c>
      <c r="L138" s="36"/>
      <c r="M138" s="36" t="s">
        <v>8016</v>
      </c>
    </row>
    <row r="139" spans="1:13" hidden="1">
      <c r="A139" s="42">
        <f t="shared" si="2"/>
        <v>138</v>
      </c>
      <c r="B139" s="36" t="s">
        <v>6</v>
      </c>
      <c r="C139" s="36" t="s">
        <v>7979</v>
      </c>
      <c r="D139" s="36" t="s">
        <v>2321</v>
      </c>
      <c r="F139" s="9" t="s">
        <v>8049</v>
      </c>
      <c r="G139" s="36" t="s">
        <v>13</v>
      </c>
      <c r="H139" s="36" t="str">
        <f>IFERROR(VLOOKUP(Table2[[#This Row], [Ticket]],Okey!A:B,2,0),"")</f>
        <v>ok</v>
      </c>
      <c r="I139" s="36" t="s">
        <v>7975</v>
      </c>
      <c r="J139" s="36" t="s">
        <v>20</v>
      </c>
      <c r="K139" s="36" t="s">
        <v>8064</v>
      </c>
      <c r="L139" s="36"/>
      <c r="M139" s="36" t="s">
        <v>8016</v>
      </c>
    </row>
    <row r="140" spans="1:13" hidden="1">
      <c r="A140" s="42">
        <f t="shared" si="2"/>
        <v>139</v>
      </c>
      <c r="B140" s="36" t="s">
        <v>6</v>
      </c>
      <c r="C140" s="36" t="s">
        <v>7979</v>
      </c>
      <c r="D140" s="36" t="s">
        <v>2125</v>
      </c>
      <c r="F140" s="9" t="s">
        <v>8050</v>
      </c>
      <c r="G140" s="36" t="s">
        <v>13</v>
      </c>
      <c r="H140" s="36" t="str">
        <f>IFERROR(VLOOKUP(Table2[[#This Row], [Ticket]],Okey!A:B,2,0),"")</f>
        <v>ok</v>
      </c>
      <c r="I140" s="36" t="s">
        <v>7975</v>
      </c>
      <c r="J140" s="36" t="s">
        <v>20</v>
      </c>
      <c r="K140" s="36" t="s">
        <v>8064</v>
      </c>
      <c r="L140" s="36"/>
      <c r="M140" s="36" t="s">
        <v>8016</v>
      </c>
    </row>
    <row r="141" spans="1:13" hidden="1">
      <c r="A141" s="42">
        <f t="shared" si="2"/>
        <v>140</v>
      </c>
      <c r="B141" s="36" t="s">
        <v>6</v>
      </c>
      <c r="C141" s="36" t="s">
        <v>7979</v>
      </c>
      <c r="D141" s="36" t="s">
        <v>2090</v>
      </c>
      <c r="F141" s="9" t="s">
        <v>8050</v>
      </c>
      <c r="G141" s="36" t="s">
        <v>13</v>
      </c>
      <c r="H141" s="36" t="str">
        <f>IFERROR(VLOOKUP(Table2[[#This Row], [Ticket]],Okey!A:B,2,0),"")</f>
        <v>ok</v>
      </c>
      <c r="I141" s="36" t="s">
        <v>7975</v>
      </c>
      <c r="J141" s="36" t="s">
        <v>20</v>
      </c>
      <c r="K141" s="36" t="s">
        <v>8064</v>
      </c>
      <c r="L141" s="36"/>
      <c r="M141" s="36" t="s">
        <v>8016</v>
      </c>
    </row>
    <row r="142" spans="1:13" hidden="1">
      <c r="A142" s="42">
        <f t="shared" si="2"/>
        <v>141</v>
      </c>
      <c r="B142" s="36" t="s">
        <v>6</v>
      </c>
      <c r="C142" s="36" t="s">
        <v>7979</v>
      </c>
      <c r="D142" s="36" t="s">
        <v>2340</v>
      </c>
      <c r="F142" s="9" t="s">
        <v>8050</v>
      </c>
      <c r="G142" s="36" t="s">
        <v>13</v>
      </c>
      <c r="H142" s="36" t="str">
        <f>IFERROR(VLOOKUP(Table2[[#This Row], [Ticket]],Okey!A:B,2,0),"")</f>
        <v>ok</v>
      </c>
      <c r="I142" s="36" t="s">
        <v>7975</v>
      </c>
      <c r="J142" s="36" t="s">
        <v>20</v>
      </c>
      <c r="K142" s="36" t="s">
        <v>8064</v>
      </c>
      <c r="L142" s="36"/>
      <c r="M142" s="36" t="s">
        <v>8016</v>
      </c>
    </row>
    <row r="143" spans="1:13" hidden="1">
      <c r="A143" s="42">
        <f t="shared" si="2"/>
        <v>142</v>
      </c>
      <c r="B143" s="36" t="s">
        <v>6</v>
      </c>
      <c r="C143" s="36" t="s">
        <v>7979</v>
      </c>
      <c r="D143" s="36" t="s">
        <v>2325</v>
      </c>
      <c r="F143" s="9" t="s">
        <v>8050</v>
      </c>
      <c r="G143" s="36" t="s">
        <v>13</v>
      </c>
      <c r="H143" s="36" t="str">
        <f>IFERROR(VLOOKUP(Table2[[#This Row], [Ticket]],Okey!A:B,2,0),"")</f>
        <v>ok</v>
      </c>
      <c r="I143" s="36" t="s">
        <v>7975</v>
      </c>
      <c r="J143" s="36" t="s">
        <v>20</v>
      </c>
      <c r="K143" s="36" t="s">
        <v>8064</v>
      </c>
      <c r="L143" s="36"/>
      <c r="M143" s="36" t="s">
        <v>8016</v>
      </c>
    </row>
    <row r="144" spans="1:13" hidden="1">
      <c r="A144" s="42">
        <f t="shared" si="2"/>
        <v>143</v>
      </c>
      <c r="B144" s="36" t="s">
        <v>6</v>
      </c>
      <c r="C144" s="36" t="s">
        <v>7979</v>
      </c>
      <c r="D144" s="36" t="s">
        <v>2110</v>
      </c>
      <c r="F144" s="9" t="s">
        <v>8051</v>
      </c>
      <c r="G144" s="36" t="s">
        <v>13</v>
      </c>
      <c r="H144" s="36" t="str">
        <f>IFERROR(VLOOKUP(Table2[[#This Row], [Ticket]],Okey!A:B,2,0),"")</f>
        <v>ok</v>
      </c>
      <c r="I144" s="36" t="s">
        <v>7975</v>
      </c>
      <c r="J144" s="36" t="s">
        <v>20</v>
      </c>
      <c r="K144" s="36" t="s">
        <v>8064</v>
      </c>
      <c r="L144" s="36"/>
      <c r="M144" s="36" t="s">
        <v>8016</v>
      </c>
    </row>
    <row r="145" spans="1:13" hidden="1">
      <c r="A145" s="42">
        <f t="shared" si="2"/>
        <v>144</v>
      </c>
      <c r="B145" s="36" t="s">
        <v>6</v>
      </c>
      <c r="C145" s="36" t="s">
        <v>7979</v>
      </c>
      <c r="D145" s="36" t="s">
        <v>2401</v>
      </c>
      <c r="F145" s="9" t="s">
        <v>8051</v>
      </c>
      <c r="G145" s="36" t="s">
        <v>13</v>
      </c>
      <c r="H145" s="36" t="str">
        <f>IFERROR(VLOOKUP(Table2[[#This Row], [Ticket]],Okey!A:B,2,0),"")</f>
        <v>ok</v>
      </c>
      <c r="I145" s="36" t="s">
        <v>7975</v>
      </c>
      <c r="J145" s="36" t="s">
        <v>20</v>
      </c>
      <c r="K145" s="36" t="s">
        <v>8064</v>
      </c>
      <c r="L145" s="36"/>
      <c r="M145" s="36" t="s">
        <v>8016</v>
      </c>
    </row>
    <row r="146" spans="1:13" hidden="1">
      <c r="A146" s="42">
        <f t="shared" si="2"/>
        <v>145</v>
      </c>
      <c r="B146" s="36" t="s">
        <v>6</v>
      </c>
      <c r="C146" s="36" t="s">
        <v>7979</v>
      </c>
      <c r="D146" s="36" t="s">
        <v>2359</v>
      </c>
      <c r="F146" s="9" t="s">
        <v>8051</v>
      </c>
      <c r="G146" s="36" t="s">
        <v>13</v>
      </c>
      <c r="H146" s="36" t="str">
        <f>IFERROR(VLOOKUP(Table2[[#This Row], [Ticket]],Okey!A:B,2,0),"")</f>
        <v>ok</v>
      </c>
      <c r="I146" s="36" t="s">
        <v>7975</v>
      </c>
      <c r="J146" s="36" t="s">
        <v>20</v>
      </c>
      <c r="K146" s="36" t="s">
        <v>8064</v>
      </c>
      <c r="L146" s="36"/>
      <c r="M146" s="36" t="s">
        <v>8016</v>
      </c>
    </row>
    <row r="147" spans="1:13" hidden="1">
      <c r="A147" s="42">
        <f t="shared" si="2"/>
        <v>146</v>
      </c>
      <c r="B147" s="36" t="s">
        <v>6</v>
      </c>
      <c r="C147" s="36" t="s">
        <v>7979</v>
      </c>
      <c r="D147" s="36" t="s">
        <v>2053</v>
      </c>
      <c r="F147" s="9" t="s">
        <v>8048</v>
      </c>
      <c r="G147" s="36" t="s">
        <v>13</v>
      </c>
      <c r="H147" s="36" t="str">
        <f>IFERROR(VLOOKUP(Table2[[#This Row], [Ticket]],Okey!A:B,2,0),"")</f>
        <v>ok</v>
      </c>
      <c r="I147" s="36" t="s">
        <v>7975</v>
      </c>
      <c r="J147" s="36" t="s">
        <v>20</v>
      </c>
      <c r="K147" s="36" t="s">
        <v>8064</v>
      </c>
      <c r="L147" s="36"/>
      <c r="M147" s="36" t="s">
        <v>8016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7979</v>
      </c>
      <c r="D148" s="36" t="s">
        <v>4868</v>
      </c>
      <c r="E148" s="9" t="s">
        <v>8058</v>
      </c>
      <c r="G148" s="9" t="s">
        <v>15</v>
      </c>
      <c r="H148" s="36" t="str">
        <f>IFERROR(VLOOKUP(Table2[[#This Row], [Ticket]],Okey!A:B,2,0),"")</f>
        <v>ok</v>
      </c>
      <c r="I148" s="36" t="s">
        <v>8554</v>
      </c>
      <c r="J148" s="36" t="s">
        <v>20</v>
      </c>
      <c r="K148" s="36" t="s">
        <v>8062</v>
      </c>
      <c r="L148" s="36"/>
      <c r="M148" s="36" t="s">
        <v>8016</v>
      </c>
    </row>
    <row r="149" spans="1:13" hidden="1">
      <c r="A149" s="42">
        <f t="shared" si="3"/>
        <v>148</v>
      </c>
      <c r="B149" s="36" t="s">
        <v>6</v>
      </c>
      <c r="C149" s="36" t="s">
        <v>7979</v>
      </c>
      <c r="D149" s="36" t="s">
        <v>8057</v>
      </c>
      <c r="E149" s="9" t="s">
        <v>8059</v>
      </c>
      <c r="G149" s="36" t="s">
        <v>15</v>
      </c>
      <c r="H149" s="36" t="str">
        <f>IFERROR(VLOOKUP(Table2[[#This Row], [Ticket]],Okey!A:B,2,0),"")</f>
        <v>ok</v>
      </c>
      <c r="I149" s="36" t="s">
        <v>8554</v>
      </c>
      <c r="J149" s="36" t="s">
        <v>20</v>
      </c>
      <c r="K149" s="36" t="s">
        <v>8062</v>
      </c>
      <c r="L149" s="36"/>
      <c r="M149" s="36" t="s">
        <v>8016</v>
      </c>
    </row>
    <row r="150" spans="1:13" hidden="1">
      <c r="A150" s="42">
        <f t="shared" si="3"/>
        <v>149</v>
      </c>
      <c r="B150" s="36" t="s">
        <v>6</v>
      </c>
      <c r="C150" s="36" t="s">
        <v>7979</v>
      </c>
      <c r="D150" s="36" t="s">
        <v>3241</v>
      </c>
      <c r="E150" s="9" t="s">
        <v>8060</v>
      </c>
      <c r="G150" s="36" t="s">
        <v>15</v>
      </c>
      <c r="H150" s="36" t="str">
        <f>IFERROR(VLOOKUP(Table2[[#This Row], [Ticket]],Okey!A:B,2,0),"")</f>
        <v>ok</v>
      </c>
      <c r="I150" s="36" t="s">
        <v>8554</v>
      </c>
      <c r="J150" s="36" t="s">
        <v>20</v>
      </c>
      <c r="K150" s="36" t="s">
        <v>8062</v>
      </c>
      <c r="L150" s="36"/>
      <c r="M150" s="36" t="s">
        <v>8016</v>
      </c>
    </row>
    <row r="151" spans="1:13" hidden="1">
      <c r="A151" s="42">
        <f t="shared" si="3"/>
        <v>150</v>
      </c>
      <c r="B151" s="36" t="s">
        <v>6</v>
      </c>
      <c r="C151" s="36" t="s">
        <v>7979</v>
      </c>
      <c r="D151" s="36" t="s">
        <v>3243</v>
      </c>
      <c r="E151" s="9" t="s">
        <v>8015</v>
      </c>
      <c r="G151" s="36" t="s">
        <v>15</v>
      </c>
      <c r="H151" s="36" t="str">
        <f>IFERROR(VLOOKUP(Table2[[#This Row], [Ticket]],Okey!A:B,2,0),"")</f>
        <v>ok</v>
      </c>
      <c r="I151" s="36" t="s">
        <v>8554</v>
      </c>
      <c r="J151" s="36" t="s">
        <v>20</v>
      </c>
      <c r="K151" s="36" t="s">
        <v>8062</v>
      </c>
      <c r="L151" s="36"/>
      <c r="M151" s="36" t="s">
        <v>8016</v>
      </c>
    </row>
    <row r="152" spans="1:13" hidden="1">
      <c r="A152" s="42">
        <f t="shared" si="3"/>
        <v>151</v>
      </c>
      <c r="B152" s="36" t="s">
        <v>6</v>
      </c>
      <c r="C152" s="36" t="s">
        <v>7979</v>
      </c>
      <c r="D152" s="36" t="s">
        <v>3237</v>
      </c>
      <c r="E152" s="9" t="s">
        <v>8061</v>
      </c>
      <c r="G152" s="36" t="s">
        <v>15</v>
      </c>
      <c r="H152" s="36" t="str">
        <f>IFERROR(VLOOKUP(Table2[[#This Row], [Ticket]],Okey!A:B,2,0),"")</f>
        <v>ok</v>
      </c>
      <c r="I152" s="36" t="s">
        <v>8554</v>
      </c>
      <c r="J152" s="36" t="s">
        <v>20</v>
      </c>
      <c r="K152" s="36" t="s">
        <v>8062</v>
      </c>
      <c r="L152" s="36"/>
      <c r="M152" s="36" t="s">
        <v>8016</v>
      </c>
    </row>
    <row r="153" spans="1:13" hidden="1">
      <c r="A153" s="42">
        <f t="shared" si="3"/>
        <v>152</v>
      </c>
      <c r="B153" s="36" t="s">
        <v>6</v>
      </c>
      <c r="C153" s="9" t="s">
        <v>8066</v>
      </c>
      <c r="D153" s="9" t="s">
        <v>7974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I153" s="36"/>
      <c r="J153" s="9" t="s">
        <v>17</v>
      </c>
      <c r="K153" s="9" t="s">
        <v>8707</v>
      </c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8067</v>
      </c>
      <c r="D154" s="9" t="s">
        <v>8068</v>
      </c>
      <c r="E154" s="9" t="s">
        <v>8069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e">
        <f>VLOOKUP(Table2[[#This Row],[Node]],#REF!,2,0)=Table2[[#This Row],[Parent]]</f>
        <v>#REF!</v>
      </c>
      <c r="J154" s="36" t="s">
        <v>19</v>
      </c>
      <c r="K154" s="36" t="s">
        <v>8114</v>
      </c>
      <c r="L154" s="36"/>
      <c r="M154" s="9" t="s">
        <v>8113</v>
      </c>
    </row>
    <row r="155" spans="1:13" hidden="1">
      <c r="A155" s="42">
        <f t="shared" si="3"/>
        <v>154</v>
      </c>
      <c r="B155" s="36" t="s">
        <v>6</v>
      </c>
      <c r="C155" s="36" t="s">
        <v>8067</v>
      </c>
      <c r="D155" s="9" t="s">
        <v>8070</v>
      </c>
      <c r="E155" s="9" t="s">
        <v>8071</v>
      </c>
      <c r="F155" s="9" t="s">
        <v>8068</v>
      </c>
      <c r="G155" s="36" t="s">
        <v>14</v>
      </c>
      <c r="H155" s="36" t="str">
        <f>IFERROR(VLOOKUP(Table2[[#This Row], [Ticket]],Okey!A:B,2,0),"")</f>
        <v>ok</v>
      </c>
      <c r="I155" s="36" t="e">
        <f>VLOOKUP(Table2[[#This Row],[Node]],#REF!,2,0)=Table2[[#This Row],[Parent]]</f>
        <v>#REF!</v>
      </c>
      <c r="J155" s="36" t="s">
        <v>19</v>
      </c>
      <c r="K155" s="36" t="s">
        <v>8114</v>
      </c>
      <c r="L155" s="36"/>
      <c r="M155" s="36" t="s">
        <v>8113</v>
      </c>
    </row>
    <row r="156" spans="1:13" hidden="1">
      <c r="A156" s="42">
        <f t="shared" si="3"/>
        <v>155</v>
      </c>
      <c r="B156" s="36" t="s">
        <v>6</v>
      </c>
      <c r="C156" s="36" t="s">
        <v>8067</v>
      </c>
      <c r="D156" s="9" t="s">
        <v>8072</v>
      </c>
      <c r="E156" s="9" t="s">
        <v>8073</v>
      </c>
      <c r="F156" s="9" t="s">
        <v>8068</v>
      </c>
      <c r="G156" s="36" t="s">
        <v>14</v>
      </c>
      <c r="H156" s="36" t="str">
        <f>IFERROR(VLOOKUP(Table2[[#This Row], [Ticket]],Okey!A:B,2,0),"")</f>
        <v>ok</v>
      </c>
      <c r="I156" s="36" t="e">
        <f>VLOOKUP(Table2[[#This Row],[Node]],#REF!,2,0)=Table2[[#This Row],[Parent]]</f>
        <v>#REF!</v>
      </c>
      <c r="J156" s="36" t="s">
        <v>19</v>
      </c>
      <c r="K156" s="36" t="s">
        <v>8114</v>
      </c>
      <c r="L156" s="36"/>
      <c r="M156" s="36" t="s">
        <v>8113</v>
      </c>
    </row>
    <row r="157" spans="1:13" hidden="1">
      <c r="A157" s="42">
        <f t="shared" si="3"/>
        <v>156</v>
      </c>
      <c r="B157" s="36" t="s">
        <v>6</v>
      </c>
      <c r="C157" s="36" t="s">
        <v>8067</v>
      </c>
      <c r="D157" s="9" t="s">
        <v>8074</v>
      </c>
      <c r="E157" s="9" t="s">
        <v>8075</v>
      </c>
      <c r="F157" s="9" t="s">
        <v>8068</v>
      </c>
      <c r="G157" s="36" t="s">
        <v>14</v>
      </c>
      <c r="H157" s="36" t="str">
        <f>IFERROR(VLOOKUP(Table2[[#This Row], [Ticket]],Okey!A:B,2,0),"")</f>
        <v>ok</v>
      </c>
      <c r="I157" s="36" t="e">
        <f>VLOOKUP(Table2[[#This Row],[Node]],#REF!,2,0)=Table2[[#This Row],[Parent]]</f>
        <v>#REF!</v>
      </c>
      <c r="J157" s="36" t="s">
        <v>19</v>
      </c>
      <c r="K157" s="36" t="s">
        <v>8114</v>
      </c>
      <c r="L157" s="36"/>
      <c r="M157" s="36" t="s">
        <v>8113</v>
      </c>
    </row>
    <row r="158" spans="1:13" hidden="1">
      <c r="A158" s="42">
        <f t="shared" si="3"/>
        <v>157</v>
      </c>
      <c r="B158" s="36" t="s">
        <v>6</v>
      </c>
      <c r="C158" s="36" t="s">
        <v>8067</v>
      </c>
      <c r="D158" s="9" t="s">
        <v>8076</v>
      </c>
      <c r="E158" s="9" t="s">
        <v>8077</v>
      </c>
      <c r="F158" s="9" t="s">
        <v>8068</v>
      </c>
      <c r="G158" s="36" t="s">
        <v>14</v>
      </c>
      <c r="H158" s="36" t="str">
        <f>IFERROR(VLOOKUP(Table2[[#This Row], [Ticket]],Okey!A:B,2,0),"")</f>
        <v>ok</v>
      </c>
      <c r="I158" s="36" t="e">
        <f>VLOOKUP(Table2[[#This Row],[Node]],#REF!,2,0)=Table2[[#This Row],[Parent]]</f>
        <v>#REF!</v>
      </c>
      <c r="J158" s="36" t="s">
        <v>19</v>
      </c>
      <c r="K158" s="36" t="s">
        <v>8114</v>
      </c>
      <c r="L158" s="36"/>
      <c r="M158" s="36" t="s">
        <v>8113</v>
      </c>
    </row>
    <row r="159" spans="1:13" hidden="1">
      <c r="A159" s="42">
        <f t="shared" si="3"/>
        <v>158</v>
      </c>
      <c r="B159" s="36" t="s">
        <v>6</v>
      </c>
      <c r="C159" s="36" t="s">
        <v>8067</v>
      </c>
      <c r="D159" s="9" t="s">
        <v>8078</v>
      </c>
      <c r="E159" s="9" t="s">
        <v>8079</v>
      </c>
      <c r="F159" s="9" t="s">
        <v>8068</v>
      </c>
      <c r="G159" s="36" t="s">
        <v>14</v>
      </c>
      <c r="H159" s="36" t="str">
        <f>IFERROR(VLOOKUP(Table2[[#This Row], [Ticket]],Okey!A:B,2,0),"")</f>
        <v>ok</v>
      </c>
      <c r="I159" s="36" t="e">
        <f>VLOOKUP(Table2[[#This Row],[Node]],#REF!,2,0)=Table2[[#This Row],[Parent]]</f>
        <v>#REF!</v>
      </c>
      <c r="J159" s="36" t="s">
        <v>19</v>
      </c>
      <c r="K159" s="36" t="s">
        <v>8114</v>
      </c>
      <c r="L159" s="36"/>
      <c r="M159" s="36" t="s">
        <v>8113</v>
      </c>
    </row>
    <row r="160" spans="1:13" hidden="1">
      <c r="A160" s="42">
        <f t="shared" si="3"/>
        <v>159</v>
      </c>
      <c r="B160" s="36" t="s">
        <v>6</v>
      </c>
      <c r="C160" s="36" t="s">
        <v>8067</v>
      </c>
      <c r="D160" s="9" t="s">
        <v>8080</v>
      </c>
      <c r="E160" s="9" t="s">
        <v>8081</v>
      </c>
      <c r="F160" s="9" t="s">
        <v>8070</v>
      </c>
      <c r="G160" s="36" t="s">
        <v>14</v>
      </c>
      <c r="H160" s="36" t="str">
        <f>IFERROR(VLOOKUP(Table2[[#This Row], [Ticket]],Okey!A:B,2,0),"")</f>
        <v>ok</v>
      </c>
      <c r="I160" s="36" t="e">
        <f>VLOOKUP(Table2[[#This Row],[Node]],#REF!,2,0)=Table2[[#This Row],[Parent]]</f>
        <v>#REF!</v>
      </c>
      <c r="J160" s="36" t="s">
        <v>19</v>
      </c>
      <c r="K160" s="36" t="s">
        <v>8114</v>
      </c>
      <c r="L160" s="36"/>
      <c r="M160" s="36" t="s">
        <v>8113</v>
      </c>
    </row>
    <row r="161" spans="1:13" hidden="1">
      <c r="A161" s="42">
        <f t="shared" si="3"/>
        <v>160</v>
      </c>
      <c r="B161" s="36" t="s">
        <v>6</v>
      </c>
      <c r="C161" s="36" t="s">
        <v>8067</v>
      </c>
      <c r="D161" s="9" t="s">
        <v>8082</v>
      </c>
      <c r="E161" s="9" t="s">
        <v>8083</v>
      </c>
      <c r="F161" s="9" t="s">
        <v>8070</v>
      </c>
      <c r="G161" s="36" t="s">
        <v>14</v>
      </c>
      <c r="H161" s="36" t="str">
        <f>IFERROR(VLOOKUP(Table2[[#This Row], [Ticket]],Okey!A:B,2,0),"")</f>
        <v>ok</v>
      </c>
      <c r="I161" s="36" t="e">
        <f>VLOOKUP(Table2[[#This Row],[Node]],#REF!,2,0)=Table2[[#This Row],[Parent]]</f>
        <v>#REF!</v>
      </c>
      <c r="J161" s="36" t="s">
        <v>19</v>
      </c>
      <c r="K161" s="36" t="s">
        <v>8114</v>
      </c>
      <c r="L161" s="36"/>
      <c r="M161" s="36" t="s">
        <v>8113</v>
      </c>
    </row>
    <row r="162" spans="1:13" hidden="1">
      <c r="A162" s="42">
        <f t="shared" si="3"/>
        <v>161</v>
      </c>
      <c r="B162" s="36" t="s">
        <v>6</v>
      </c>
      <c r="C162" s="36" t="s">
        <v>8067</v>
      </c>
      <c r="D162" s="9" t="s">
        <v>8084</v>
      </c>
      <c r="E162" s="9" t="s">
        <v>8085</v>
      </c>
      <c r="F162" s="9" t="s">
        <v>8072</v>
      </c>
      <c r="G162" s="36" t="s">
        <v>14</v>
      </c>
      <c r="H162" s="36" t="str">
        <f>IFERROR(VLOOKUP(Table2[[#This Row], [Ticket]],Okey!A:B,2,0),"")</f>
        <v>ok</v>
      </c>
      <c r="I162" s="36" t="e">
        <f>VLOOKUP(Table2[[#This Row],[Node]],#REF!,2,0)=Table2[[#This Row],[Parent]]</f>
        <v>#REF!</v>
      </c>
      <c r="J162" s="36" t="s">
        <v>19</v>
      </c>
      <c r="K162" s="36" t="s">
        <v>8114</v>
      </c>
      <c r="L162" s="36"/>
      <c r="M162" s="36" t="s">
        <v>8113</v>
      </c>
    </row>
    <row r="163" spans="1:13" hidden="1">
      <c r="A163" s="42">
        <f t="shared" si="3"/>
        <v>162</v>
      </c>
      <c r="B163" s="36" t="s">
        <v>6</v>
      </c>
      <c r="C163" s="36" t="s">
        <v>8067</v>
      </c>
      <c r="D163" s="9" t="s">
        <v>8086</v>
      </c>
      <c r="E163" s="9" t="s">
        <v>8087</v>
      </c>
      <c r="F163" s="9" t="s">
        <v>8072</v>
      </c>
      <c r="G163" s="36" t="s">
        <v>14</v>
      </c>
      <c r="H163" s="36" t="str">
        <f>IFERROR(VLOOKUP(Table2[[#This Row], [Ticket]],Okey!A:B,2,0),"")</f>
        <v>ok</v>
      </c>
      <c r="I163" s="36" t="e">
        <f>VLOOKUP(Table2[[#This Row],[Node]],#REF!,2,0)=Table2[[#This Row],[Parent]]</f>
        <v>#REF!</v>
      </c>
      <c r="J163" s="36" t="s">
        <v>19</v>
      </c>
      <c r="K163" s="36" t="s">
        <v>8114</v>
      </c>
      <c r="L163" s="36"/>
      <c r="M163" s="36" t="s">
        <v>8113</v>
      </c>
    </row>
    <row r="164" spans="1:13" hidden="1">
      <c r="A164" s="42">
        <f t="shared" si="3"/>
        <v>163</v>
      </c>
      <c r="B164" s="36" t="s">
        <v>6</v>
      </c>
      <c r="C164" s="36" t="s">
        <v>8067</v>
      </c>
      <c r="D164" s="9" t="s">
        <v>8088</v>
      </c>
      <c r="E164" s="9" t="s">
        <v>8089</v>
      </c>
      <c r="F164" s="9" t="s">
        <v>8072</v>
      </c>
      <c r="G164" s="36" t="s">
        <v>14</v>
      </c>
      <c r="H164" s="36" t="str">
        <f>IFERROR(VLOOKUP(Table2[[#This Row], [Ticket]],Okey!A:B,2,0),"")</f>
        <v>ok</v>
      </c>
      <c r="I164" s="36" t="e">
        <f>VLOOKUP(Table2[[#This Row],[Node]],#REF!,2,0)=Table2[[#This Row],[Parent]]</f>
        <v>#REF!</v>
      </c>
      <c r="J164" s="36" t="s">
        <v>19</v>
      </c>
      <c r="K164" s="36" t="s">
        <v>8114</v>
      </c>
      <c r="L164" s="36"/>
      <c r="M164" s="36" t="s">
        <v>8113</v>
      </c>
    </row>
    <row r="165" spans="1:13" hidden="1">
      <c r="A165" s="42">
        <f t="shared" si="3"/>
        <v>164</v>
      </c>
      <c r="B165" s="36" t="s">
        <v>6</v>
      </c>
      <c r="C165" s="36" t="s">
        <v>8067</v>
      </c>
      <c r="D165" s="9" t="s">
        <v>8090</v>
      </c>
      <c r="E165" s="9" t="s">
        <v>8091</v>
      </c>
      <c r="F165" s="9" t="s">
        <v>8074</v>
      </c>
      <c r="G165" s="36" t="s">
        <v>14</v>
      </c>
      <c r="H165" s="36" t="str">
        <f>IFERROR(VLOOKUP(Table2[[#This Row], [Ticket]],Okey!A:B,2,0),"")</f>
        <v>ok</v>
      </c>
      <c r="I165" s="36" t="e">
        <f>VLOOKUP(Table2[[#This Row],[Node]],#REF!,2,0)=Table2[[#This Row],[Parent]]</f>
        <v>#REF!</v>
      </c>
      <c r="J165" s="36" t="s">
        <v>19</v>
      </c>
      <c r="K165" s="36" t="s">
        <v>8114</v>
      </c>
      <c r="L165" s="36"/>
      <c r="M165" s="36" t="s">
        <v>8113</v>
      </c>
    </row>
    <row r="166" spans="1:13" hidden="1">
      <c r="A166" s="42">
        <f t="shared" si="3"/>
        <v>165</v>
      </c>
      <c r="B166" s="36" t="s">
        <v>6</v>
      </c>
      <c r="C166" s="36" t="s">
        <v>8067</v>
      </c>
      <c r="D166" s="9" t="s">
        <v>8092</v>
      </c>
      <c r="E166" s="9" t="s">
        <v>8093</v>
      </c>
      <c r="F166" s="9" t="s">
        <v>8074</v>
      </c>
      <c r="G166" s="36" t="s">
        <v>14</v>
      </c>
      <c r="H166" s="36" t="str">
        <f>IFERROR(VLOOKUP(Table2[[#This Row], [Ticket]],Okey!A:B,2,0),"")</f>
        <v>ok</v>
      </c>
      <c r="I166" s="36" t="e">
        <f>VLOOKUP(Table2[[#This Row],[Node]],#REF!,2,0)=Table2[[#This Row],[Parent]]</f>
        <v>#REF!</v>
      </c>
      <c r="J166" s="36" t="s">
        <v>19</v>
      </c>
      <c r="K166" s="36" t="s">
        <v>8114</v>
      </c>
      <c r="L166" s="36"/>
      <c r="M166" s="36" t="s">
        <v>8113</v>
      </c>
    </row>
    <row r="167" spans="1:13" hidden="1">
      <c r="A167" s="42">
        <f t="shared" si="3"/>
        <v>166</v>
      </c>
      <c r="B167" s="36" t="s">
        <v>6</v>
      </c>
      <c r="C167" s="36" t="s">
        <v>8067</v>
      </c>
      <c r="D167" s="9" t="s">
        <v>8094</v>
      </c>
      <c r="E167" s="9" t="s">
        <v>8095</v>
      </c>
      <c r="F167" s="9" t="s">
        <v>8074</v>
      </c>
      <c r="G167" s="36" t="s">
        <v>14</v>
      </c>
      <c r="H167" s="36" t="str">
        <f>IFERROR(VLOOKUP(Table2[[#This Row], [Ticket]],Okey!A:B,2,0),"")</f>
        <v>ok</v>
      </c>
      <c r="I167" s="36" t="e">
        <f>VLOOKUP(Table2[[#This Row],[Node]],#REF!,2,0)=Table2[[#This Row],[Parent]]</f>
        <v>#REF!</v>
      </c>
      <c r="J167" s="36" t="s">
        <v>19</v>
      </c>
      <c r="K167" s="36" t="s">
        <v>8114</v>
      </c>
      <c r="L167" s="36"/>
      <c r="M167" s="36" t="s">
        <v>8113</v>
      </c>
    </row>
    <row r="168" spans="1:13" hidden="1">
      <c r="A168" s="42">
        <f t="shared" si="3"/>
        <v>167</v>
      </c>
      <c r="B168" s="36" t="s">
        <v>6</v>
      </c>
      <c r="C168" s="36" t="s">
        <v>8067</v>
      </c>
      <c r="D168" s="9" t="s">
        <v>8096</v>
      </c>
      <c r="E168" s="9" t="s">
        <v>8097</v>
      </c>
      <c r="F168" s="9" t="s">
        <v>8074</v>
      </c>
      <c r="G168" s="36" t="s">
        <v>14</v>
      </c>
      <c r="H168" s="36" t="str">
        <f>IFERROR(VLOOKUP(Table2[[#This Row], [Ticket]],Okey!A:B,2,0),"")</f>
        <v>ok</v>
      </c>
      <c r="I168" s="36" t="e">
        <f>VLOOKUP(Table2[[#This Row],[Node]],#REF!,2,0)=Table2[[#This Row],[Parent]]</f>
        <v>#REF!</v>
      </c>
      <c r="J168" s="36" t="s">
        <v>19</v>
      </c>
      <c r="K168" s="36" t="s">
        <v>8114</v>
      </c>
      <c r="L168" s="36"/>
      <c r="M168" s="36" t="s">
        <v>8113</v>
      </c>
    </row>
    <row r="169" spans="1:13" hidden="1">
      <c r="A169" s="42">
        <f t="shared" si="3"/>
        <v>168</v>
      </c>
      <c r="B169" s="36" t="s">
        <v>6</v>
      </c>
      <c r="C169" s="36" t="s">
        <v>8067</v>
      </c>
      <c r="D169" s="9" t="s">
        <v>8098</v>
      </c>
      <c r="E169" s="9" t="s">
        <v>8099</v>
      </c>
      <c r="F169" s="9" t="s">
        <v>8080</v>
      </c>
      <c r="G169" s="36" t="s">
        <v>14</v>
      </c>
      <c r="H169" s="36" t="str">
        <f>IFERROR(VLOOKUP(Table2[[#This Row], [Ticket]],Okey!A:B,2,0),"")</f>
        <v>ok</v>
      </c>
      <c r="I169" s="36" t="e">
        <f>VLOOKUP(Table2[[#This Row],[Node]],#REF!,2,0)=Table2[[#This Row],[Parent]]</f>
        <v>#REF!</v>
      </c>
      <c r="J169" s="36" t="s">
        <v>19</v>
      </c>
      <c r="K169" s="36" t="s">
        <v>8114</v>
      </c>
      <c r="L169" s="36"/>
      <c r="M169" s="36" t="s">
        <v>8113</v>
      </c>
    </row>
    <row r="170" spans="1:13" hidden="1">
      <c r="A170" s="42">
        <f t="shared" si="3"/>
        <v>169</v>
      </c>
      <c r="B170" s="36" t="s">
        <v>6</v>
      </c>
      <c r="C170" s="36" t="s">
        <v>8067</v>
      </c>
      <c r="D170" s="9" t="s">
        <v>8100</v>
      </c>
      <c r="E170" s="9" t="s">
        <v>8099</v>
      </c>
      <c r="F170" s="9" t="s">
        <v>8082</v>
      </c>
      <c r="G170" s="36" t="s">
        <v>14</v>
      </c>
      <c r="H170" s="36" t="str">
        <f>IFERROR(VLOOKUP(Table2[[#This Row], [Ticket]],Okey!A:B,2,0),"")</f>
        <v>ok</v>
      </c>
      <c r="I170" s="36" t="e">
        <f>VLOOKUP(Table2[[#This Row],[Node]],#REF!,2,0)=Table2[[#This Row],[Parent]]</f>
        <v>#REF!</v>
      </c>
      <c r="J170" s="36" t="s">
        <v>19</v>
      </c>
      <c r="K170" s="36" t="s">
        <v>8114</v>
      </c>
      <c r="L170" s="36"/>
      <c r="M170" s="36" t="s">
        <v>8113</v>
      </c>
    </row>
    <row r="171" spans="1:13" hidden="1">
      <c r="A171" s="42">
        <f t="shared" si="3"/>
        <v>170</v>
      </c>
      <c r="B171" s="36" t="s">
        <v>6</v>
      </c>
      <c r="C171" s="36" t="s">
        <v>8067</v>
      </c>
      <c r="D171" s="9" t="s">
        <v>8101</v>
      </c>
      <c r="E171" s="9" t="s">
        <v>8102</v>
      </c>
      <c r="F171" s="9" t="s">
        <v>8098</v>
      </c>
      <c r="G171" s="36" t="s">
        <v>14</v>
      </c>
      <c r="H171" s="36" t="str">
        <f>IFERROR(VLOOKUP(Table2[[#This Row], [Ticket]],Okey!A:B,2,0),"")</f>
        <v>ok</v>
      </c>
      <c r="I171" s="36" t="e">
        <f>VLOOKUP(Table2[[#This Row],[Node]],#REF!,2,0)=Table2[[#This Row],[Parent]]</f>
        <v>#REF!</v>
      </c>
      <c r="J171" s="36" t="s">
        <v>19</v>
      </c>
      <c r="K171" s="36" t="s">
        <v>8114</v>
      </c>
      <c r="L171" s="36"/>
      <c r="M171" s="36" t="s">
        <v>8113</v>
      </c>
    </row>
    <row r="172" spans="1:13" hidden="1">
      <c r="A172" s="42">
        <f t="shared" si="3"/>
        <v>171</v>
      </c>
      <c r="B172" s="36" t="s">
        <v>6</v>
      </c>
      <c r="C172" s="36" t="s">
        <v>8067</v>
      </c>
      <c r="D172" s="9" t="s">
        <v>8103</v>
      </c>
      <c r="E172" s="9" t="s">
        <v>8104</v>
      </c>
      <c r="F172" s="9" t="s">
        <v>8098</v>
      </c>
      <c r="G172" s="36" t="s">
        <v>14</v>
      </c>
      <c r="H172" s="36" t="str">
        <f>IFERROR(VLOOKUP(Table2[[#This Row], [Ticket]],Okey!A:B,2,0),"")</f>
        <v>ok</v>
      </c>
      <c r="I172" s="36" t="e">
        <f>VLOOKUP(Table2[[#This Row],[Node]],#REF!,2,0)=Table2[[#This Row],[Parent]]</f>
        <v>#REF!</v>
      </c>
      <c r="J172" s="36" t="s">
        <v>19</v>
      </c>
      <c r="K172" s="36" t="s">
        <v>8114</v>
      </c>
      <c r="L172" s="36"/>
      <c r="M172" s="36" t="s">
        <v>8113</v>
      </c>
    </row>
    <row r="173" spans="1:13" hidden="1">
      <c r="A173" s="42">
        <f t="shared" si="3"/>
        <v>172</v>
      </c>
      <c r="B173" s="36" t="s">
        <v>6</v>
      </c>
      <c r="C173" s="36" t="s">
        <v>8067</v>
      </c>
      <c r="D173" s="9" t="s">
        <v>8105</v>
      </c>
      <c r="E173" s="9" t="s">
        <v>8106</v>
      </c>
      <c r="F173" s="9" t="s">
        <v>8098</v>
      </c>
      <c r="G173" s="36" t="s">
        <v>14</v>
      </c>
      <c r="H173" s="36" t="str">
        <f>IFERROR(VLOOKUP(Table2[[#This Row], [Ticket]],Okey!A:B,2,0),"")</f>
        <v>ok</v>
      </c>
      <c r="I173" s="36" t="e">
        <f>VLOOKUP(Table2[[#This Row],[Node]],#REF!,2,0)=Table2[[#This Row],[Parent]]</f>
        <v>#REF!</v>
      </c>
      <c r="J173" s="36" t="s">
        <v>19</v>
      </c>
      <c r="K173" s="36" t="s">
        <v>8114</v>
      </c>
      <c r="L173" s="36"/>
      <c r="M173" s="36" t="s">
        <v>8113</v>
      </c>
    </row>
    <row r="174" spans="1:13" hidden="1">
      <c r="A174" s="42">
        <f t="shared" si="3"/>
        <v>173</v>
      </c>
      <c r="B174" s="36" t="s">
        <v>6</v>
      </c>
      <c r="C174" s="36" t="s">
        <v>8067</v>
      </c>
      <c r="D174" s="9" t="s">
        <v>8107</v>
      </c>
      <c r="E174" s="9" t="s">
        <v>8108</v>
      </c>
      <c r="F174" s="9" t="s">
        <v>8098</v>
      </c>
      <c r="G174" s="36" t="s">
        <v>14</v>
      </c>
      <c r="H174" s="36" t="str">
        <f>IFERROR(VLOOKUP(Table2[[#This Row], [Ticket]],Okey!A:B,2,0),"")</f>
        <v>ok</v>
      </c>
      <c r="I174" s="36" t="e">
        <f>VLOOKUP(Table2[[#This Row],[Node]],#REF!,2,0)=Table2[[#This Row],[Parent]]</f>
        <v>#REF!</v>
      </c>
      <c r="J174" s="36" t="s">
        <v>19</v>
      </c>
      <c r="K174" s="36" t="s">
        <v>8114</v>
      </c>
      <c r="L174" s="36"/>
      <c r="M174" s="36" t="s">
        <v>8113</v>
      </c>
    </row>
    <row r="175" spans="1:13" hidden="1">
      <c r="A175" s="42">
        <f t="shared" si="3"/>
        <v>174</v>
      </c>
      <c r="B175" s="36" t="s">
        <v>6</v>
      </c>
      <c r="C175" s="36" t="s">
        <v>8067</v>
      </c>
      <c r="D175" s="9" t="s">
        <v>8109</v>
      </c>
      <c r="E175" s="9" t="s">
        <v>8102</v>
      </c>
      <c r="F175" s="36" t="s">
        <v>8098</v>
      </c>
      <c r="G175" s="36" t="s">
        <v>14</v>
      </c>
      <c r="H175" s="36" t="str">
        <f>IFERROR(VLOOKUP(Table2[[#This Row], [Ticket]],Okey!A:B,2,0),"")</f>
        <v>ok</v>
      </c>
      <c r="I175" s="36" t="e">
        <f>VLOOKUP(Table2[[#This Row],[Node]],#REF!,2,0)=Table2[[#This Row],[Parent]]</f>
        <v>#REF!</v>
      </c>
      <c r="J175" s="36" t="s">
        <v>19</v>
      </c>
      <c r="K175" s="36" t="s">
        <v>8114</v>
      </c>
      <c r="L175" s="36"/>
      <c r="M175" s="36" t="s">
        <v>8113</v>
      </c>
    </row>
    <row r="176" spans="1:13" hidden="1">
      <c r="A176" s="42">
        <f t="shared" si="3"/>
        <v>175</v>
      </c>
      <c r="B176" s="36" t="s">
        <v>6</v>
      </c>
      <c r="C176" s="36" t="s">
        <v>8067</v>
      </c>
      <c r="D176" s="9" t="s">
        <v>8110</v>
      </c>
      <c r="E176" s="9" t="s">
        <v>8104</v>
      </c>
      <c r="F176" s="36" t="s">
        <v>8098</v>
      </c>
      <c r="G176" s="36" t="s">
        <v>14</v>
      </c>
      <c r="H176" s="36" t="str">
        <f>IFERROR(VLOOKUP(Table2[[#This Row], [Ticket]],Okey!A:B,2,0),"")</f>
        <v>ok</v>
      </c>
      <c r="I176" s="36" t="e">
        <f>VLOOKUP(Table2[[#This Row],[Node]],#REF!,2,0)=Table2[[#This Row],[Parent]]</f>
        <v>#REF!</v>
      </c>
      <c r="J176" s="36" t="s">
        <v>19</v>
      </c>
      <c r="K176" s="36" t="s">
        <v>8114</v>
      </c>
      <c r="L176" s="36"/>
      <c r="M176" s="36" t="s">
        <v>8113</v>
      </c>
    </row>
    <row r="177" spans="1:13" hidden="1">
      <c r="A177" s="42">
        <f t="shared" si="3"/>
        <v>176</v>
      </c>
      <c r="B177" s="36" t="s">
        <v>6</v>
      </c>
      <c r="C177" s="36" t="s">
        <v>8067</v>
      </c>
      <c r="D177" s="9" t="s">
        <v>8111</v>
      </c>
      <c r="E177" s="9" t="s">
        <v>8106</v>
      </c>
      <c r="F177" s="36" t="s">
        <v>8098</v>
      </c>
      <c r="G177" s="36" t="s">
        <v>14</v>
      </c>
      <c r="H177" s="36" t="str">
        <f>IFERROR(VLOOKUP(Table2[[#This Row], [Ticket]],Okey!A:B,2,0),"")</f>
        <v>ok</v>
      </c>
      <c r="I177" s="36" t="e">
        <f>VLOOKUP(Table2[[#This Row],[Node]],#REF!,2,0)=Table2[[#This Row],[Parent]]</f>
        <v>#REF!</v>
      </c>
      <c r="J177" s="36" t="s">
        <v>19</v>
      </c>
      <c r="K177" s="36" t="s">
        <v>8114</v>
      </c>
      <c r="L177" s="36"/>
      <c r="M177" s="36" t="s">
        <v>8113</v>
      </c>
    </row>
    <row r="178" spans="1:13" hidden="1">
      <c r="A178" s="42">
        <f t="shared" si="3"/>
        <v>177</v>
      </c>
      <c r="B178" s="36" t="s">
        <v>6</v>
      </c>
      <c r="C178" s="36" t="s">
        <v>8067</v>
      </c>
      <c r="D178" s="9" t="s">
        <v>8112</v>
      </c>
      <c r="E178" s="9" t="s">
        <v>8108</v>
      </c>
      <c r="F178" s="36" t="s">
        <v>8098</v>
      </c>
      <c r="G178" s="36" t="s">
        <v>14</v>
      </c>
      <c r="H178" s="36" t="str">
        <f>IFERROR(VLOOKUP(Table2[[#This Row], [Ticket]],Okey!A:B,2,0),"")</f>
        <v>ok</v>
      </c>
      <c r="I178" s="36" t="e">
        <f>VLOOKUP(Table2[[#This Row],[Node]],#REF!,2,0)=Table2[[#This Row],[Parent]]</f>
        <v>#REF!</v>
      </c>
      <c r="J178" s="36" t="s">
        <v>19</v>
      </c>
      <c r="K178" s="36" t="s">
        <v>8114</v>
      </c>
      <c r="L178" s="36"/>
      <c r="M178" s="36" t="s">
        <v>8113</v>
      </c>
    </row>
    <row r="179" spans="1:13" hidden="1">
      <c r="A179" s="42">
        <f t="shared" si="3"/>
        <v>178</v>
      </c>
      <c r="B179" s="36" t="s">
        <v>6</v>
      </c>
      <c r="C179" s="36" t="s">
        <v>8067</v>
      </c>
      <c r="D179" s="36" t="s">
        <v>8109</v>
      </c>
      <c r="F179" s="36" t="s">
        <v>8100</v>
      </c>
      <c r="G179" s="9" t="s">
        <v>13</v>
      </c>
      <c r="H179" s="36" t="str">
        <f>IFERROR(VLOOKUP(Table2[[#This Row], [Ticket]],Okey!A:B,2,0),"")</f>
        <v>ok</v>
      </c>
      <c r="I179" s="36" t="e">
        <f>VLOOKUP(Table2[[#This Row],[Node]],#REF!,2,0)=Table2[[#This Row],[Parent]]</f>
        <v>#REF!</v>
      </c>
      <c r="J179" s="36" t="s">
        <v>19</v>
      </c>
      <c r="K179" s="36" t="s">
        <v>8064</v>
      </c>
      <c r="L179" s="36"/>
      <c r="M179" s="36" t="s">
        <v>8113</v>
      </c>
    </row>
    <row r="180" spans="1:13" hidden="1">
      <c r="A180" s="42">
        <f t="shared" si="3"/>
        <v>179</v>
      </c>
      <c r="B180" s="36" t="s">
        <v>6</v>
      </c>
      <c r="C180" s="36" t="s">
        <v>8067</v>
      </c>
      <c r="D180" s="36" t="s">
        <v>8110</v>
      </c>
      <c r="F180" s="36" t="s">
        <v>8100</v>
      </c>
      <c r="G180" s="36" t="s">
        <v>13</v>
      </c>
      <c r="H180" s="36" t="str">
        <f>IFERROR(VLOOKUP(Table2[[#This Row], [Ticket]],Okey!A:B,2,0),"")</f>
        <v>ok</v>
      </c>
      <c r="I180" s="36" t="e">
        <f>VLOOKUP(Table2[[#This Row],[Node]],#REF!,2,0)=Table2[[#This Row],[Parent]]</f>
        <v>#REF!</v>
      </c>
      <c r="J180" s="36" t="s">
        <v>19</v>
      </c>
      <c r="K180" s="36" t="s">
        <v>8064</v>
      </c>
      <c r="L180" s="36"/>
      <c r="M180" s="36" t="s">
        <v>8113</v>
      </c>
    </row>
    <row r="181" spans="1:13" hidden="1">
      <c r="A181" s="42">
        <f t="shared" si="3"/>
        <v>180</v>
      </c>
      <c r="B181" s="36" t="s">
        <v>6</v>
      </c>
      <c r="C181" s="36" t="s">
        <v>8067</v>
      </c>
      <c r="D181" s="36" t="s">
        <v>8111</v>
      </c>
      <c r="F181" s="36" t="s">
        <v>8100</v>
      </c>
      <c r="G181" s="36" t="s">
        <v>13</v>
      </c>
      <c r="H181" s="36" t="str">
        <f>IFERROR(VLOOKUP(Table2[[#This Row], [Ticket]],Okey!A:B,2,0),"")</f>
        <v>ok</v>
      </c>
      <c r="I181" s="36" t="e">
        <f>VLOOKUP(Table2[[#This Row],[Node]],#REF!,2,0)=Table2[[#This Row],[Parent]]</f>
        <v>#REF!</v>
      </c>
      <c r="J181" s="36" t="s">
        <v>19</v>
      </c>
      <c r="K181" s="36" t="s">
        <v>8064</v>
      </c>
      <c r="L181" s="36"/>
      <c r="M181" s="36" t="s">
        <v>8113</v>
      </c>
    </row>
    <row r="182" spans="1:13" hidden="1">
      <c r="A182" s="42">
        <f t="shared" si="3"/>
        <v>181</v>
      </c>
      <c r="B182" s="36" t="s">
        <v>6</v>
      </c>
      <c r="C182" s="36" t="s">
        <v>8067</v>
      </c>
      <c r="D182" s="36" t="s">
        <v>8112</v>
      </c>
      <c r="F182" s="36" t="s">
        <v>8100</v>
      </c>
      <c r="G182" s="36" t="s">
        <v>13</v>
      </c>
      <c r="H182" s="36" t="str">
        <f>IFERROR(VLOOKUP(Table2[[#This Row], [Ticket]],Okey!A:B,2,0),"")</f>
        <v>ok</v>
      </c>
      <c r="I182" s="36" t="e">
        <f>VLOOKUP(Table2[[#This Row],[Node]],#REF!,2,0)=Table2[[#This Row],[Parent]]</f>
        <v>#REF!</v>
      </c>
      <c r="J182" s="36" t="s">
        <v>19</v>
      </c>
      <c r="K182" s="36" t="s">
        <v>8064</v>
      </c>
      <c r="L182" s="36"/>
      <c r="M182" s="36" t="s">
        <v>8113</v>
      </c>
    </row>
    <row r="183" spans="1:13" hidden="1">
      <c r="A183" s="42">
        <f t="shared" si="3"/>
        <v>182</v>
      </c>
      <c r="B183" s="36" t="s">
        <v>6</v>
      </c>
      <c r="C183" s="36" t="s">
        <v>8067</v>
      </c>
      <c r="D183" s="36" t="s">
        <v>8115</v>
      </c>
      <c r="E183" s="9" t="s">
        <v>7913</v>
      </c>
      <c r="F183" s="9" t="s">
        <v>7914</v>
      </c>
      <c r="G183" s="9" t="s">
        <v>14</v>
      </c>
      <c r="H183" s="36" t="str">
        <f>IFERROR(VLOOKUP(Table2[[#This Row], [Ticket]],Okey!A:B,2,0),"")</f>
        <v>ok</v>
      </c>
      <c r="I183" s="36" t="e">
        <f>VLOOKUP(Table2[[#This Row],[Node]],#REF!,2,0)=Table2[[#This Row],[Parent]]</f>
        <v>#REF!</v>
      </c>
      <c r="J183" s="36" t="s">
        <v>19</v>
      </c>
      <c r="K183" s="36" t="s">
        <v>8114</v>
      </c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8067</v>
      </c>
      <c r="D184" s="36" t="s">
        <v>8116</v>
      </c>
      <c r="E184" s="9" t="s">
        <v>7915</v>
      </c>
      <c r="F184" s="9" t="s">
        <v>7917</v>
      </c>
      <c r="G184" s="36" t="s">
        <v>14</v>
      </c>
      <c r="H184" s="36" t="str">
        <f>IFERROR(VLOOKUP(Table2[[#This Row], [Ticket]],Okey!A:B,2,0),"")</f>
        <v>ok</v>
      </c>
      <c r="I184" s="36" t="e">
        <f>VLOOKUP(Table2[[#This Row],[Node]],#REF!,2,0)=Table2[[#This Row],[Parent]]</f>
        <v>#REF!</v>
      </c>
      <c r="J184" s="36" t="s">
        <v>19</v>
      </c>
      <c r="K184" s="36" t="s">
        <v>8114</v>
      </c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8067</v>
      </c>
      <c r="D185" s="36" t="s">
        <v>8117</v>
      </c>
      <c r="E185" s="9" t="s">
        <v>7916</v>
      </c>
      <c r="F185" s="9" t="s">
        <v>7917</v>
      </c>
      <c r="G185" s="36" t="s">
        <v>14</v>
      </c>
      <c r="H185" s="36" t="str">
        <f>IFERROR(VLOOKUP(Table2[[#This Row], [Ticket]],Okey!A:B,2,0),"")</f>
        <v>ok</v>
      </c>
      <c r="I185" s="36" t="e">
        <f>VLOOKUP(Table2[[#This Row],[Node]],#REF!,2,0)=Table2[[#This Row],[Parent]]</f>
        <v>#REF!</v>
      </c>
      <c r="J185" s="36" t="s">
        <v>19</v>
      </c>
      <c r="K185" s="36" t="s">
        <v>8114</v>
      </c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8128</v>
      </c>
      <c r="D186" t="s">
        <v>8131</v>
      </c>
      <c r="E186" s="9" t="s">
        <v>8118</v>
      </c>
      <c r="F186" s="9" t="s">
        <v>8130</v>
      </c>
      <c r="G186" s="36" t="s">
        <v>14</v>
      </c>
      <c r="H186" s="36" t="str">
        <f>IFERROR(VLOOKUP(Table2[[#This Row], [Ticket]],Okey!A:B,2,0),"")</f>
        <v>ok</v>
      </c>
      <c r="I186" s="36" t="e">
        <f>VLOOKUP(Table2[[#This Row],[Node]],#REF!,2,0)=Table2[[#This Row],[Parent]]</f>
        <v>#REF!</v>
      </c>
      <c r="J186" s="36" t="s">
        <v>19</v>
      </c>
      <c r="K186" s="36" t="s">
        <v>8114</v>
      </c>
      <c r="L186" s="36"/>
      <c r="M186" s="9" t="s">
        <v>8129</v>
      </c>
    </row>
    <row r="187" spans="1:13" hidden="1">
      <c r="A187" s="42">
        <f t="shared" si="3"/>
        <v>186</v>
      </c>
      <c r="B187" s="36" t="s">
        <v>6</v>
      </c>
      <c r="C187" s="36" t="s">
        <v>8128</v>
      </c>
      <c r="D187" t="s">
        <v>8132</v>
      </c>
      <c r="E187" s="9" t="s">
        <v>8119</v>
      </c>
      <c r="F187" s="9" t="s">
        <v>8131</v>
      </c>
      <c r="G187" s="36" t="s">
        <v>14</v>
      </c>
      <c r="H187" s="36" t="str">
        <f>IFERROR(VLOOKUP(Table2[[#This Row], [Ticket]],Okey!A:B,2,0),"")</f>
        <v>ok</v>
      </c>
      <c r="I187" s="36" t="e">
        <f>VLOOKUP(Table2[[#This Row],[Node]],#REF!,2,0)=Table2[[#This Row],[Parent]]</f>
        <v>#REF!</v>
      </c>
      <c r="J187" s="36" t="s">
        <v>19</v>
      </c>
      <c r="K187" s="36" t="s">
        <v>8114</v>
      </c>
      <c r="L187" s="36"/>
      <c r="M187" s="36" t="s">
        <v>8129</v>
      </c>
    </row>
    <row r="188" spans="1:13" hidden="1">
      <c r="A188" s="42">
        <f t="shared" si="3"/>
        <v>187</v>
      </c>
      <c r="B188" s="36" t="s">
        <v>6</v>
      </c>
      <c r="C188" s="36" t="s">
        <v>8128</v>
      </c>
      <c r="D188" t="s">
        <v>8133</v>
      </c>
      <c r="E188" s="9" t="s">
        <v>8120</v>
      </c>
      <c r="F188" s="9" t="s">
        <v>8131</v>
      </c>
      <c r="G188" s="36" t="s">
        <v>14</v>
      </c>
      <c r="H188" s="36" t="str">
        <f>IFERROR(VLOOKUP(Table2[[#This Row], [Ticket]],Okey!A:B,2,0),"")</f>
        <v>ok</v>
      </c>
      <c r="I188" s="36" t="e">
        <f>VLOOKUP(Table2[[#This Row],[Node]],#REF!,2,0)=Table2[[#This Row],[Parent]]</f>
        <v>#REF!</v>
      </c>
      <c r="J188" s="36" t="s">
        <v>19</v>
      </c>
      <c r="K188" s="36" t="s">
        <v>8114</v>
      </c>
      <c r="L188" s="36"/>
      <c r="M188" s="36" t="s">
        <v>8129</v>
      </c>
    </row>
    <row r="189" spans="1:13" hidden="1">
      <c r="A189" s="42">
        <f t="shared" si="3"/>
        <v>188</v>
      </c>
      <c r="B189" s="36" t="s">
        <v>6</v>
      </c>
      <c r="C189" s="36" t="s">
        <v>8128</v>
      </c>
      <c r="D189" t="s">
        <v>8134</v>
      </c>
      <c r="E189" s="9" t="s">
        <v>8121</v>
      </c>
      <c r="F189" s="9" t="s">
        <v>8131</v>
      </c>
      <c r="G189" s="36" t="s">
        <v>14</v>
      </c>
      <c r="H189" s="36" t="str">
        <f>IFERROR(VLOOKUP(Table2[[#This Row], [Ticket]],Okey!A:B,2,0),"")</f>
        <v>ok</v>
      </c>
      <c r="I189" s="36" t="e">
        <f>VLOOKUP(Table2[[#This Row],[Node]],#REF!,2,0)=Table2[[#This Row],[Parent]]</f>
        <v>#REF!</v>
      </c>
      <c r="J189" s="36" t="s">
        <v>19</v>
      </c>
      <c r="K189" s="36" t="s">
        <v>8114</v>
      </c>
      <c r="L189" s="36"/>
      <c r="M189" s="36" t="s">
        <v>8129</v>
      </c>
    </row>
    <row r="190" spans="1:13" hidden="1">
      <c r="A190" s="42">
        <f t="shared" si="3"/>
        <v>189</v>
      </c>
      <c r="B190" s="36" t="s">
        <v>6</v>
      </c>
      <c r="C190" s="36" t="s">
        <v>8128</v>
      </c>
      <c r="D190" t="s">
        <v>8135</v>
      </c>
      <c r="E190" s="9" t="s">
        <v>8122</v>
      </c>
      <c r="F190" s="9" t="s">
        <v>8131</v>
      </c>
      <c r="G190" s="36" t="s">
        <v>14</v>
      </c>
      <c r="H190" s="36" t="str">
        <f>IFERROR(VLOOKUP(Table2[[#This Row], [Ticket]],Okey!A:B,2,0),"")</f>
        <v>ok</v>
      </c>
      <c r="I190" s="36" t="e">
        <f>VLOOKUP(Table2[[#This Row],[Node]],#REF!,2,0)=Table2[[#This Row],[Parent]]</f>
        <v>#REF!</v>
      </c>
      <c r="J190" s="36" t="s">
        <v>19</v>
      </c>
      <c r="K190" s="36" t="s">
        <v>8114</v>
      </c>
      <c r="L190" s="36"/>
      <c r="M190" s="36" t="s">
        <v>8129</v>
      </c>
    </row>
    <row r="191" spans="1:13" hidden="1">
      <c r="A191" s="42">
        <f t="shared" si="3"/>
        <v>190</v>
      </c>
      <c r="B191" s="36" t="s">
        <v>6</v>
      </c>
      <c r="C191" s="36" t="s">
        <v>8128</v>
      </c>
      <c r="D191" t="s">
        <v>8136</v>
      </c>
      <c r="E191" s="9" t="s">
        <v>8123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e">
        <f>VLOOKUP(Table2[[#This Row],[Node]],#REF!,2,0)=Table2[[#This Row],[Parent]]</f>
        <v>#REF!</v>
      </c>
      <c r="J191" s="36" t="s">
        <v>19</v>
      </c>
      <c r="K191" s="36" t="s">
        <v>8114</v>
      </c>
      <c r="L191" s="36"/>
      <c r="M191" s="36" t="s">
        <v>8129</v>
      </c>
    </row>
    <row r="192" spans="1:13" hidden="1">
      <c r="A192" s="42">
        <f t="shared" si="3"/>
        <v>191</v>
      </c>
      <c r="B192" s="36" t="s">
        <v>6</v>
      </c>
      <c r="C192" s="36" t="s">
        <v>8128</v>
      </c>
      <c r="D192" t="s">
        <v>8137</v>
      </c>
      <c r="E192" s="9" t="s">
        <v>8124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e">
        <f>VLOOKUP(Table2[[#This Row],[Node]],#REF!,2,0)=Table2[[#This Row],[Parent]]</f>
        <v>#REF!</v>
      </c>
      <c r="J192" s="36" t="s">
        <v>19</v>
      </c>
      <c r="K192" s="36" t="s">
        <v>8114</v>
      </c>
      <c r="L192" s="36"/>
      <c r="M192" s="36" t="s">
        <v>8129</v>
      </c>
    </row>
    <row r="193" spans="1:13" hidden="1">
      <c r="A193" s="42">
        <f t="shared" si="3"/>
        <v>192</v>
      </c>
      <c r="B193" s="36" t="s">
        <v>6</v>
      </c>
      <c r="C193" s="36" t="s">
        <v>8128</v>
      </c>
      <c r="D193" t="s">
        <v>8138</v>
      </c>
      <c r="E193" s="9" t="s">
        <v>8125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e">
        <f>VLOOKUP(Table2[[#This Row],[Node]],#REF!,2,0)=Table2[[#This Row],[Parent]]</f>
        <v>#REF!</v>
      </c>
      <c r="J193" s="36" t="s">
        <v>19</v>
      </c>
      <c r="K193" s="36" t="s">
        <v>8114</v>
      </c>
      <c r="L193" s="36"/>
      <c r="M193" s="36" t="s">
        <v>8129</v>
      </c>
    </row>
    <row r="194" spans="1:13" hidden="1">
      <c r="A194" s="42">
        <f t="shared" si="3"/>
        <v>193</v>
      </c>
      <c r="B194" s="36" t="s">
        <v>6</v>
      </c>
      <c r="C194" s="36" t="s">
        <v>8128</v>
      </c>
      <c r="D194" t="s">
        <v>8139</v>
      </c>
      <c r="E194" s="9" t="s">
        <v>8126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e">
        <f>VLOOKUP(Table2[[#This Row],[Node]],#REF!,2,0)=Table2[[#This Row],[Parent]]</f>
        <v>#REF!</v>
      </c>
      <c r="J194" s="36" t="s">
        <v>19</v>
      </c>
      <c r="K194" s="36" t="s">
        <v>8114</v>
      </c>
      <c r="L194" s="36"/>
      <c r="M194" s="36" t="s">
        <v>8129</v>
      </c>
    </row>
    <row r="195" spans="1:13" hidden="1">
      <c r="A195" s="42">
        <f t="shared" si="3"/>
        <v>194</v>
      </c>
      <c r="B195" s="36" t="s">
        <v>6</v>
      </c>
      <c r="C195" s="36" t="s">
        <v>8128</v>
      </c>
      <c r="D195" t="s">
        <v>8140</v>
      </c>
      <c r="E195" s="9" t="s">
        <v>8127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e">
        <f>VLOOKUP(Table2[[#This Row],[Node]],#REF!,2,0)=Table2[[#This Row],[Parent]]</f>
        <v>#REF!</v>
      </c>
      <c r="J195" s="36" t="s">
        <v>19</v>
      </c>
      <c r="K195" s="36" t="s">
        <v>8114</v>
      </c>
      <c r="L195" s="36"/>
      <c r="M195" s="36" t="s">
        <v>8129</v>
      </c>
    </row>
    <row r="196" spans="1:13" hidden="1">
      <c r="A196" s="42">
        <f t="shared" si="3"/>
        <v>195</v>
      </c>
      <c r="B196" s="36" t="s">
        <v>6</v>
      </c>
      <c r="C196" s="9" t="s">
        <v>8149</v>
      </c>
      <c r="D196" t="s">
        <v>8150</v>
      </c>
      <c r="E196" t="s">
        <v>8141</v>
      </c>
      <c r="F196" s="36" t="s">
        <v>6118</v>
      </c>
      <c r="G196" s="36" t="s">
        <v>14</v>
      </c>
      <c r="H196" s="36" t="str">
        <f>IFERROR(VLOOKUP(Table2[[#This Row], [Ticket]],Okey!A:B,2,0),"")</f>
        <v/>
      </c>
      <c r="I196" s="36"/>
      <c r="J196" s="36" t="s">
        <v>19</v>
      </c>
      <c r="K196" s="9" t="s">
        <v>8705</v>
      </c>
      <c r="M196" s="9" t="s">
        <v>8152</v>
      </c>
    </row>
    <row r="197" spans="1:13" hidden="1">
      <c r="A197" s="42">
        <f t="shared" si="3"/>
        <v>196</v>
      </c>
      <c r="B197" s="36" t="s">
        <v>6</v>
      </c>
      <c r="C197" s="36" t="s">
        <v>8149</v>
      </c>
      <c r="D197" t="s">
        <v>8151</v>
      </c>
      <c r="E197" t="s">
        <v>8142</v>
      </c>
      <c r="F197" s="9" t="s">
        <v>8143</v>
      </c>
      <c r="G197" s="9" t="s">
        <v>14</v>
      </c>
      <c r="H197" s="36" t="str">
        <f>IFERROR(VLOOKUP(Table2[[#This Row], [Ticket]],Okey!A:B,2,0),"")</f>
        <v/>
      </c>
      <c r="I197" s="36"/>
      <c r="J197" s="36" t="s">
        <v>19</v>
      </c>
      <c r="K197" s="36" t="s">
        <v>8705</v>
      </c>
      <c r="M197" s="36" t="s">
        <v>8152</v>
      </c>
    </row>
    <row r="198" spans="1:13" hidden="1">
      <c r="A198" s="42">
        <f t="shared" si="3"/>
        <v>197</v>
      </c>
      <c r="B198" s="36" t="s">
        <v>6</v>
      </c>
      <c r="C198" s="36" t="s">
        <v>8149</v>
      </c>
      <c r="D198" s="9" t="s">
        <v>8144</v>
      </c>
      <c r="F198" t="s">
        <v>8150</v>
      </c>
      <c r="G198" s="36" t="s">
        <v>13</v>
      </c>
      <c r="H198" s="36" t="str">
        <f>IFERROR(VLOOKUP(Table2[[#This Row], [Ticket]],Okey!A:B,2,0),"")</f>
        <v/>
      </c>
      <c r="I198" s="36"/>
      <c r="J198" s="36" t="s">
        <v>19</v>
      </c>
      <c r="K198" s="36" t="s">
        <v>8707</v>
      </c>
      <c r="M198" s="36" t="s">
        <v>8152</v>
      </c>
    </row>
    <row r="199" spans="1:13" hidden="1">
      <c r="A199" s="42">
        <f t="shared" si="3"/>
        <v>198</v>
      </c>
      <c r="B199" s="36" t="s">
        <v>6</v>
      </c>
      <c r="C199" s="36" t="s">
        <v>8149</v>
      </c>
      <c r="D199" s="9" t="s">
        <v>8145</v>
      </c>
      <c r="F199" t="s">
        <v>8150</v>
      </c>
      <c r="G199" s="36" t="s">
        <v>13</v>
      </c>
      <c r="H199" s="36" t="str">
        <f>IFERROR(VLOOKUP(Table2[[#This Row], [Ticket]],Okey!A:B,2,0),"")</f>
        <v/>
      </c>
      <c r="I199" s="36"/>
      <c r="J199" s="36" t="s">
        <v>19</v>
      </c>
      <c r="K199" s="36" t="s">
        <v>8707</v>
      </c>
      <c r="M199" s="36" t="s">
        <v>8152</v>
      </c>
    </row>
    <row r="200" spans="1:13" hidden="1">
      <c r="A200" s="42">
        <f t="shared" si="3"/>
        <v>199</v>
      </c>
      <c r="B200" s="36" t="s">
        <v>6</v>
      </c>
      <c r="C200" s="36" t="s">
        <v>8149</v>
      </c>
      <c r="D200" s="9" t="s">
        <v>6131</v>
      </c>
      <c r="F200" t="s">
        <v>8150</v>
      </c>
      <c r="G200" s="36" t="s">
        <v>13</v>
      </c>
      <c r="H200" s="36" t="str">
        <f>IFERROR(VLOOKUP(Table2[[#This Row], [Ticket]],Okey!A:B,2,0),"")</f>
        <v/>
      </c>
      <c r="I200" s="36"/>
      <c r="J200" s="36" t="s">
        <v>19</v>
      </c>
      <c r="K200" s="36" t="s">
        <v>8707</v>
      </c>
      <c r="M200" s="36" t="s">
        <v>8152</v>
      </c>
    </row>
    <row r="201" spans="1:13" hidden="1">
      <c r="A201" s="42">
        <f t="shared" si="3"/>
        <v>200</v>
      </c>
      <c r="B201" s="36" t="s">
        <v>6</v>
      </c>
      <c r="C201" s="36" t="s">
        <v>8149</v>
      </c>
      <c r="D201" s="9" t="s">
        <v>990</v>
      </c>
      <c r="F201" t="s">
        <v>8151</v>
      </c>
      <c r="G201" s="36" t="s">
        <v>13</v>
      </c>
      <c r="H201" s="36" t="str">
        <f>IFERROR(VLOOKUP(Table2[[#This Row], [Ticket]],Okey!A:B,2,0),"")</f>
        <v/>
      </c>
      <c r="I201" s="36"/>
      <c r="J201" s="36" t="s">
        <v>19</v>
      </c>
      <c r="K201" s="36" t="s">
        <v>8707</v>
      </c>
      <c r="M201" s="36" t="s">
        <v>8152</v>
      </c>
    </row>
    <row r="202" spans="1:13" hidden="1">
      <c r="A202" s="42">
        <f t="shared" si="3"/>
        <v>201</v>
      </c>
      <c r="B202" s="36" t="s">
        <v>6</v>
      </c>
      <c r="C202" s="36" t="s">
        <v>8149</v>
      </c>
      <c r="D202" s="9" t="s">
        <v>8146</v>
      </c>
      <c r="F202" t="s">
        <v>8151</v>
      </c>
      <c r="G202" s="36" t="s">
        <v>13</v>
      </c>
      <c r="H202" s="36" t="str">
        <f>IFERROR(VLOOKUP(Table2[[#This Row], [Ticket]],Okey!A:B,2,0),"")</f>
        <v/>
      </c>
      <c r="I202" s="36"/>
      <c r="J202" s="36" t="s">
        <v>19</v>
      </c>
      <c r="K202" s="36" t="s">
        <v>8707</v>
      </c>
      <c r="M202" s="36" t="s">
        <v>8152</v>
      </c>
    </row>
    <row r="203" spans="1:13" hidden="1">
      <c r="A203" s="42">
        <f t="shared" si="3"/>
        <v>202</v>
      </c>
      <c r="B203" s="36" t="s">
        <v>6</v>
      </c>
      <c r="C203" s="36" t="s">
        <v>8149</v>
      </c>
      <c r="D203" s="9" t="s">
        <v>8147</v>
      </c>
      <c r="F203" t="s">
        <v>8151</v>
      </c>
      <c r="G203" s="36" t="s">
        <v>13</v>
      </c>
      <c r="H203" s="36" t="str">
        <f>IFERROR(VLOOKUP(Table2[[#This Row], [Ticket]],Okey!A:B,2,0),"")</f>
        <v/>
      </c>
      <c r="I203" s="36"/>
      <c r="J203" s="36" t="s">
        <v>19</v>
      </c>
      <c r="K203" s="36" t="s">
        <v>8707</v>
      </c>
      <c r="M203" s="36" t="s">
        <v>8152</v>
      </c>
    </row>
    <row r="204" spans="1:13" hidden="1">
      <c r="A204" s="42">
        <f t="shared" si="3"/>
        <v>203</v>
      </c>
      <c r="B204" s="36" t="s">
        <v>6</v>
      </c>
      <c r="C204" s="36" t="s">
        <v>8149</v>
      </c>
      <c r="D204" s="9" t="s">
        <v>8148</v>
      </c>
      <c r="F204" t="s">
        <v>8151</v>
      </c>
      <c r="G204" s="9" t="s">
        <v>13</v>
      </c>
      <c r="H204" s="36" t="str">
        <f>IFERROR(VLOOKUP(Table2[[#This Row], [Ticket]],Okey!A:B,2,0),"")</f>
        <v/>
      </c>
      <c r="I204" s="36"/>
      <c r="J204" s="36" t="s">
        <v>19</v>
      </c>
      <c r="K204" s="36" t="s">
        <v>8707</v>
      </c>
      <c r="M204" s="36" t="s">
        <v>8152</v>
      </c>
    </row>
    <row r="205" spans="1:13" hidden="1">
      <c r="A205" s="42">
        <f t="shared" si="3"/>
        <v>204</v>
      </c>
      <c r="B205" s="36" t="s">
        <v>6</v>
      </c>
      <c r="C205" s="36" t="s">
        <v>8551</v>
      </c>
      <c r="D205" s="36" t="s">
        <v>8558</v>
      </c>
      <c r="E205" s="9" t="s">
        <v>8153</v>
      </c>
      <c r="F205" s="9" t="s">
        <v>1277</v>
      </c>
      <c r="G205" s="36" t="s">
        <v>14</v>
      </c>
      <c r="H205" s="36" t="str">
        <f>IFERROR(VLOOKUP(Table2[[#This Row], [Ticket]],Okey!A:B,2,0),"")</f>
        <v/>
      </c>
      <c r="I205" s="36"/>
      <c r="J205" s="9" t="s">
        <v>18</v>
      </c>
      <c r="K205" s="9" t="s">
        <v>8705</v>
      </c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8551</v>
      </c>
      <c r="D206" s="9" t="s">
        <v>8559</v>
      </c>
      <c r="E206" s="9" t="s">
        <v>8154</v>
      </c>
      <c r="F206" s="9" t="s">
        <v>1277</v>
      </c>
      <c r="G206" s="36" t="s">
        <v>14</v>
      </c>
      <c r="H206" s="36" t="str">
        <f>IFERROR(VLOOKUP(Table2[[#This Row], [Ticket]],Okey!A:B,2,0),"")</f>
        <v/>
      </c>
      <c r="I206" s="36"/>
      <c r="J206" s="36" t="s">
        <v>18</v>
      </c>
      <c r="K206" s="36" t="s">
        <v>8705</v>
      </c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8551</v>
      </c>
      <c r="D207" s="9" t="s">
        <v>8560</v>
      </c>
      <c r="E207" s="9" t="s">
        <v>8155</v>
      </c>
      <c r="F207" s="9" t="s">
        <v>1290</v>
      </c>
      <c r="G207" s="36" t="s">
        <v>14</v>
      </c>
      <c r="H207" s="36" t="str">
        <f>IFERROR(VLOOKUP(Table2[[#This Row], [Ticket]],Okey!A:B,2,0),"")</f>
        <v/>
      </c>
      <c r="I207" s="36"/>
      <c r="J207" s="36" t="s">
        <v>18</v>
      </c>
      <c r="K207" s="36" t="s">
        <v>8705</v>
      </c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8551</v>
      </c>
      <c r="D208" s="9" t="s">
        <v>8561</v>
      </c>
      <c r="E208" s="9" t="s">
        <v>8156</v>
      </c>
      <c r="F208" s="9" t="s">
        <v>1290</v>
      </c>
      <c r="G208" s="36" t="s">
        <v>14</v>
      </c>
      <c r="H208" s="36" t="str">
        <f>IFERROR(VLOOKUP(Table2[[#This Row], [Ticket]],Okey!A:B,2,0),"")</f>
        <v/>
      </c>
      <c r="I208" s="36"/>
      <c r="J208" s="36" t="s">
        <v>18</v>
      </c>
      <c r="K208" s="36" t="s">
        <v>8705</v>
      </c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8551</v>
      </c>
      <c r="D209" s="9" t="s">
        <v>8562</v>
      </c>
      <c r="E209" s="9" t="s">
        <v>8157</v>
      </c>
      <c r="F209" s="9" t="s">
        <v>1290</v>
      </c>
      <c r="G209" s="36" t="s">
        <v>14</v>
      </c>
      <c r="H209" s="36" t="str">
        <f>IFERROR(VLOOKUP(Table2[[#This Row], [Ticket]],Okey!A:B,2,0),"")</f>
        <v/>
      </c>
      <c r="I209" s="36"/>
      <c r="J209" s="36" t="s">
        <v>18</v>
      </c>
      <c r="K209" s="36" t="s">
        <v>8705</v>
      </c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8551</v>
      </c>
      <c r="D210" s="9" t="s">
        <v>8563</v>
      </c>
      <c r="E210" s="9" t="s">
        <v>8158</v>
      </c>
      <c r="F210" s="9" t="s">
        <v>1290</v>
      </c>
      <c r="G210" s="36" t="s">
        <v>14</v>
      </c>
      <c r="H210" s="36" t="str">
        <f>IFERROR(VLOOKUP(Table2[[#This Row], [Ticket]],Okey!A:B,2,0),"")</f>
        <v/>
      </c>
      <c r="I210" s="36"/>
      <c r="J210" s="36" t="s">
        <v>18</v>
      </c>
      <c r="K210" s="36" t="s">
        <v>8705</v>
      </c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8551</v>
      </c>
      <c r="D211" s="9" t="s">
        <v>8564</v>
      </c>
      <c r="E211" s="9" t="s">
        <v>8159</v>
      </c>
      <c r="F211" s="9" t="s">
        <v>1290</v>
      </c>
      <c r="G211" s="36" t="s">
        <v>14</v>
      </c>
      <c r="H211" s="36" t="str">
        <f>IFERROR(VLOOKUP(Table2[[#This Row], [Ticket]],Okey!A:B,2,0),"")</f>
        <v/>
      </c>
      <c r="I211" s="36"/>
      <c r="J211" s="36" t="s">
        <v>18</v>
      </c>
      <c r="K211" s="36" t="s">
        <v>8705</v>
      </c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8551</v>
      </c>
      <c r="D212" s="9" t="s">
        <v>8565</v>
      </c>
      <c r="E212" s="9" t="s">
        <v>8160</v>
      </c>
      <c r="F212" s="9" t="s">
        <v>1290</v>
      </c>
      <c r="G212" s="36" t="s">
        <v>14</v>
      </c>
      <c r="H212" s="36" t="str">
        <f>IFERROR(VLOOKUP(Table2[[#This Row], [Ticket]],Okey!A:B,2,0),"")</f>
        <v/>
      </c>
      <c r="I212" s="36"/>
      <c r="J212" s="36" t="s">
        <v>18</v>
      </c>
      <c r="K212" s="36" t="s">
        <v>8705</v>
      </c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8551</v>
      </c>
      <c r="D213" s="9" t="s">
        <v>8566</v>
      </c>
      <c r="E213" s="9" t="s">
        <v>8161</v>
      </c>
      <c r="F213" s="36" t="s">
        <v>8558</v>
      </c>
      <c r="G213" s="36" t="s">
        <v>14</v>
      </c>
      <c r="H213" s="36" t="str">
        <f>IFERROR(VLOOKUP(Table2[[#This Row], [Ticket]],Okey!A:B,2,0),"")</f>
        <v/>
      </c>
      <c r="I213" s="36"/>
      <c r="J213" s="36" t="s">
        <v>18</v>
      </c>
      <c r="K213" s="36" t="s">
        <v>8705</v>
      </c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8551</v>
      </c>
      <c r="D214" s="9" t="s">
        <v>8567</v>
      </c>
      <c r="E214" s="9" t="s">
        <v>8162</v>
      </c>
      <c r="F214" s="36" t="s">
        <v>8558</v>
      </c>
      <c r="G214" s="36" t="s">
        <v>14</v>
      </c>
      <c r="H214" s="36" t="str">
        <f>IFERROR(VLOOKUP(Table2[[#This Row], [Ticket]],Okey!A:B,2,0),"")</f>
        <v/>
      </c>
      <c r="I214" s="36"/>
      <c r="J214" s="36" t="s">
        <v>18</v>
      </c>
      <c r="K214" s="36" t="s">
        <v>8705</v>
      </c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8551</v>
      </c>
      <c r="D215" s="9" t="s">
        <v>8568</v>
      </c>
      <c r="E215" s="9" t="s">
        <v>8163</v>
      </c>
      <c r="F215" s="36" t="s">
        <v>8558</v>
      </c>
      <c r="G215" s="36" t="s">
        <v>14</v>
      </c>
      <c r="H215" s="36" t="str">
        <f>IFERROR(VLOOKUP(Table2[[#This Row], [Ticket]],Okey!A:B,2,0),"")</f>
        <v/>
      </c>
      <c r="I215" s="36"/>
      <c r="J215" s="36" t="s">
        <v>18</v>
      </c>
      <c r="K215" s="36" t="s">
        <v>8705</v>
      </c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8551</v>
      </c>
      <c r="D216" s="9" t="s">
        <v>8569</v>
      </c>
      <c r="E216" s="9" t="s">
        <v>8164</v>
      </c>
      <c r="F216" s="36" t="s">
        <v>8558</v>
      </c>
      <c r="G216" s="36" t="s">
        <v>14</v>
      </c>
      <c r="H216" s="36" t="str">
        <f>IFERROR(VLOOKUP(Table2[[#This Row], [Ticket]],Okey!A:B,2,0),"")</f>
        <v/>
      </c>
      <c r="I216" s="36"/>
      <c r="J216" s="36" t="s">
        <v>18</v>
      </c>
      <c r="K216" s="36" t="s">
        <v>8705</v>
      </c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8551</v>
      </c>
      <c r="D217" s="9" t="s">
        <v>8570</v>
      </c>
      <c r="E217" s="9" t="s">
        <v>8165</v>
      </c>
      <c r="F217" s="9" t="s">
        <v>1277</v>
      </c>
      <c r="G217" s="36" t="s">
        <v>14</v>
      </c>
      <c r="H217" s="36" t="str">
        <f>IFERROR(VLOOKUP(Table2[[#This Row], [Ticket]],Okey!A:B,2,0),"")</f>
        <v/>
      </c>
      <c r="I217" s="36"/>
      <c r="J217" s="36" t="s">
        <v>18</v>
      </c>
      <c r="K217" s="36" t="s">
        <v>8705</v>
      </c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8551</v>
      </c>
      <c r="D218" s="9" t="s">
        <v>8571</v>
      </c>
      <c r="E218" s="9" t="s">
        <v>8166</v>
      </c>
      <c r="F218" s="9" t="s">
        <v>1309</v>
      </c>
      <c r="G218" s="36" t="s">
        <v>14</v>
      </c>
      <c r="H218" s="36" t="str">
        <f>IFERROR(VLOOKUP(Table2[[#This Row], [Ticket]],Okey!A:B,2,0),"")</f>
        <v/>
      </c>
      <c r="I218" s="36"/>
      <c r="J218" s="36" t="s">
        <v>18</v>
      </c>
      <c r="K218" s="36" t="s">
        <v>8705</v>
      </c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8551</v>
      </c>
      <c r="D219" s="9" t="s">
        <v>8572</v>
      </c>
      <c r="E219" s="9" t="s">
        <v>8167</v>
      </c>
      <c r="F219" s="9" t="s">
        <v>1309</v>
      </c>
      <c r="G219" s="36" t="s">
        <v>14</v>
      </c>
      <c r="H219" s="36" t="str">
        <f>IFERROR(VLOOKUP(Table2[[#This Row], [Ticket]],Okey!A:B,2,0),"")</f>
        <v/>
      </c>
      <c r="I219" s="36"/>
      <c r="J219" s="36" t="s">
        <v>18</v>
      </c>
      <c r="K219" s="36" t="s">
        <v>8705</v>
      </c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8551</v>
      </c>
      <c r="D220" s="9" t="s">
        <v>8573</v>
      </c>
      <c r="E220" s="9" t="s">
        <v>8168</v>
      </c>
      <c r="F220" s="9" t="s">
        <v>8169</v>
      </c>
      <c r="G220" s="36" t="s">
        <v>14</v>
      </c>
      <c r="H220" s="36" t="str">
        <f>IFERROR(VLOOKUP(Table2[[#This Row], [Ticket]],Okey!A:B,2,0),"")</f>
        <v/>
      </c>
      <c r="I220" s="36"/>
      <c r="J220" s="36" t="s">
        <v>18</v>
      </c>
      <c r="K220" s="36" t="s">
        <v>8705</v>
      </c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8551</v>
      </c>
      <c r="D221" s="9" t="s">
        <v>8574</v>
      </c>
      <c r="E221" s="9" t="s">
        <v>8170</v>
      </c>
      <c r="F221" s="9" t="s">
        <v>1340</v>
      </c>
      <c r="G221" s="36" t="s">
        <v>14</v>
      </c>
      <c r="H221" s="36" t="str">
        <f>IFERROR(VLOOKUP(Table2[[#This Row], [Ticket]],Okey!A:B,2,0),"")</f>
        <v/>
      </c>
      <c r="I221" s="36"/>
      <c r="J221" s="36" t="s">
        <v>18</v>
      </c>
      <c r="K221" s="36" t="s">
        <v>8705</v>
      </c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8551</v>
      </c>
      <c r="D222" s="9" t="s">
        <v>8575</v>
      </c>
      <c r="E222" s="9" t="s">
        <v>8171</v>
      </c>
      <c r="F222" s="9" t="s">
        <v>5540</v>
      </c>
      <c r="G222" s="36" t="s">
        <v>14</v>
      </c>
      <c r="H222" s="36" t="str">
        <f>IFERROR(VLOOKUP(Table2[[#This Row], [Ticket]],Okey!A:B,2,0),"")</f>
        <v/>
      </c>
      <c r="I222" s="36"/>
      <c r="J222" s="36" t="s">
        <v>18</v>
      </c>
      <c r="K222" s="36" t="s">
        <v>8705</v>
      </c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8551</v>
      </c>
      <c r="D223" s="9" t="s">
        <v>8576</v>
      </c>
      <c r="E223" s="9" t="s">
        <v>8172</v>
      </c>
      <c r="F223" s="9" t="s">
        <v>5540</v>
      </c>
      <c r="G223" s="36" t="s">
        <v>14</v>
      </c>
      <c r="H223" s="36" t="str">
        <f>IFERROR(VLOOKUP(Table2[[#This Row], [Ticket]],Okey!A:B,2,0),"")</f>
        <v/>
      </c>
      <c r="I223" s="36"/>
      <c r="J223" s="36" t="s">
        <v>18</v>
      </c>
      <c r="K223" s="36" t="s">
        <v>8705</v>
      </c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8551</v>
      </c>
      <c r="D224" s="9" t="s">
        <v>8577</v>
      </c>
      <c r="E224" s="9" t="s">
        <v>8173</v>
      </c>
      <c r="F224" s="9" t="s">
        <v>5540</v>
      </c>
      <c r="G224" s="36" t="s">
        <v>14</v>
      </c>
      <c r="H224" s="36" t="str">
        <f>IFERROR(VLOOKUP(Table2[[#This Row], [Ticket]],Okey!A:B,2,0),"")</f>
        <v/>
      </c>
      <c r="I224" s="36"/>
      <c r="J224" s="36" t="s">
        <v>18</v>
      </c>
      <c r="K224" s="36" t="s">
        <v>8705</v>
      </c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8551</v>
      </c>
      <c r="D225" s="9" t="s">
        <v>8578</v>
      </c>
      <c r="E225" s="9" t="s">
        <v>8174</v>
      </c>
      <c r="F225" s="9" t="s">
        <v>5540</v>
      </c>
      <c r="G225" s="36" t="s">
        <v>14</v>
      </c>
      <c r="H225" s="36" t="str">
        <f>IFERROR(VLOOKUP(Table2[[#This Row], [Ticket]],Okey!A:B,2,0),"")</f>
        <v/>
      </c>
      <c r="I225" s="36"/>
      <c r="J225" s="36" t="s">
        <v>18</v>
      </c>
      <c r="K225" s="36" t="s">
        <v>8705</v>
      </c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8551</v>
      </c>
      <c r="D226" s="9" t="s">
        <v>8579</v>
      </c>
      <c r="E226" s="9" t="s">
        <v>8175</v>
      </c>
      <c r="F226" s="9" t="s">
        <v>5540</v>
      </c>
      <c r="G226" s="36" t="s">
        <v>14</v>
      </c>
      <c r="H226" s="36" t="str">
        <f>IFERROR(VLOOKUP(Table2[[#This Row], [Ticket]],Okey!A:B,2,0),"")</f>
        <v/>
      </c>
      <c r="I226" s="36"/>
      <c r="J226" s="36" t="s">
        <v>18</v>
      </c>
      <c r="K226" s="36" t="s">
        <v>8705</v>
      </c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8551</v>
      </c>
      <c r="D227" s="9" t="s">
        <v>8580</v>
      </c>
      <c r="E227" s="9" t="s">
        <v>8176</v>
      </c>
      <c r="F227" s="9" t="s">
        <v>5540</v>
      </c>
      <c r="G227" s="36" t="s">
        <v>14</v>
      </c>
      <c r="H227" s="36" t="str">
        <f>IFERROR(VLOOKUP(Table2[[#This Row], [Ticket]],Okey!A:B,2,0),"")</f>
        <v/>
      </c>
      <c r="I227" s="36"/>
      <c r="J227" s="36" t="s">
        <v>18</v>
      </c>
      <c r="K227" s="36" t="s">
        <v>8705</v>
      </c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8551</v>
      </c>
      <c r="D228" s="9" t="s">
        <v>8581</v>
      </c>
      <c r="E228" s="9" t="s">
        <v>8177</v>
      </c>
      <c r="F228" s="9" t="s">
        <v>5540</v>
      </c>
      <c r="G228" s="36" t="s">
        <v>14</v>
      </c>
      <c r="H228" s="36" t="str">
        <f>IFERROR(VLOOKUP(Table2[[#This Row], [Ticket]],Okey!A:B,2,0),"")</f>
        <v/>
      </c>
      <c r="I228" s="36"/>
      <c r="J228" s="36" t="s">
        <v>18</v>
      </c>
      <c r="K228" s="36" t="s">
        <v>8705</v>
      </c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8551</v>
      </c>
      <c r="D229" s="9" t="s">
        <v>8582</v>
      </c>
      <c r="E229" s="9" t="s">
        <v>8178</v>
      </c>
      <c r="F229" s="9" t="s">
        <v>5540</v>
      </c>
      <c r="G229" s="36" t="s">
        <v>14</v>
      </c>
      <c r="H229" s="36" t="str">
        <f>IFERROR(VLOOKUP(Table2[[#This Row], [Ticket]],Okey!A:B,2,0),"")</f>
        <v/>
      </c>
      <c r="I229" s="36"/>
      <c r="J229" s="36" t="s">
        <v>18</v>
      </c>
      <c r="K229" s="36" t="s">
        <v>8705</v>
      </c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8551</v>
      </c>
      <c r="D230" s="9" t="s">
        <v>8583</v>
      </c>
      <c r="E230" s="9" t="s">
        <v>8179</v>
      </c>
      <c r="F230" s="9" t="s">
        <v>5494</v>
      </c>
      <c r="G230" s="36" t="s">
        <v>14</v>
      </c>
      <c r="H230" s="36" t="str">
        <f>IFERROR(VLOOKUP(Table2[[#This Row], [Ticket]],Okey!A:B,2,0),"")</f>
        <v/>
      </c>
      <c r="I230" s="36"/>
      <c r="J230" s="36" t="s">
        <v>18</v>
      </c>
      <c r="K230" s="36" t="s">
        <v>8705</v>
      </c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8551</v>
      </c>
      <c r="D231" s="9" t="s">
        <v>8584</v>
      </c>
      <c r="E231" s="9" t="s">
        <v>8180</v>
      </c>
      <c r="F231" s="9" t="s">
        <v>8181</v>
      </c>
      <c r="G231" s="36" t="s">
        <v>14</v>
      </c>
      <c r="H231" s="36" t="str">
        <f>IFERROR(VLOOKUP(Table2[[#This Row], [Ticket]],Okey!A:B,2,0),"")</f>
        <v/>
      </c>
      <c r="I231" s="36"/>
      <c r="J231" s="36" t="s">
        <v>18</v>
      </c>
      <c r="K231" s="36" t="s">
        <v>8705</v>
      </c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8551</v>
      </c>
      <c r="D232" s="9" t="s">
        <v>8585</v>
      </c>
      <c r="E232" s="9" t="s">
        <v>8182</v>
      </c>
      <c r="F232" s="9" t="s">
        <v>8181</v>
      </c>
      <c r="G232" s="36" t="s">
        <v>14</v>
      </c>
      <c r="H232" s="36" t="str">
        <f>IFERROR(VLOOKUP(Table2[[#This Row], [Ticket]],Okey!A:B,2,0),"")</f>
        <v/>
      </c>
      <c r="I232" s="36"/>
      <c r="J232" s="36" t="s">
        <v>18</v>
      </c>
      <c r="K232" s="36" t="s">
        <v>8705</v>
      </c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8551</v>
      </c>
      <c r="D233" s="9" t="s">
        <v>8586</v>
      </c>
      <c r="E233" s="9" t="s">
        <v>8183</v>
      </c>
      <c r="F233" s="9" t="s">
        <v>8181</v>
      </c>
      <c r="G233" s="36" t="s">
        <v>14</v>
      </c>
      <c r="H233" s="36" t="str">
        <f>IFERROR(VLOOKUP(Table2[[#This Row], [Ticket]],Okey!A:B,2,0),"")</f>
        <v/>
      </c>
      <c r="I233" s="36"/>
      <c r="J233" s="36" t="s">
        <v>18</v>
      </c>
      <c r="K233" s="36" t="s">
        <v>8705</v>
      </c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8551</v>
      </c>
      <c r="D234" s="9" t="s">
        <v>8587</v>
      </c>
      <c r="E234" s="9" t="s">
        <v>8184</v>
      </c>
      <c r="F234" s="9" t="s">
        <v>8181</v>
      </c>
      <c r="G234" s="36" t="s">
        <v>14</v>
      </c>
      <c r="H234" s="36" t="str">
        <f>IFERROR(VLOOKUP(Table2[[#This Row], [Ticket]],Okey!A:B,2,0),"")</f>
        <v/>
      </c>
      <c r="I234" s="36"/>
      <c r="J234" s="36" t="s">
        <v>18</v>
      </c>
      <c r="K234" s="36" t="s">
        <v>8705</v>
      </c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8551</v>
      </c>
      <c r="D235" s="9" t="s">
        <v>8588</v>
      </c>
      <c r="E235" s="9" t="s">
        <v>8185</v>
      </c>
      <c r="F235" s="9" t="s">
        <v>8181</v>
      </c>
      <c r="G235" s="36" t="s">
        <v>14</v>
      </c>
      <c r="H235" s="36" t="str">
        <f>IFERROR(VLOOKUP(Table2[[#This Row], [Ticket]],Okey!A:B,2,0),"")</f>
        <v/>
      </c>
      <c r="I235" s="36"/>
      <c r="J235" s="36" t="s">
        <v>18</v>
      </c>
      <c r="K235" s="36" t="s">
        <v>8705</v>
      </c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8551</v>
      </c>
      <c r="D236" s="9" t="s">
        <v>8589</v>
      </c>
      <c r="E236" s="9" t="s">
        <v>8186</v>
      </c>
      <c r="F236" s="9" t="s">
        <v>8181</v>
      </c>
      <c r="G236" s="36" t="s">
        <v>14</v>
      </c>
      <c r="H236" s="36" t="str">
        <f>IFERROR(VLOOKUP(Table2[[#This Row], [Ticket]],Okey!A:B,2,0),"")</f>
        <v/>
      </c>
      <c r="I236" s="36"/>
      <c r="J236" s="36" t="s">
        <v>18</v>
      </c>
      <c r="K236" s="36" t="s">
        <v>8705</v>
      </c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8551</v>
      </c>
      <c r="D237" s="9" t="s">
        <v>8590</v>
      </c>
      <c r="E237" s="9" t="s">
        <v>8187</v>
      </c>
      <c r="F237" s="9" t="s">
        <v>8188</v>
      </c>
      <c r="G237" s="36" t="s">
        <v>14</v>
      </c>
      <c r="H237" s="36" t="str">
        <f>IFERROR(VLOOKUP(Table2[[#This Row], [Ticket]],Okey!A:B,2,0),"")</f>
        <v/>
      </c>
      <c r="I237" s="36"/>
      <c r="J237" s="36" t="s">
        <v>18</v>
      </c>
      <c r="K237" s="36" t="s">
        <v>8705</v>
      </c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8551</v>
      </c>
      <c r="D238" s="9" t="s">
        <v>8591</v>
      </c>
      <c r="E238" s="9" t="s">
        <v>8189</v>
      </c>
      <c r="F238" s="9" t="s">
        <v>8188</v>
      </c>
      <c r="G238" s="36" t="s">
        <v>14</v>
      </c>
      <c r="H238" s="36" t="str">
        <f>IFERROR(VLOOKUP(Table2[[#This Row], [Ticket]],Okey!A:B,2,0),"")</f>
        <v/>
      </c>
      <c r="I238" s="36"/>
      <c r="J238" s="36" t="s">
        <v>18</v>
      </c>
      <c r="K238" s="36" t="s">
        <v>8705</v>
      </c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8551</v>
      </c>
      <c r="D239" s="9" t="s">
        <v>8592</v>
      </c>
      <c r="E239" s="9" t="s">
        <v>8190</v>
      </c>
      <c r="F239" s="9" t="s">
        <v>8188</v>
      </c>
      <c r="G239" s="36" t="s">
        <v>14</v>
      </c>
      <c r="H239" s="36" t="str">
        <f>IFERROR(VLOOKUP(Table2[[#This Row], [Ticket]],Okey!A:B,2,0),"")</f>
        <v/>
      </c>
      <c r="I239" s="36"/>
      <c r="J239" s="36" t="s">
        <v>18</v>
      </c>
      <c r="K239" s="36" t="s">
        <v>8705</v>
      </c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8551</v>
      </c>
      <c r="D240" s="9" t="s">
        <v>8593</v>
      </c>
      <c r="E240" s="9" t="s">
        <v>8191</v>
      </c>
      <c r="F240" s="9" t="s">
        <v>8188</v>
      </c>
      <c r="G240" s="36" t="s">
        <v>14</v>
      </c>
      <c r="H240" s="36" t="str">
        <f>IFERROR(VLOOKUP(Table2[[#This Row], [Ticket]],Okey!A:B,2,0),"")</f>
        <v/>
      </c>
      <c r="I240" s="36"/>
      <c r="J240" s="36" t="s">
        <v>18</v>
      </c>
      <c r="K240" s="36" t="s">
        <v>8705</v>
      </c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8551</v>
      </c>
      <c r="D241" s="9" t="s">
        <v>8594</v>
      </c>
      <c r="E241" s="9" t="s">
        <v>8192</v>
      </c>
      <c r="F241" s="9" t="s">
        <v>6531</v>
      </c>
      <c r="G241" s="36" t="s">
        <v>14</v>
      </c>
      <c r="H241" s="36" t="str">
        <f>IFERROR(VLOOKUP(Table2[[#This Row], [Ticket]],Okey!A:B,2,0),"")</f>
        <v/>
      </c>
      <c r="I241" s="36"/>
      <c r="J241" s="36" t="s">
        <v>18</v>
      </c>
      <c r="K241" s="36" t="s">
        <v>8705</v>
      </c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8551</v>
      </c>
      <c r="D242" s="9" t="s">
        <v>8595</v>
      </c>
      <c r="E242" s="9" t="s">
        <v>8193</v>
      </c>
      <c r="F242" s="9" t="s">
        <v>6531</v>
      </c>
      <c r="G242" s="36" t="s">
        <v>14</v>
      </c>
      <c r="H242" s="36" t="str">
        <f>IFERROR(VLOOKUP(Table2[[#This Row], [Ticket]],Okey!A:B,2,0),"")</f>
        <v/>
      </c>
      <c r="I242" s="36"/>
      <c r="J242" s="36" t="s">
        <v>18</v>
      </c>
      <c r="K242" s="36" t="s">
        <v>8705</v>
      </c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8551</v>
      </c>
      <c r="D243" s="9" t="s">
        <v>8596</v>
      </c>
      <c r="E243" s="9" t="s">
        <v>8194</v>
      </c>
      <c r="F243" s="9" t="s">
        <v>6531</v>
      </c>
      <c r="G243" s="36" t="s">
        <v>14</v>
      </c>
      <c r="H243" s="36" t="str">
        <f>IFERROR(VLOOKUP(Table2[[#This Row], [Ticket]],Okey!A:B,2,0),"")</f>
        <v/>
      </c>
      <c r="I243" s="36"/>
      <c r="J243" s="36" t="s">
        <v>18</v>
      </c>
      <c r="K243" s="36" t="s">
        <v>8705</v>
      </c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8551</v>
      </c>
      <c r="D244" s="9" t="s">
        <v>8597</v>
      </c>
      <c r="E244" s="9" t="s">
        <v>8195</v>
      </c>
      <c r="F244" s="9" t="s">
        <v>6531</v>
      </c>
      <c r="G244" s="36" t="s">
        <v>14</v>
      </c>
      <c r="H244" s="36" t="str">
        <f>IFERROR(VLOOKUP(Table2[[#This Row], [Ticket]],Okey!A:B,2,0),"")</f>
        <v/>
      </c>
      <c r="I244" s="36"/>
      <c r="J244" s="36" t="s">
        <v>18</v>
      </c>
      <c r="K244" s="36" t="s">
        <v>8705</v>
      </c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8551</v>
      </c>
      <c r="D245" s="9" t="s">
        <v>8598</v>
      </c>
      <c r="E245" s="9" t="s">
        <v>8196</v>
      </c>
      <c r="F245" s="36" t="s">
        <v>8597</v>
      </c>
      <c r="G245" s="36" t="s">
        <v>14</v>
      </c>
      <c r="H245" s="36" t="str">
        <f>IFERROR(VLOOKUP(Table2[[#This Row], [Ticket]],Okey!A:B,2,0),"")</f>
        <v/>
      </c>
      <c r="I245" s="36"/>
      <c r="J245" s="36" t="s">
        <v>18</v>
      </c>
      <c r="K245" s="36" t="s">
        <v>8705</v>
      </c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8551</v>
      </c>
      <c r="D246" s="9" t="s">
        <v>8599</v>
      </c>
      <c r="E246" s="9" t="s">
        <v>8197</v>
      </c>
      <c r="F246" s="36" t="s">
        <v>8597</v>
      </c>
      <c r="G246" s="36" t="s">
        <v>14</v>
      </c>
      <c r="H246" s="36" t="str">
        <f>IFERROR(VLOOKUP(Table2[[#This Row], [Ticket]],Okey!A:B,2,0),"")</f>
        <v/>
      </c>
      <c r="I246" s="36"/>
      <c r="J246" s="36" t="s">
        <v>18</v>
      </c>
      <c r="K246" s="36" t="s">
        <v>8705</v>
      </c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8551</v>
      </c>
      <c r="D247" s="9" t="s">
        <v>8600</v>
      </c>
      <c r="E247" s="9" t="s">
        <v>8198</v>
      </c>
      <c r="F247" s="36" t="s">
        <v>8597</v>
      </c>
      <c r="G247" s="36" t="s">
        <v>14</v>
      </c>
      <c r="H247" s="36" t="str">
        <f>IFERROR(VLOOKUP(Table2[[#This Row], [Ticket]],Okey!A:B,2,0),"")</f>
        <v/>
      </c>
      <c r="I247" s="36"/>
      <c r="J247" s="36" t="s">
        <v>18</v>
      </c>
      <c r="K247" s="36" t="s">
        <v>8705</v>
      </c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8551</v>
      </c>
      <c r="D248" s="9" t="s">
        <v>8601</v>
      </c>
      <c r="E248" s="9" t="s">
        <v>8199</v>
      </c>
      <c r="F248" s="9" t="s">
        <v>8200</v>
      </c>
      <c r="G248" s="36" t="s">
        <v>14</v>
      </c>
      <c r="H248" s="36" t="str">
        <f>IFERROR(VLOOKUP(Table2[[#This Row], [Ticket]],Okey!A:B,2,0),"")</f>
        <v/>
      </c>
      <c r="I248" s="36"/>
      <c r="J248" s="36" t="s">
        <v>18</v>
      </c>
      <c r="K248" s="36" t="s">
        <v>8705</v>
      </c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8551</v>
      </c>
      <c r="D249" s="9" t="s">
        <v>8602</v>
      </c>
      <c r="E249" s="9" t="s">
        <v>8201</v>
      </c>
      <c r="F249" s="36" t="s">
        <v>8611</v>
      </c>
      <c r="G249" s="36" t="s">
        <v>14</v>
      </c>
      <c r="H249" s="36" t="str">
        <f>IFERROR(VLOOKUP(Table2[[#This Row], [Ticket]],Okey!A:B,2,0),"")</f>
        <v/>
      </c>
      <c r="I249" s="36"/>
      <c r="J249" s="36" t="s">
        <v>18</v>
      </c>
      <c r="K249" s="36" t="s">
        <v>8705</v>
      </c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8551</v>
      </c>
      <c r="D250" s="9" t="s">
        <v>8603</v>
      </c>
      <c r="E250" s="9" t="s">
        <v>8203</v>
      </c>
      <c r="F250" s="9" t="s">
        <v>6553</v>
      </c>
      <c r="G250" s="36" t="s">
        <v>14</v>
      </c>
      <c r="H250" s="36" t="str">
        <f>IFERROR(VLOOKUP(Table2[[#This Row], [Ticket]],Okey!A:B,2,0),"")</f>
        <v/>
      </c>
      <c r="I250" s="36"/>
      <c r="J250" s="36" t="s">
        <v>18</v>
      </c>
      <c r="K250" s="36" t="s">
        <v>8705</v>
      </c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8551</v>
      </c>
      <c r="D251" s="9" t="s">
        <v>8604</v>
      </c>
      <c r="E251" s="9" t="s">
        <v>8204</v>
      </c>
      <c r="F251" s="9" t="s">
        <v>6553</v>
      </c>
      <c r="G251" s="36" t="s">
        <v>14</v>
      </c>
      <c r="H251" s="36" t="str">
        <f>IFERROR(VLOOKUP(Table2[[#This Row], [Ticket]],Okey!A:B,2,0),"")</f>
        <v/>
      </c>
      <c r="I251" s="36"/>
      <c r="J251" s="36" t="s">
        <v>18</v>
      </c>
      <c r="K251" s="36" t="s">
        <v>8705</v>
      </c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8551</v>
      </c>
      <c r="D252" s="9" t="s">
        <v>8605</v>
      </c>
      <c r="E252" s="9" t="s">
        <v>8205</v>
      </c>
      <c r="F252" s="9" t="s">
        <v>6553</v>
      </c>
      <c r="G252" s="36" t="s">
        <v>14</v>
      </c>
      <c r="H252" s="36" t="str">
        <f>IFERROR(VLOOKUP(Table2[[#This Row], [Ticket]],Okey!A:B,2,0),"")</f>
        <v/>
      </c>
      <c r="I252" s="36"/>
      <c r="J252" s="36" t="s">
        <v>18</v>
      </c>
      <c r="K252" s="36" t="s">
        <v>8705</v>
      </c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8551</v>
      </c>
      <c r="D253" s="9" t="s">
        <v>8606</v>
      </c>
      <c r="E253" s="9" t="s">
        <v>8206</v>
      </c>
      <c r="F253" s="9" t="s">
        <v>6553</v>
      </c>
      <c r="G253" s="36" t="s">
        <v>14</v>
      </c>
      <c r="H253" s="36" t="str">
        <f>IFERROR(VLOOKUP(Table2[[#This Row], [Ticket]],Okey!A:B,2,0),"")</f>
        <v/>
      </c>
      <c r="I253" s="36"/>
      <c r="J253" s="36" t="s">
        <v>18</v>
      </c>
      <c r="K253" s="36" t="s">
        <v>8705</v>
      </c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8551</v>
      </c>
      <c r="D254" s="9" t="s">
        <v>8607</v>
      </c>
      <c r="E254" s="9" t="s">
        <v>8207</v>
      </c>
      <c r="F254" s="9" t="s">
        <v>6553</v>
      </c>
      <c r="G254" s="36" t="s">
        <v>14</v>
      </c>
      <c r="H254" s="36" t="str">
        <f>IFERROR(VLOOKUP(Table2[[#This Row], [Ticket]],Okey!A:B,2,0),"")</f>
        <v/>
      </c>
      <c r="I254" s="36"/>
      <c r="J254" s="36" t="s">
        <v>18</v>
      </c>
      <c r="K254" s="36" t="s">
        <v>8705</v>
      </c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8551</v>
      </c>
      <c r="D255" s="9" t="s">
        <v>8608</v>
      </c>
      <c r="E255" s="9" t="s">
        <v>8208</v>
      </c>
      <c r="F255" s="9" t="s">
        <v>6553</v>
      </c>
      <c r="G255" s="36" t="s">
        <v>14</v>
      </c>
      <c r="H255" s="36" t="str">
        <f>IFERROR(VLOOKUP(Table2[[#This Row], [Ticket]],Okey!A:B,2,0),"")</f>
        <v/>
      </c>
      <c r="I255" s="36"/>
      <c r="J255" s="36" t="s">
        <v>18</v>
      </c>
      <c r="K255" s="36" t="s">
        <v>8705</v>
      </c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8551</v>
      </c>
      <c r="D256" s="9" t="s">
        <v>8609</v>
      </c>
      <c r="E256" s="9" t="s">
        <v>8209</v>
      </c>
      <c r="F256" s="9" t="s">
        <v>6553</v>
      </c>
      <c r="G256" s="36" t="s">
        <v>14</v>
      </c>
      <c r="H256" s="36" t="str">
        <f>IFERROR(VLOOKUP(Table2[[#This Row], [Ticket]],Okey!A:B,2,0),"")</f>
        <v/>
      </c>
      <c r="I256" s="36"/>
      <c r="J256" s="36" t="s">
        <v>18</v>
      </c>
      <c r="K256" s="36" t="s">
        <v>8705</v>
      </c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8551</v>
      </c>
      <c r="D257" s="9" t="s">
        <v>8610</v>
      </c>
      <c r="E257" s="9" t="s">
        <v>8210</v>
      </c>
      <c r="F257" s="36" t="s">
        <v>8601</v>
      </c>
      <c r="G257" s="36" t="s">
        <v>14</v>
      </c>
      <c r="H257" s="36" t="str">
        <f>IFERROR(VLOOKUP(Table2[[#This Row], [Ticket]],Okey!A:B,2,0),"")</f>
        <v/>
      </c>
      <c r="I257" s="36"/>
      <c r="J257" s="36" t="s">
        <v>18</v>
      </c>
      <c r="K257" s="36" t="s">
        <v>8705</v>
      </c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8551</v>
      </c>
      <c r="D258" s="9" t="s">
        <v>8611</v>
      </c>
      <c r="E258" s="9" t="s">
        <v>8202</v>
      </c>
      <c r="F258" s="36" t="s">
        <v>8601</v>
      </c>
      <c r="G258" s="36" t="s">
        <v>14</v>
      </c>
      <c r="H258" s="36" t="str">
        <f>IFERROR(VLOOKUP(Table2[[#This Row], [Ticket]],Okey!A:B,2,0),"")</f>
        <v/>
      </c>
      <c r="I258" s="36"/>
      <c r="J258" s="36" t="s">
        <v>18</v>
      </c>
      <c r="K258" s="36" t="s">
        <v>8705</v>
      </c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8551</v>
      </c>
      <c r="D259" s="9" t="s">
        <v>8612</v>
      </c>
      <c r="E259" s="9" t="s">
        <v>8211</v>
      </c>
      <c r="F259" s="9" t="s">
        <v>5585</v>
      </c>
      <c r="G259" s="36" t="s">
        <v>14</v>
      </c>
      <c r="H259" s="36" t="str">
        <f>IFERROR(VLOOKUP(Table2[[#This Row], [Ticket]],Okey!A:B,2,0),"")</f>
        <v/>
      </c>
      <c r="I259" s="36"/>
      <c r="J259" s="36" t="s">
        <v>18</v>
      </c>
      <c r="K259" s="36" t="s">
        <v>8705</v>
      </c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8551</v>
      </c>
      <c r="D260" s="9" t="s">
        <v>8613</v>
      </c>
      <c r="E260" s="9" t="s">
        <v>8212</v>
      </c>
      <c r="F260" s="9" t="s">
        <v>5585</v>
      </c>
      <c r="G260" s="36" t="s">
        <v>14</v>
      </c>
      <c r="H260" s="36" t="str">
        <f>IFERROR(VLOOKUP(Table2[[#This Row], [Ticket]],Okey!A:B,2,0),"")</f>
        <v/>
      </c>
      <c r="I260" s="36"/>
      <c r="J260" s="36" t="s">
        <v>18</v>
      </c>
      <c r="K260" s="36" t="s">
        <v>8705</v>
      </c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8551</v>
      </c>
      <c r="D261" s="9" t="s">
        <v>8614</v>
      </c>
      <c r="E261" s="9" t="s">
        <v>8213</v>
      </c>
      <c r="F261" s="9" t="s">
        <v>5585</v>
      </c>
      <c r="G261" s="36" t="s">
        <v>14</v>
      </c>
      <c r="H261" s="36" t="str">
        <f>IFERROR(VLOOKUP(Table2[[#This Row], [Ticket]],Okey!A:B,2,0),"")</f>
        <v/>
      </c>
      <c r="I261" s="36"/>
      <c r="J261" s="36" t="s">
        <v>18</v>
      </c>
      <c r="K261" s="36" t="s">
        <v>8705</v>
      </c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8551</v>
      </c>
      <c r="D262" s="9" t="s">
        <v>8615</v>
      </c>
      <c r="E262" s="9" t="s">
        <v>8214</v>
      </c>
      <c r="F262" s="9" t="s">
        <v>5585</v>
      </c>
      <c r="G262" s="36" t="s">
        <v>14</v>
      </c>
      <c r="H262" s="36" t="str">
        <f>IFERROR(VLOOKUP(Table2[[#This Row], [Ticket]],Okey!A:B,2,0),"")</f>
        <v/>
      </c>
      <c r="I262" s="36"/>
      <c r="J262" s="36" t="s">
        <v>18</v>
      </c>
      <c r="K262" s="36" t="s">
        <v>8705</v>
      </c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8551</v>
      </c>
      <c r="D263" s="9" t="s">
        <v>8616</v>
      </c>
      <c r="E263" s="9" t="s">
        <v>8215</v>
      </c>
      <c r="F263" s="9" t="s">
        <v>5585</v>
      </c>
      <c r="G263" s="36" t="s">
        <v>14</v>
      </c>
      <c r="H263" s="36" t="str">
        <f>IFERROR(VLOOKUP(Table2[[#This Row], [Ticket]],Okey!A:B,2,0),"")</f>
        <v/>
      </c>
      <c r="I263" s="36"/>
      <c r="J263" s="36" t="s">
        <v>18</v>
      </c>
      <c r="K263" s="36" t="s">
        <v>8705</v>
      </c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8551</v>
      </c>
      <c r="D264" s="9" t="s">
        <v>8617</v>
      </c>
      <c r="E264" s="9" t="s">
        <v>8216</v>
      </c>
      <c r="F264" s="9" t="s">
        <v>5585</v>
      </c>
      <c r="G264" s="36" t="s">
        <v>14</v>
      </c>
      <c r="H264" s="36" t="str">
        <f>IFERROR(VLOOKUP(Table2[[#This Row], [Ticket]],Okey!A:B,2,0),"")</f>
        <v/>
      </c>
      <c r="I264" s="36"/>
      <c r="J264" s="36" t="s">
        <v>18</v>
      </c>
      <c r="K264" s="36" t="s">
        <v>8705</v>
      </c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8551</v>
      </c>
      <c r="D265" s="9" t="s">
        <v>8618</v>
      </c>
      <c r="E265" s="9" t="s">
        <v>8217</v>
      </c>
      <c r="F265" s="9" t="s">
        <v>5585</v>
      </c>
      <c r="G265" s="36" t="s">
        <v>14</v>
      </c>
      <c r="H265" s="36" t="str">
        <f>IFERROR(VLOOKUP(Table2[[#This Row], [Ticket]],Okey!A:B,2,0),"")</f>
        <v/>
      </c>
      <c r="I265" s="36"/>
      <c r="J265" s="36" t="s">
        <v>18</v>
      </c>
      <c r="K265" s="36" t="s">
        <v>8705</v>
      </c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8551</v>
      </c>
      <c r="D266" s="9" t="s">
        <v>8619</v>
      </c>
      <c r="E266" s="9" t="s">
        <v>8218</v>
      </c>
      <c r="F266" s="36" t="s">
        <v>8601</v>
      </c>
      <c r="G266" s="36" t="s">
        <v>14</v>
      </c>
      <c r="H266" s="36" t="str">
        <f>IFERROR(VLOOKUP(Table2[[#This Row], [Ticket]],Okey!A:B,2,0),"")</f>
        <v/>
      </c>
      <c r="I266" s="36"/>
      <c r="J266" s="36" t="s">
        <v>18</v>
      </c>
      <c r="K266" s="36" t="s">
        <v>8705</v>
      </c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8551</v>
      </c>
      <c r="D267" s="9" t="s">
        <v>8620</v>
      </c>
      <c r="E267" s="9" t="s">
        <v>8219</v>
      </c>
      <c r="F267" s="36" t="s">
        <v>8619</v>
      </c>
      <c r="G267" s="36" t="s">
        <v>14</v>
      </c>
      <c r="H267" s="36" t="str">
        <f>IFERROR(VLOOKUP(Table2[[#This Row], [Ticket]],Okey!A:B,2,0),"")</f>
        <v/>
      </c>
      <c r="I267" s="36"/>
      <c r="J267" s="36" t="s">
        <v>18</v>
      </c>
      <c r="K267" s="36" t="s">
        <v>8705</v>
      </c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8551</v>
      </c>
      <c r="D268" s="9" t="s">
        <v>8621</v>
      </c>
      <c r="E268" s="9" t="s">
        <v>8220</v>
      </c>
      <c r="F268" s="36" t="s">
        <v>8619</v>
      </c>
      <c r="G268" s="36" t="s">
        <v>14</v>
      </c>
      <c r="H268" s="36" t="str">
        <f>IFERROR(VLOOKUP(Table2[[#This Row], [Ticket]],Okey!A:B,2,0),"")</f>
        <v/>
      </c>
      <c r="I268" s="36"/>
      <c r="J268" s="36" t="s">
        <v>18</v>
      </c>
      <c r="K268" s="36" t="s">
        <v>8705</v>
      </c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8551</v>
      </c>
      <c r="D269" s="9" t="s">
        <v>8622</v>
      </c>
      <c r="E269" s="9" t="s">
        <v>8221</v>
      </c>
      <c r="F269" s="36" t="s">
        <v>8619</v>
      </c>
      <c r="G269" s="36" t="s">
        <v>14</v>
      </c>
      <c r="H269" s="36" t="str">
        <f>IFERROR(VLOOKUP(Table2[[#This Row], [Ticket]],Okey!A:B,2,0),"")</f>
        <v/>
      </c>
      <c r="I269" s="36"/>
      <c r="J269" s="36" t="s">
        <v>18</v>
      </c>
      <c r="K269" s="36" t="s">
        <v>8705</v>
      </c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8551</v>
      </c>
      <c r="D270" s="9" t="s">
        <v>8623</v>
      </c>
      <c r="E270" s="9" t="s">
        <v>8219</v>
      </c>
      <c r="F270" s="36" t="s">
        <v>8619</v>
      </c>
      <c r="G270" s="36" t="s">
        <v>14</v>
      </c>
      <c r="H270" s="36" t="str">
        <f>IFERROR(VLOOKUP(Table2[[#This Row], [Ticket]],Okey!A:B,2,0),"")</f>
        <v/>
      </c>
      <c r="I270" s="36"/>
      <c r="J270" s="36" t="s">
        <v>18</v>
      </c>
      <c r="K270" s="36" t="s">
        <v>8705</v>
      </c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8551</v>
      </c>
      <c r="D271" s="9" t="s">
        <v>8624</v>
      </c>
      <c r="E271" s="9" t="s">
        <v>8222</v>
      </c>
      <c r="F271" s="36" t="s">
        <v>8619</v>
      </c>
      <c r="G271" s="36" t="s">
        <v>14</v>
      </c>
      <c r="H271" s="36" t="str">
        <f>IFERROR(VLOOKUP(Table2[[#This Row], [Ticket]],Okey!A:B,2,0),"")</f>
        <v/>
      </c>
      <c r="I271" s="36"/>
      <c r="J271" s="36" t="s">
        <v>18</v>
      </c>
      <c r="K271" s="36" t="s">
        <v>8705</v>
      </c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8551</v>
      </c>
      <c r="D272" s="9" t="s">
        <v>8625</v>
      </c>
      <c r="E272" s="9" t="s">
        <v>8223</v>
      </c>
      <c r="F272" s="9" t="s">
        <v>1274</v>
      </c>
      <c r="G272" s="36" t="s">
        <v>14</v>
      </c>
      <c r="H272" s="36" t="str">
        <f>IFERROR(VLOOKUP(Table2[[#This Row], [Ticket]],Okey!A:B,2,0),"")</f>
        <v/>
      </c>
      <c r="I272" s="36"/>
      <c r="J272" s="36" t="s">
        <v>18</v>
      </c>
      <c r="K272" s="36" t="s">
        <v>8705</v>
      </c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8551</v>
      </c>
      <c r="D273" s="9" t="s">
        <v>8626</v>
      </c>
      <c r="E273" s="9" t="s">
        <v>8224</v>
      </c>
      <c r="F273" s="9" t="s">
        <v>5550</v>
      </c>
      <c r="G273" s="36" t="s">
        <v>14</v>
      </c>
      <c r="H273" s="36" t="str">
        <f>IFERROR(VLOOKUP(Table2[[#This Row], [Ticket]],Okey!A:B,2,0),"")</f>
        <v/>
      </c>
      <c r="I273" s="36"/>
      <c r="J273" s="36" t="s">
        <v>18</v>
      </c>
      <c r="K273" s="36" t="s">
        <v>8705</v>
      </c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8551</v>
      </c>
      <c r="D274" s="9" t="s">
        <v>8627</v>
      </c>
      <c r="E274" s="9" t="s">
        <v>8225</v>
      </c>
      <c r="F274" s="9" t="s">
        <v>5550</v>
      </c>
      <c r="G274" s="36" t="s">
        <v>14</v>
      </c>
      <c r="H274" s="36" t="str">
        <f>IFERROR(VLOOKUP(Table2[[#This Row], [Ticket]],Okey!A:B,2,0),"")</f>
        <v/>
      </c>
      <c r="I274" s="36"/>
      <c r="J274" s="36" t="s">
        <v>18</v>
      </c>
      <c r="K274" s="36" t="s">
        <v>8705</v>
      </c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8551</v>
      </c>
      <c r="D275" s="9" t="s">
        <v>8628</v>
      </c>
      <c r="E275" s="9" t="s">
        <v>8226</v>
      </c>
      <c r="F275" s="9" t="s">
        <v>5550</v>
      </c>
      <c r="G275" s="36" t="s">
        <v>14</v>
      </c>
      <c r="H275" s="36" t="str">
        <f>IFERROR(VLOOKUP(Table2[[#This Row], [Ticket]],Okey!A:B,2,0),"")</f>
        <v/>
      </c>
      <c r="I275" s="36"/>
      <c r="J275" s="36" t="s">
        <v>18</v>
      </c>
      <c r="K275" s="36" t="s">
        <v>8705</v>
      </c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8551</v>
      </c>
      <c r="D276" s="9" t="s">
        <v>8629</v>
      </c>
      <c r="E276" s="9" t="s">
        <v>8227</v>
      </c>
      <c r="F276" s="36" t="s">
        <v>8628</v>
      </c>
      <c r="G276" s="36" t="s">
        <v>14</v>
      </c>
      <c r="H276" s="36" t="str">
        <f>IFERROR(VLOOKUP(Table2[[#This Row], [Ticket]],Okey!A:B,2,0),"")</f>
        <v/>
      </c>
      <c r="I276" s="36"/>
      <c r="J276" s="36" t="s">
        <v>18</v>
      </c>
      <c r="K276" s="36" t="s">
        <v>8705</v>
      </c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8551</v>
      </c>
      <c r="D277" s="9" t="s">
        <v>8630</v>
      </c>
      <c r="E277" s="9" t="s">
        <v>8228</v>
      </c>
      <c r="F277" s="36" t="s">
        <v>8628</v>
      </c>
      <c r="G277" s="36" t="s">
        <v>14</v>
      </c>
      <c r="H277" s="36" t="str">
        <f>IFERROR(VLOOKUP(Table2[[#This Row], [Ticket]],Okey!A:B,2,0),"")</f>
        <v/>
      </c>
      <c r="I277" s="36"/>
      <c r="J277" s="36" t="s">
        <v>18</v>
      </c>
      <c r="K277" s="36" t="s">
        <v>8705</v>
      </c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8551</v>
      </c>
      <c r="D278" s="9" t="s">
        <v>8631</v>
      </c>
      <c r="E278" s="9" t="s">
        <v>8229</v>
      </c>
      <c r="F278" s="36" t="s">
        <v>8628</v>
      </c>
      <c r="G278" s="36" t="s">
        <v>14</v>
      </c>
      <c r="H278" s="36" t="str">
        <f>IFERROR(VLOOKUP(Table2[[#This Row], [Ticket]],Okey!A:B,2,0),"")</f>
        <v/>
      </c>
      <c r="I278" s="36"/>
      <c r="J278" s="36" t="s">
        <v>18</v>
      </c>
      <c r="K278" s="36" t="s">
        <v>8705</v>
      </c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8551</v>
      </c>
      <c r="D279" s="9" t="s">
        <v>8632</v>
      </c>
      <c r="E279" s="9" t="s">
        <v>8230</v>
      </c>
      <c r="F279" s="36" t="s">
        <v>8628</v>
      </c>
      <c r="G279" s="36" t="s">
        <v>14</v>
      </c>
      <c r="H279" s="36" t="str">
        <f>IFERROR(VLOOKUP(Table2[[#This Row], [Ticket]],Okey!A:B,2,0),"")</f>
        <v/>
      </c>
      <c r="I279" s="36"/>
      <c r="J279" s="36" t="s">
        <v>18</v>
      </c>
      <c r="K279" s="36" t="s">
        <v>8705</v>
      </c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8551</v>
      </c>
      <c r="D280" s="9" t="s">
        <v>8633</v>
      </c>
      <c r="E280" s="9" t="s">
        <v>8231</v>
      </c>
      <c r="F280" s="36" t="s">
        <v>8628</v>
      </c>
      <c r="G280" s="36" t="s">
        <v>14</v>
      </c>
      <c r="H280" s="36" t="str">
        <f>IFERROR(VLOOKUP(Table2[[#This Row], [Ticket]],Okey!A:B,2,0),"")</f>
        <v/>
      </c>
      <c r="I280" s="36"/>
      <c r="J280" s="36" t="s">
        <v>18</v>
      </c>
      <c r="K280" s="36" t="s">
        <v>8705</v>
      </c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8551</v>
      </c>
      <c r="D281" s="9" t="s">
        <v>8634</v>
      </c>
      <c r="E281" s="9" t="s">
        <v>8232</v>
      </c>
      <c r="F281" s="36" t="s">
        <v>8628</v>
      </c>
      <c r="G281" s="36" t="s">
        <v>14</v>
      </c>
      <c r="H281" s="36" t="str">
        <f>IFERROR(VLOOKUP(Table2[[#This Row], [Ticket]],Okey!A:B,2,0),"")</f>
        <v/>
      </c>
      <c r="I281" s="36"/>
      <c r="J281" s="36" t="s">
        <v>18</v>
      </c>
      <c r="K281" s="36" t="s">
        <v>8705</v>
      </c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8551</v>
      </c>
      <c r="D282" s="9" t="s">
        <v>8635</v>
      </c>
      <c r="E282" s="9" t="s">
        <v>8233</v>
      </c>
      <c r="F282" s="9" t="s">
        <v>5550</v>
      </c>
      <c r="G282" s="36" t="s">
        <v>14</v>
      </c>
      <c r="H282" s="36" t="str">
        <f>IFERROR(VLOOKUP(Table2[[#This Row], [Ticket]],Okey!A:B,2,0),"")</f>
        <v/>
      </c>
      <c r="I282" s="36"/>
      <c r="J282" s="36" t="s">
        <v>18</v>
      </c>
      <c r="K282" s="36" t="s">
        <v>8705</v>
      </c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8551</v>
      </c>
      <c r="D283" s="9" t="s">
        <v>8636</v>
      </c>
      <c r="E283" s="9" t="s">
        <v>8234</v>
      </c>
      <c r="F283" s="9" t="s">
        <v>5550</v>
      </c>
      <c r="G283" s="36" t="s">
        <v>14</v>
      </c>
      <c r="H283" s="36" t="str">
        <f>IFERROR(VLOOKUP(Table2[[#This Row], [Ticket]],Okey!A:B,2,0),"")</f>
        <v/>
      </c>
      <c r="I283" s="36"/>
      <c r="J283" s="36" t="s">
        <v>18</v>
      </c>
      <c r="K283" s="36" t="s">
        <v>8705</v>
      </c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8551</v>
      </c>
      <c r="D284" s="9" t="s">
        <v>8637</v>
      </c>
      <c r="E284" s="9" t="s">
        <v>8235</v>
      </c>
      <c r="F284" s="9" t="s">
        <v>5550</v>
      </c>
      <c r="G284" s="36" t="s">
        <v>14</v>
      </c>
      <c r="H284" s="36" t="str">
        <f>IFERROR(VLOOKUP(Table2[[#This Row], [Ticket]],Okey!A:B,2,0),"")</f>
        <v/>
      </c>
      <c r="I284" s="36"/>
      <c r="J284" s="36" t="s">
        <v>18</v>
      </c>
      <c r="K284" s="36" t="s">
        <v>8705</v>
      </c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8551</v>
      </c>
      <c r="D285" s="9" t="s">
        <v>8638</v>
      </c>
      <c r="E285" s="9" t="s">
        <v>8236</v>
      </c>
      <c r="F285" s="9" t="s">
        <v>5776</v>
      </c>
      <c r="G285" s="36" t="s">
        <v>14</v>
      </c>
      <c r="H285" s="36" t="str">
        <f>IFERROR(VLOOKUP(Table2[[#This Row], [Ticket]],Okey!A:B,2,0),"")</f>
        <v/>
      </c>
      <c r="I285" s="36"/>
      <c r="J285" s="36" t="s">
        <v>18</v>
      </c>
      <c r="K285" s="36" t="s">
        <v>8705</v>
      </c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8551</v>
      </c>
      <c r="D286" s="9" t="s">
        <v>8639</v>
      </c>
      <c r="E286" s="9" t="s">
        <v>8237</v>
      </c>
      <c r="F286" s="9" t="s">
        <v>5776</v>
      </c>
      <c r="G286" s="36" t="s">
        <v>14</v>
      </c>
      <c r="H286" s="36" t="str">
        <f>IFERROR(VLOOKUP(Table2[[#This Row], [Ticket]],Okey!A:B,2,0),"")</f>
        <v/>
      </c>
      <c r="I286" s="36"/>
      <c r="J286" s="36" t="s">
        <v>18</v>
      </c>
      <c r="K286" s="36" t="s">
        <v>8705</v>
      </c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8551</v>
      </c>
      <c r="D287" s="9" t="s">
        <v>8640</v>
      </c>
      <c r="E287" s="9" t="s">
        <v>8238</v>
      </c>
      <c r="F287" s="9" t="s">
        <v>5524</v>
      </c>
      <c r="G287" s="36" t="s">
        <v>14</v>
      </c>
      <c r="H287" s="36" t="str">
        <f>IFERROR(VLOOKUP(Table2[[#This Row], [Ticket]],Okey!A:B,2,0),"")</f>
        <v/>
      </c>
      <c r="I287" s="36"/>
      <c r="J287" s="36" t="s">
        <v>18</v>
      </c>
      <c r="K287" s="36" t="s">
        <v>8705</v>
      </c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8551</v>
      </c>
      <c r="D288" s="9" t="s">
        <v>8641</v>
      </c>
      <c r="E288" s="9" t="s">
        <v>8239</v>
      </c>
      <c r="F288" s="9" t="s">
        <v>5524</v>
      </c>
      <c r="G288" s="36" t="s">
        <v>14</v>
      </c>
      <c r="H288" s="36" t="str">
        <f>IFERROR(VLOOKUP(Table2[[#This Row], [Ticket]],Okey!A:B,2,0),"")</f>
        <v/>
      </c>
      <c r="I288" s="36"/>
      <c r="J288" s="36" t="s">
        <v>18</v>
      </c>
      <c r="K288" s="36" t="s">
        <v>8705</v>
      </c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8551</v>
      </c>
      <c r="D289" s="9" t="s">
        <v>8642</v>
      </c>
      <c r="E289" s="9" t="s">
        <v>8240</v>
      </c>
      <c r="F289" s="9" t="s">
        <v>5524</v>
      </c>
      <c r="G289" s="36" t="s">
        <v>14</v>
      </c>
      <c r="H289" s="36" t="str">
        <f>IFERROR(VLOOKUP(Table2[[#This Row], [Ticket]],Okey!A:B,2,0),"")</f>
        <v/>
      </c>
      <c r="I289" s="36"/>
      <c r="J289" s="36" t="s">
        <v>18</v>
      </c>
      <c r="K289" s="36" t="s">
        <v>8705</v>
      </c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8551</v>
      </c>
      <c r="D290" s="9" t="s">
        <v>8643</v>
      </c>
      <c r="E290" s="9" t="s">
        <v>8241</v>
      </c>
      <c r="F290" s="9" t="s">
        <v>5524</v>
      </c>
      <c r="G290" s="36" t="s">
        <v>14</v>
      </c>
      <c r="H290" s="36" t="str">
        <f>IFERROR(VLOOKUP(Table2[[#This Row], [Ticket]],Okey!A:B,2,0),"")</f>
        <v/>
      </c>
      <c r="I290" s="36"/>
      <c r="J290" s="36" t="s">
        <v>18</v>
      </c>
      <c r="K290" s="36" t="s">
        <v>8705</v>
      </c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8551</v>
      </c>
      <c r="D291" s="9" t="s">
        <v>8644</v>
      </c>
      <c r="E291" s="9" t="s">
        <v>8242</v>
      </c>
      <c r="F291" s="9" t="s">
        <v>5524</v>
      </c>
      <c r="G291" s="36" t="s">
        <v>14</v>
      </c>
      <c r="H291" s="36" t="str">
        <f>IFERROR(VLOOKUP(Table2[[#This Row], [Ticket]],Okey!A:B,2,0),"")</f>
        <v/>
      </c>
      <c r="I291" s="36"/>
      <c r="J291" s="36" t="s">
        <v>18</v>
      </c>
      <c r="K291" s="36" t="s">
        <v>8705</v>
      </c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8551</v>
      </c>
      <c r="D292" s="9" t="s">
        <v>8645</v>
      </c>
      <c r="E292" s="9" t="s">
        <v>8243</v>
      </c>
      <c r="F292" s="9" t="s">
        <v>5524</v>
      </c>
      <c r="G292" s="36" t="s">
        <v>14</v>
      </c>
      <c r="H292" s="36" t="str">
        <f>IFERROR(VLOOKUP(Table2[[#This Row], [Ticket]],Okey!A:B,2,0),"")</f>
        <v/>
      </c>
      <c r="I292" s="36"/>
      <c r="J292" s="36" t="s">
        <v>18</v>
      </c>
      <c r="K292" s="36" t="s">
        <v>8705</v>
      </c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8551</v>
      </c>
      <c r="D293" s="9" t="s">
        <v>8646</v>
      </c>
      <c r="E293" s="9" t="s">
        <v>8244</v>
      </c>
      <c r="F293" s="9" t="s">
        <v>5524</v>
      </c>
      <c r="G293" s="36" t="s">
        <v>14</v>
      </c>
      <c r="H293" s="36" t="str">
        <f>IFERROR(VLOOKUP(Table2[[#This Row], [Ticket]],Okey!A:B,2,0),"")</f>
        <v/>
      </c>
      <c r="I293" s="36"/>
      <c r="J293" s="36" t="s">
        <v>18</v>
      </c>
      <c r="K293" s="36" t="s">
        <v>8705</v>
      </c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8551</v>
      </c>
      <c r="D294" s="9" t="s">
        <v>8647</v>
      </c>
      <c r="E294" s="9" t="s">
        <v>8245</v>
      </c>
      <c r="F294" s="9" t="s">
        <v>8246</v>
      </c>
      <c r="G294" s="36" t="s">
        <v>14</v>
      </c>
      <c r="H294" s="36" t="str">
        <f>IFERROR(VLOOKUP(Table2[[#This Row], [Ticket]],Okey!A:B,2,0),"")</f>
        <v/>
      </c>
      <c r="I294" s="36"/>
      <c r="J294" s="36" t="s">
        <v>18</v>
      </c>
      <c r="K294" s="36" t="s">
        <v>8705</v>
      </c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8551</v>
      </c>
      <c r="D295" s="9" t="s">
        <v>8648</v>
      </c>
      <c r="E295" s="9" t="s">
        <v>8247</v>
      </c>
      <c r="F295" s="9" t="s">
        <v>8246</v>
      </c>
      <c r="G295" s="36" t="s">
        <v>14</v>
      </c>
      <c r="H295" s="36" t="str">
        <f>IFERROR(VLOOKUP(Table2[[#This Row], [Ticket]],Okey!A:B,2,0),"")</f>
        <v/>
      </c>
      <c r="I295" s="36"/>
      <c r="J295" s="36" t="s">
        <v>18</v>
      </c>
      <c r="K295" s="36" t="s">
        <v>8705</v>
      </c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8551</v>
      </c>
      <c r="D296" s="9" t="s">
        <v>8649</v>
      </c>
      <c r="E296" s="9" t="s">
        <v>8248</v>
      </c>
      <c r="F296" s="36" t="s">
        <v>8648</v>
      </c>
      <c r="G296" s="36" t="s">
        <v>14</v>
      </c>
      <c r="H296" s="36" t="str">
        <f>IFERROR(VLOOKUP(Table2[[#This Row], [Ticket]],Okey!A:B,2,0),"")</f>
        <v/>
      </c>
      <c r="I296" s="36"/>
      <c r="J296" s="36" t="s">
        <v>18</v>
      </c>
      <c r="K296" s="36" t="s">
        <v>8705</v>
      </c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8551</v>
      </c>
      <c r="D297" s="9" t="s">
        <v>8650</v>
      </c>
      <c r="E297" s="9" t="s">
        <v>8249</v>
      </c>
      <c r="F297" s="36" t="s">
        <v>8648</v>
      </c>
      <c r="G297" s="36" t="s">
        <v>14</v>
      </c>
      <c r="H297" s="36" t="str">
        <f>IFERROR(VLOOKUP(Table2[[#This Row], [Ticket]],Okey!A:B,2,0),"")</f>
        <v/>
      </c>
      <c r="I297" s="36"/>
      <c r="J297" s="36" t="s">
        <v>18</v>
      </c>
      <c r="K297" s="36" t="s">
        <v>8705</v>
      </c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8551</v>
      </c>
      <c r="D298" s="9" t="s">
        <v>8651</v>
      </c>
      <c r="E298" s="9" t="s">
        <v>8250</v>
      </c>
      <c r="F298" s="36" t="s">
        <v>8648</v>
      </c>
      <c r="G298" s="36" t="s">
        <v>14</v>
      </c>
      <c r="H298" s="36" t="str">
        <f>IFERROR(VLOOKUP(Table2[[#This Row], [Ticket]],Okey!A:B,2,0),"")</f>
        <v/>
      </c>
      <c r="I298" s="36"/>
      <c r="J298" s="36" t="s">
        <v>18</v>
      </c>
      <c r="K298" s="36" t="s">
        <v>8705</v>
      </c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8551</v>
      </c>
      <c r="D299" s="9" t="s">
        <v>8652</v>
      </c>
      <c r="E299" s="9" t="s">
        <v>8251</v>
      </c>
      <c r="F299" s="36" t="s">
        <v>8648</v>
      </c>
      <c r="G299" s="36" t="s">
        <v>14</v>
      </c>
      <c r="H299" s="36" t="str">
        <f>IFERROR(VLOOKUP(Table2[[#This Row], [Ticket]],Okey!A:B,2,0),"")</f>
        <v/>
      </c>
      <c r="I299" s="36"/>
      <c r="J299" s="36" t="s">
        <v>18</v>
      </c>
      <c r="K299" s="36" t="s">
        <v>8705</v>
      </c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8551</v>
      </c>
      <c r="D300" s="9" t="s">
        <v>8653</v>
      </c>
      <c r="E300" s="9" t="s">
        <v>8252</v>
      </c>
      <c r="F300" s="36" t="s">
        <v>8648</v>
      </c>
      <c r="G300" s="36" t="s">
        <v>14</v>
      </c>
      <c r="H300" s="36" t="str">
        <f>IFERROR(VLOOKUP(Table2[[#This Row], [Ticket]],Okey!A:B,2,0),"")</f>
        <v/>
      </c>
      <c r="I300" s="36"/>
      <c r="J300" s="36" t="s">
        <v>18</v>
      </c>
      <c r="K300" s="36" t="s">
        <v>8705</v>
      </c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8551</v>
      </c>
      <c r="D301" s="9" t="s">
        <v>8654</v>
      </c>
      <c r="E301" s="9" t="s">
        <v>8253</v>
      </c>
      <c r="F301" s="9" t="s">
        <v>1433</v>
      </c>
      <c r="G301" s="36" t="s">
        <v>14</v>
      </c>
      <c r="H301" s="36" t="str">
        <f>IFERROR(VLOOKUP(Table2[[#This Row], [Ticket]],Okey!A:B,2,0),"")</f>
        <v/>
      </c>
      <c r="I301" s="36"/>
      <c r="J301" s="36" t="s">
        <v>18</v>
      </c>
      <c r="K301" s="36" t="s">
        <v>8705</v>
      </c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8551</v>
      </c>
      <c r="D302" s="9" t="s">
        <v>8655</v>
      </c>
      <c r="E302" s="9" t="s">
        <v>8254</v>
      </c>
      <c r="F302" s="36" t="s">
        <v>8654</v>
      </c>
      <c r="G302" s="36" t="s">
        <v>14</v>
      </c>
      <c r="H302" s="36" t="str">
        <f>IFERROR(VLOOKUP(Table2[[#This Row], [Ticket]],Okey!A:B,2,0),"")</f>
        <v/>
      </c>
      <c r="I302" s="36"/>
      <c r="J302" s="36" t="s">
        <v>18</v>
      </c>
      <c r="K302" s="36" t="s">
        <v>8705</v>
      </c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8551</v>
      </c>
      <c r="D303" s="9" t="s">
        <v>8656</v>
      </c>
      <c r="E303" s="9" t="s">
        <v>8255</v>
      </c>
      <c r="F303" s="36" t="s">
        <v>8654</v>
      </c>
      <c r="G303" s="36" t="s">
        <v>14</v>
      </c>
      <c r="H303" s="36" t="str">
        <f>IFERROR(VLOOKUP(Table2[[#This Row], [Ticket]],Okey!A:B,2,0),"")</f>
        <v/>
      </c>
      <c r="I303" s="36"/>
      <c r="J303" s="36" t="s">
        <v>18</v>
      </c>
      <c r="K303" s="36" t="s">
        <v>8705</v>
      </c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8551</v>
      </c>
      <c r="D304" s="9" t="s">
        <v>8657</v>
      </c>
      <c r="E304" s="9" t="s">
        <v>8256</v>
      </c>
      <c r="F304" s="36" t="s">
        <v>8656</v>
      </c>
      <c r="G304" s="36" t="s">
        <v>14</v>
      </c>
      <c r="H304" s="36" t="str">
        <f>IFERROR(VLOOKUP(Table2[[#This Row], [Ticket]],Okey!A:B,2,0),"")</f>
        <v/>
      </c>
      <c r="I304" s="36"/>
      <c r="J304" s="36" t="s">
        <v>18</v>
      </c>
      <c r="K304" s="36" t="s">
        <v>8705</v>
      </c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8551</v>
      </c>
      <c r="D305" s="9" t="s">
        <v>8658</v>
      </c>
      <c r="E305" s="9" t="s">
        <v>8257</v>
      </c>
      <c r="F305" s="36" t="s">
        <v>8656</v>
      </c>
      <c r="G305" s="36" t="s">
        <v>14</v>
      </c>
      <c r="H305" s="36" t="str">
        <f>IFERROR(VLOOKUP(Table2[[#This Row], [Ticket]],Okey!A:B,2,0),"")</f>
        <v/>
      </c>
      <c r="I305" s="36"/>
      <c r="J305" s="36" t="s">
        <v>18</v>
      </c>
      <c r="K305" s="36" t="s">
        <v>8705</v>
      </c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8551</v>
      </c>
      <c r="D306" s="9" t="s">
        <v>8659</v>
      </c>
      <c r="E306" s="9" t="s">
        <v>8258</v>
      </c>
      <c r="F306" s="36" t="s">
        <v>8656</v>
      </c>
      <c r="G306" s="36" t="s">
        <v>14</v>
      </c>
      <c r="H306" s="36" t="str">
        <f>IFERROR(VLOOKUP(Table2[[#This Row], [Ticket]],Okey!A:B,2,0),"")</f>
        <v/>
      </c>
      <c r="I306" s="36"/>
      <c r="J306" s="36" t="s">
        <v>18</v>
      </c>
      <c r="K306" s="36" t="s">
        <v>8705</v>
      </c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8551</v>
      </c>
      <c r="D307" s="9" t="s">
        <v>8660</v>
      </c>
      <c r="E307" s="9" t="s">
        <v>8259</v>
      </c>
      <c r="F307" s="36" t="s">
        <v>8656</v>
      </c>
      <c r="G307" s="36" t="s">
        <v>14</v>
      </c>
      <c r="H307" s="36" t="str">
        <f>IFERROR(VLOOKUP(Table2[[#This Row], [Ticket]],Okey!A:B,2,0),"")</f>
        <v/>
      </c>
      <c r="I307" s="36"/>
      <c r="J307" s="36" t="s">
        <v>18</v>
      </c>
      <c r="K307" s="36" t="s">
        <v>8705</v>
      </c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8551</v>
      </c>
      <c r="D308" s="9" t="s">
        <v>8661</v>
      </c>
      <c r="E308" s="9" t="s">
        <v>8240</v>
      </c>
      <c r="F308" s="36" t="s">
        <v>8656</v>
      </c>
      <c r="G308" s="36" t="s">
        <v>14</v>
      </c>
      <c r="H308" s="36" t="str">
        <f>IFERROR(VLOOKUP(Table2[[#This Row], [Ticket]],Okey!A:B,2,0),"")</f>
        <v/>
      </c>
      <c r="I308" s="36"/>
      <c r="J308" s="36" t="s">
        <v>18</v>
      </c>
      <c r="K308" s="36" t="s">
        <v>8705</v>
      </c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8551</v>
      </c>
      <c r="D309" s="9" t="s">
        <v>8662</v>
      </c>
      <c r="E309" s="9" t="s">
        <v>8260</v>
      </c>
      <c r="F309" s="36" t="s">
        <v>8654</v>
      </c>
      <c r="G309" s="36" t="s">
        <v>14</v>
      </c>
      <c r="H309" s="36" t="str">
        <f>IFERROR(VLOOKUP(Table2[[#This Row], [Ticket]],Okey!A:B,2,0),"")</f>
        <v/>
      </c>
      <c r="I309" s="36"/>
      <c r="J309" s="36" t="s">
        <v>18</v>
      </c>
      <c r="K309" s="36" t="s">
        <v>8705</v>
      </c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8551</v>
      </c>
      <c r="D310" s="9" t="s">
        <v>8663</v>
      </c>
      <c r="E310" s="9" t="s">
        <v>8261</v>
      </c>
      <c r="F310" s="36" t="s">
        <v>8654</v>
      </c>
      <c r="G310" s="36" t="s">
        <v>14</v>
      </c>
      <c r="H310" s="36" t="str">
        <f>IFERROR(VLOOKUP(Table2[[#This Row], [Ticket]],Okey!A:B,2,0),"")</f>
        <v/>
      </c>
      <c r="I310" s="36"/>
      <c r="J310" s="36" t="s">
        <v>18</v>
      </c>
      <c r="K310" s="36" t="s">
        <v>8705</v>
      </c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8551</v>
      </c>
      <c r="D311" s="9" t="s">
        <v>8664</v>
      </c>
      <c r="E311" s="9" t="s">
        <v>8262</v>
      </c>
      <c r="F311" s="36" t="s">
        <v>8663</v>
      </c>
      <c r="G311" s="36" t="s">
        <v>14</v>
      </c>
      <c r="H311" s="36" t="str">
        <f>IFERROR(VLOOKUP(Table2[[#This Row], [Ticket]],Okey!A:B,2,0),"")</f>
        <v/>
      </c>
      <c r="I311" s="36"/>
      <c r="J311" s="36" t="s">
        <v>18</v>
      </c>
      <c r="K311" s="36" t="s">
        <v>8705</v>
      </c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8551</v>
      </c>
      <c r="D312" s="9" t="s">
        <v>8665</v>
      </c>
      <c r="E312" s="9" t="s">
        <v>8263</v>
      </c>
      <c r="F312" s="36" t="s">
        <v>8663</v>
      </c>
      <c r="G312" s="36" t="s">
        <v>14</v>
      </c>
      <c r="H312" s="36" t="str">
        <f>IFERROR(VLOOKUP(Table2[[#This Row], [Ticket]],Okey!A:B,2,0),"")</f>
        <v/>
      </c>
      <c r="I312" s="36"/>
      <c r="J312" s="36" t="s">
        <v>18</v>
      </c>
      <c r="K312" s="36" t="s">
        <v>8705</v>
      </c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8551</v>
      </c>
      <c r="D313" s="9" t="s">
        <v>8666</v>
      </c>
      <c r="E313" s="9" t="s">
        <v>8264</v>
      </c>
      <c r="F313" s="9" t="s">
        <v>8265</v>
      </c>
      <c r="G313" s="36" t="s">
        <v>14</v>
      </c>
      <c r="H313" s="36" t="str">
        <f>IFERROR(VLOOKUP(Table2[[#This Row], [Ticket]],Okey!A:B,2,0),"")</f>
        <v/>
      </c>
      <c r="I313" s="36"/>
      <c r="J313" s="36" t="s">
        <v>18</v>
      </c>
      <c r="K313" s="36" t="s">
        <v>8705</v>
      </c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8551</v>
      </c>
      <c r="D314" s="9" t="s">
        <v>8667</v>
      </c>
      <c r="E314" s="9" t="s">
        <v>8266</v>
      </c>
      <c r="F314" s="9" t="s">
        <v>8265</v>
      </c>
      <c r="G314" s="36" t="s">
        <v>14</v>
      </c>
      <c r="H314" s="36" t="str">
        <f>IFERROR(VLOOKUP(Table2[[#This Row], [Ticket]],Okey!A:B,2,0),"")</f>
        <v/>
      </c>
      <c r="I314" s="36"/>
      <c r="J314" s="36" t="s">
        <v>18</v>
      </c>
      <c r="K314" s="36" t="s">
        <v>8705</v>
      </c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8551</v>
      </c>
      <c r="D315" s="9" t="s">
        <v>8668</v>
      </c>
      <c r="E315" s="9" t="s">
        <v>8267</v>
      </c>
      <c r="F315" s="9" t="s">
        <v>8265</v>
      </c>
      <c r="G315" s="36" t="s">
        <v>14</v>
      </c>
      <c r="H315" s="36" t="str">
        <f>IFERROR(VLOOKUP(Table2[[#This Row], [Ticket]],Okey!A:B,2,0),"")</f>
        <v/>
      </c>
      <c r="I315" s="36"/>
      <c r="J315" s="36" t="s">
        <v>18</v>
      </c>
      <c r="K315" s="36" t="s">
        <v>8705</v>
      </c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8551</v>
      </c>
      <c r="D316" s="9" t="s">
        <v>8669</v>
      </c>
      <c r="E316" s="9" t="s">
        <v>8268</v>
      </c>
      <c r="F316" s="9" t="s">
        <v>8265</v>
      </c>
      <c r="G316" s="36" t="s">
        <v>14</v>
      </c>
      <c r="H316" s="36" t="str">
        <f>IFERROR(VLOOKUP(Table2[[#This Row], [Ticket]],Okey!A:B,2,0),"")</f>
        <v/>
      </c>
      <c r="I316" s="36"/>
      <c r="J316" s="36" t="s">
        <v>18</v>
      </c>
      <c r="K316" s="36" t="s">
        <v>8705</v>
      </c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8551</v>
      </c>
      <c r="D317" s="9" t="s">
        <v>8670</v>
      </c>
      <c r="E317" s="9" t="s">
        <v>8269</v>
      </c>
      <c r="F317" s="9" t="s">
        <v>8265</v>
      </c>
      <c r="G317" s="36" t="s">
        <v>14</v>
      </c>
      <c r="H317" s="36" t="str">
        <f>IFERROR(VLOOKUP(Table2[[#This Row], [Ticket]],Okey!A:B,2,0),"")</f>
        <v/>
      </c>
      <c r="I317" s="36"/>
      <c r="J317" s="36" t="s">
        <v>18</v>
      </c>
      <c r="K317" s="36" t="s">
        <v>8705</v>
      </c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8551</v>
      </c>
      <c r="D318" s="9" t="s">
        <v>8671</v>
      </c>
      <c r="E318" s="9" t="s">
        <v>8270</v>
      </c>
      <c r="F318" s="9" t="s">
        <v>8265</v>
      </c>
      <c r="G318" s="36" t="s">
        <v>14</v>
      </c>
      <c r="H318" s="36" t="str">
        <f>IFERROR(VLOOKUP(Table2[[#This Row], [Ticket]],Okey!A:B,2,0),"")</f>
        <v/>
      </c>
      <c r="I318" s="36"/>
      <c r="J318" s="36" t="s">
        <v>18</v>
      </c>
      <c r="K318" s="36" t="s">
        <v>8705</v>
      </c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8551</v>
      </c>
      <c r="D319" s="9" t="s">
        <v>8672</v>
      </c>
      <c r="E319" s="9" t="s">
        <v>8271</v>
      </c>
      <c r="F319" s="36" t="s">
        <v>8671</v>
      </c>
      <c r="G319" s="36" t="s">
        <v>14</v>
      </c>
      <c r="H319" s="36" t="str">
        <f>IFERROR(VLOOKUP(Table2[[#This Row], [Ticket]],Okey!A:B,2,0),"")</f>
        <v/>
      </c>
      <c r="I319" s="36"/>
      <c r="J319" s="36" t="s">
        <v>18</v>
      </c>
      <c r="K319" s="36" t="s">
        <v>8705</v>
      </c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8551</v>
      </c>
      <c r="D320" s="9" t="s">
        <v>8673</v>
      </c>
      <c r="E320" s="9" t="s">
        <v>8272</v>
      </c>
      <c r="F320" s="9" t="s">
        <v>8273</v>
      </c>
      <c r="G320" s="36" t="s">
        <v>14</v>
      </c>
      <c r="H320" s="36" t="str">
        <f>IFERROR(VLOOKUP(Table2[[#This Row], [Ticket]],Okey!A:B,2,0),"")</f>
        <v/>
      </c>
      <c r="I320" s="36"/>
      <c r="J320" s="36" t="s">
        <v>18</v>
      </c>
      <c r="K320" s="36" t="s">
        <v>8705</v>
      </c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8551</v>
      </c>
      <c r="D321" s="9" t="s">
        <v>8674</v>
      </c>
      <c r="E321" s="9" t="s">
        <v>8274</v>
      </c>
      <c r="F321" s="36" t="s">
        <v>8673</v>
      </c>
      <c r="G321" s="36" t="s">
        <v>14</v>
      </c>
      <c r="H321" s="36" t="str">
        <f>IFERROR(VLOOKUP(Table2[[#This Row], [Ticket]],Okey!A:B,2,0),"")</f>
        <v/>
      </c>
      <c r="I321" s="36"/>
      <c r="J321" s="36" t="s">
        <v>18</v>
      </c>
      <c r="K321" s="36" t="s">
        <v>8705</v>
      </c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8551</v>
      </c>
      <c r="D322" s="9" t="s">
        <v>8675</v>
      </c>
      <c r="E322" s="9" t="s">
        <v>8275</v>
      </c>
      <c r="F322" s="36" t="s">
        <v>8673</v>
      </c>
      <c r="G322" s="36" t="s">
        <v>14</v>
      </c>
      <c r="H322" s="36" t="str">
        <f>IFERROR(VLOOKUP(Table2[[#This Row], [Ticket]],Okey!A:B,2,0),"")</f>
        <v/>
      </c>
      <c r="I322" s="36"/>
      <c r="J322" s="36" t="s">
        <v>18</v>
      </c>
      <c r="K322" s="36" t="s">
        <v>8705</v>
      </c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8551</v>
      </c>
      <c r="D323" s="9" t="s">
        <v>8676</v>
      </c>
      <c r="E323" s="9" t="s">
        <v>8276</v>
      </c>
      <c r="F323" s="36" t="s">
        <v>8673</v>
      </c>
      <c r="G323" s="36" t="s">
        <v>14</v>
      </c>
      <c r="H323" s="36" t="str">
        <f>IFERROR(VLOOKUP(Table2[[#This Row], [Ticket]],Okey!A:B,2,0),"")</f>
        <v/>
      </c>
      <c r="I323" s="36"/>
      <c r="J323" s="36" t="s">
        <v>18</v>
      </c>
      <c r="K323" s="36" t="s">
        <v>8705</v>
      </c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8551</v>
      </c>
      <c r="D324" s="9" t="s">
        <v>8677</v>
      </c>
      <c r="E324" s="9" t="s">
        <v>8277</v>
      </c>
      <c r="F324" s="36" t="s">
        <v>8673</v>
      </c>
      <c r="G324" s="36" t="s">
        <v>14</v>
      </c>
      <c r="H324" s="36" t="str">
        <f>IFERROR(VLOOKUP(Table2[[#This Row], [Ticket]],Okey!A:B,2,0),"")</f>
        <v/>
      </c>
      <c r="I324" s="36"/>
      <c r="J324" s="36" t="s">
        <v>18</v>
      </c>
      <c r="K324" s="36" t="s">
        <v>8705</v>
      </c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8551</v>
      </c>
      <c r="D325" s="9" t="s">
        <v>8678</v>
      </c>
      <c r="E325" s="9" t="s">
        <v>8278</v>
      </c>
      <c r="F325" s="36" t="s">
        <v>8673</v>
      </c>
      <c r="G325" s="36" t="s">
        <v>14</v>
      </c>
      <c r="H325" s="36" t="str">
        <f>IFERROR(VLOOKUP(Table2[[#This Row], [Ticket]],Okey!A:B,2,0),"")</f>
        <v/>
      </c>
      <c r="I325" s="36"/>
      <c r="J325" s="36" t="s">
        <v>18</v>
      </c>
      <c r="K325" s="36" t="s">
        <v>8705</v>
      </c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8551</v>
      </c>
      <c r="D326" s="9" t="s">
        <v>8679</v>
      </c>
      <c r="E326" s="9" t="s">
        <v>8279</v>
      </c>
      <c r="F326" s="36" t="s">
        <v>8673</v>
      </c>
      <c r="G326" s="36" t="s">
        <v>14</v>
      </c>
      <c r="H326" s="36" t="str">
        <f>IFERROR(VLOOKUP(Table2[[#This Row], [Ticket]],Okey!A:B,2,0),"")</f>
        <v/>
      </c>
      <c r="I326" s="36"/>
      <c r="J326" s="36" t="s">
        <v>18</v>
      </c>
      <c r="K326" s="36" t="s">
        <v>8705</v>
      </c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8551</v>
      </c>
      <c r="D327" s="9" t="s">
        <v>8680</v>
      </c>
      <c r="E327" s="9" t="s">
        <v>8280</v>
      </c>
      <c r="F327" s="36" t="s">
        <v>8673</v>
      </c>
      <c r="G327" s="36" t="s">
        <v>14</v>
      </c>
      <c r="H327" s="36" t="str">
        <f>IFERROR(VLOOKUP(Table2[[#This Row], [Ticket]],Okey!A:B,2,0),"")</f>
        <v/>
      </c>
      <c r="I327" s="36"/>
      <c r="J327" s="36" t="s">
        <v>18</v>
      </c>
      <c r="K327" s="36" t="s">
        <v>8705</v>
      </c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8551</v>
      </c>
      <c r="D328" s="9" t="s">
        <v>8681</v>
      </c>
      <c r="E328" s="9" t="s">
        <v>8281</v>
      </c>
      <c r="F328" s="36" t="s">
        <v>8673</v>
      </c>
      <c r="G328" s="36" t="s">
        <v>14</v>
      </c>
      <c r="H328" s="36" t="str">
        <f>IFERROR(VLOOKUP(Table2[[#This Row], [Ticket]],Okey!A:B,2,0),"")</f>
        <v/>
      </c>
      <c r="I328" s="36"/>
      <c r="J328" s="36" t="s">
        <v>18</v>
      </c>
      <c r="K328" s="36" t="s">
        <v>8705</v>
      </c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8551</v>
      </c>
      <c r="D329" s="9" t="s">
        <v>8682</v>
      </c>
      <c r="E329" s="9" t="s">
        <v>8282</v>
      </c>
      <c r="F329" s="36" t="s">
        <v>8673</v>
      </c>
      <c r="G329" s="36" t="s">
        <v>14</v>
      </c>
      <c r="H329" s="36" t="str">
        <f>IFERROR(VLOOKUP(Table2[[#This Row], [Ticket]],Okey!A:B,2,0),"")</f>
        <v/>
      </c>
      <c r="I329" s="36"/>
      <c r="J329" s="36" t="s">
        <v>18</v>
      </c>
      <c r="K329" s="36" t="s">
        <v>8705</v>
      </c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8551</v>
      </c>
      <c r="D330" s="9" t="s">
        <v>8683</v>
      </c>
      <c r="E330" s="9" t="s">
        <v>8283</v>
      </c>
      <c r="F330" s="9" t="s">
        <v>8273</v>
      </c>
      <c r="G330" s="36" t="s">
        <v>14</v>
      </c>
      <c r="H330" s="36" t="str">
        <f>IFERROR(VLOOKUP(Table2[[#This Row], [Ticket]],Okey!A:B,2,0),"")</f>
        <v/>
      </c>
      <c r="I330" s="36"/>
      <c r="J330" s="36" t="s">
        <v>18</v>
      </c>
      <c r="K330" s="36" t="s">
        <v>8705</v>
      </c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8551</v>
      </c>
      <c r="D331" s="9" t="s">
        <v>8684</v>
      </c>
      <c r="E331" s="9" t="s">
        <v>8284</v>
      </c>
      <c r="F331" s="9" t="s">
        <v>8273</v>
      </c>
      <c r="G331" s="36" t="s">
        <v>14</v>
      </c>
      <c r="H331" s="36" t="str">
        <f>IFERROR(VLOOKUP(Table2[[#This Row], [Ticket]],Okey!A:B,2,0),"")</f>
        <v/>
      </c>
      <c r="I331" s="36"/>
      <c r="J331" s="36" t="s">
        <v>18</v>
      </c>
      <c r="K331" s="36" t="s">
        <v>8705</v>
      </c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8551</v>
      </c>
      <c r="D332" s="9" t="s">
        <v>8685</v>
      </c>
      <c r="E332" s="9" t="s">
        <v>8285</v>
      </c>
      <c r="F332" s="9" t="s">
        <v>8273</v>
      </c>
      <c r="G332" s="36" t="s">
        <v>14</v>
      </c>
      <c r="H332" s="36" t="str">
        <f>IFERROR(VLOOKUP(Table2[[#This Row], [Ticket]],Okey!A:B,2,0),"")</f>
        <v/>
      </c>
      <c r="I332" s="36"/>
      <c r="J332" s="36" t="s">
        <v>18</v>
      </c>
      <c r="K332" s="36" t="s">
        <v>8705</v>
      </c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8551</v>
      </c>
      <c r="D333" s="9" t="s">
        <v>8686</v>
      </c>
      <c r="E333" s="9" t="s">
        <v>8286</v>
      </c>
      <c r="F333" s="36" t="s">
        <v>8685</v>
      </c>
      <c r="G333" s="36" t="s">
        <v>14</v>
      </c>
      <c r="H333" s="36" t="str">
        <f>IFERROR(VLOOKUP(Table2[[#This Row], [Ticket]],Okey!A:B,2,0),"")</f>
        <v/>
      </c>
      <c r="I333" s="36"/>
      <c r="J333" s="36" t="s">
        <v>18</v>
      </c>
      <c r="K333" s="36" t="s">
        <v>8705</v>
      </c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8551</v>
      </c>
      <c r="D334" s="9" t="s">
        <v>8687</v>
      </c>
      <c r="E334" s="9" t="s">
        <v>8287</v>
      </c>
      <c r="F334" s="36" t="s">
        <v>8685</v>
      </c>
      <c r="G334" s="36" t="s">
        <v>14</v>
      </c>
      <c r="H334" s="36" t="str">
        <f>IFERROR(VLOOKUP(Table2[[#This Row], [Ticket]],Okey!A:B,2,0),"")</f>
        <v/>
      </c>
      <c r="I334" s="36"/>
      <c r="J334" s="36" t="s">
        <v>18</v>
      </c>
      <c r="K334" s="36" t="s">
        <v>8705</v>
      </c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8551</v>
      </c>
      <c r="D335" s="9" t="s">
        <v>8688</v>
      </c>
      <c r="E335" s="9" t="s">
        <v>8288</v>
      </c>
      <c r="F335" s="36" t="s">
        <v>8685</v>
      </c>
      <c r="G335" s="36" t="s">
        <v>14</v>
      </c>
      <c r="H335" s="36" t="str">
        <f>IFERROR(VLOOKUP(Table2[[#This Row], [Ticket]],Okey!A:B,2,0),"")</f>
        <v/>
      </c>
      <c r="I335" s="36"/>
      <c r="J335" s="36" t="s">
        <v>18</v>
      </c>
      <c r="K335" s="36" t="s">
        <v>8705</v>
      </c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8551</v>
      </c>
      <c r="D336" s="9" t="s">
        <v>8689</v>
      </c>
      <c r="E336" s="9" t="s">
        <v>8289</v>
      </c>
      <c r="F336" s="36" t="s">
        <v>8685</v>
      </c>
      <c r="G336" s="36" t="s">
        <v>14</v>
      </c>
      <c r="H336" s="36" t="str">
        <f>IFERROR(VLOOKUP(Table2[[#This Row], [Ticket]],Okey!A:B,2,0),"")</f>
        <v/>
      </c>
      <c r="I336" s="36"/>
      <c r="J336" s="36" t="s">
        <v>18</v>
      </c>
      <c r="K336" s="36" t="s">
        <v>8705</v>
      </c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8551</v>
      </c>
      <c r="D337" s="9" t="s">
        <v>8690</v>
      </c>
      <c r="E337" s="9" t="s">
        <v>8290</v>
      </c>
      <c r="F337" s="9" t="s">
        <v>8273</v>
      </c>
      <c r="G337" s="36" t="s">
        <v>14</v>
      </c>
      <c r="H337" s="36" t="str">
        <f>IFERROR(VLOOKUP(Table2[[#This Row], [Ticket]],Okey!A:B,2,0),"")</f>
        <v/>
      </c>
      <c r="I337" s="36"/>
      <c r="J337" s="36" t="s">
        <v>18</v>
      </c>
      <c r="K337" s="36" t="s">
        <v>8705</v>
      </c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8551</v>
      </c>
      <c r="D338" s="9" t="s">
        <v>8691</v>
      </c>
      <c r="E338" s="9" t="s">
        <v>8291</v>
      </c>
      <c r="F338" s="9" t="s">
        <v>8273</v>
      </c>
      <c r="G338" s="36" t="s">
        <v>14</v>
      </c>
      <c r="H338" s="36" t="str">
        <f>IFERROR(VLOOKUP(Table2[[#This Row], [Ticket]],Okey!A:B,2,0),"")</f>
        <v/>
      </c>
      <c r="I338" s="36"/>
      <c r="J338" s="36" t="s">
        <v>18</v>
      </c>
      <c r="K338" s="36" t="s">
        <v>8705</v>
      </c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8551</v>
      </c>
      <c r="D339" s="9" t="s">
        <v>8692</v>
      </c>
      <c r="E339" s="9" t="s">
        <v>8292</v>
      </c>
      <c r="F339" s="36" t="s">
        <v>8691</v>
      </c>
      <c r="G339" s="36" t="s">
        <v>14</v>
      </c>
      <c r="H339" s="36" t="str">
        <f>IFERROR(VLOOKUP(Table2[[#This Row], [Ticket]],Okey!A:B,2,0),"")</f>
        <v/>
      </c>
      <c r="I339" s="36"/>
      <c r="J339" s="36" t="s">
        <v>18</v>
      </c>
      <c r="K339" s="36" t="s">
        <v>8705</v>
      </c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8551</v>
      </c>
      <c r="D340" s="9" t="s">
        <v>8693</v>
      </c>
      <c r="E340" s="9" t="s">
        <v>8293</v>
      </c>
      <c r="F340" s="9" t="s">
        <v>3956</v>
      </c>
      <c r="G340" s="36" t="s">
        <v>14</v>
      </c>
      <c r="H340" s="36" t="str">
        <f>IFERROR(VLOOKUP(Table2[[#This Row], [Ticket]],Okey!A:B,2,0),"")</f>
        <v/>
      </c>
      <c r="I340" s="36"/>
      <c r="J340" s="36" t="s">
        <v>18</v>
      </c>
      <c r="K340" s="36" t="s">
        <v>8705</v>
      </c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8551</v>
      </c>
      <c r="D341" s="9" t="s">
        <v>8694</v>
      </c>
      <c r="E341" s="9" t="s">
        <v>8294</v>
      </c>
      <c r="F341" s="36" t="s">
        <v>8693</v>
      </c>
      <c r="G341" s="36" t="s">
        <v>14</v>
      </c>
      <c r="H341" s="36" t="str">
        <f>IFERROR(VLOOKUP(Table2[[#This Row], [Ticket]],Okey!A:B,2,0),"")</f>
        <v/>
      </c>
      <c r="I341" s="36"/>
      <c r="J341" s="36" t="s">
        <v>18</v>
      </c>
      <c r="K341" s="36" t="s">
        <v>8705</v>
      </c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8551</v>
      </c>
      <c r="D342" s="9" t="s">
        <v>8695</v>
      </c>
      <c r="E342" s="9" t="s">
        <v>8295</v>
      </c>
      <c r="F342" s="36" t="s">
        <v>8694</v>
      </c>
      <c r="G342" s="36" t="s">
        <v>14</v>
      </c>
      <c r="H342" s="36" t="str">
        <f>IFERROR(VLOOKUP(Table2[[#This Row], [Ticket]],Okey!A:B,2,0),"")</f>
        <v/>
      </c>
      <c r="I342" s="36"/>
      <c r="J342" s="36" t="s">
        <v>18</v>
      </c>
      <c r="K342" s="36" t="s">
        <v>8705</v>
      </c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8551</v>
      </c>
      <c r="D343" s="9" t="s">
        <v>8696</v>
      </c>
      <c r="E343" s="9" t="s">
        <v>8296</v>
      </c>
      <c r="F343" s="36" t="s">
        <v>8693</v>
      </c>
      <c r="G343" s="36" t="s">
        <v>14</v>
      </c>
      <c r="H343" s="36" t="str">
        <f>IFERROR(VLOOKUP(Table2[[#This Row], [Ticket]],Okey!A:B,2,0),"")</f>
        <v/>
      </c>
      <c r="I343" s="36"/>
      <c r="J343" s="36" t="s">
        <v>18</v>
      </c>
      <c r="K343" s="36" t="s">
        <v>8705</v>
      </c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8551</v>
      </c>
      <c r="D344" s="9" t="s">
        <v>8697</v>
      </c>
      <c r="E344" s="9" t="s">
        <v>8297</v>
      </c>
      <c r="F344" s="9" t="s">
        <v>3996</v>
      </c>
      <c r="G344" s="36" t="s">
        <v>14</v>
      </c>
      <c r="H344" s="36" t="str">
        <f>IFERROR(VLOOKUP(Table2[[#This Row], [Ticket]],Okey!A:B,2,0),"")</f>
        <v/>
      </c>
      <c r="I344" s="36"/>
      <c r="J344" s="36" t="s">
        <v>18</v>
      </c>
      <c r="K344" s="36" t="s">
        <v>8705</v>
      </c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8551</v>
      </c>
      <c r="D345" s="9" t="s">
        <v>8698</v>
      </c>
      <c r="E345" s="9" t="s">
        <v>8298</v>
      </c>
      <c r="F345" s="36" t="s">
        <v>8693</v>
      </c>
      <c r="G345" s="36" t="s">
        <v>14</v>
      </c>
      <c r="H345" s="36" t="str">
        <f>IFERROR(VLOOKUP(Table2[[#This Row], [Ticket]],Okey!A:B,2,0),"")</f>
        <v/>
      </c>
      <c r="I345" s="36"/>
      <c r="J345" s="36" t="s">
        <v>18</v>
      </c>
      <c r="K345" s="36" t="s">
        <v>8705</v>
      </c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8551</v>
      </c>
      <c r="D346" s="9" t="s">
        <v>8699</v>
      </c>
      <c r="E346" s="9" t="s">
        <v>8299</v>
      </c>
      <c r="F346" s="36" t="s">
        <v>8698</v>
      </c>
      <c r="G346" s="36" t="s">
        <v>14</v>
      </c>
      <c r="H346" s="36" t="str">
        <f>IFERROR(VLOOKUP(Table2[[#This Row], [Ticket]],Okey!A:B,2,0),"")</f>
        <v/>
      </c>
      <c r="I346" s="36"/>
      <c r="J346" s="36" t="s">
        <v>18</v>
      </c>
      <c r="K346" s="36" t="s">
        <v>8705</v>
      </c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8551</v>
      </c>
      <c r="D347" s="9" t="s">
        <v>8700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/>
      </c>
      <c r="I347" s="36"/>
      <c r="J347" s="36" t="s">
        <v>18</v>
      </c>
      <c r="K347" s="36" t="s">
        <v>8705</v>
      </c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8551</v>
      </c>
      <c r="D348" s="9" t="s">
        <v>8701</v>
      </c>
      <c r="E348" s="9" t="s">
        <v>8300</v>
      </c>
      <c r="F348" s="9" t="s">
        <v>3971</v>
      </c>
      <c r="G348" s="36" t="s">
        <v>14</v>
      </c>
      <c r="H348" s="36" t="str">
        <f>IFERROR(VLOOKUP(Table2[[#This Row], [Ticket]],Okey!A:B,2,0),"")</f>
        <v/>
      </c>
      <c r="I348" s="36"/>
      <c r="J348" s="36" t="s">
        <v>18</v>
      </c>
      <c r="K348" s="36" t="s">
        <v>8705</v>
      </c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8551</v>
      </c>
      <c r="D349" s="9" t="s">
        <v>8702</v>
      </c>
      <c r="E349" s="9" t="s">
        <v>8301</v>
      </c>
      <c r="F349" s="9" t="s">
        <v>3514</v>
      </c>
      <c r="G349" s="36" t="s">
        <v>14</v>
      </c>
      <c r="H349" s="36" t="str">
        <f>IFERROR(VLOOKUP(Table2[[#This Row], [Ticket]],Okey!A:B,2,0),"")</f>
        <v/>
      </c>
      <c r="I349" s="36"/>
      <c r="J349" s="36" t="s">
        <v>18</v>
      </c>
      <c r="K349" s="36" t="s">
        <v>8705</v>
      </c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8551</v>
      </c>
      <c r="D350" s="9" t="s">
        <v>8703</v>
      </c>
      <c r="E350" s="9" t="s">
        <v>8302</v>
      </c>
      <c r="F350" s="9" t="s">
        <v>3514</v>
      </c>
      <c r="G350" s="36" t="s">
        <v>14</v>
      </c>
      <c r="H350" s="36" t="str">
        <f>IFERROR(VLOOKUP(Table2[[#This Row], [Ticket]],Okey!A:B,2,0),"")</f>
        <v/>
      </c>
      <c r="I350" s="36"/>
      <c r="J350" s="36" t="s">
        <v>18</v>
      </c>
      <c r="K350" s="36" t="s">
        <v>8705</v>
      </c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8551</v>
      </c>
      <c r="D351" s="9" t="s">
        <v>8704</v>
      </c>
      <c r="E351" s="9" t="s">
        <v>8303</v>
      </c>
      <c r="F351" s="9" t="s">
        <v>3514</v>
      </c>
      <c r="G351" s="9" t="s">
        <v>14</v>
      </c>
      <c r="H351" s="36" t="str">
        <f>IFERROR(VLOOKUP(Table2[[#This Row], [Ticket]],Okey!A:B,2,0),"")</f>
        <v/>
      </c>
      <c r="I351" s="36"/>
      <c r="J351" s="36" t="s">
        <v>18</v>
      </c>
      <c r="K351" s="36" t="s">
        <v>8705</v>
      </c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8551</v>
      </c>
      <c r="D352" s="9" t="s">
        <v>1309</v>
      </c>
      <c r="E352" s="9" t="s">
        <v>8304</v>
      </c>
      <c r="G352" s="36" t="s">
        <v>15</v>
      </c>
      <c r="H352" s="36" t="str">
        <f>IFERROR(VLOOKUP(Table2[[#This Row], [Ticket]],Okey!A:B,2,0),"")</f>
        <v/>
      </c>
      <c r="J352" s="36" t="s">
        <v>18</v>
      </c>
      <c r="K352" s="9" t="s">
        <v>7857</v>
      </c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8551</v>
      </c>
      <c r="D353" s="9" t="s">
        <v>8305</v>
      </c>
      <c r="E353" s="9" t="s">
        <v>8306</v>
      </c>
      <c r="G353" s="36" t="s">
        <v>15</v>
      </c>
      <c r="H353" s="36" t="str">
        <f>IFERROR(VLOOKUP(Table2[[#This Row], [Ticket]],Okey!A:B,2,0),"")</f>
        <v/>
      </c>
      <c r="I353" s="36"/>
      <c r="J353" s="36" t="s">
        <v>18</v>
      </c>
      <c r="K353" s="36" t="s">
        <v>7857</v>
      </c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8551</v>
      </c>
      <c r="D354" s="9" t="s">
        <v>1415</v>
      </c>
      <c r="E354" s="9" t="s">
        <v>8307</v>
      </c>
      <c r="G354" s="36" t="s">
        <v>15</v>
      </c>
      <c r="H354" s="36" t="str">
        <f>IFERROR(VLOOKUP(Table2[[#This Row], [Ticket]],Okey!A:B,2,0),"")</f>
        <v/>
      </c>
      <c r="I354" s="36"/>
      <c r="J354" s="36" t="s">
        <v>18</v>
      </c>
      <c r="K354" s="36" t="s">
        <v>7857</v>
      </c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8551</v>
      </c>
      <c r="D355" s="9" t="s">
        <v>1321</v>
      </c>
      <c r="E355" s="9" t="s">
        <v>8308</v>
      </c>
      <c r="G355" s="36" t="s">
        <v>15</v>
      </c>
      <c r="H355" s="36" t="str">
        <f>IFERROR(VLOOKUP(Table2[[#This Row], [Ticket]],Okey!A:B,2,0),"")</f>
        <v/>
      </c>
      <c r="I355" s="36"/>
      <c r="J355" s="36" t="s">
        <v>18</v>
      </c>
      <c r="K355" s="36" t="s">
        <v>7857</v>
      </c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8551</v>
      </c>
      <c r="D356" s="9" t="s">
        <v>5490</v>
      </c>
      <c r="E356" s="9" t="s">
        <v>8309</v>
      </c>
      <c r="G356" s="36" t="s">
        <v>15</v>
      </c>
      <c r="H356" s="36" t="str">
        <f>IFERROR(VLOOKUP(Table2[[#This Row], [Ticket]],Okey!A:B,2,0),"")</f>
        <v/>
      </c>
      <c r="I356" s="36"/>
      <c r="J356" s="36" t="s">
        <v>18</v>
      </c>
      <c r="K356" s="36" t="s">
        <v>7857</v>
      </c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8551</v>
      </c>
      <c r="D357" s="9" t="s">
        <v>1290</v>
      </c>
      <c r="E357" s="9" t="s">
        <v>8153</v>
      </c>
      <c r="G357" s="36" t="s">
        <v>15</v>
      </c>
      <c r="H357" s="36" t="str">
        <f>IFERROR(VLOOKUP(Table2[[#This Row], [Ticket]],Okey!A:B,2,0),"")</f>
        <v/>
      </c>
      <c r="I357" s="36"/>
      <c r="J357" s="36" t="s">
        <v>18</v>
      </c>
      <c r="K357" s="36" t="s">
        <v>7857</v>
      </c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8551</v>
      </c>
      <c r="D358" s="9" t="s">
        <v>8310</v>
      </c>
      <c r="E358" s="9" t="s">
        <v>8311</v>
      </c>
      <c r="G358" s="36" t="s">
        <v>15</v>
      </c>
      <c r="H358" s="36" t="str">
        <f>IFERROR(VLOOKUP(Table2[[#This Row], [Ticket]],Okey!A:B,2,0),"")</f>
        <v/>
      </c>
      <c r="I358" s="36"/>
      <c r="J358" s="36" t="s">
        <v>18</v>
      </c>
      <c r="K358" s="36" t="s">
        <v>7857</v>
      </c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8551</v>
      </c>
      <c r="D359" s="9" t="s">
        <v>5544</v>
      </c>
      <c r="E359" s="9" t="s">
        <v>8312</v>
      </c>
      <c r="G359" s="36" t="s">
        <v>15</v>
      </c>
      <c r="H359" s="36" t="str">
        <f>IFERROR(VLOOKUP(Table2[[#This Row], [Ticket]],Okey!A:B,2,0),"")</f>
        <v/>
      </c>
      <c r="I359" s="36"/>
      <c r="J359" s="36" t="s">
        <v>18</v>
      </c>
      <c r="K359" s="36" t="s">
        <v>7857</v>
      </c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8551</v>
      </c>
      <c r="D360" s="9" t="s">
        <v>8313</v>
      </c>
      <c r="E360" s="9" t="s">
        <v>8314</v>
      </c>
      <c r="G360" s="36" t="s">
        <v>15</v>
      </c>
      <c r="H360" s="36" t="str">
        <f>IFERROR(VLOOKUP(Table2[[#This Row], [Ticket]],Okey!A:B,2,0),"")</f>
        <v/>
      </c>
      <c r="I360" s="36"/>
      <c r="J360" s="36" t="s">
        <v>18</v>
      </c>
      <c r="K360" s="36" t="s">
        <v>7857</v>
      </c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8551</v>
      </c>
      <c r="D361" s="9" t="s">
        <v>6531</v>
      </c>
      <c r="E361" s="9" t="s">
        <v>8315</v>
      </c>
      <c r="G361" s="36" t="s">
        <v>15</v>
      </c>
      <c r="H361" s="36" t="str">
        <f>IFERROR(VLOOKUP(Table2[[#This Row], [Ticket]],Okey!A:B,2,0),"")</f>
        <v/>
      </c>
      <c r="I361" s="36"/>
      <c r="J361" s="36" t="s">
        <v>18</v>
      </c>
      <c r="K361" s="36" t="s">
        <v>7857</v>
      </c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8551</v>
      </c>
      <c r="D362" s="9" t="s">
        <v>6525</v>
      </c>
      <c r="E362" s="9" t="s">
        <v>8316</v>
      </c>
      <c r="G362" s="36" t="s">
        <v>15</v>
      </c>
      <c r="H362" s="36" t="str">
        <f>IFERROR(VLOOKUP(Table2[[#This Row], [Ticket]],Okey!A:B,2,0),"")</f>
        <v/>
      </c>
      <c r="I362" s="36"/>
      <c r="J362" s="36" t="s">
        <v>18</v>
      </c>
      <c r="K362" s="36" t="s">
        <v>7857</v>
      </c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8551</v>
      </c>
      <c r="D363" s="9" t="s">
        <v>7741</v>
      </c>
      <c r="E363" s="9" t="s">
        <v>8317</v>
      </c>
      <c r="G363" s="36" t="s">
        <v>15</v>
      </c>
      <c r="H363" s="36" t="str">
        <f>IFERROR(VLOOKUP(Table2[[#This Row], [Ticket]],Okey!A:B,2,0),"")</f>
        <v/>
      </c>
      <c r="I363" s="36"/>
      <c r="J363" s="36" t="s">
        <v>18</v>
      </c>
      <c r="K363" s="36" t="s">
        <v>7857</v>
      </c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8551</v>
      </c>
      <c r="D364" s="9" t="s">
        <v>8318</v>
      </c>
      <c r="E364" s="9" t="s">
        <v>8319</v>
      </c>
      <c r="G364" s="36" t="s">
        <v>15</v>
      </c>
      <c r="H364" s="36" t="str">
        <f>IFERROR(VLOOKUP(Table2[[#This Row], [Ticket]],Okey!A:B,2,0),"")</f>
        <v/>
      </c>
      <c r="I364" s="36"/>
      <c r="J364" s="36" t="s">
        <v>18</v>
      </c>
      <c r="K364" s="36" t="s">
        <v>7857</v>
      </c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8551</v>
      </c>
      <c r="D365" s="9" t="s">
        <v>1736</v>
      </c>
      <c r="E365" s="9" t="s">
        <v>8320</v>
      </c>
      <c r="G365" s="36" t="s">
        <v>15</v>
      </c>
      <c r="H365" s="36" t="str">
        <f>IFERROR(VLOOKUP(Table2[[#This Row], [Ticket]],Okey!A:B,2,0),"")</f>
        <v/>
      </c>
      <c r="I365" s="36"/>
      <c r="J365" s="36" t="s">
        <v>18</v>
      </c>
      <c r="K365" s="36" t="s">
        <v>7857</v>
      </c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8551</v>
      </c>
      <c r="D366" s="9" t="s">
        <v>1251</v>
      </c>
      <c r="E366" s="9" t="s">
        <v>8321</v>
      </c>
      <c r="G366" s="36" t="s">
        <v>15</v>
      </c>
      <c r="H366" s="36" t="str">
        <f>IFERROR(VLOOKUP(Table2[[#This Row], [Ticket]],Okey!A:B,2,0),"")</f>
        <v/>
      </c>
      <c r="I366" s="36"/>
      <c r="J366" s="36" t="s">
        <v>18</v>
      </c>
      <c r="K366" s="36" t="s">
        <v>7857</v>
      </c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8551</v>
      </c>
      <c r="D367" s="9" t="s">
        <v>8322</v>
      </c>
      <c r="E367" s="9" t="s">
        <v>8323</v>
      </c>
      <c r="G367" s="36" t="s">
        <v>15</v>
      </c>
      <c r="H367" s="36" t="str">
        <f>IFERROR(VLOOKUP(Table2[[#This Row], [Ticket]],Okey!A:B,2,0),"")</f>
        <v/>
      </c>
      <c r="I367" s="36"/>
      <c r="J367" s="36" t="s">
        <v>18</v>
      </c>
      <c r="K367" s="36" t="s">
        <v>7857</v>
      </c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8551</v>
      </c>
      <c r="D368" s="9" t="s">
        <v>8324</v>
      </c>
      <c r="E368" s="9" t="s">
        <v>8325</v>
      </c>
      <c r="G368" s="36" t="s">
        <v>15</v>
      </c>
      <c r="H368" s="36" t="str">
        <f>IFERROR(VLOOKUP(Table2[[#This Row], [Ticket]],Okey!A:B,2,0),"")</f>
        <v/>
      </c>
      <c r="I368" s="36"/>
      <c r="J368" s="36" t="s">
        <v>18</v>
      </c>
      <c r="K368" s="36" t="s">
        <v>7857</v>
      </c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8551</v>
      </c>
      <c r="D369" s="9" t="s">
        <v>5776</v>
      </c>
      <c r="E369" s="9" t="s">
        <v>8326</v>
      </c>
      <c r="G369" s="36" t="s">
        <v>15</v>
      </c>
      <c r="H369" s="36" t="str">
        <f>IFERROR(VLOOKUP(Table2[[#This Row], [Ticket]],Okey!A:B,2,0),"")</f>
        <v/>
      </c>
      <c r="I369" s="36"/>
      <c r="J369" s="36" t="s">
        <v>18</v>
      </c>
      <c r="K369" s="36" t="s">
        <v>7857</v>
      </c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8551</v>
      </c>
      <c r="D370" s="9" t="s">
        <v>5524</v>
      </c>
      <c r="E370" s="9" t="s">
        <v>8327</v>
      </c>
      <c r="G370" s="36" t="s">
        <v>15</v>
      </c>
      <c r="H370" s="36" t="str">
        <f>IFERROR(VLOOKUP(Table2[[#This Row], [Ticket]],Okey!A:B,2,0),"")</f>
        <v/>
      </c>
      <c r="I370" s="36"/>
      <c r="J370" s="36" t="s">
        <v>18</v>
      </c>
      <c r="K370" s="36" t="s">
        <v>7857</v>
      </c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8551</v>
      </c>
      <c r="D371" s="9" t="s">
        <v>5522</v>
      </c>
      <c r="E371" s="9" t="s">
        <v>8328</v>
      </c>
      <c r="G371" s="36" t="s">
        <v>15</v>
      </c>
      <c r="H371" s="36" t="str">
        <f>IFERROR(VLOOKUP(Table2[[#This Row], [Ticket]],Okey!A:B,2,0),"")</f>
        <v/>
      </c>
      <c r="I371" s="36"/>
      <c r="J371" s="36" t="s">
        <v>18</v>
      </c>
      <c r="K371" s="36" t="s">
        <v>7857</v>
      </c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8551</v>
      </c>
      <c r="D372" s="9" t="s">
        <v>1374</v>
      </c>
      <c r="E372" s="9" t="s">
        <v>8329</v>
      </c>
      <c r="G372" s="36" t="s">
        <v>15</v>
      </c>
      <c r="H372" s="36" t="str">
        <f>IFERROR(VLOOKUP(Table2[[#This Row], [Ticket]],Okey!A:B,2,0),"")</f>
        <v/>
      </c>
      <c r="I372" s="36"/>
      <c r="J372" s="36" t="s">
        <v>18</v>
      </c>
      <c r="K372" s="36" t="s">
        <v>7857</v>
      </c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8551</v>
      </c>
      <c r="D373" s="9" t="s">
        <v>8330</v>
      </c>
      <c r="E373" s="9" t="s">
        <v>8331</v>
      </c>
      <c r="G373" s="36" t="s">
        <v>15</v>
      </c>
      <c r="H373" s="36" t="str">
        <f>IFERROR(VLOOKUP(Table2[[#This Row], [Ticket]],Okey!A:B,2,0),"")</f>
        <v/>
      </c>
      <c r="I373" s="36"/>
      <c r="J373" s="36" t="s">
        <v>18</v>
      </c>
      <c r="K373" s="36" t="s">
        <v>7857</v>
      </c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8551</v>
      </c>
      <c r="D374" s="9" t="s">
        <v>1372</v>
      </c>
      <c r="E374" s="9" t="s">
        <v>8332</v>
      </c>
      <c r="G374" s="36" t="s">
        <v>15</v>
      </c>
      <c r="H374" s="36" t="str">
        <f>IFERROR(VLOOKUP(Table2[[#This Row], [Ticket]],Okey!A:B,2,0),"")</f>
        <v/>
      </c>
      <c r="I374" s="36"/>
      <c r="J374" s="36" t="s">
        <v>18</v>
      </c>
      <c r="K374" s="36" t="s">
        <v>7857</v>
      </c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8551</v>
      </c>
      <c r="D375" s="9" t="s">
        <v>8333</v>
      </c>
      <c r="E375" s="9" t="s">
        <v>8334</v>
      </c>
      <c r="G375" s="36" t="s">
        <v>15</v>
      </c>
      <c r="H375" s="36" t="str">
        <f>IFERROR(VLOOKUP(Table2[[#This Row], [Ticket]],Okey!A:B,2,0),"")</f>
        <v/>
      </c>
      <c r="I375" s="36"/>
      <c r="J375" s="36" t="s">
        <v>18</v>
      </c>
      <c r="K375" s="36" t="s">
        <v>7857</v>
      </c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8551</v>
      </c>
      <c r="D376" s="9" t="s">
        <v>1433</v>
      </c>
      <c r="E376" s="9" t="s">
        <v>8335</v>
      </c>
      <c r="G376" s="36" t="s">
        <v>15</v>
      </c>
      <c r="H376" s="36" t="str">
        <f>IFERROR(VLOOKUP(Table2[[#This Row], [Ticket]],Okey!A:B,2,0),"")</f>
        <v/>
      </c>
      <c r="I376" s="36"/>
      <c r="J376" s="36" t="s">
        <v>18</v>
      </c>
      <c r="K376" s="36" t="s">
        <v>7857</v>
      </c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8551</v>
      </c>
      <c r="D377" s="9" t="s">
        <v>8336</v>
      </c>
      <c r="E377" s="9" t="s">
        <v>8337</v>
      </c>
      <c r="G377" s="36" t="s">
        <v>15</v>
      </c>
      <c r="H377" s="36" t="str">
        <f>IFERROR(VLOOKUP(Table2[[#This Row], [Ticket]],Okey!A:B,2,0),"")</f>
        <v/>
      </c>
      <c r="I377" s="36"/>
      <c r="J377" s="36" t="s">
        <v>18</v>
      </c>
      <c r="K377" s="36" t="s">
        <v>7857</v>
      </c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8551</v>
      </c>
      <c r="D378" s="9" t="s">
        <v>8338</v>
      </c>
      <c r="E378" s="9" t="s">
        <v>8339</v>
      </c>
      <c r="G378" s="36" t="s">
        <v>15</v>
      </c>
      <c r="H378" s="36" t="str">
        <f>IFERROR(VLOOKUP(Table2[[#This Row], [Ticket]],Okey!A:B,2,0),"")</f>
        <v/>
      </c>
      <c r="I378" s="36"/>
      <c r="J378" s="36" t="s">
        <v>18</v>
      </c>
      <c r="K378" s="36" t="s">
        <v>7857</v>
      </c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8551</v>
      </c>
      <c r="D379" s="9" t="s">
        <v>8340</v>
      </c>
      <c r="E379" s="9" t="s">
        <v>8341</v>
      </c>
      <c r="G379" s="36" t="s">
        <v>15</v>
      </c>
      <c r="H379" s="36" t="str">
        <f>IFERROR(VLOOKUP(Table2[[#This Row], [Ticket]],Okey!A:B,2,0),"")</f>
        <v/>
      </c>
      <c r="I379" s="36"/>
      <c r="J379" s="36" t="s">
        <v>18</v>
      </c>
      <c r="K379" s="36" t="s">
        <v>7857</v>
      </c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8551</v>
      </c>
      <c r="D380" s="9" t="s">
        <v>8342</v>
      </c>
      <c r="E380" s="9" t="s">
        <v>8343</v>
      </c>
      <c r="G380" s="36" t="s">
        <v>15</v>
      </c>
      <c r="H380" s="36" t="str">
        <f>IFERROR(VLOOKUP(Table2[[#This Row], [Ticket]],Okey!A:B,2,0),"")</f>
        <v/>
      </c>
      <c r="I380" s="36"/>
      <c r="J380" s="36" t="s">
        <v>18</v>
      </c>
      <c r="K380" s="36" t="s">
        <v>7857</v>
      </c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8551</v>
      </c>
      <c r="D381" s="9" t="s">
        <v>8344</v>
      </c>
      <c r="E381" s="9" t="s">
        <v>8345</v>
      </c>
      <c r="G381" s="36" t="s">
        <v>15</v>
      </c>
      <c r="H381" s="36" t="str">
        <f>IFERROR(VLOOKUP(Table2[[#This Row], [Ticket]],Okey!A:B,2,0),"")</f>
        <v/>
      </c>
      <c r="I381" s="36"/>
      <c r="J381" s="36" t="s">
        <v>18</v>
      </c>
      <c r="K381" s="36" t="s">
        <v>7857</v>
      </c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8551</v>
      </c>
      <c r="D382" s="9" t="s">
        <v>5537</v>
      </c>
      <c r="E382" s="9" t="s">
        <v>8346</v>
      </c>
      <c r="G382" s="36" t="s">
        <v>15</v>
      </c>
      <c r="H382" s="36" t="str">
        <f>IFERROR(VLOOKUP(Table2[[#This Row], [Ticket]],Okey!A:B,2,0),"")</f>
        <v/>
      </c>
      <c r="I382" s="36"/>
      <c r="J382" s="36" t="s">
        <v>18</v>
      </c>
      <c r="K382" s="36" t="s">
        <v>7857</v>
      </c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8551</v>
      </c>
      <c r="D383" s="9" t="s">
        <v>8347</v>
      </c>
      <c r="E383" s="9" t="s">
        <v>8348</v>
      </c>
      <c r="G383" s="36" t="s">
        <v>15</v>
      </c>
      <c r="H383" s="36" t="str">
        <f>IFERROR(VLOOKUP(Table2[[#This Row], [Ticket]],Okey!A:B,2,0),"")</f>
        <v/>
      </c>
      <c r="I383" s="36"/>
      <c r="J383" s="36" t="s">
        <v>18</v>
      </c>
      <c r="K383" s="36" t="s">
        <v>7857</v>
      </c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8551</v>
      </c>
      <c r="D384" s="9" t="s">
        <v>8349</v>
      </c>
      <c r="E384" s="9" t="s">
        <v>8350</v>
      </c>
      <c r="G384" s="36" t="s">
        <v>15</v>
      </c>
      <c r="H384" s="36" t="str">
        <f>IFERROR(VLOOKUP(Table2[[#This Row], [Ticket]],Okey!A:B,2,0),"")</f>
        <v/>
      </c>
      <c r="I384" s="36"/>
      <c r="J384" s="36" t="s">
        <v>18</v>
      </c>
      <c r="K384" s="36" t="s">
        <v>7857</v>
      </c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8551</v>
      </c>
      <c r="D385" s="9" t="s">
        <v>1842</v>
      </c>
      <c r="E385" s="9" t="s">
        <v>8351</v>
      </c>
      <c r="G385" s="36" t="s">
        <v>15</v>
      </c>
      <c r="H385" s="36" t="str">
        <f>IFERROR(VLOOKUP(Table2[[#This Row], [Ticket]],Okey!A:B,2,0),"")</f>
        <v/>
      </c>
      <c r="I385" s="36"/>
      <c r="J385" s="36" t="s">
        <v>18</v>
      </c>
      <c r="K385" s="36" t="s">
        <v>7857</v>
      </c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8551</v>
      </c>
      <c r="D386" s="9" t="s">
        <v>8352</v>
      </c>
      <c r="E386" s="9" t="s">
        <v>8353</v>
      </c>
      <c r="G386" s="36" t="s">
        <v>15</v>
      </c>
      <c r="H386" s="36" t="str">
        <f>IFERROR(VLOOKUP(Table2[[#This Row], [Ticket]],Okey!A:B,2,0),"")</f>
        <v/>
      </c>
      <c r="I386" s="36"/>
      <c r="J386" s="36" t="s">
        <v>18</v>
      </c>
      <c r="K386" s="36" t="s">
        <v>7857</v>
      </c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8551</v>
      </c>
      <c r="D387" s="9" t="s">
        <v>8354</v>
      </c>
      <c r="E387" s="9" t="s">
        <v>8355</v>
      </c>
      <c r="G387" s="36" t="s">
        <v>15</v>
      </c>
      <c r="H387" s="36" t="str">
        <f>IFERROR(VLOOKUP(Table2[[#This Row], [Ticket]],Okey!A:B,2,0),"")</f>
        <v/>
      </c>
      <c r="I387" s="36"/>
      <c r="J387" s="36" t="s">
        <v>18</v>
      </c>
      <c r="K387" s="36" t="s">
        <v>7857</v>
      </c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8551</v>
      </c>
      <c r="D388" s="9" t="s">
        <v>8356</v>
      </c>
      <c r="E388" s="9" t="s">
        <v>8357</v>
      </c>
      <c r="G388" s="36" t="s">
        <v>15</v>
      </c>
      <c r="H388" s="36" t="str">
        <f>IFERROR(VLOOKUP(Table2[[#This Row], [Ticket]],Okey!A:B,2,0),"")</f>
        <v/>
      </c>
      <c r="I388" s="36"/>
      <c r="J388" s="36" t="s">
        <v>18</v>
      </c>
      <c r="K388" s="36" t="s">
        <v>7857</v>
      </c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8551</v>
      </c>
      <c r="D389" s="9" t="s">
        <v>8358</v>
      </c>
      <c r="E389" s="9" t="s">
        <v>8359</v>
      </c>
      <c r="G389" s="36" t="s">
        <v>15</v>
      </c>
      <c r="H389" s="36" t="str">
        <f>IFERROR(VLOOKUP(Table2[[#This Row], [Ticket]],Okey!A:B,2,0),"")</f>
        <v/>
      </c>
      <c r="I389" s="36"/>
      <c r="J389" s="36" t="s">
        <v>18</v>
      </c>
      <c r="K389" s="36" t="s">
        <v>7857</v>
      </c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8551</v>
      </c>
      <c r="D390" s="9" t="s">
        <v>1431</v>
      </c>
      <c r="E390" s="9" t="s">
        <v>8360</v>
      </c>
      <c r="G390" s="36" t="s">
        <v>15</v>
      </c>
      <c r="H390" s="36" t="str">
        <f>IFERROR(VLOOKUP(Table2[[#This Row], [Ticket]],Okey!A:B,2,0),"")</f>
        <v/>
      </c>
      <c r="I390" s="36"/>
      <c r="J390" s="36" t="s">
        <v>18</v>
      </c>
      <c r="K390" s="36" t="s">
        <v>7857</v>
      </c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8551</v>
      </c>
      <c r="D391" s="9" t="s">
        <v>8361</v>
      </c>
      <c r="E391" s="9" t="s">
        <v>8362</v>
      </c>
      <c r="G391" s="36" t="s">
        <v>15</v>
      </c>
      <c r="H391" s="36" t="str">
        <f>IFERROR(VLOOKUP(Table2[[#This Row], [Ticket]],Okey!A:B,2,0),"")</f>
        <v/>
      </c>
      <c r="I391" s="36"/>
      <c r="J391" s="36" t="s">
        <v>18</v>
      </c>
      <c r="K391" s="36" t="s">
        <v>7857</v>
      </c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8551</v>
      </c>
      <c r="D392" s="9" t="s">
        <v>8363</v>
      </c>
      <c r="E392" s="9" t="s">
        <v>8364</v>
      </c>
      <c r="G392" s="36" t="s">
        <v>15</v>
      </c>
      <c r="H392" s="36" t="str">
        <f>IFERROR(VLOOKUP(Table2[[#This Row], [Ticket]],Okey!A:B,2,0),"")</f>
        <v/>
      </c>
      <c r="I392" s="36"/>
      <c r="J392" s="36" t="s">
        <v>18</v>
      </c>
      <c r="K392" s="36" t="s">
        <v>7857</v>
      </c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8551</v>
      </c>
      <c r="D393" s="9" t="s">
        <v>1395</v>
      </c>
      <c r="E393" s="9" t="s">
        <v>8365</v>
      </c>
      <c r="G393" s="36" t="s">
        <v>15</v>
      </c>
      <c r="H393" s="36" t="str">
        <f>IFERROR(VLOOKUP(Table2[[#This Row], [Ticket]],Okey!A:B,2,0),"")</f>
        <v/>
      </c>
      <c r="I393" s="36"/>
      <c r="J393" s="36" t="s">
        <v>18</v>
      </c>
      <c r="K393" s="36" t="s">
        <v>7857</v>
      </c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8551</v>
      </c>
      <c r="D394" s="9" t="s">
        <v>1844</v>
      </c>
      <c r="E394" s="9" t="s">
        <v>8366</v>
      </c>
      <c r="G394" s="36" t="s">
        <v>15</v>
      </c>
      <c r="H394" s="36" t="str">
        <f>IFERROR(VLOOKUP(Table2[[#This Row], [Ticket]],Okey!A:B,2,0),"")</f>
        <v/>
      </c>
      <c r="I394" s="36"/>
      <c r="J394" s="36" t="s">
        <v>18</v>
      </c>
      <c r="K394" s="36" t="s">
        <v>7857</v>
      </c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8551</v>
      </c>
      <c r="D395" s="9" t="s">
        <v>1846</v>
      </c>
      <c r="E395" s="9" t="s">
        <v>8367</v>
      </c>
      <c r="G395" s="36" t="s">
        <v>15</v>
      </c>
      <c r="H395" s="36" t="str">
        <f>IFERROR(VLOOKUP(Table2[[#This Row], [Ticket]],Okey!A:B,2,0),"")</f>
        <v/>
      </c>
      <c r="I395" s="36"/>
      <c r="J395" s="36" t="s">
        <v>18</v>
      </c>
      <c r="K395" s="36" t="s">
        <v>7857</v>
      </c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8551</v>
      </c>
      <c r="D396" s="9" t="s">
        <v>1432</v>
      </c>
      <c r="E396" s="9" t="s">
        <v>8368</v>
      </c>
      <c r="G396" s="36" t="s">
        <v>15</v>
      </c>
      <c r="H396" s="36" t="str">
        <f>IFERROR(VLOOKUP(Table2[[#This Row], [Ticket]],Okey!A:B,2,0),"")</f>
        <v/>
      </c>
      <c r="I396" s="36"/>
      <c r="J396" s="36" t="s">
        <v>18</v>
      </c>
      <c r="K396" s="36" t="s">
        <v>7857</v>
      </c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8551</v>
      </c>
      <c r="D397" s="9" t="s">
        <v>5788</v>
      </c>
      <c r="E397" s="9" t="s">
        <v>8369</v>
      </c>
      <c r="G397" s="36" t="s">
        <v>15</v>
      </c>
      <c r="H397" s="36" t="str">
        <f>IFERROR(VLOOKUP(Table2[[#This Row], [Ticket]],Okey!A:B,2,0),"")</f>
        <v/>
      </c>
      <c r="I397" s="36"/>
      <c r="J397" s="36" t="s">
        <v>18</v>
      </c>
      <c r="K397" s="36" t="s">
        <v>7857</v>
      </c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8551</v>
      </c>
      <c r="D398" s="9" t="s">
        <v>8370</v>
      </c>
      <c r="E398" s="9" t="s">
        <v>8371</v>
      </c>
      <c r="G398" s="36" t="s">
        <v>15</v>
      </c>
      <c r="H398" s="36" t="str">
        <f>IFERROR(VLOOKUP(Table2[[#This Row], [Ticket]],Okey!A:B,2,0),"")</f>
        <v/>
      </c>
      <c r="I398" s="36"/>
      <c r="J398" s="36" t="s">
        <v>18</v>
      </c>
      <c r="K398" s="36" t="s">
        <v>7857</v>
      </c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8551</v>
      </c>
      <c r="D399" s="9" t="s">
        <v>5787</v>
      </c>
      <c r="E399" s="9" t="s">
        <v>8372</v>
      </c>
      <c r="G399" s="36" t="s">
        <v>15</v>
      </c>
      <c r="H399" s="36" t="str">
        <f>IFERROR(VLOOKUP(Table2[[#This Row], [Ticket]],Okey!A:B,2,0),"")</f>
        <v/>
      </c>
      <c r="I399" s="36"/>
      <c r="J399" s="36" t="s">
        <v>18</v>
      </c>
      <c r="K399" s="36" t="s">
        <v>7857</v>
      </c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8551</v>
      </c>
      <c r="D400" s="9" t="s">
        <v>8373</v>
      </c>
      <c r="E400" s="9" t="s">
        <v>8374</v>
      </c>
      <c r="G400" s="36" t="s">
        <v>15</v>
      </c>
      <c r="H400" s="36" t="str">
        <f>IFERROR(VLOOKUP(Table2[[#This Row], [Ticket]],Okey!A:B,2,0),"")</f>
        <v/>
      </c>
      <c r="I400" s="36"/>
      <c r="J400" s="36" t="s">
        <v>18</v>
      </c>
      <c r="K400" s="36" t="s">
        <v>7857</v>
      </c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8551</v>
      </c>
      <c r="D401" s="9" t="s">
        <v>8375</v>
      </c>
      <c r="E401" s="9" t="s">
        <v>8376</v>
      </c>
      <c r="G401" s="36" t="s">
        <v>15</v>
      </c>
      <c r="H401" s="36" t="str">
        <f>IFERROR(VLOOKUP(Table2[[#This Row], [Ticket]],Okey!A:B,2,0),"")</f>
        <v/>
      </c>
      <c r="I401" s="36"/>
      <c r="J401" s="36" t="s">
        <v>18</v>
      </c>
      <c r="K401" s="36" t="s">
        <v>7857</v>
      </c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8551</v>
      </c>
      <c r="D402" s="9" t="s">
        <v>8377</v>
      </c>
      <c r="E402" s="9" t="s">
        <v>8378</v>
      </c>
      <c r="G402" s="36" t="s">
        <v>15</v>
      </c>
      <c r="H402" s="36" t="str">
        <f>IFERROR(VLOOKUP(Table2[[#This Row], [Ticket]],Okey!A:B,2,0),"")</f>
        <v/>
      </c>
      <c r="I402" s="36"/>
      <c r="J402" s="36" t="s">
        <v>18</v>
      </c>
      <c r="K402" s="36" t="s">
        <v>7857</v>
      </c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8551</v>
      </c>
      <c r="D403" s="9" t="s">
        <v>8379</v>
      </c>
      <c r="E403" s="9" t="s">
        <v>8380</v>
      </c>
      <c r="G403" s="36" t="s">
        <v>15</v>
      </c>
      <c r="H403" s="36" t="str">
        <f>IFERROR(VLOOKUP(Table2[[#This Row], [Ticket]],Okey!A:B,2,0),"")</f>
        <v/>
      </c>
      <c r="I403" s="36"/>
      <c r="J403" s="36" t="s">
        <v>18</v>
      </c>
      <c r="K403" s="36" t="s">
        <v>7857</v>
      </c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8551</v>
      </c>
      <c r="D404" s="9" t="s">
        <v>8381</v>
      </c>
      <c r="E404" s="9" t="s">
        <v>8382</v>
      </c>
      <c r="G404" s="36" t="s">
        <v>15</v>
      </c>
      <c r="H404" s="36" t="str">
        <f>IFERROR(VLOOKUP(Table2[[#This Row], [Ticket]],Okey!A:B,2,0),"")</f>
        <v/>
      </c>
      <c r="I404" s="36"/>
      <c r="J404" s="36" t="s">
        <v>18</v>
      </c>
      <c r="K404" s="36" t="s">
        <v>7857</v>
      </c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8551</v>
      </c>
      <c r="D405" s="9" t="s">
        <v>8383</v>
      </c>
      <c r="E405" s="9" t="s">
        <v>8384</v>
      </c>
      <c r="G405" s="36" t="s">
        <v>15</v>
      </c>
      <c r="H405" s="36" t="str">
        <f>IFERROR(VLOOKUP(Table2[[#This Row], [Ticket]],Okey!A:B,2,0),"")</f>
        <v/>
      </c>
      <c r="I405" s="36"/>
      <c r="J405" s="36" t="s">
        <v>18</v>
      </c>
      <c r="K405" s="36" t="s">
        <v>7857</v>
      </c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8551</v>
      </c>
      <c r="D406" s="9" t="s">
        <v>8385</v>
      </c>
      <c r="E406" s="9" t="s">
        <v>8386</v>
      </c>
      <c r="G406" s="36" t="s">
        <v>15</v>
      </c>
      <c r="H406" s="36" t="str">
        <f>IFERROR(VLOOKUP(Table2[[#This Row], [Ticket]],Okey!A:B,2,0),"")</f>
        <v/>
      </c>
      <c r="I406" s="36"/>
      <c r="J406" s="36" t="s">
        <v>18</v>
      </c>
      <c r="K406" s="36" t="s">
        <v>7857</v>
      </c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8551</v>
      </c>
      <c r="D407" s="9" t="s">
        <v>8387</v>
      </c>
      <c r="E407" s="9" t="s">
        <v>8388</v>
      </c>
      <c r="G407" s="36" t="s">
        <v>15</v>
      </c>
      <c r="H407" s="36" t="str">
        <f>IFERROR(VLOOKUP(Table2[[#This Row], [Ticket]],Okey!A:B,2,0),"")</f>
        <v/>
      </c>
      <c r="I407" s="36"/>
      <c r="J407" s="36" t="s">
        <v>18</v>
      </c>
      <c r="K407" s="36" t="s">
        <v>7857</v>
      </c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8551</v>
      </c>
      <c r="D408" s="9" t="s">
        <v>8265</v>
      </c>
      <c r="E408" s="9" t="s">
        <v>8389</v>
      </c>
      <c r="G408" s="36" t="s">
        <v>15</v>
      </c>
      <c r="H408" s="36" t="str">
        <f>IFERROR(VLOOKUP(Table2[[#This Row], [Ticket]],Okey!A:B,2,0),"")</f>
        <v/>
      </c>
      <c r="I408" s="36"/>
      <c r="J408" s="36" t="s">
        <v>18</v>
      </c>
      <c r="K408" s="36" t="s">
        <v>7857</v>
      </c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8551</v>
      </c>
      <c r="D409" s="9" t="s">
        <v>8390</v>
      </c>
      <c r="E409" s="9" t="s">
        <v>8391</v>
      </c>
      <c r="G409" s="36" t="s">
        <v>15</v>
      </c>
      <c r="H409" s="36" t="str">
        <f>IFERROR(VLOOKUP(Table2[[#This Row], [Ticket]],Okey!A:B,2,0),"")</f>
        <v/>
      </c>
      <c r="I409" s="36"/>
      <c r="J409" s="36" t="s">
        <v>18</v>
      </c>
      <c r="K409" s="36" t="s">
        <v>7857</v>
      </c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8551</v>
      </c>
      <c r="D410" s="9" t="s">
        <v>8392</v>
      </c>
      <c r="E410" s="9" t="s">
        <v>8393</v>
      </c>
      <c r="G410" s="36" t="s">
        <v>15</v>
      </c>
      <c r="H410" s="36" t="str">
        <f>IFERROR(VLOOKUP(Table2[[#This Row], [Ticket]],Okey!A:B,2,0),"")</f>
        <v/>
      </c>
      <c r="I410" s="36"/>
      <c r="J410" s="36" t="s">
        <v>18</v>
      </c>
      <c r="K410" s="36" t="s">
        <v>7857</v>
      </c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8551</v>
      </c>
      <c r="D411" s="9" t="s">
        <v>8273</v>
      </c>
      <c r="E411" s="9" t="s">
        <v>8394</v>
      </c>
      <c r="G411" s="36" t="s">
        <v>15</v>
      </c>
      <c r="H411" s="36" t="str">
        <f>IFERROR(VLOOKUP(Table2[[#This Row], [Ticket]],Okey!A:B,2,0),"")</f>
        <v/>
      </c>
      <c r="I411" s="36"/>
      <c r="J411" s="36" t="s">
        <v>18</v>
      </c>
      <c r="K411" s="36" t="s">
        <v>7857</v>
      </c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8551</v>
      </c>
      <c r="D412" s="9" t="s">
        <v>8395</v>
      </c>
      <c r="E412" s="9" t="s">
        <v>8396</v>
      </c>
      <c r="G412" s="36" t="s">
        <v>15</v>
      </c>
      <c r="H412" s="36" t="str">
        <f>IFERROR(VLOOKUP(Table2[[#This Row], [Ticket]],Okey!A:B,2,0),"")</f>
        <v/>
      </c>
      <c r="I412" s="36"/>
      <c r="J412" s="36" t="s">
        <v>18</v>
      </c>
      <c r="K412" s="36" t="s">
        <v>7857</v>
      </c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8551</v>
      </c>
      <c r="D413" s="9" t="s">
        <v>3506</v>
      </c>
      <c r="E413" s="9" t="s">
        <v>8371</v>
      </c>
      <c r="G413" s="36" t="s">
        <v>15</v>
      </c>
      <c r="H413" s="36" t="str">
        <f>IFERROR(VLOOKUP(Table2[[#This Row], [Ticket]],Okey!A:B,2,0),"")</f>
        <v/>
      </c>
      <c r="I413" s="36"/>
      <c r="J413" s="36" t="s">
        <v>18</v>
      </c>
      <c r="K413" s="36" t="s">
        <v>7857</v>
      </c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8551</v>
      </c>
      <c r="D414" s="9" t="s">
        <v>3952</v>
      </c>
      <c r="E414" s="9" t="s">
        <v>8397</v>
      </c>
      <c r="G414" s="36" t="s">
        <v>15</v>
      </c>
      <c r="H414" s="36" t="str">
        <f>IFERROR(VLOOKUP(Table2[[#This Row], [Ticket]],Okey!A:B,2,0),"")</f>
        <v/>
      </c>
      <c r="I414" s="36"/>
      <c r="J414" s="36" t="s">
        <v>18</v>
      </c>
      <c r="K414" s="36" t="s">
        <v>7857</v>
      </c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8551</v>
      </c>
      <c r="D415" s="9" t="s">
        <v>3514</v>
      </c>
      <c r="E415" s="9" t="s">
        <v>8398</v>
      </c>
      <c r="G415" s="36" t="s">
        <v>15</v>
      </c>
      <c r="H415" s="36" t="str">
        <f>IFERROR(VLOOKUP(Table2[[#This Row], [Ticket]],Okey!A:B,2,0),"")</f>
        <v/>
      </c>
      <c r="I415" s="36"/>
      <c r="J415" s="36" t="s">
        <v>18</v>
      </c>
      <c r="K415" s="36" t="s">
        <v>7857</v>
      </c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8551</v>
      </c>
      <c r="D416" s="9" t="s">
        <v>3960</v>
      </c>
      <c r="E416" s="9" t="s">
        <v>8399</v>
      </c>
      <c r="G416" s="36" t="s">
        <v>15</v>
      </c>
      <c r="H416" s="36" t="str">
        <f>IFERROR(VLOOKUP(Table2[[#This Row], [Ticket]],Okey!A:B,2,0),"")</f>
        <v/>
      </c>
      <c r="I416" s="36"/>
      <c r="J416" s="36" t="s">
        <v>18</v>
      </c>
      <c r="K416" s="36" t="s">
        <v>7857</v>
      </c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8551</v>
      </c>
      <c r="D417" s="9" t="s">
        <v>5581</v>
      </c>
      <c r="E417" s="9" t="s">
        <v>8400</v>
      </c>
      <c r="G417" s="36" t="s">
        <v>15</v>
      </c>
      <c r="H417" s="36" t="str">
        <f>IFERROR(VLOOKUP(Table2[[#This Row], [Ticket]],Okey!A:B,2,0),"")</f>
        <v/>
      </c>
      <c r="I417" s="36"/>
      <c r="J417" s="36" t="s">
        <v>18</v>
      </c>
      <c r="K417" s="36" t="s">
        <v>7857</v>
      </c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8551</v>
      </c>
      <c r="D418" s="9" t="s">
        <v>8401</v>
      </c>
      <c r="E418" s="9" t="s">
        <v>8402</v>
      </c>
      <c r="G418" s="9" t="s">
        <v>15</v>
      </c>
      <c r="H418" s="36" t="str">
        <f>IFERROR(VLOOKUP(Table2[[#This Row], [Ticket]],Okey!A:B,2,0),"")</f>
        <v/>
      </c>
      <c r="I418" s="36"/>
      <c r="J418" s="36" t="s">
        <v>18</v>
      </c>
      <c r="K418" s="36" t="s">
        <v>7857</v>
      </c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8551</v>
      </c>
      <c r="D419" s="9" t="s">
        <v>8403</v>
      </c>
      <c r="E419" s="9" t="s">
        <v>8416</v>
      </c>
      <c r="F419" s="9" t="s">
        <v>6531</v>
      </c>
      <c r="G419" s="36" t="s">
        <v>16</v>
      </c>
      <c r="H419" s="36" t="str">
        <f>IFERROR(VLOOKUP(Table2[[#This Row], [Ticket]],Okey!A:B,2,0),"")</f>
        <v/>
      </c>
      <c r="I419" s="36"/>
      <c r="J419" s="36" t="s">
        <v>18</v>
      </c>
      <c r="K419" s="36" t="s">
        <v>8706</v>
      </c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8551</v>
      </c>
      <c r="D420" s="9" t="s">
        <v>6553</v>
      </c>
      <c r="E420" s="9" t="s">
        <v>8204</v>
      </c>
      <c r="F420" s="36" t="s">
        <v>8601</v>
      </c>
      <c r="G420" s="36" t="s">
        <v>16</v>
      </c>
      <c r="H420" s="36" t="str">
        <f>IFERROR(VLOOKUP(Table2[[#This Row], [Ticket]],Okey!A:B,2,0),"")</f>
        <v/>
      </c>
      <c r="I420" s="36"/>
      <c r="J420" s="36" t="s">
        <v>18</v>
      </c>
      <c r="K420" s="36" t="s">
        <v>8706</v>
      </c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8551</v>
      </c>
      <c r="D421" s="9" t="s">
        <v>5585</v>
      </c>
      <c r="E421" s="9" t="s">
        <v>8417</v>
      </c>
      <c r="F421" s="36" t="s">
        <v>8601</v>
      </c>
      <c r="G421" s="36" t="s">
        <v>16</v>
      </c>
      <c r="H421" s="36" t="str">
        <f>IFERROR(VLOOKUP(Table2[[#This Row], [Ticket]],Okey!A:B,2,0),"")</f>
        <v/>
      </c>
      <c r="I421" s="36"/>
      <c r="J421" s="36" t="s">
        <v>18</v>
      </c>
      <c r="K421" s="36" t="s">
        <v>8706</v>
      </c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8551</v>
      </c>
      <c r="D422" s="9" t="s">
        <v>8404</v>
      </c>
      <c r="E422" s="9" t="s">
        <v>8418</v>
      </c>
      <c r="F422" s="36" t="s">
        <v>8611</v>
      </c>
      <c r="G422" s="36" t="s">
        <v>16</v>
      </c>
      <c r="H422" s="36" t="str">
        <f>IFERROR(VLOOKUP(Table2[[#This Row], [Ticket]],Okey!A:B,2,0),"")</f>
        <v/>
      </c>
      <c r="I422" s="36"/>
      <c r="J422" s="36" t="s">
        <v>18</v>
      </c>
      <c r="K422" s="36" t="s">
        <v>8706</v>
      </c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8551</v>
      </c>
      <c r="D423" s="9" t="s">
        <v>6018</v>
      </c>
      <c r="E423" s="9" t="s">
        <v>8419</v>
      </c>
      <c r="F423" s="9" t="s">
        <v>5550</v>
      </c>
      <c r="G423" s="36" t="s">
        <v>16</v>
      </c>
      <c r="H423" s="36" t="str">
        <f>IFERROR(VLOOKUP(Table2[[#This Row], [Ticket]],Okey!A:B,2,0),"")</f>
        <v/>
      </c>
      <c r="I423" s="36"/>
      <c r="J423" s="36" t="s">
        <v>18</v>
      </c>
      <c r="K423" s="36" t="s">
        <v>8706</v>
      </c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8551</v>
      </c>
      <c r="D424" s="9" t="s">
        <v>8405</v>
      </c>
      <c r="E424" s="9" t="s">
        <v>8420</v>
      </c>
      <c r="F424" s="9" t="s">
        <v>5550</v>
      </c>
      <c r="G424" s="36" t="s">
        <v>16</v>
      </c>
      <c r="H424" s="36" t="str">
        <f>IFERROR(VLOOKUP(Table2[[#This Row], [Ticket]],Okey!A:B,2,0),"")</f>
        <v/>
      </c>
      <c r="I424" s="36"/>
      <c r="J424" s="36" t="s">
        <v>18</v>
      </c>
      <c r="K424" s="36" t="s">
        <v>8706</v>
      </c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8551</v>
      </c>
      <c r="D425" s="9" t="s">
        <v>4825</v>
      </c>
      <c r="E425" s="9" t="s">
        <v>8421</v>
      </c>
      <c r="F425" s="9" t="s">
        <v>5776</v>
      </c>
      <c r="G425" s="36" t="s">
        <v>16</v>
      </c>
      <c r="H425" s="36" t="str">
        <f>IFERROR(VLOOKUP(Table2[[#This Row], [Ticket]],Okey!A:B,2,0),"")</f>
        <v/>
      </c>
      <c r="I425" s="36"/>
      <c r="J425" s="36" t="s">
        <v>18</v>
      </c>
      <c r="K425" s="36" t="s">
        <v>8706</v>
      </c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8551</v>
      </c>
      <c r="D426" s="9" t="s">
        <v>8406</v>
      </c>
      <c r="E426" s="9" t="s">
        <v>8422</v>
      </c>
      <c r="F426" s="9" t="s">
        <v>5776</v>
      </c>
      <c r="G426" s="36" t="s">
        <v>16</v>
      </c>
      <c r="H426" s="36" t="str">
        <f>IFERROR(VLOOKUP(Table2[[#This Row], [Ticket]],Okey!A:B,2,0),"")</f>
        <v/>
      </c>
      <c r="I426" s="36"/>
      <c r="J426" s="36" t="s">
        <v>18</v>
      </c>
      <c r="K426" s="36" t="s">
        <v>8706</v>
      </c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8551</v>
      </c>
      <c r="D427" s="9" t="s">
        <v>8407</v>
      </c>
      <c r="E427" s="9" t="s">
        <v>8423</v>
      </c>
      <c r="F427" s="9" t="s">
        <v>8415</v>
      </c>
      <c r="G427" s="36" t="s">
        <v>16</v>
      </c>
      <c r="H427" s="36" t="str">
        <f>IFERROR(VLOOKUP(Table2[[#This Row], [Ticket]],Okey!A:B,2,0),"")</f>
        <v/>
      </c>
      <c r="I427" s="36"/>
      <c r="J427" s="36" t="s">
        <v>18</v>
      </c>
      <c r="K427" s="36" t="s">
        <v>8706</v>
      </c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8551</v>
      </c>
      <c r="D428" s="9" t="s">
        <v>8408</v>
      </c>
      <c r="E428" s="9" t="s">
        <v>8198</v>
      </c>
      <c r="F428" s="9" t="s">
        <v>6531</v>
      </c>
      <c r="G428" s="36" t="s">
        <v>16</v>
      </c>
      <c r="H428" s="36" t="str">
        <f>IFERROR(VLOOKUP(Table2[[#This Row], [Ticket]],Okey!A:B,2,0),"")</f>
        <v/>
      </c>
      <c r="I428" s="36"/>
      <c r="J428" s="36" t="s">
        <v>18</v>
      </c>
      <c r="K428" s="36" t="s">
        <v>8706</v>
      </c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8551</v>
      </c>
      <c r="D429" s="9" t="s">
        <v>8409</v>
      </c>
      <c r="E429" s="9" t="s">
        <v>8424</v>
      </c>
      <c r="F429" s="9" t="s">
        <v>5788</v>
      </c>
      <c r="G429" s="36" t="s">
        <v>16</v>
      </c>
      <c r="H429" s="36" t="str">
        <f>IFERROR(VLOOKUP(Table2[[#This Row], [Ticket]],Okey!A:B,2,0),"")</f>
        <v/>
      </c>
      <c r="I429" s="36"/>
      <c r="J429" s="36" t="s">
        <v>18</v>
      </c>
      <c r="K429" s="36" t="s">
        <v>8706</v>
      </c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8551</v>
      </c>
      <c r="D430" s="9" t="s">
        <v>8410</v>
      </c>
      <c r="E430" s="9" t="s">
        <v>8166</v>
      </c>
      <c r="F430" s="9" t="s">
        <v>5788</v>
      </c>
      <c r="G430" s="36" t="s">
        <v>16</v>
      </c>
      <c r="H430" s="36" t="str">
        <f>IFERROR(VLOOKUP(Table2[[#This Row], [Ticket]],Okey!A:B,2,0),"")</f>
        <v/>
      </c>
      <c r="I430" s="36"/>
      <c r="J430" s="36" t="s">
        <v>18</v>
      </c>
      <c r="K430" s="36" t="s">
        <v>8706</v>
      </c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8551</v>
      </c>
      <c r="D431" s="9" t="s">
        <v>8411</v>
      </c>
      <c r="E431" s="9" t="s">
        <v>8425</v>
      </c>
      <c r="F431" s="36" t="s">
        <v>8656</v>
      </c>
      <c r="G431" s="36" t="s">
        <v>16</v>
      </c>
      <c r="H431" s="36" t="str">
        <f>IFERROR(VLOOKUP(Table2[[#This Row], [Ticket]],Okey!A:B,2,0),"")</f>
        <v/>
      </c>
      <c r="I431" s="36"/>
      <c r="J431" s="36" t="s">
        <v>18</v>
      </c>
      <c r="K431" s="36" t="s">
        <v>8706</v>
      </c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8551</v>
      </c>
      <c r="D432" s="9" t="s">
        <v>8412</v>
      </c>
      <c r="E432" s="9" t="s">
        <v>8426</v>
      </c>
      <c r="F432" s="36" t="s">
        <v>8673</v>
      </c>
      <c r="G432" s="36" t="s">
        <v>16</v>
      </c>
      <c r="H432" s="36" t="str">
        <f>IFERROR(VLOOKUP(Table2[[#This Row], [Ticket]],Okey!A:B,2,0),"")</f>
        <v/>
      </c>
      <c r="I432" s="36"/>
      <c r="J432" s="36" t="s">
        <v>18</v>
      </c>
      <c r="K432" s="36" t="s">
        <v>8706</v>
      </c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8551</v>
      </c>
      <c r="D433" s="9" t="s">
        <v>3517</v>
      </c>
      <c r="E433" s="9" t="s">
        <v>8255</v>
      </c>
      <c r="F433" s="9" t="s">
        <v>4046</v>
      </c>
      <c r="G433" s="36" t="s">
        <v>16</v>
      </c>
      <c r="H433" s="36" t="str">
        <f>IFERROR(VLOOKUP(Table2[[#This Row], [Ticket]],Okey!A:B,2,0),"")</f>
        <v/>
      </c>
      <c r="I433" s="36"/>
      <c r="J433" s="36" t="s">
        <v>18</v>
      </c>
      <c r="K433" s="36" t="s">
        <v>8706</v>
      </c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8551</v>
      </c>
      <c r="D434" s="9" t="s">
        <v>8413</v>
      </c>
      <c r="E434" s="9" t="s">
        <v>8427</v>
      </c>
      <c r="F434" s="9" t="s">
        <v>3971</v>
      </c>
      <c r="G434" s="36" t="s">
        <v>16</v>
      </c>
      <c r="H434" s="36" t="str">
        <f>IFERROR(VLOOKUP(Table2[[#This Row], [Ticket]],Okey!A:B,2,0),"")</f>
        <v/>
      </c>
      <c r="I434" s="36"/>
      <c r="J434" s="36" t="s">
        <v>18</v>
      </c>
      <c r="K434" s="36" t="s">
        <v>8706</v>
      </c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8551</v>
      </c>
      <c r="D435" s="9" t="s">
        <v>3518</v>
      </c>
      <c r="E435" s="9" t="s">
        <v>8428</v>
      </c>
      <c r="F435" s="9" t="s">
        <v>3514</v>
      </c>
      <c r="G435" s="36" t="s">
        <v>16</v>
      </c>
      <c r="H435" s="36" t="str">
        <f>IFERROR(VLOOKUP(Table2[[#This Row], [Ticket]],Okey!A:B,2,0),"")</f>
        <v/>
      </c>
      <c r="I435" s="36"/>
      <c r="J435" s="36" t="s">
        <v>18</v>
      </c>
      <c r="K435" s="36" t="s">
        <v>8706</v>
      </c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8551</v>
      </c>
      <c r="D436" s="9" t="s">
        <v>3524</v>
      </c>
      <c r="E436" s="9" t="s">
        <v>8429</v>
      </c>
      <c r="F436" s="9" t="s">
        <v>3514</v>
      </c>
      <c r="G436" s="36" t="s">
        <v>16</v>
      </c>
      <c r="H436" s="36" t="str">
        <f>IFERROR(VLOOKUP(Table2[[#This Row], [Ticket]],Okey!A:B,2,0),"")</f>
        <v/>
      </c>
      <c r="I436" s="36"/>
      <c r="J436" s="36" t="s">
        <v>18</v>
      </c>
      <c r="K436" s="36" t="s">
        <v>8706</v>
      </c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8551</v>
      </c>
      <c r="D437" s="9" t="s">
        <v>3527</v>
      </c>
      <c r="E437" s="9" t="s">
        <v>8430</v>
      </c>
      <c r="F437" s="9" t="s">
        <v>3514</v>
      </c>
      <c r="G437" s="36" t="s">
        <v>16</v>
      </c>
      <c r="H437" s="36" t="str">
        <f>IFERROR(VLOOKUP(Table2[[#This Row], [Ticket]],Okey!A:B,2,0),"")</f>
        <v/>
      </c>
      <c r="I437" s="36"/>
      <c r="J437" s="36" t="s">
        <v>18</v>
      </c>
      <c r="K437" s="36" t="s">
        <v>8706</v>
      </c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8551</v>
      </c>
      <c r="D438" s="9" t="s">
        <v>3531</v>
      </c>
      <c r="E438" s="9" t="s">
        <v>8431</v>
      </c>
      <c r="F438" s="9" t="s">
        <v>3514</v>
      </c>
      <c r="G438" s="36" t="s">
        <v>16</v>
      </c>
      <c r="H438" s="36" t="str">
        <f>IFERROR(VLOOKUP(Table2[[#This Row], [Ticket]],Okey!A:B,2,0),"")</f>
        <v/>
      </c>
      <c r="I438" s="36"/>
      <c r="J438" s="36" t="s">
        <v>18</v>
      </c>
      <c r="K438" s="36" t="s">
        <v>8706</v>
      </c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8551</v>
      </c>
      <c r="D439" s="9" t="s">
        <v>8414</v>
      </c>
      <c r="E439" s="9" t="s">
        <v>8432</v>
      </c>
      <c r="F439" s="36" t="s">
        <v>8636</v>
      </c>
      <c r="G439" s="9" t="s">
        <v>16</v>
      </c>
      <c r="H439" s="36" t="str">
        <f>IFERROR(VLOOKUP(Table2[[#This Row], [Ticket]],Okey!A:B,2,0),"")</f>
        <v/>
      </c>
      <c r="I439" s="36"/>
      <c r="J439" s="36" t="s">
        <v>18</v>
      </c>
      <c r="K439" s="36" t="s">
        <v>8706</v>
      </c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8551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/>
      </c>
      <c r="J440" s="36" t="s">
        <v>18</v>
      </c>
      <c r="K440" s="36" t="s">
        <v>6567</v>
      </c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8551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/>
      </c>
      <c r="J441" s="36" t="s">
        <v>18</v>
      </c>
      <c r="K441" s="36" t="s">
        <v>6567</v>
      </c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8551</v>
      </c>
      <c r="D442" s="9" t="s">
        <v>8433</v>
      </c>
      <c r="F442" s="36" t="s">
        <v>5544</v>
      </c>
      <c r="G442" s="36" t="s">
        <v>13</v>
      </c>
      <c r="H442" s="36" t="str">
        <f>IFERROR(VLOOKUP(Table2[[#This Row], [Ticket]],Okey!A:B,2,0),"")</f>
        <v/>
      </c>
      <c r="J442" s="36" t="s">
        <v>18</v>
      </c>
      <c r="K442" s="36" t="s">
        <v>5544</v>
      </c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8551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/>
      </c>
      <c r="J443" s="36" t="s">
        <v>18</v>
      </c>
      <c r="K443" s="36" t="s">
        <v>6567</v>
      </c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8551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/>
      </c>
      <c r="J444" s="36" t="s">
        <v>18</v>
      </c>
      <c r="K444" s="36" t="s">
        <v>6567</v>
      </c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8551</v>
      </c>
      <c r="D445" s="9" t="s">
        <v>7742</v>
      </c>
      <c r="F445" s="36" t="s">
        <v>8583</v>
      </c>
      <c r="G445" s="36" t="s">
        <v>13</v>
      </c>
      <c r="H445" s="36" t="str">
        <f>IFERROR(VLOOKUP(Table2[[#This Row], [Ticket]],Okey!A:B,2,0),"")</f>
        <v/>
      </c>
      <c r="J445" s="36" t="s">
        <v>18</v>
      </c>
      <c r="K445" s="36" t="s">
        <v>8583</v>
      </c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8551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/>
      </c>
      <c r="J446" s="36" t="s">
        <v>18</v>
      </c>
      <c r="K446" s="36" t="s">
        <v>6567</v>
      </c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8551</v>
      </c>
      <c r="D447" s="9" t="s">
        <v>8434</v>
      </c>
      <c r="F447" s="9" t="s">
        <v>6531</v>
      </c>
      <c r="G447" s="36" t="s">
        <v>13</v>
      </c>
      <c r="H447" s="36" t="str">
        <f>IFERROR(VLOOKUP(Table2[[#This Row], [Ticket]],Okey!A:B,2,0),"")</f>
        <v/>
      </c>
      <c r="J447" s="36" t="s">
        <v>18</v>
      </c>
      <c r="K447" s="36" t="s">
        <v>6567</v>
      </c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8551</v>
      </c>
      <c r="D448" s="9" t="s">
        <v>8435</v>
      </c>
      <c r="F448" s="9" t="s">
        <v>6531</v>
      </c>
      <c r="G448" s="36" t="s">
        <v>13</v>
      </c>
      <c r="H448" s="36" t="str">
        <f>IFERROR(VLOOKUP(Table2[[#This Row], [Ticket]],Okey!A:B,2,0),"")</f>
        <v/>
      </c>
      <c r="J448" s="36" t="s">
        <v>18</v>
      </c>
      <c r="K448" s="36" t="s">
        <v>6567</v>
      </c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8551</v>
      </c>
      <c r="D449" s="9" t="s">
        <v>7740</v>
      </c>
      <c r="F449" s="9" t="s">
        <v>8200</v>
      </c>
      <c r="G449" s="36" t="s">
        <v>13</v>
      </c>
      <c r="H449" s="36" t="str">
        <f>IFERROR(VLOOKUP(Table2[[#This Row], [Ticket]],Okey!A:B,2,0),"")</f>
        <v/>
      </c>
      <c r="J449" s="36" t="s">
        <v>18</v>
      </c>
      <c r="K449" s="36" t="s">
        <v>6567</v>
      </c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8551</v>
      </c>
      <c r="D450" s="9" t="s">
        <v>6524</v>
      </c>
      <c r="F450" s="36" t="s">
        <v>8603</v>
      </c>
      <c r="G450" s="36" t="s">
        <v>13</v>
      </c>
      <c r="H450" s="36" t="str">
        <f>IFERROR(VLOOKUP(Table2[[#This Row], [Ticket]],Okey!A:B,2,0),"")</f>
        <v/>
      </c>
      <c r="J450" s="36" t="s">
        <v>18</v>
      </c>
      <c r="K450" s="36" t="s">
        <v>8603</v>
      </c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8551</v>
      </c>
      <c r="D451" s="9" t="s">
        <v>8436</v>
      </c>
      <c r="F451" s="36" t="s">
        <v>8602</v>
      </c>
      <c r="G451" s="36" t="s">
        <v>13</v>
      </c>
      <c r="H451" s="36" t="str">
        <f>IFERROR(VLOOKUP(Table2[[#This Row], [Ticket]],Okey!A:B,2,0),"")</f>
        <v/>
      </c>
      <c r="J451" s="36" t="s">
        <v>18</v>
      </c>
      <c r="K451" s="36" t="s">
        <v>8602</v>
      </c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8551</v>
      </c>
      <c r="D452" s="9" t="s">
        <v>3570</v>
      </c>
      <c r="F452" s="36" t="s">
        <v>8603</v>
      </c>
      <c r="G452" s="36" t="s">
        <v>13</v>
      </c>
      <c r="H452" s="36" t="str">
        <f>IFERROR(VLOOKUP(Table2[[#This Row], [Ticket]],Okey!A:B,2,0),"")</f>
        <v/>
      </c>
      <c r="J452" s="36" t="s">
        <v>18</v>
      </c>
      <c r="K452" s="36" t="s">
        <v>8603</v>
      </c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8551</v>
      </c>
      <c r="D453" s="9" t="s">
        <v>8437</v>
      </c>
      <c r="F453" s="36" t="s">
        <v>8606</v>
      </c>
      <c r="G453" s="36" t="s">
        <v>13</v>
      </c>
      <c r="H453" s="36" t="str">
        <f>IFERROR(VLOOKUP(Table2[[#This Row], [Ticket]],Okey!A:B,2,0),"")</f>
        <v/>
      </c>
      <c r="J453" s="36" t="s">
        <v>18</v>
      </c>
      <c r="K453" s="36" t="s">
        <v>8606</v>
      </c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8551</v>
      </c>
      <c r="D454" s="9" t="s">
        <v>8438</v>
      </c>
      <c r="F454" s="36" t="s">
        <v>8610</v>
      </c>
      <c r="G454" s="36" t="s">
        <v>13</v>
      </c>
      <c r="H454" s="36" t="str">
        <f>IFERROR(VLOOKUP(Table2[[#This Row], [Ticket]],Okey!A:B,2,0),"")</f>
        <v/>
      </c>
      <c r="J454" s="36" t="s">
        <v>18</v>
      </c>
      <c r="K454" s="36" t="s">
        <v>8610</v>
      </c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8551</v>
      </c>
      <c r="D455" s="9" t="s">
        <v>8439</v>
      </c>
      <c r="F455" s="36" t="s">
        <v>8615</v>
      </c>
      <c r="G455" s="36" t="s">
        <v>13</v>
      </c>
      <c r="H455" s="36" t="str">
        <f>IFERROR(VLOOKUP(Table2[[#This Row], [Ticket]],Okey!A:B,2,0),"")</f>
        <v/>
      </c>
      <c r="J455" s="36" t="s">
        <v>18</v>
      </c>
      <c r="K455" s="36" t="s">
        <v>8615</v>
      </c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8551</v>
      </c>
      <c r="D456" s="9" t="s">
        <v>8440</v>
      </c>
      <c r="F456" s="36" t="s">
        <v>8615</v>
      </c>
      <c r="G456" s="36" t="s">
        <v>13</v>
      </c>
      <c r="H456" s="36" t="str">
        <f>IFERROR(VLOOKUP(Table2[[#This Row], [Ticket]],Okey!A:B,2,0),"")</f>
        <v/>
      </c>
      <c r="J456" s="36" t="s">
        <v>18</v>
      </c>
      <c r="K456" s="36" t="s">
        <v>8615</v>
      </c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8551</v>
      </c>
      <c r="D457" s="9" t="s">
        <v>8441</v>
      </c>
      <c r="F457" s="36" t="s">
        <v>8612</v>
      </c>
      <c r="G457" s="36" t="s">
        <v>13</v>
      </c>
      <c r="H457" s="36" t="str">
        <f>IFERROR(VLOOKUP(Table2[[#This Row], [Ticket]],Okey!A:B,2,0),"")</f>
        <v/>
      </c>
      <c r="J457" s="36" t="s">
        <v>18</v>
      </c>
      <c r="K457" s="36" t="s">
        <v>8612</v>
      </c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8551</v>
      </c>
      <c r="D458" s="9" t="s">
        <v>8442</v>
      </c>
      <c r="F458" s="36" t="s">
        <v>8612</v>
      </c>
      <c r="G458" s="36" t="s">
        <v>13</v>
      </c>
      <c r="H458" s="36" t="str">
        <f>IFERROR(VLOOKUP(Table2[[#This Row], [Ticket]],Okey!A:B,2,0),"")</f>
        <v/>
      </c>
      <c r="J458" s="36" t="s">
        <v>18</v>
      </c>
      <c r="K458" s="36" t="s">
        <v>8612</v>
      </c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8551</v>
      </c>
      <c r="D459" s="9" t="s">
        <v>8443</v>
      </c>
      <c r="F459" s="36" t="s">
        <v>8612</v>
      </c>
      <c r="G459" s="36" t="s">
        <v>13</v>
      </c>
      <c r="H459" s="36" t="str">
        <f>IFERROR(VLOOKUP(Table2[[#This Row], [Ticket]],Okey!A:B,2,0),"")</f>
        <v/>
      </c>
      <c r="J459" s="36" t="s">
        <v>18</v>
      </c>
      <c r="K459" s="36" t="s">
        <v>8612</v>
      </c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8551</v>
      </c>
      <c r="D460" s="9" t="s">
        <v>8444</v>
      </c>
      <c r="F460" s="36" t="s">
        <v>8612</v>
      </c>
      <c r="G460" s="36" t="s">
        <v>13</v>
      </c>
      <c r="H460" s="36" t="str">
        <f>IFERROR(VLOOKUP(Table2[[#This Row], [Ticket]],Okey!A:B,2,0),"")</f>
        <v/>
      </c>
      <c r="J460" s="36" t="s">
        <v>18</v>
      </c>
      <c r="K460" s="36" t="s">
        <v>8612</v>
      </c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8551</v>
      </c>
      <c r="D461" s="9" t="s">
        <v>8445</v>
      </c>
      <c r="F461" s="36" t="s">
        <v>8612</v>
      </c>
      <c r="G461" s="36" t="s">
        <v>13</v>
      </c>
      <c r="H461" s="36" t="str">
        <f>IFERROR(VLOOKUP(Table2[[#This Row], [Ticket]],Okey!A:B,2,0),"")</f>
        <v/>
      </c>
      <c r="J461" s="36" t="s">
        <v>18</v>
      </c>
      <c r="K461" s="36" t="s">
        <v>8612</v>
      </c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8551</v>
      </c>
      <c r="D462" s="9" t="s">
        <v>8446</v>
      </c>
      <c r="F462" s="36" t="s">
        <v>8612</v>
      </c>
      <c r="G462" s="36" t="s">
        <v>13</v>
      </c>
      <c r="H462" s="36" t="str">
        <f>IFERROR(VLOOKUP(Table2[[#This Row], [Ticket]],Okey!A:B,2,0),"")</f>
        <v/>
      </c>
      <c r="J462" s="36" t="s">
        <v>18</v>
      </c>
      <c r="K462" s="36" t="s">
        <v>8612</v>
      </c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8551</v>
      </c>
      <c r="D463" s="9" t="s">
        <v>8447</v>
      </c>
      <c r="F463" s="36" t="s">
        <v>8612</v>
      </c>
      <c r="G463" s="36" t="s">
        <v>13</v>
      </c>
      <c r="H463" s="36" t="str">
        <f>IFERROR(VLOOKUP(Table2[[#This Row], [Ticket]],Okey!A:B,2,0),"")</f>
        <v/>
      </c>
      <c r="J463" s="36" t="s">
        <v>18</v>
      </c>
      <c r="K463" s="36" t="s">
        <v>8612</v>
      </c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8551</v>
      </c>
      <c r="D464" s="9" t="s">
        <v>8448</v>
      </c>
      <c r="F464" s="36" t="s">
        <v>8612</v>
      </c>
      <c r="G464" s="36" t="s">
        <v>13</v>
      </c>
      <c r="H464" s="36" t="str">
        <f>IFERROR(VLOOKUP(Table2[[#This Row], [Ticket]],Okey!A:B,2,0),"")</f>
        <v/>
      </c>
      <c r="J464" s="36" t="s">
        <v>18</v>
      </c>
      <c r="K464" s="36" t="s">
        <v>8612</v>
      </c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8551</v>
      </c>
      <c r="D465" s="9" t="s">
        <v>8449</v>
      </c>
      <c r="F465" s="36" t="s">
        <v>8620</v>
      </c>
      <c r="G465" s="36" t="s">
        <v>13</v>
      </c>
      <c r="H465" s="36" t="str">
        <f>IFERROR(VLOOKUP(Table2[[#This Row], [Ticket]],Okey!A:B,2,0),"")</f>
        <v/>
      </c>
      <c r="J465" s="36" t="s">
        <v>18</v>
      </c>
      <c r="K465" s="36" t="s">
        <v>8620</v>
      </c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8551</v>
      </c>
      <c r="D466" s="9" t="s">
        <v>8450</v>
      </c>
      <c r="F466" s="36" t="s">
        <v>8624</v>
      </c>
      <c r="G466" s="36" t="s">
        <v>13</v>
      </c>
      <c r="H466" s="36" t="str">
        <f>IFERROR(VLOOKUP(Table2[[#This Row], [Ticket]],Okey!A:B,2,0),"")</f>
        <v/>
      </c>
      <c r="J466" s="36" t="s">
        <v>18</v>
      </c>
      <c r="K466" s="36" t="s">
        <v>8624</v>
      </c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8551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/>
      </c>
      <c r="J467" s="36" t="s">
        <v>18</v>
      </c>
      <c r="K467" s="36" t="s">
        <v>6567</v>
      </c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8551</v>
      </c>
      <c r="D468" s="9" t="s">
        <v>8451</v>
      </c>
      <c r="F468" s="36" t="s">
        <v>8625</v>
      </c>
      <c r="G468" s="36" t="s">
        <v>13</v>
      </c>
      <c r="H468" s="36" t="str">
        <f>IFERROR(VLOOKUP(Table2[[#This Row], [Ticket]],Okey!A:B,2,0),"")</f>
        <v/>
      </c>
      <c r="J468" s="36" t="s">
        <v>18</v>
      </c>
      <c r="K468" s="36" t="s">
        <v>8625</v>
      </c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8551</v>
      </c>
      <c r="D469" s="9" t="s">
        <v>1272</v>
      </c>
      <c r="F469" s="36" t="s">
        <v>8625</v>
      </c>
      <c r="G469" s="36" t="s">
        <v>13</v>
      </c>
      <c r="H469" s="36" t="str">
        <f>IFERROR(VLOOKUP(Table2[[#This Row], [Ticket]],Okey!A:B,2,0),"")</f>
        <v/>
      </c>
      <c r="J469" s="36" t="s">
        <v>18</v>
      </c>
      <c r="K469" s="36" t="s">
        <v>8625</v>
      </c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8551</v>
      </c>
      <c r="D470" s="9" t="s">
        <v>8452</v>
      </c>
      <c r="F470" s="36" t="s">
        <v>8626</v>
      </c>
      <c r="G470" s="36" t="s">
        <v>13</v>
      </c>
      <c r="H470" s="36" t="str">
        <f>IFERROR(VLOOKUP(Table2[[#This Row], [Ticket]],Okey!A:B,2,0),"")</f>
        <v/>
      </c>
      <c r="J470" s="36" t="s">
        <v>18</v>
      </c>
      <c r="K470" s="36" t="s">
        <v>8626</v>
      </c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8551</v>
      </c>
      <c r="D471" s="9" t="s">
        <v>5580</v>
      </c>
      <c r="F471" s="36" t="s">
        <v>8626</v>
      </c>
      <c r="G471" s="36" t="s">
        <v>13</v>
      </c>
      <c r="H471" s="36" t="str">
        <f>IFERROR(VLOOKUP(Table2[[#This Row], [Ticket]],Okey!A:B,2,0),"")</f>
        <v/>
      </c>
      <c r="J471" s="36" t="s">
        <v>18</v>
      </c>
      <c r="K471" s="36" t="s">
        <v>8626</v>
      </c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8551</v>
      </c>
      <c r="D472" s="9" t="s">
        <v>8453</v>
      </c>
      <c r="F472" s="36" t="s">
        <v>8627</v>
      </c>
      <c r="G472" s="36" t="s">
        <v>13</v>
      </c>
      <c r="H472" s="36" t="str">
        <f>IFERROR(VLOOKUP(Table2[[#This Row], [Ticket]],Okey!A:B,2,0),"")</f>
        <v/>
      </c>
      <c r="J472" s="36" t="s">
        <v>18</v>
      </c>
      <c r="K472" s="36" t="s">
        <v>8627</v>
      </c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8551</v>
      </c>
      <c r="D473" s="9" t="s">
        <v>8454</v>
      </c>
      <c r="F473" s="36" t="s">
        <v>8627</v>
      </c>
      <c r="G473" s="36" t="s">
        <v>13</v>
      </c>
      <c r="H473" s="36" t="str">
        <f>IFERROR(VLOOKUP(Table2[[#This Row], [Ticket]],Okey!A:B,2,0),"")</f>
        <v/>
      </c>
      <c r="J473" s="36" t="s">
        <v>18</v>
      </c>
      <c r="K473" s="36" t="s">
        <v>8627</v>
      </c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8551</v>
      </c>
      <c r="D474" s="9" t="s">
        <v>8455</v>
      </c>
      <c r="F474" s="36" t="s">
        <v>8640</v>
      </c>
      <c r="G474" s="36" t="s">
        <v>13</v>
      </c>
      <c r="H474" s="36" t="str">
        <f>IFERROR(VLOOKUP(Table2[[#This Row], [Ticket]],Okey!A:B,2,0),"")</f>
        <v/>
      </c>
      <c r="J474" s="36" t="s">
        <v>18</v>
      </c>
      <c r="K474" s="36" t="s">
        <v>8640</v>
      </c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8551</v>
      </c>
      <c r="D475" s="9" t="s">
        <v>8456</v>
      </c>
      <c r="F475" s="36" t="s">
        <v>8640</v>
      </c>
      <c r="G475" s="36" t="s">
        <v>13</v>
      </c>
      <c r="H475" s="36" t="str">
        <f>IFERROR(VLOOKUP(Table2[[#This Row], [Ticket]],Okey!A:B,2,0),"")</f>
        <v/>
      </c>
      <c r="J475" s="36" t="s">
        <v>18</v>
      </c>
      <c r="K475" s="36" t="s">
        <v>8640</v>
      </c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8551</v>
      </c>
      <c r="D476" s="9" t="s">
        <v>8457</v>
      </c>
      <c r="F476" s="36" t="s">
        <v>8640</v>
      </c>
      <c r="G476" s="36" t="s">
        <v>13</v>
      </c>
      <c r="H476" s="36" t="str">
        <f>IFERROR(VLOOKUP(Table2[[#This Row], [Ticket]],Okey!A:B,2,0),"")</f>
        <v/>
      </c>
      <c r="J476" s="36" t="s">
        <v>18</v>
      </c>
      <c r="K476" s="36" t="s">
        <v>8640</v>
      </c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8551</v>
      </c>
      <c r="D477" s="9" t="s">
        <v>5525</v>
      </c>
      <c r="F477" s="36" t="s">
        <v>8645</v>
      </c>
      <c r="G477" s="36" t="s">
        <v>13</v>
      </c>
      <c r="H477" s="36" t="str">
        <f>IFERROR(VLOOKUP(Table2[[#This Row], [Ticket]],Okey!A:B,2,0),"")</f>
        <v/>
      </c>
      <c r="J477" s="36" t="s">
        <v>18</v>
      </c>
      <c r="K477" s="36" t="s">
        <v>8645</v>
      </c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8551</v>
      </c>
      <c r="D478" s="9" t="s">
        <v>8458</v>
      </c>
      <c r="F478" s="36" t="s">
        <v>8644</v>
      </c>
      <c r="G478" s="36" t="s">
        <v>13</v>
      </c>
      <c r="H478" s="36" t="str">
        <f>IFERROR(VLOOKUP(Table2[[#This Row], [Ticket]],Okey!A:B,2,0),"")</f>
        <v/>
      </c>
      <c r="J478" s="36" t="s">
        <v>18</v>
      </c>
      <c r="K478" s="36" t="s">
        <v>8644</v>
      </c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8551</v>
      </c>
      <c r="D479" s="9" t="s">
        <v>4009</v>
      </c>
      <c r="F479" s="36" t="s">
        <v>8644</v>
      </c>
      <c r="G479" s="36" t="s">
        <v>13</v>
      </c>
      <c r="H479" s="36" t="str">
        <f>IFERROR(VLOOKUP(Table2[[#This Row], [Ticket]],Okey!A:B,2,0),"")</f>
        <v/>
      </c>
      <c r="J479" s="36" t="s">
        <v>18</v>
      </c>
      <c r="K479" s="36" t="s">
        <v>8644</v>
      </c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8551</v>
      </c>
      <c r="D480" s="9" t="s">
        <v>8459</v>
      </c>
      <c r="F480" s="36" t="s">
        <v>8645</v>
      </c>
      <c r="G480" s="36" t="s">
        <v>13</v>
      </c>
      <c r="H480" s="36" t="str">
        <f>IFERROR(VLOOKUP(Table2[[#This Row], [Ticket]],Okey!A:B,2,0),"")</f>
        <v/>
      </c>
      <c r="J480" s="36" t="s">
        <v>18</v>
      </c>
      <c r="K480" s="36" t="s">
        <v>8645</v>
      </c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8551</v>
      </c>
      <c r="D481" s="9" t="s">
        <v>6508</v>
      </c>
      <c r="F481" s="36" t="s">
        <v>8645</v>
      </c>
      <c r="G481" s="36" t="s">
        <v>13</v>
      </c>
      <c r="H481" s="36" t="str">
        <f>IFERROR(VLOOKUP(Table2[[#This Row], [Ticket]],Okey!A:B,2,0),"")</f>
        <v/>
      </c>
      <c r="J481" s="36" t="s">
        <v>18</v>
      </c>
      <c r="K481" s="36" t="s">
        <v>8645</v>
      </c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8551</v>
      </c>
      <c r="D482" s="9" t="s">
        <v>8460</v>
      </c>
      <c r="F482" s="36" t="s">
        <v>8645</v>
      </c>
      <c r="G482" s="36" t="s">
        <v>13</v>
      </c>
      <c r="H482" s="36" t="str">
        <f>IFERROR(VLOOKUP(Table2[[#This Row], [Ticket]],Okey!A:B,2,0),"")</f>
        <v/>
      </c>
      <c r="J482" s="36" t="s">
        <v>18</v>
      </c>
      <c r="K482" s="36" t="s">
        <v>8645</v>
      </c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8551</v>
      </c>
      <c r="D483" s="9" t="s">
        <v>8461</v>
      </c>
      <c r="F483" s="36" t="s">
        <v>8647</v>
      </c>
      <c r="G483" s="36" t="s">
        <v>13</v>
      </c>
      <c r="H483" s="36" t="str">
        <f>IFERROR(VLOOKUP(Table2[[#This Row], [Ticket]],Okey!A:B,2,0),"")</f>
        <v/>
      </c>
      <c r="J483" s="36" t="s">
        <v>18</v>
      </c>
      <c r="K483" s="36" t="s">
        <v>8647</v>
      </c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8551</v>
      </c>
      <c r="D484" s="9" t="s">
        <v>8462</v>
      </c>
      <c r="F484" s="36" t="s">
        <v>8647</v>
      </c>
      <c r="G484" s="36" t="s">
        <v>13</v>
      </c>
      <c r="H484" s="36" t="str">
        <f>IFERROR(VLOOKUP(Table2[[#This Row], [Ticket]],Okey!A:B,2,0),"")</f>
        <v/>
      </c>
      <c r="J484" s="36" t="s">
        <v>18</v>
      </c>
      <c r="K484" s="36" t="s">
        <v>8647</v>
      </c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8551</v>
      </c>
      <c r="D485" s="9" t="s">
        <v>8463</v>
      </c>
      <c r="F485" s="9" t="s">
        <v>8246</v>
      </c>
      <c r="G485" s="36" t="s">
        <v>13</v>
      </c>
      <c r="H485" s="36" t="str">
        <f>IFERROR(VLOOKUP(Table2[[#This Row], [Ticket]],Okey!A:B,2,0),"")</f>
        <v/>
      </c>
      <c r="J485" s="36" t="s">
        <v>18</v>
      </c>
      <c r="K485" s="36" t="s">
        <v>6567</v>
      </c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8551</v>
      </c>
      <c r="D486" s="9" t="s">
        <v>8464</v>
      </c>
      <c r="F486" s="9" t="s">
        <v>8415</v>
      </c>
      <c r="G486" s="36" t="s">
        <v>13</v>
      </c>
      <c r="H486" s="36" t="str">
        <f>IFERROR(VLOOKUP(Table2[[#This Row], [Ticket]],Okey!A:B,2,0),"")</f>
        <v/>
      </c>
      <c r="J486" s="36" t="s">
        <v>18</v>
      </c>
      <c r="K486" s="36" t="s">
        <v>6567</v>
      </c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8551</v>
      </c>
      <c r="D487" s="9" t="s">
        <v>8465</v>
      </c>
      <c r="F487" s="36" t="s">
        <v>8657</v>
      </c>
      <c r="G487" s="36" t="s">
        <v>13</v>
      </c>
      <c r="H487" s="36" t="str">
        <f>IFERROR(VLOOKUP(Table2[[#This Row], [Ticket]],Okey!A:B,2,0),"")</f>
        <v/>
      </c>
      <c r="J487" s="36" t="s">
        <v>18</v>
      </c>
      <c r="K487" s="36" t="s">
        <v>8657</v>
      </c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8551</v>
      </c>
      <c r="D488" s="9" t="s">
        <v>8466</v>
      </c>
      <c r="F488" s="36" t="s">
        <v>8657</v>
      </c>
      <c r="G488" s="36" t="s">
        <v>13</v>
      </c>
      <c r="H488" s="36" t="str">
        <f>IFERROR(VLOOKUP(Table2[[#This Row], [Ticket]],Okey!A:B,2,0),"")</f>
        <v/>
      </c>
      <c r="J488" s="36" t="s">
        <v>18</v>
      </c>
      <c r="K488" s="36" t="s">
        <v>8657</v>
      </c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8551</v>
      </c>
      <c r="D489" s="9" t="s">
        <v>8467</v>
      </c>
      <c r="F489" s="36" t="s">
        <v>8665</v>
      </c>
      <c r="G489" s="36" t="s">
        <v>13</v>
      </c>
      <c r="H489" s="36" t="str">
        <f>IFERROR(VLOOKUP(Table2[[#This Row], [Ticket]],Okey!A:B,2,0),"")</f>
        <v/>
      </c>
      <c r="J489" s="36" t="s">
        <v>18</v>
      </c>
      <c r="K489" s="36" t="s">
        <v>8665</v>
      </c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8551</v>
      </c>
      <c r="D490" s="9" t="s">
        <v>8468</v>
      </c>
      <c r="F490" s="36" t="s">
        <v>8665</v>
      </c>
      <c r="G490" s="36" t="s">
        <v>13</v>
      </c>
      <c r="H490" s="36" t="str">
        <f>IFERROR(VLOOKUP(Table2[[#This Row], [Ticket]],Okey!A:B,2,0),"")</f>
        <v/>
      </c>
      <c r="J490" s="36" t="s">
        <v>18</v>
      </c>
      <c r="K490" s="36" t="s">
        <v>8665</v>
      </c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8551</v>
      </c>
      <c r="D491" s="9" t="s">
        <v>8469</v>
      </c>
      <c r="F491" s="9" t="s">
        <v>8265</v>
      </c>
      <c r="G491" s="36" t="s">
        <v>13</v>
      </c>
      <c r="H491" s="36" t="str">
        <f>IFERROR(VLOOKUP(Table2[[#This Row], [Ticket]],Okey!A:B,2,0),"")</f>
        <v/>
      </c>
      <c r="J491" s="36" t="s">
        <v>18</v>
      </c>
      <c r="K491" s="36" t="s">
        <v>6567</v>
      </c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8551</v>
      </c>
      <c r="D492" s="9" t="s">
        <v>8470</v>
      </c>
      <c r="F492" s="9" t="s">
        <v>8265</v>
      </c>
      <c r="G492" s="36" t="s">
        <v>13</v>
      </c>
      <c r="H492" s="36" t="str">
        <f>IFERROR(VLOOKUP(Table2[[#This Row], [Ticket]],Okey!A:B,2,0),"")</f>
        <v/>
      </c>
      <c r="J492" s="36" t="s">
        <v>18</v>
      </c>
      <c r="K492" s="36" t="s">
        <v>6567</v>
      </c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8551</v>
      </c>
      <c r="D493" s="9" t="s">
        <v>8471</v>
      </c>
      <c r="F493" s="36" t="s">
        <v>8666</v>
      </c>
      <c r="G493" s="36" t="s">
        <v>13</v>
      </c>
      <c r="H493" s="36" t="str">
        <f>IFERROR(VLOOKUP(Table2[[#This Row], [Ticket]],Okey!A:B,2,0),"")</f>
        <v/>
      </c>
      <c r="J493" s="36" t="s">
        <v>18</v>
      </c>
      <c r="K493" s="36" t="s">
        <v>8666</v>
      </c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8551</v>
      </c>
      <c r="D494" s="9" t="s">
        <v>8472</v>
      </c>
      <c r="F494" s="36" t="s">
        <v>8666</v>
      </c>
      <c r="G494" s="36" t="s">
        <v>13</v>
      </c>
      <c r="H494" s="36" t="str">
        <f>IFERROR(VLOOKUP(Table2[[#This Row], [Ticket]],Okey!A:B,2,0),"")</f>
        <v/>
      </c>
      <c r="J494" s="36" t="s">
        <v>18</v>
      </c>
      <c r="K494" s="36" t="s">
        <v>8666</v>
      </c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8551</v>
      </c>
      <c r="D495" s="9" t="s">
        <v>8473</v>
      </c>
      <c r="F495" s="36" t="s">
        <v>8670</v>
      </c>
      <c r="G495" s="36" t="s">
        <v>13</v>
      </c>
      <c r="H495" s="36" t="str">
        <f>IFERROR(VLOOKUP(Table2[[#This Row], [Ticket]],Okey!A:B,2,0),"")</f>
        <v/>
      </c>
      <c r="J495" s="36" t="s">
        <v>18</v>
      </c>
      <c r="K495" s="36" t="s">
        <v>8670</v>
      </c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8551</v>
      </c>
      <c r="D496" s="9" t="s">
        <v>8474</v>
      </c>
      <c r="F496" s="36" t="s">
        <v>8670</v>
      </c>
      <c r="G496" s="36" t="s">
        <v>13</v>
      </c>
      <c r="H496" s="36" t="str">
        <f>IFERROR(VLOOKUP(Table2[[#This Row], [Ticket]],Okey!A:B,2,0),"")</f>
        <v/>
      </c>
      <c r="J496" s="36" t="s">
        <v>18</v>
      </c>
      <c r="K496" s="36" t="s">
        <v>8670</v>
      </c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8551</v>
      </c>
      <c r="D497" s="9" t="s">
        <v>8475</v>
      </c>
      <c r="F497" s="36" t="s">
        <v>8671</v>
      </c>
      <c r="G497" s="36" t="s">
        <v>13</v>
      </c>
      <c r="H497" s="36" t="str">
        <f>IFERROR(VLOOKUP(Table2[[#This Row], [Ticket]],Okey!A:B,2,0),"")</f>
        <v/>
      </c>
      <c r="J497" s="36" t="s">
        <v>18</v>
      </c>
      <c r="K497" s="36" t="s">
        <v>8671</v>
      </c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8551</v>
      </c>
      <c r="D498" s="9" t="s">
        <v>8476</v>
      </c>
      <c r="F498" s="36" t="s">
        <v>8683</v>
      </c>
      <c r="G498" s="36" t="s">
        <v>13</v>
      </c>
      <c r="H498" s="36" t="str">
        <f>IFERROR(VLOOKUP(Table2[[#This Row], [Ticket]],Okey!A:B,2,0),"")</f>
        <v/>
      </c>
      <c r="J498" s="36" t="s">
        <v>18</v>
      </c>
      <c r="K498" s="36" t="s">
        <v>8683</v>
      </c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8551</v>
      </c>
      <c r="D499" s="9" t="s">
        <v>8477</v>
      </c>
      <c r="F499" s="36" t="s">
        <v>8683</v>
      </c>
      <c r="G499" s="36" t="s">
        <v>13</v>
      </c>
      <c r="H499" s="36" t="str">
        <f>IFERROR(VLOOKUP(Table2[[#This Row], [Ticket]],Okey!A:B,2,0),"")</f>
        <v/>
      </c>
      <c r="J499" s="36" t="s">
        <v>18</v>
      </c>
      <c r="K499" s="36" t="s">
        <v>8683</v>
      </c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8551</v>
      </c>
      <c r="D500" s="9" t="s">
        <v>8478</v>
      </c>
      <c r="F500" s="36" t="s">
        <v>8683</v>
      </c>
      <c r="G500" s="36" t="s">
        <v>13</v>
      </c>
      <c r="H500" s="36" t="str">
        <f>IFERROR(VLOOKUP(Table2[[#This Row], [Ticket]],Okey!A:B,2,0),"")</f>
        <v/>
      </c>
      <c r="J500" s="36" t="s">
        <v>18</v>
      </c>
      <c r="K500" s="36" t="s">
        <v>8683</v>
      </c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8551</v>
      </c>
      <c r="D501" s="9" t="s">
        <v>8479</v>
      </c>
      <c r="F501" s="36" t="s">
        <v>8683</v>
      </c>
      <c r="G501" s="36" t="s">
        <v>13</v>
      </c>
      <c r="H501" s="36" t="str">
        <f>IFERROR(VLOOKUP(Table2[[#This Row], [Ticket]],Okey!A:B,2,0),"")</f>
        <v/>
      </c>
      <c r="J501" s="36" t="s">
        <v>18</v>
      </c>
      <c r="K501" s="36" t="s">
        <v>8683</v>
      </c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8551</v>
      </c>
      <c r="D502" s="9" t="s">
        <v>8480</v>
      </c>
      <c r="F502" s="36" t="s">
        <v>8691</v>
      </c>
      <c r="G502" s="36" t="s">
        <v>13</v>
      </c>
      <c r="H502" s="36" t="str">
        <f>IFERROR(VLOOKUP(Table2[[#This Row], [Ticket]],Okey!A:B,2,0),"")</f>
        <v/>
      </c>
      <c r="J502" s="36" t="s">
        <v>18</v>
      </c>
      <c r="K502" s="36" t="s">
        <v>8691</v>
      </c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8551</v>
      </c>
      <c r="D503" s="9" t="s">
        <v>8481</v>
      </c>
      <c r="F503" s="9" t="s">
        <v>5591</v>
      </c>
      <c r="G503" s="36" t="s">
        <v>13</v>
      </c>
      <c r="H503" s="36" t="str">
        <f>IFERROR(VLOOKUP(Table2[[#This Row], [Ticket]],Okey!A:B,2,0),"")</f>
        <v/>
      </c>
      <c r="J503" s="36" t="s">
        <v>18</v>
      </c>
      <c r="K503" s="36" t="s">
        <v>6567</v>
      </c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8551</v>
      </c>
      <c r="D504" s="9" t="s">
        <v>3996</v>
      </c>
      <c r="F504" s="36" t="s">
        <v>8693</v>
      </c>
      <c r="G504" s="36" t="s">
        <v>13</v>
      </c>
      <c r="H504" s="36" t="str">
        <f>IFERROR(VLOOKUP(Table2[[#This Row], [Ticket]],Okey!A:B,2,0),"")</f>
        <v/>
      </c>
      <c r="J504" s="36" t="s">
        <v>18</v>
      </c>
      <c r="K504" s="36" t="s">
        <v>8693</v>
      </c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8551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/>
      </c>
      <c r="J505" s="36" t="s">
        <v>18</v>
      </c>
      <c r="K505" s="36" t="s">
        <v>6567</v>
      </c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8551</v>
      </c>
      <c r="D506" s="9" t="s">
        <v>7752</v>
      </c>
      <c r="F506" s="9" t="s">
        <v>3515</v>
      </c>
      <c r="G506" s="36" t="s">
        <v>13</v>
      </c>
      <c r="H506" s="36" t="str">
        <f>IFERROR(VLOOKUP(Table2[[#This Row], [Ticket]],Okey!A:B,2,0),"")</f>
        <v/>
      </c>
      <c r="J506" s="36" t="s">
        <v>18</v>
      </c>
      <c r="K506" s="36" t="s">
        <v>6567</v>
      </c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8551</v>
      </c>
      <c r="D507" s="9" t="s">
        <v>8482</v>
      </c>
      <c r="F507" s="36" t="s">
        <v>8702</v>
      </c>
      <c r="G507" s="36" t="s">
        <v>13</v>
      </c>
      <c r="H507" s="36" t="str">
        <f>IFERROR(VLOOKUP(Table2[[#This Row], [Ticket]],Okey!A:B,2,0),"")</f>
        <v/>
      </c>
      <c r="J507" s="36" t="s">
        <v>18</v>
      </c>
      <c r="K507" s="36" t="s">
        <v>8702</v>
      </c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8551</v>
      </c>
      <c r="D508" s="9" t="s">
        <v>8483</v>
      </c>
      <c r="F508" s="36" t="s">
        <v>8702</v>
      </c>
      <c r="G508" s="36" t="s">
        <v>13</v>
      </c>
      <c r="H508" s="36" t="str">
        <f>IFERROR(VLOOKUP(Table2[[#This Row], [Ticket]],Okey!A:B,2,0),"")</f>
        <v/>
      </c>
      <c r="J508" s="36" t="s">
        <v>18</v>
      </c>
      <c r="K508" s="36" t="s">
        <v>8702</v>
      </c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8551</v>
      </c>
      <c r="D509" s="9" t="s">
        <v>8484</v>
      </c>
      <c r="F509" s="36" t="s">
        <v>8702</v>
      </c>
      <c r="G509" s="36" t="s">
        <v>13</v>
      </c>
      <c r="H509" s="36" t="str">
        <f>IFERROR(VLOOKUP(Table2[[#This Row], [Ticket]],Okey!A:B,2,0),"")</f>
        <v/>
      </c>
      <c r="J509" s="36" t="s">
        <v>18</v>
      </c>
      <c r="K509" s="36" t="s">
        <v>8702</v>
      </c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8551</v>
      </c>
      <c r="D510" s="9" t="s">
        <v>8485</v>
      </c>
      <c r="F510" s="36" t="s">
        <v>8702</v>
      </c>
      <c r="G510" s="36" t="s">
        <v>13</v>
      </c>
      <c r="H510" s="36" t="str">
        <f>IFERROR(VLOOKUP(Table2[[#This Row], [Ticket]],Okey!A:B,2,0),"")</f>
        <v/>
      </c>
      <c r="J510" s="36" t="s">
        <v>18</v>
      </c>
      <c r="K510" s="36" t="s">
        <v>8702</v>
      </c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8551</v>
      </c>
      <c r="D511" s="9" t="s">
        <v>8486</v>
      </c>
      <c r="F511" s="36" t="s">
        <v>8702</v>
      </c>
      <c r="G511" s="36" t="s">
        <v>13</v>
      </c>
      <c r="H511" s="36" t="str">
        <f>IFERROR(VLOOKUP(Table2[[#This Row], [Ticket]],Okey!A:B,2,0),"")</f>
        <v/>
      </c>
      <c r="J511" s="36" t="s">
        <v>18</v>
      </c>
      <c r="K511" s="36" t="s">
        <v>8702</v>
      </c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8551</v>
      </c>
      <c r="D512" s="9" t="s">
        <v>8487</v>
      </c>
      <c r="F512" s="36" t="s">
        <v>8702</v>
      </c>
      <c r="G512" s="36" t="s">
        <v>13</v>
      </c>
      <c r="H512" s="36" t="str">
        <f>IFERROR(VLOOKUP(Table2[[#This Row], [Ticket]],Okey!A:B,2,0),"")</f>
        <v/>
      </c>
      <c r="J512" s="36" t="s">
        <v>18</v>
      </c>
      <c r="K512" s="36" t="s">
        <v>8702</v>
      </c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8551</v>
      </c>
      <c r="D513" s="9" t="s">
        <v>8488</v>
      </c>
      <c r="F513" s="36" t="s">
        <v>8702</v>
      </c>
      <c r="G513" s="36" t="s">
        <v>13</v>
      </c>
      <c r="H513" s="36" t="str">
        <f>IFERROR(VLOOKUP(Table2[[#This Row], [Ticket]],Okey!A:B,2,0),"")</f>
        <v/>
      </c>
      <c r="J513" s="36" t="s">
        <v>18</v>
      </c>
      <c r="K513" s="36" t="s">
        <v>8702</v>
      </c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8551</v>
      </c>
      <c r="D514" s="9" t="s">
        <v>3519</v>
      </c>
      <c r="F514" s="36" t="s">
        <v>8702</v>
      </c>
      <c r="G514" s="36" t="s">
        <v>13</v>
      </c>
      <c r="H514" s="36" t="str">
        <f>IFERROR(VLOOKUP(Table2[[#This Row], [Ticket]],Okey!A:B,2,0),"")</f>
        <v/>
      </c>
      <c r="J514" s="36" t="s">
        <v>18</v>
      </c>
      <c r="K514" s="36" t="s">
        <v>8702</v>
      </c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8551</v>
      </c>
      <c r="D515" s="9" t="s">
        <v>8489</v>
      </c>
      <c r="F515" s="9" t="s">
        <v>3518</v>
      </c>
      <c r="G515" s="36" t="s">
        <v>13</v>
      </c>
      <c r="H515" s="36" t="str">
        <f>IFERROR(VLOOKUP(Table2[[#This Row], [Ticket]],Okey!A:B,2,0),"")</f>
        <v/>
      </c>
      <c r="J515" s="36" t="s">
        <v>18</v>
      </c>
      <c r="K515" s="36" t="s">
        <v>6567</v>
      </c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8551</v>
      </c>
      <c r="D516" s="9" t="s">
        <v>8490</v>
      </c>
      <c r="F516" s="9" t="s">
        <v>3518</v>
      </c>
      <c r="G516" s="36" t="s">
        <v>13</v>
      </c>
      <c r="H516" s="36" t="str">
        <f>IFERROR(VLOOKUP(Table2[[#This Row], [Ticket]],Okey!A:B,2,0),"")</f>
        <v/>
      </c>
      <c r="J516" s="36" t="s">
        <v>18</v>
      </c>
      <c r="K516" s="36" t="s">
        <v>6567</v>
      </c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8551</v>
      </c>
      <c r="D517" s="9" t="s">
        <v>8491</v>
      </c>
      <c r="F517" s="9" t="s">
        <v>3524</v>
      </c>
      <c r="G517" s="36" t="s">
        <v>13</v>
      </c>
      <c r="H517" s="36" t="str">
        <f>IFERROR(VLOOKUP(Table2[[#This Row], [Ticket]],Okey!A:B,2,0),"")</f>
        <v/>
      </c>
      <c r="J517" s="36" t="s">
        <v>18</v>
      </c>
      <c r="K517" s="36" t="s">
        <v>6567</v>
      </c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8551</v>
      </c>
      <c r="D518" s="9" t="s">
        <v>8492</v>
      </c>
      <c r="F518" s="9" t="s">
        <v>3524</v>
      </c>
      <c r="G518" s="36" t="s">
        <v>13</v>
      </c>
      <c r="H518" s="36" t="str">
        <f>IFERROR(VLOOKUP(Table2[[#This Row], [Ticket]],Okey!A:B,2,0),"")</f>
        <v/>
      </c>
      <c r="J518" s="36" t="s">
        <v>18</v>
      </c>
      <c r="K518" s="36" t="s">
        <v>6567</v>
      </c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8551</v>
      </c>
      <c r="D519" s="9" t="s">
        <v>8493</v>
      </c>
      <c r="F519" s="9" t="s">
        <v>3524</v>
      </c>
      <c r="G519" s="36" t="s">
        <v>13</v>
      </c>
      <c r="H519" s="36" t="str">
        <f>IFERROR(VLOOKUP(Table2[[#This Row], [Ticket]],Okey!A:B,2,0),"")</f>
        <v/>
      </c>
      <c r="J519" s="36" t="s">
        <v>18</v>
      </c>
      <c r="K519" s="36" t="s">
        <v>6567</v>
      </c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8551</v>
      </c>
      <c r="D520" s="9" t="s">
        <v>8494</v>
      </c>
      <c r="F520" s="9" t="s">
        <v>3524</v>
      </c>
      <c r="G520" s="36" t="s">
        <v>13</v>
      </c>
      <c r="H520" s="36" t="str">
        <f>IFERROR(VLOOKUP(Table2[[#This Row], [Ticket]],Okey!A:B,2,0),"")</f>
        <v/>
      </c>
      <c r="J520" s="36" t="s">
        <v>18</v>
      </c>
      <c r="K520" s="36" t="s">
        <v>6567</v>
      </c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8551</v>
      </c>
      <c r="D521" s="9" t="s">
        <v>8495</v>
      </c>
      <c r="F521" s="9" t="s">
        <v>3527</v>
      </c>
      <c r="G521" s="36" t="s">
        <v>13</v>
      </c>
      <c r="H521" s="36" t="str">
        <f>IFERROR(VLOOKUP(Table2[[#This Row], [Ticket]],Okey!A:B,2,0),"")</f>
        <v/>
      </c>
      <c r="J521" s="36" t="s">
        <v>18</v>
      </c>
      <c r="K521" s="36" t="s">
        <v>6567</v>
      </c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8551</v>
      </c>
      <c r="D522" s="9" t="s">
        <v>8496</v>
      </c>
      <c r="F522" s="9" t="s">
        <v>3527</v>
      </c>
      <c r="G522" s="36" t="s">
        <v>13</v>
      </c>
      <c r="H522" s="36" t="str">
        <f>IFERROR(VLOOKUP(Table2[[#This Row], [Ticket]],Okey!A:B,2,0),"")</f>
        <v/>
      </c>
      <c r="J522" s="36" t="s">
        <v>18</v>
      </c>
      <c r="K522" s="36" t="s">
        <v>6567</v>
      </c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8551</v>
      </c>
      <c r="D523" s="9" t="s">
        <v>8497</v>
      </c>
      <c r="F523" s="9" t="s">
        <v>3527</v>
      </c>
      <c r="G523" s="36" t="s">
        <v>13</v>
      </c>
      <c r="H523" s="36" t="str">
        <f>IFERROR(VLOOKUP(Table2[[#This Row], [Ticket]],Okey!A:B,2,0),"")</f>
        <v/>
      </c>
      <c r="J523" s="36" t="s">
        <v>18</v>
      </c>
      <c r="K523" s="36" t="s">
        <v>6567</v>
      </c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8551</v>
      </c>
      <c r="D524" s="9" t="s">
        <v>8498</v>
      </c>
      <c r="F524" s="9" t="s">
        <v>3527</v>
      </c>
      <c r="G524" s="36" t="s">
        <v>13</v>
      </c>
      <c r="H524" s="36" t="str">
        <f>IFERROR(VLOOKUP(Table2[[#This Row], [Ticket]],Okey!A:B,2,0),"")</f>
        <v/>
      </c>
      <c r="J524" s="36" t="s">
        <v>18</v>
      </c>
      <c r="K524" s="36" t="s">
        <v>6567</v>
      </c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8551</v>
      </c>
      <c r="D525" s="9" t="s">
        <v>8499</v>
      </c>
      <c r="F525" s="9" t="s">
        <v>3527</v>
      </c>
      <c r="G525" s="36" t="s">
        <v>13</v>
      </c>
      <c r="H525" s="36" t="str">
        <f>IFERROR(VLOOKUP(Table2[[#This Row], [Ticket]],Okey!A:B,2,0),"")</f>
        <v/>
      </c>
      <c r="J525" s="36" t="s">
        <v>18</v>
      </c>
      <c r="K525" s="36" t="s">
        <v>6567</v>
      </c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8551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/>
      </c>
      <c r="J526" s="36" t="s">
        <v>18</v>
      </c>
      <c r="K526" s="36" t="s">
        <v>6567</v>
      </c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8551</v>
      </c>
      <c r="D527" s="9" t="s">
        <v>8500</v>
      </c>
      <c r="F527" s="9" t="s">
        <v>3527</v>
      </c>
      <c r="G527" s="36" t="s">
        <v>13</v>
      </c>
      <c r="H527" s="36" t="str">
        <f>IFERROR(VLOOKUP(Table2[[#This Row], [Ticket]],Okey!A:B,2,0),"")</f>
        <v/>
      </c>
      <c r="J527" s="36" t="s">
        <v>18</v>
      </c>
      <c r="K527" s="36" t="s">
        <v>6567</v>
      </c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8551</v>
      </c>
      <c r="D528" s="9" t="s">
        <v>8501</v>
      </c>
      <c r="F528" s="9" t="s">
        <v>3531</v>
      </c>
      <c r="G528" s="36" t="s">
        <v>13</v>
      </c>
      <c r="H528" s="36" t="str">
        <f>IFERROR(VLOOKUP(Table2[[#This Row], [Ticket]],Okey!A:B,2,0),"")</f>
        <v/>
      </c>
      <c r="J528" s="36" t="s">
        <v>18</v>
      </c>
      <c r="K528" s="36" t="s">
        <v>6567</v>
      </c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8551</v>
      </c>
      <c r="D529" s="9" t="s">
        <v>8502</v>
      </c>
      <c r="F529" s="36" t="s">
        <v>8702</v>
      </c>
      <c r="G529" s="36" t="s">
        <v>13</v>
      </c>
      <c r="H529" s="36" t="str">
        <f>IFERROR(VLOOKUP(Table2[[#This Row], [Ticket]],Okey!A:B,2,0),"")</f>
        <v/>
      </c>
      <c r="J529" s="36" t="s">
        <v>18</v>
      </c>
      <c r="K529" s="36" t="s">
        <v>8702</v>
      </c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8551</v>
      </c>
      <c r="D530" s="9" t="s">
        <v>8503</v>
      </c>
      <c r="F530" s="36" t="s">
        <v>8702</v>
      </c>
      <c r="G530" s="36" t="s">
        <v>13</v>
      </c>
      <c r="H530" s="36" t="str">
        <f>IFERROR(VLOOKUP(Table2[[#This Row], [Ticket]],Okey!A:B,2,0),"")</f>
        <v/>
      </c>
      <c r="J530" s="36" t="s">
        <v>18</v>
      </c>
      <c r="K530" s="36" t="s">
        <v>8702</v>
      </c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8551</v>
      </c>
      <c r="D531" s="9" t="s">
        <v>8504</v>
      </c>
      <c r="F531" s="36" t="s">
        <v>8702</v>
      </c>
      <c r="G531" s="36" t="s">
        <v>13</v>
      </c>
      <c r="H531" s="36" t="str">
        <f>IFERROR(VLOOKUP(Table2[[#This Row], [Ticket]],Okey!A:B,2,0),"")</f>
        <v/>
      </c>
      <c r="J531" s="36" t="s">
        <v>18</v>
      </c>
      <c r="K531" s="36" t="s">
        <v>8702</v>
      </c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8551</v>
      </c>
      <c r="D532" s="9" t="s">
        <v>8505</v>
      </c>
      <c r="F532" s="36" t="s">
        <v>8702</v>
      </c>
      <c r="G532" s="36" t="s">
        <v>13</v>
      </c>
      <c r="H532" s="36" t="str">
        <f>IFERROR(VLOOKUP(Table2[[#This Row], [Ticket]],Okey!A:B,2,0),"")</f>
        <v/>
      </c>
      <c r="J532" s="36" t="s">
        <v>18</v>
      </c>
      <c r="K532" s="36" t="s">
        <v>8702</v>
      </c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8551</v>
      </c>
      <c r="D533" s="9" t="s">
        <v>8506</v>
      </c>
      <c r="F533" s="36" t="s">
        <v>8702</v>
      </c>
      <c r="G533" s="36" t="s">
        <v>13</v>
      </c>
      <c r="H533" s="36" t="str">
        <f>IFERROR(VLOOKUP(Table2[[#This Row], [Ticket]],Okey!A:B,2,0),"")</f>
        <v/>
      </c>
      <c r="J533" s="36" t="s">
        <v>18</v>
      </c>
      <c r="K533" s="36" t="s">
        <v>8702</v>
      </c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8551</v>
      </c>
      <c r="D534" s="9" t="s">
        <v>8507</v>
      </c>
      <c r="F534" s="36" t="s">
        <v>8702</v>
      </c>
      <c r="G534" s="36" t="s">
        <v>13</v>
      </c>
      <c r="H534" s="36" t="str">
        <f>IFERROR(VLOOKUP(Table2[[#This Row], [Ticket]],Okey!A:B,2,0),"")</f>
        <v/>
      </c>
      <c r="J534" s="36" t="s">
        <v>18</v>
      </c>
      <c r="K534" s="36" t="s">
        <v>8702</v>
      </c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8551</v>
      </c>
      <c r="D535" s="9" t="s">
        <v>8508</v>
      </c>
      <c r="F535" s="36" t="s">
        <v>8702</v>
      </c>
      <c r="G535" s="36" t="s">
        <v>13</v>
      </c>
      <c r="H535" s="36" t="str">
        <f>IFERROR(VLOOKUP(Table2[[#This Row], [Ticket]],Okey!A:B,2,0),"")</f>
        <v/>
      </c>
      <c r="J535" s="36" t="s">
        <v>18</v>
      </c>
      <c r="K535" s="36" t="s">
        <v>8702</v>
      </c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8551</v>
      </c>
      <c r="D536" s="9" t="s">
        <v>3554</v>
      </c>
      <c r="F536" s="36" t="s">
        <v>8702</v>
      </c>
      <c r="G536" s="36" t="s">
        <v>13</v>
      </c>
      <c r="H536" s="36" t="str">
        <f>IFERROR(VLOOKUP(Table2[[#This Row], [Ticket]],Okey!A:B,2,0),"")</f>
        <v/>
      </c>
      <c r="J536" s="36" t="s">
        <v>18</v>
      </c>
      <c r="K536" s="36" t="s">
        <v>8702</v>
      </c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8551</v>
      </c>
      <c r="D537" s="9" t="s">
        <v>3975</v>
      </c>
      <c r="F537" s="36" t="s">
        <v>8702</v>
      </c>
      <c r="G537" s="36" t="s">
        <v>13</v>
      </c>
      <c r="H537" s="36" t="str">
        <f>IFERROR(VLOOKUP(Table2[[#This Row], [Ticket]],Okey!A:B,2,0),"")</f>
        <v/>
      </c>
      <c r="J537" s="36" t="s">
        <v>18</v>
      </c>
      <c r="K537" s="36" t="s">
        <v>8702</v>
      </c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8551</v>
      </c>
      <c r="D538" s="9" t="s">
        <v>3978</v>
      </c>
      <c r="F538" s="36" t="s">
        <v>8702</v>
      </c>
      <c r="G538" s="36" t="s">
        <v>13</v>
      </c>
      <c r="H538" s="36" t="str">
        <f>IFERROR(VLOOKUP(Table2[[#This Row], [Ticket]],Okey!A:B,2,0),"")</f>
        <v/>
      </c>
      <c r="J538" s="36" t="s">
        <v>18</v>
      </c>
      <c r="K538" s="36" t="s">
        <v>8702</v>
      </c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8551</v>
      </c>
      <c r="D539" s="9" t="s">
        <v>3941</v>
      </c>
      <c r="F539" s="36" t="s">
        <v>8703</v>
      </c>
      <c r="G539" s="36" t="s">
        <v>13</v>
      </c>
      <c r="H539" s="36" t="str">
        <f>IFERROR(VLOOKUP(Table2[[#This Row], [Ticket]],Okey!A:B,2,0),"")</f>
        <v/>
      </c>
      <c r="J539" s="36" t="s">
        <v>18</v>
      </c>
      <c r="K539" s="36" t="s">
        <v>8703</v>
      </c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8551</v>
      </c>
      <c r="D540" s="9" t="s">
        <v>8509</v>
      </c>
      <c r="F540" s="36" t="s">
        <v>8703</v>
      </c>
      <c r="G540" s="36" t="s">
        <v>13</v>
      </c>
      <c r="H540" s="36" t="str">
        <f>IFERROR(VLOOKUP(Table2[[#This Row], [Ticket]],Okey!A:B,2,0),"")</f>
        <v/>
      </c>
      <c r="J540" s="36" t="s">
        <v>18</v>
      </c>
      <c r="K540" s="36" t="s">
        <v>8703</v>
      </c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8551</v>
      </c>
      <c r="D541" s="9" t="s">
        <v>8510</v>
      </c>
      <c r="F541" s="36" t="s">
        <v>8704</v>
      </c>
      <c r="G541" s="36" t="s">
        <v>13</v>
      </c>
      <c r="H541" s="36" t="str">
        <f>IFERROR(VLOOKUP(Table2[[#This Row], [Ticket]],Okey!A:B,2,0),"")</f>
        <v/>
      </c>
      <c r="J541" s="36" t="s">
        <v>18</v>
      </c>
      <c r="K541" s="36" t="s">
        <v>8704</v>
      </c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8551</v>
      </c>
      <c r="D542" s="9" t="s">
        <v>8511</v>
      </c>
      <c r="F542" s="36" t="s">
        <v>8704</v>
      </c>
      <c r="G542" s="36" t="s">
        <v>13</v>
      </c>
      <c r="H542" s="36" t="str">
        <f>IFERROR(VLOOKUP(Table2[[#This Row], [Ticket]],Okey!A:B,2,0),"")</f>
        <v/>
      </c>
      <c r="J542" s="36" t="s">
        <v>18</v>
      </c>
      <c r="K542" s="36" t="s">
        <v>8704</v>
      </c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8551</v>
      </c>
      <c r="D543" s="9" t="s">
        <v>8512</v>
      </c>
      <c r="F543" s="36" t="s">
        <v>8704</v>
      </c>
      <c r="G543" s="36" t="s">
        <v>13</v>
      </c>
      <c r="H543" s="36" t="str">
        <f>IFERROR(VLOOKUP(Table2[[#This Row], [Ticket]],Okey!A:B,2,0),"")</f>
        <v/>
      </c>
      <c r="J543" s="36" t="s">
        <v>18</v>
      </c>
      <c r="K543" s="36" t="s">
        <v>8704</v>
      </c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8551</v>
      </c>
      <c r="D544" s="9" t="s">
        <v>8513</v>
      </c>
      <c r="F544" s="36" t="s">
        <v>8704</v>
      </c>
      <c r="G544" s="36" t="s">
        <v>13</v>
      </c>
      <c r="H544" s="36" t="str">
        <f>IFERROR(VLOOKUP(Table2[[#This Row], [Ticket]],Okey!A:B,2,0),"")</f>
        <v/>
      </c>
      <c r="J544" s="36" t="s">
        <v>18</v>
      </c>
      <c r="K544" s="36" t="s">
        <v>8704</v>
      </c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8551</v>
      </c>
      <c r="D545" s="9" t="s">
        <v>8514</v>
      </c>
      <c r="F545" s="36" t="s">
        <v>8704</v>
      </c>
      <c r="G545" s="36" t="s">
        <v>13</v>
      </c>
      <c r="H545" s="36" t="str">
        <f>IFERROR(VLOOKUP(Table2[[#This Row], [Ticket]],Okey!A:B,2,0),"")</f>
        <v/>
      </c>
      <c r="J545" s="36" t="s">
        <v>18</v>
      </c>
      <c r="K545" s="36" t="s">
        <v>8704</v>
      </c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8551</v>
      </c>
      <c r="D546" s="9" t="s">
        <v>8515</v>
      </c>
      <c r="F546" s="36" t="s">
        <v>8704</v>
      </c>
      <c r="G546" s="36" t="s">
        <v>13</v>
      </c>
      <c r="H546" s="36" t="str">
        <f>IFERROR(VLOOKUP(Table2[[#This Row], [Ticket]],Okey!A:B,2,0),"")</f>
        <v/>
      </c>
      <c r="J546" s="36" t="s">
        <v>18</v>
      </c>
      <c r="K546" s="36" t="s">
        <v>8704</v>
      </c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8551</v>
      </c>
      <c r="D547" s="9" t="s">
        <v>8516</v>
      </c>
      <c r="F547" s="36" t="s">
        <v>8704</v>
      </c>
      <c r="G547" s="36" t="s">
        <v>13</v>
      </c>
      <c r="H547" s="36" t="str">
        <f>IFERROR(VLOOKUP(Table2[[#This Row], [Ticket]],Okey!A:B,2,0),"")</f>
        <v/>
      </c>
      <c r="J547" s="36" t="s">
        <v>18</v>
      </c>
      <c r="K547" s="36" t="s">
        <v>8704</v>
      </c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8551</v>
      </c>
      <c r="D548" s="9" t="s">
        <v>8517</v>
      </c>
      <c r="F548" s="36" t="s">
        <v>8704</v>
      </c>
      <c r="G548" s="36" t="s">
        <v>13</v>
      </c>
      <c r="H548" s="36" t="str">
        <f>IFERROR(VLOOKUP(Table2[[#This Row], [Ticket]],Okey!A:B,2,0),"")</f>
        <v/>
      </c>
      <c r="J548" s="36" t="s">
        <v>18</v>
      </c>
      <c r="K548" s="36" t="s">
        <v>8704</v>
      </c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8551</v>
      </c>
      <c r="D549" s="9" t="s">
        <v>8518</v>
      </c>
      <c r="F549" s="36" t="s">
        <v>8704</v>
      </c>
      <c r="G549" s="36" t="s">
        <v>13</v>
      </c>
      <c r="H549" s="36" t="str">
        <f>IFERROR(VLOOKUP(Table2[[#This Row], [Ticket]],Okey!A:B,2,0),"")</f>
        <v/>
      </c>
      <c r="J549" s="36" t="s">
        <v>18</v>
      </c>
      <c r="K549" s="36" t="s">
        <v>8704</v>
      </c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8551</v>
      </c>
      <c r="D550" s="9" t="s">
        <v>8519</v>
      </c>
      <c r="F550" s="36" t="s">
        <v>8704</v>
      </c>
      <c r="G550" s="36" t="s">
        <v>13</v>
      </c>
      <c r="H550" s="36" t="str">
        <f>IFERROR(VLOOKUP(Table2[[#This Row], [Ticket]],Okey!A:B,2,0),"")</f>
        <v/>
      </c>
      <c r="J550" s="36" t="s">
        <v>18</v>
      </c>
      <c r="K550" s="36" t="s">
        <v>8704</v>
      </c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8551</v>
      </c>
      <c r="D551" s="9" t="s">
        <v>8520</v>
      </c>
      <c r="F551" s="36" t="s">
        <v>8704</v>
      </c>
      <c r="G551" s="36" t="s">
        <v>13</v>
      </c>
      <c r="H551" s="36" t="str">
        <f>IFERROR(VLOOKUP(Table2[[#This Row], [Ticket]],Okey!A:B,2,0),"")</f>
        <v/>
      </c>
      <c r="J551" s="36" t="s">
        <v>18</v>
      </c>
      <c r="K551" s="36" t="s">
        <v>8704</v>
      </c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8551</v>
      </c>
      <c r="D552" s="9" t="s">
        <v>8521</v>
      </c>
      <c r="F552" s="36" t="s">
        <v>8704</v>
      </c>
      <c r="G552" s="36" t="s">
        <v>13</v>
      </c>
      <c r="H552" s="36" t="str">
        <f>IFERROR(VLOOKUP(Table2[[#This Row], [Ticket]],Okey!A:B,2,0),"")</f>
        <v/>
      </c>
      <c r="J552" s="36" t="s">
        <v>18</v>
      </c>
      <c r="K552" s="36" t="s">
        <v>8704</v>
      </c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8551</v>
      </c>
      <c r="D553" s="9" t="s">
        <v>8522</v>
      </c>
      <c r="F553" s="36" t="s">
        <v>8704</v>
      </c>
      <c r="G553" s="36" t="s">
        <v>13</v>
      </c>
      <c r="H553" s="36" t="str">
        <f>IFERROR(VLOOKUP(Table2[[#This Row], [Ticket]],Okey!A:B,2,0),"")</f>
        <v/>
      </c>
      <c r="J553" s="36" t="s">
        <v>18</v>
      </c>
      <c r="K553" s="36" t="s">
        <v>8704</v>
      </c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8551</v>
      </c>
      <c r="D554" s="9" t="s">
        <v>8523</v>
      </c>
      <c r="F554" s="36" t="s">
        <v>8704</v>
      </c>
      <c r="G554" s="36" t="s">
        <v>13</v>
      </c>
      <c r="H554" s="36" t="str">
        <f>IFERROR(VLOOKUP(Table2[[#This Row], [Ticket]],Okey!A:B,2,0),"")</f>
        <v/>
      </c>
      <c r="J554" s="36" t="s">
        <v>18</v>
      </c>
      <c r="K554" s="36" t="s">
        <v>8704</v>
      </c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8551</v>
      </c>
      <c r="D555" s="9" t="s">
        <v>8524</v>
      </c>
      <c r="F555" s="36" t="s">
        <v>8704</v>
      </c>
      <c r="G555" s="36" t="s">
        <v>13</v>
      </c>
      <c r="H555" s="36" t="str">
        <f>IFERROR(VLOOKUP(Table2[[#This Row], [Ticket]],Okey!A:B,2,0),"")</f>
        <v/>
      </c>
      <c r="J555" s="36" t="s">
        <v>18</v>
      </c>
      <c r="K555" s="36" t="s">
        <v>8704</v>
      </c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8551</v>
      </c>
      <c r="D556" s="9" t="s">
        <v>8525</v>
      </c>
      <c r="F556" s="36" t="s">
        <v>8704</v>
      </c>
      <c r="G556" s="36" t="s">
        <v>13</v>
      </c>
      <c r="H556" s="36" t="str">
        <f>IFERROR(VLOOKUP(Table2[[#This Row], [Ticket]],Okey!A:B,2,0),"")</f>
        <v/>
      </c>
      <c r="J556" s="36" t="s">
        <v>18</v>
      </c>
      <c r="K556" s="36" t="s">
        <v>8704</v>
      </c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8551</v>
      </c>
      <c r="D557" s="9" t="s">
        <v>8526</v>
      </c>
      <c r="F557" s="36" t="s">
        <v>8704</v>
      </c>
      <c r="G557" s="36" t="s">
        <v>13</v>
      </c>
      <c r="H557" s="36" t="str">
        <f>IFERROR(VLOOKUP(Table2[[#This Row], [Ticket]],Okey!A:B,2,0),"")</f>
        <v/>
      </c>
      <c r="J557" s="36" t="s">
        <v>18</v>
      </c>
      <c r="K557" s="36" t="s">
        <v>8704</v>
      </c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8551</v>
      </c>
      <c r="D558" s="9" t="s">
        <v>8527</v>
      </c>
      <c r="F558" s="36" t="s">
        <v>8704</v>
      </c>
      <c r="G558" s="36" t="s">
        <v>13</v>
      </c>
      <c r="H558" s="36" t="str">
        <f>IFERROR(VLOOKUP(Table2[[#This Row], [Ticket]],Okey!A:B,2,0),"")</f>
        <v/>
      </c>
      <c r="J558" s="36" t="s">
        <v>18</v>
      </c>
      <c r="K558" s="36" t="s">
        <v>8704</v>
      </c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8551</v>
      </c>
      <c r="D559" s="9" t="s">
        <v>8528</v>
      </c>
      <c r="F559" s="36" t="s">
        <v>8704</v>
      </c>
      <c r="G559" s="36" t="s">
        <v>13</v>
      </c>
      <c r="H559" s="36" t="str">
        <f>IFERROR(VLOOKUP(Table2[[#This Row], [Ticket]],Okey!A:B,2,0),"")</f>
        <v/>
      </c>
      <c r="J559" s="36" t="s">
        <v>18</v>
      </c>
      <c r="K559" s="36" t="s">
        <v>8704</v>
      </c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8551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/>
      </c>
      <c r="J560" s="36" t="s">
        <v>18</v>
      </c>
      <c r="K560" s="36" t="s">
        <v>6567</v>
      </c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8551</v>
      </c>
      <c r="D561" s="9" t="s">
        <v>5984</v>
      </c>
      <c r="F561" s="9" t="s">
        <v>8401</v>
      </c>
      <c r="G561" s="36" t="s">
        <v>13</v>
      </c>
      <c r="H561" s="36" t="str">
        <f>IFERROR(VLOOKUP(Table2[[#This Row], [Ticket]],Okey!A:B,2,0),"")</f>
        <v/>
      </c>
      <c r="J561" s="36" t="s">
        <v>18</v>
      </c>
      <c r="K561" s="36" t="s">
        <v>6567</v>
      </c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8551</v>
      </c>
      <c r="D562" s="9" t="s">
        <v>8529</v>
      </c>
      <c r="F562" s="9" t="s">
        <v>8401</v>
      </c>
      <c r="G562" s="36" t="s">
        <v>13</v>
      </c>
      <c r="H562" s="36" t="str">
        <f>IFERROR(VLOOKUP(Table2[[#This Row], [Ticket]],Okey!A:B,2,0),"")</f>
        <v/>
      </c>
      <c r="J562" s="36" t="s">
        <v>18</v>
      </c>
      <c r="K562" s="36" t="s">
        <v>6567</v>
      </c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8551</v>
      </c>
      <c r="D563" s="9" t="s">
        <v>8530</v>
      </c>
      <c r="F563" s="9" t="s">
        <v>8401</v>
      </c>
      <c r="G563" s="36" t="s">
        <v>13</v>
      </c>
      <c r="H563" s="36" t="str">
        <f>IFERROR(VLOOKUP(Table2[[#This Row], [Ticket]],Okey!A:B,2,0),"")</f>
        <v/>
      </c>
      <c r="J563" s="36" t="s">
        <v>18</v>
      </c>
      <c r="K563" s="36" t="s">
        <v>6567</v>
      </c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8551</v>
      </c>
      <c r="D564" s="9" t="s">
        <v>8531</v>
      </c>
      <c r="F564" s="9" t="s">
        <v>5540</v>
      </c>
      <c r="G564" s="36" t="s">
        <v>13</v>
      </c>
      <c r="H564" s="36" t="str">
        <f>IFERROR(VLOOKUP(Table2[[#This Row], [Ticket]],Okey!A:B,2,0),"")</f>
        <v/>
      </c>
      <c r="J564" s="36" t="s">
        <v>18</v>
      </c>
      <c r="K564" s="36" t="s">
        <v>6567</v>
      </c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8551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/>
      </c>
      <c r="J565" s="36" t="s">
        <v>18</v>
      </c>
      <c r="K565" s="36" t="s">
        <v>6567</v>
      </c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8551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/>
      </c>
      <c r="J566" s="36" t="s">
        <v>18</v>
      </c>
      <c r="K566" s="36" t="s">
        <v>6567</v>
      </c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8551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/>
      </c>
      <c r="J567" s="36" t="s">
        <v>18</v>
      </c>
      <c r="K567" s="36" t="s">
        <v>6567</v>
      </c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8551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/>
      </c>
      <c r="J568" s="36" t="s">
        <v>18</v>
      </c>
      <c r="K568" s="36" t="s">
        <v>6567</v>
      </c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8551</v>
      </c>
      <c r="D569" s="9" t="s">
        <v>8532</v>
      </c>
      <c r="F569" s="9" t="s">
        <v>5597</v>
      </c>
      <c r="G569" s="9" t="s">
        <v>8552</v>
      </c>
      <c r="H569" s="36" t="str">
        <f>IFERROR(VLOOKUP(Table2[[#This Row], [Ticket]],Okey!A:B,2,0),"")</f>
        <v/>
      </c>
      <c r="J569" s="36" t="s">
        <v>18</v>
      </c>
      <c r="K569" s="36" t="s">
        <v>6567</v>
      </c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8551</v>
      </c>
      <c r="D570" s="9" t="s">
        <v>3360</v>
      </c>
      <c r="F570" s="9" t="s">
        <v>6029</v>
      </c>
      <c r="G570" s="36" t="s">
        <v>8552</v>
      </c>
      <c r="H570" s="36" t="str">
        <f>IFERROR(VLOOKUP(Table2[[#This Row], [Ticket]],Okey!A:B,2,0),"")</f>
        <v/>
      </c>
      <c r="J570" s="36" t="s">
        <v>18</v>
      </c>
      <c r="K570" s="36" t="s">
        <v>6567</v>
      </c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8551</v>
      </c>
      <c r="D571" s="9" t="s">
        <v>8533</v>
      </c>
      <c r="F571" s="36" t="s">
        <v>6029</v>
      </c>
      <c r="G571" s="36" t="s">
        <v>8552</v>
      </c>
      <c r="H571" s="36" t="str">
        <f>IFERROR(VLOOKUP(Table2[[#This Row], [Ticket]],Okey!A:B,2,0),"")</f>
        <v/>
      </c>
      <c r="J571" s="36" t="s">
        <v>18</v>
      </c>
      <c r="K571" s="36" t="s">
        <v>6567</v>
      </c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8551</v>
      </c>
      <c r="D572" s="9" t="s">
        <v>6532</v>
      </c>
      <c r="F572" s="36" t="s">
        <v>6029</v>
      </c>
      <c r="G572" s="36" t="s">
        <v>8552</v>
      </c>
      <c r="H572" s="36" t="str">
        <f>IFERROR(VLOOKUP(Table2[[#This Row], [Ticket]],Okey!A:B,2,0),"")</f>
        <v/>
      </c>
      <c r="J572" s="36" t="s">
        <v>18</v>
      </c>
      <c r="K572" s="36" t="s">
        <v>6567</v>
      </c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8551</v>
      </c>
      <c r="D573" s="9" t="s">
        <v>6530</v>
      </c>
      <c r="F573" s="36" t="s">
        <v>6029</v>
      </c>
      <c r="G573" s="36" t="s">
        <v>8552</v>
      </c>
      <c r="H573" s="36" t="str">
        <f>IFERROR(VLOOKUP(Table2[[#This Row], [Ticket]],Okey!A:B,2,0),"")</f>
        <v/>
      </c>
      <c r="J573" s="36" t="s">
        <v>18</v>
      </c>
      <c r="K573" s="36" t="s">
        <v>6567</v>
      </c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8551</v>
      </c>
      <c r="D574" s="9" t="s">
        <v>8534</v>
      </c>
      <c r="F574" s="36" t="s">
        <v>6029</v>
      </c>
      <c r="G574" s="36" t="s">
        <v>8552</v>
      </c>
      <c r="H574" s="36" t="str">
        <f>IFERROR(VLOOKUP(Table2[[#This Row], [Ticket]],Okey!A:B,2,0),"")</f>
        <v/>
      </c>
      <c r="J574" s="36" t="s">
        <v>18</v>
      </c>
      <c r="K574" s="36" t="s">
        <v>6567</v>
      </c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8551</v>
      </c>
      <c r="D575" s="9" t="s">
        <v>8535</v>
      </c>
      <c r="F575" s="36" t="s">
        <v>6029</v>
      </c>
      <c r="G575" s="36" t="s">
        <v>8552</v>
      </c>
      <c r="H575" s="36" t="str">
        <f>IFERROR(VLOOKUP(Table2[[#This Row], [Ticket]],Okey!A:B,2,0),"")</f>
        <v/>
      </c>
      <c r="J575" s="36" t="s">
        <v>18</v>
      </c>
      <c r="K575" s="36" t="s">
        <v>6567</v>
      </c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8551</v>
      </c>
      <c r="D576" s="9" t="s">
        <v>8536</v>
      </c>
      <c r="F576" s="36" t="s">
        <v>6029</v>
      </c>
      <c r="G576" s="36" t="s">
        <v>8552</v>
      </c>
      <c r="H576" s="36" t="str">
        <f>IFERROR(VLOOKUP(Table2[[#This Row], [Ticket]],Okey!A:B,2,0),"")</f>
        <v/>
      </c>
      <c r="J576" s="36" t="s">
        <v>18</v>
      </c>
      <c r="K576" s="36" t="s">
        <v>6567</v>
      </c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8551</v>
      </c>
      <c r="D577" s="9" t="s">
        <v>8537</v>
      </c>
      <c r="F577" s="36" t="s">
        <v>6029</v>
      </c>
      <c r="G577" s="36" t="s">
        <v>8552</v>
      </c>
      <c r="H577" s="36" t="str">
        <f>IFERROR(VLOOKUP(Table2[[#This Row], [Ticket]],Okey!A:B,2,0),"")</f>
        <v/>
      </c>
      <c r="J577" s="36" t="s">
        <v>18</v>
      </c>
      <c r="K577" s="36" t="s">
        <v>6567</v>
      </c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8551</v>
      </c>
      <c r="D578" s="9" t="s">
        <v>8538</v>
      </c>
      <c r="F578" s="36" t="s">
        <v>6029</v>
      </c>
      <c r="G578" s="36" t="s">
        <v>8552</v>
      </c>
      <c r="H578" s="36" t="str">
        <f>IFERROR(VLOOKUP(Table2[[#This Row], [Ticket]],Okey!A:B,2,0),"")</f>
        <v/>
      </c>
      <c r="J578" s="36" t="s">
        <v>18</v>
      </c>
      <c r="K578" s="36" t="s">
        <v>6567</v>
      </c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8551</v>
      </c>
      <c r="D579" s="9" t="s">
        <v>8539</v>
      </c>
      <c r="F579" s="36" t="s">
        <v>6029</v>
      </c>
      <c r="G579" s="36" t="s">
        <v>8552</v>
      </c>
      <c r="H579" s="36" t="str">
        <f>IFERROR(VLOOKUP(Table2[[#This Row], [Ticket]],Okey!A:B,2,0),"")</f>
        <v/>
      </c>
      <c r="J579" s="36" t="s">
        <v>18</v>
      </c>
      <c r="K579" s="36" t="s">
        <v>6567</v>
      </c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8551</v>
      </c>
      <c r="D580" s="9" t="s">
        <v>8540</v>
      </c>
      <c r="F580" s="36" t="s">
        <v>6029</v>
      </c>
      <c r="G580" s="36" t="s">
        <v>8552</v>
      </c>
      <c r="H580" s="36" t="str">
        <f>IFERROR(VLOOKUP(Table2[[#This Row], [Ticket]],Okey!A:B,2,0),"")</f>
        <v/>
      </c>
      <c r="J580" s="36" t="s">
        <v>18</v>
      </c>
      <c r="K580" s="36" t="s">
        <v>6567</v>
      </c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8551</v>
      </c>
      <c r="D581" s="9" t="s">
        <v>8541</v>
      </c>
      <c r="F581" s="36" t="s">
        <v>6029</v>
      </c>
      <c r="G581" s="36" t="s">
        <v>8552</v>
      </c>
      <c r="H581" s="36" t="str">
        <f>IFERROR(VLOOKUP(Table2[[#This Row], [Ticket]],Okey!A:B,2,0),"")</f>
        <v/>
      </c>
      <c r="J581" s="36" t="s">
        <v>18</v>
      </c>
      <c r="K581" s="36" t="s">
        <v>6567</v>
      </c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8551</v>
      </c>
      <c r="D582" s="9" t="s">
        <v>8542</v>
      </c>
      <c r="F582" s="36" t="s">
        <v>6029</v>
      </c>
      <c r="G582" s="36" t="s">
        <v>8552</v>
      </c>
      <c r="H582" s="36" t="str">
        <f>IFERROR(VLOOKUP(Table2[[#This Row], [Ticket]],Okey!A:B,2,0),"")</f>
        <v/>
      </c>
      <c r="J582" s="36" t="s">
        <v>18</v>
      </c>
      <c r="K582" s="36" t="s">
        <v>6567</v>
      </c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8551</v>
      </c>
      <c r="D583" s="9" t="s">
        <v>8543</v>
      </c>
      <c r="F583" s="36" t="s">
        <v>6029</v>
      </c>
      <c r="G583" s="36" t="s">
        <v>8552</v>
      </c>
      <c r="H583" s="36" t="str">
        <f>IFERROR(VLOOKUP(Table2[[#This Row], [Ticket]],Okey!A:B,2,0),"")</f>
        <v/>
      </c>
      <c r="J583" s="36" t="s">
        <v>18</v>
      </c>
      <c r="K583" s="36" t="s">
        <v>6567</v>
      </c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8551</v>
      </c>
      <c r="D584" s="9" t="s">
        <v>8544</v>
      </c>
      <c r="F584" s="36" t="s">
        <v>6029</v>
      </c>
      <c r="G584" s="36" t="s">
        <v>8552</v>
      </c>
      <c r="H584" s="36" t="str">
        <f>IFERROR(VLOOKUP(Table2[[#This Row], [Ticket]],Okey!A:B,2,0),"")</f>
        <v/>
      </c>
      <c r="J584" s="36" t="s">
        <v>18</v>
      </c>
      <c r="K584" s="36" t="s">
        <v>6567</v>
      </c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8551</v>
      </c>
      <c r="D585" s="9" t="s">
        <v>8545</v>
      </c>
      <c r="F585" s="36" t="s">
        <v>6029</v>
      </c>
      <c r="G585" s="36" t="s">
        <v>8552</v>
      </c>
      <c r="H585" s="36" t="str">
        <f>IFERROR(VLOOKUP(Table2[[#This Row], [Ticket]],Okey!A:B,2,0),"")</f>
        <v/>
      </c>
      <c r="J585" s="36" t="s">
        <v>18</v>
      </c>
      <c r="K585" s="36" t="s">
        <v>6567</v>
      </c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8551</v>
      </c>
      <c r="D586" s="9" t="s">
        <v>8546</v>
      </c>
      <c r="F586" s="36" t="s">
        <v>6029</v>
      </c>
      <c r="G586" s="36" t="s">
        <v>8552</v>
      </c>
      <c r="H586" s="36" t="str">
        <f>IFERROR(VLOOKUP(Table2[[#This Row], [Ticket]],Okey!A:B,2,0),"")</f>
        <v/>
      </c>
      <c r="J586" s="36" t="s">
        <v>18</v>
      </c>
      <c r="K586" s="36" t="s">
        <v>6567</v>
      </c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8551</v>
      </c>
      <c r="D587" s="9" t="s">
        <v>8547</v>
      </c>
      <c r="F587" s="36" t="s">
        <v>6029</v>
      </c>
      <c r="G587" s="36" t="s">
        <v>8552</v>
      </c>
      <c r="H587" s="36" t="str">
        <f>IFERROR(VLOOKUP(Table2[[#This Row], [Ticket]],Okey!A:B,2,0),"")</f>
        <v/>
      </c>
      <c r="J587" s="36" t="s">
        <v>18</v>
      </c>
      <c r="K587" s="36" t="s">
        <v>6567</v>
      </c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8551</v>
      </c>
      <c r="D588" s="9" t="s">
        <v>8548</v>
      </c>
      <c r="F588" s="36" t="s">
        <v>6029</v>
      </c>
      <c r="G588" s="36" t="s">
        <v>8552</v>
      </c>
      <c r="H588" s="36" t="str">
        <f>IFERROR(VLOOKUP(Table2[[#This Row], [Ticket]],Okey!A:B,2,0),"")</f>
        <v/>
      </c>
      <c r="J588" s="36" t="s">
        <v>18</v>
      </c>
      <c r="K588" s="36" t="s">
        <v>6567</v>
      </c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8551</v>
      </c>
      <c r="D589" s="9" t="s">
        <v>8549</v>
      </c>
      <c r="F589" s="36" t="s">
        <v>6029</v>
      </c>
      <c r="G589" s="36" t="s">
        <v>8552</v>
      </c>
      <c r="H589" s="36" t="str">
        <f>IFERROR(VLOOKUP(Table2[[#This Row], [Ticket]],Okey!A:B,2,0),"")</f>
        <v/>
      </c>
      <c r="J589" s="36" t="s">
        <v>18</v>
      </c>
      <c r="K589" s="36" t="s">
        <v>6567</v>
      </c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8551</v>
      </c>
      <c r="D590" s="9" t="s">
        <v>8550</v>
      </c>
      <c r="F590" s="36" t="s">
        <v>6029</v>
      </c>
      <c r="G590" s="36" t="s">
        <v>8552</v>
      </c>
      <c r="H590" s="36" t="str">
        <f>IFERROR(VLOOKUP(Table2[[#This Row], [Ticket]],Okey!A:B,2,0),"")</f>
        <v/>
      </c>
      <c r="J590" s="36" t="s">
        <v>18</v>
      </c>
      <c r="K590" s="36" t="s">
        <v>6567</v>
      </c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8553</v>
      </c>
      <c r="D591" s="36" t="s">
        <v>8115</v>
      </c>
      <c r="F591" s="36" t="s">
        <v>275</v>
      </c>
      <c r="G591" s="36" t="s">
        <v>8552</v>
      </c>
      <c r="H591" s="36" t="str">
        <f>IFERROR(VLOOKUP(Table2[[#This Row], [Ticket]],Okey!A:B,2,0),"")</f>
        <v/>
      </c>
      <c r="J591" s="9" t="s">
        <v>19</v>
      </c>
      <c r="K591" s="36" t="s">
        <v>8707</v>
      </c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8553</v>
      </c>
      <c r="D592" s="36" t="s">
        <v>7920</v>
      </c>
      <c r="F592" s="36" t="s">
        <v>275</v>
      </c>
      <c r="G592" s="36" t="s">
        <v>8552</v>
      </c>
      <c r="H592" s="36" t="str">
        <f>IFERROR(VLOOKUP(Table2[[#This Row], [Ticket]],Okey!A:B,2,0),"")</f>
        <v/>
      </c>
      <c r="J592" s="36" t="s">
        <v>19</v>
      </c>
      <c r="K592" s="36" t="s">
        <v>8707</v>
      </c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8553</v>
      </c>
      <c r="D593" s="36" t="s">
        <v>8117</v>
      </c>
      <c r="F593" s="36" t="s">
        <v>275</v>
      </c>
      <c r="G593" s="36" t="s">
        <v>8552</v>
      </c>
      <c r="H593" s="36" t="str">
        <f>IFERROR(VLOOKUP(Table2[[#This Row], [Ticket]],Okey!A:B,2,0),"")</f>
        <v/>
      </c>
      <c r="J593" s="36" t="s">
        <v>19</v>
      </c>
      <c r="K593" s="36" t="s">
        <v>8707</v>
      </c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8709</v>
      </c>
      <c r="D594" s="68" t="s">
        <v>7911</v>
      </c>
      <c r="F594" s="69" t="s">
        <v>8708</v>
      </c>
      <c r="G594" s="36" t="s">
        <v>13</v>
      </c>
      <c r="H594" s="36" t="str">
        <f>IFERROR(VLOOKUP(Table2[[#This Row], [Ticket]],Okey!A:B,2,0),"")</f>
        <v/>
      </c>
      <c r="J594" s="9" t="s">
        <v>19</v>
      </c>
      <c r="K594" s="36" t="s">
        <v>6567</v>
      </c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8715</v>
      </c>
      <c r="D595" s="9" t="s">
        <v>8710</v>
      </c>
      <c r="E595" s="38" t="s">
        <v>8711</v>
      </c>
      <c r="G595" s="9" t="s">
        <v>15</v>
      </c>
      <c r="H595" s="36" t="str">
        <f>IFERROR(VLOOKUP(Table2[[#This Row], [Ticket]],Okey!A:B,2,0),"")</f>
        <v/>
      </c>
      <c r="K595" s="9" t="s">
        <v>7857</v>
      </c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8715</v>
      </c>
      <c r="D596" s="36" t="s">
        <v>8868</v>
      </c>
      <c r="E596" s="9" t="s">
        <v>8712</v>
      </c>
      <c r="F596" s="9" t="s">
        <v>8710</v>
      </c>
      <c r="G596" s="9" t="s">
        <v>14</v>
      </c>
      <c r="H596" s="36" t="str">
        <f>IFERROR(VLOOKUP(Table2[[#This Row], [Ticket]],Okey!A:B,2,0),"")</f>
        <v/>
      </c>
      <c r="K596" s="9" t="s">
        <v>8705</v>
      </c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8715</v>
      </c>
      <c r="D597" s="36" t="s">
        <v>8869</v>
      </c>
      <c r="E597" s="9" t="s">
        <v>8713</v>
      </c>
      <c r="F597" s="9" t="s">
        <v>8710</v>
      </c>
      <c r="G597" s="36" t="s">
        <v>14</v>
      </c>
      <c r="H597" s="36" t="str">
        <f>IFERROR(VLOOKUP(Table2[[#This Row], [Ticket]],Okey!A:B,2,0),"")</f>
        <v/>
      </c>
      <c r="K597" s="36" t="s">
        <v>8705</v>
      </c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8715</v>
      </c>
      <c r="D598" s="36" t="s">
        <v>8870</v>
      </c>
      <c r="E598" s="9" t="s">
        <v>8714</v>
      </c>
      <c r="F598" s="9" t="s">
        <v>8710</v>
      </c>
      <c r="G598" s="36" t="s">
        <v>14</v>
      </c>
      <c r="H598" s="36" t="str">
        <f>IFERROR(VLOOKUP(Table2[[#This Row], [Ticket]],Okey!A:B,2,0),"")</f>
        <v/>
      </c>
      <c r="K598" s="36" t="s">
        <v>8705</v>
      </c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8716</v>
      </c>
      <c r="D599" s="9" t="s">
        <v>8871</v>
      </c>
      <c r="E599" s="9" t="s">
        <v>8717</v>
      </c>
      <c r="F599" s="9" t="s">
        <v>3655</v>
      </c>
      <c r="G599" s="36" t="s">
        <v>14</v>
      </c>
      <c r="H599" s="36" t="str">
        <f>IFERROR(VLOOKUP(Table2[[#This Row], [Ticket]],Okey!A:B,2,0),"")</f>
        <v/>
      </c>
      <c r="K599" s="36" t="s">
        <v>8705</v>
      </c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8718</v>
      </c>
      <c r="D600" s="36" t="s">
        <v>8872</v>
      </c>
      <c r="E600" s="9" t="s">
        <v>8719</v>
      </c>
      <c r="F600" s="9" t="s">
        <v>3167</v>
      </c>
      <c r="G600" s="36" t="s">
        <v>14</v>
      </c>
      <c r="H600" s="36" t="str">
        <f>IFERROR(VLOOKUP(Table2[[#This Row], [Ticket]],Okey!A:B,2,0),"")</f>
        <v/>
      </c>
      <c r="K600" s="36" t="s">
        <v>8705</v>
      </c>
      <c r="M600" s="9" t="s">
        <v>8016</v>
      </c>
    </row>
    <row r="601" spans="1:13" hidden="1">
      <c r="A601" s="42">
        <f t="shared" si="10"/>
        <v>600</v>
      </c>
      <c r="B601" s="36" t="s">
        <v>6</v>
      </c>
      <c r="C601" s="36" t="s">
        <v>8718</v>
      </c>
      <c r="D601" s="9" t="s">
        <v>8873</v>
      </c>
      <c r="E601" s="9" t="s">
        <v>8720</v>
      </c>
      <c r="F601" s="9" t="s">
        <v>8051</v>
      </c>
      <c r="G601" s="36" t="s">
        <v>14</v>
      </c>
      <c r="H601" s="36" t="str">
        <f>IFERROR(VLOOKUP(Table2[[#This Row], [Ticket]],Okey!A:B,2,0),"")</f>
        <v/>
      </c>
      <c r="K601" s="36" t="s">
        <v>8705</v>
      </c>
      <c r="M601" s="36" t="s">
        <v>8016</v>
      </c>
    </row>
    <row r="602" spans="1:13" hidden="1">
      <c r="A602" s="42">
        <f t="shared" si="10"/>
        <v>601</v>
      </c>
      <c r="B602" s="36" t="s">
        <v>6</v>
      </c>
      <c r="C602" s="36" t="s">
        <v>8718</v>
      </c>
      <c r="D602" s="9" t="s">
        <v>8874</v>
      </c>
      <c r="E602" s="9" t="s">
        <v>8721</v>
      </c>
      <c r="F602" s="9" t="s">
        <v>4301</v>
      </c>
      <c r="G602" s="36" t="s">
        <v>14</v>
      </c>
      <c r="H602" s="36" t="str">
        <f>IFERROR(VLOOKUP(Table2[[#This Row], [Ticket]],Okey!A:B,2,0),"")</f>
        <v/>
      </c>
      <c r="K602" s="36" t="s">
        <v>8705</v>
      </c>
      <c r="M602" s="36" t="s">
        <v>8016</v>
      </c>
    </row>
    <row r="603" spans="1:13" hidden="1">
      <c r="A603" s="42">
        <f t="shared" si="10"/>
        <v>602</v>
      </c>
      <c r="B603" s="36" t="s">
        <v>6</v>
      </c>
      <c r="C603" s="36" t="s">
        <v>8718</v>
      </c>
      <c r="D603" s="9" t="s">
        <v>8875</v>
      </c>
      <c r="E603" s="9" t="s">
        <v>8722</v>
      </c>
      <c r="F603" s="9" t="s">
        <v>8035</v>
      </c>
      <c r="G603" s="36" t="s">
        <v>14</v>
      </c>
      <c r="H603" s="36" t="str">
        <f>IFERROR(VLOOKUP(Table2[[#This Row], [Ticket]],Okey!A:B,2,0),"")</f>
        <v/>
      </c>
      <c r="K603" s="36" t="s">
        <v>8705</v>
      </c>
      <c r="M603" s="36" t="s">
        <v>8016</v>
      </c>
    </row>
    <row r="604" spans="1:13" hidden="1">
      <c r="A604" s="42">
        <f t="shared" si="10"/>
        <v>603</v>
      </c>
      <c r="B604" s="36" t="s">
        <v>6</v>
      </c>
      <c r="C604" s="36" t="s">
        <v>8718</v>
      </c>
      <c r="D604" s="9" t="s">
        <v>8876</v>
      </c>
      <c r="E604" s="9" t="s">
        <v>8723</v>
      </c>
      <c r="F604" s="9" t="s">
        <v>2653</v>
      </c>
      <c r="G604" s="36" t="s">
        <v>14</v>
      </c>
      <c r="H604" s="36" t="str">
        <f>IFERROR(VLOOKUP(Table2[[#This Row], [Ticket]],Okey!A:B,2,0),"")</f>
        <v/>
      </c>
      <c r="K604" s="36" t="s">
        <v>8705</v>
      </c>
      <c r="M604" s="36" t="s">
        <v>8016</v>
      </c>
    </row>
    <row r="605" spans="1:13" hidden="1">
      <c r="A605" s="42">
        <f t="shared" si="10"/>
        <v>604</v>
      </c>
      <c r="B605" s="36" t="s">
        <v>6</v>
      </c>
      <c r="C605" s="36" t="s">
        <v>8718</v>
      </c>
      <c r="D605" s="9" t="s">
        <v>8877</v>
      </c>
      <c r="E605" s="9" t="s">
        <v>8724</v>
      </c>
      <c r="F605" s="9" t="s">
        <v>2653</v>
      </c>
      <c r="G605" s="36" t="s">
        <v>14</v>
      </c>
      <c r="H605" s="36" t="str">
        <f>IFERROR(VLOOKUP(Table2[[#This Row], [Ticket]],Okey!A:B,2,0),"")</f>
        <v/>
      </c>
      <c r="K605" s="36" t="s">
        <v>8705</v>
      </c>
      <c r="M605" s="36" t="s">
        <v>8016</v>
      </c>
    </row>
    <row r="606" spans="1:13" hidden="1">
      <c r="A606" s="42">
        <f t="shared" si="10"/>
        <v>605</v>
      </c>
      <c r="B606" s="36" t="s">
        <v>6</v>
      </c>
      <c r="C606" s="36" t="s">
        <v>8718</v>
      </c>
      <c r="D606" s="9" t="s">
        <v>8878</v>
      </c>
      <c r="E606" s="9" t="s">
        <v>8725</v>
      </c>
      <c r="F606" s="9" t="s">
        <v>2653</v>
      </c>
      <c r="G606" s="36" t="s">
        <v>14</v>
      </c>
      <c r="H606" s="36" t="str">
        <f>IFERROR(VLOOKUP(Table2[[#This Row], [Ticket]],Okey!A:B,2,0),"")</f>
        <v/>
      </c>
      <c r="K606" s="36" t="s">
        <v>8705</v>
      </c>
      <c r="M606" s="36" t="s">
        <v>8016</v>
      </c>
    </row>
    <row r="607" spans="1:13" hidden="1">
      <c r="A607" s="42">
        <f t="shared" si="10"/>
        <v>606</v>
      </c>
      <c r="B607" s="36" t="s">
        <v>6</v>
      </c>
      <c r="C607" s="36" t="s">
        <v>8718</v>
      </c>
      <c r="D607" s="9" t="s">
        <v>8879</v>
      </c>
      <c r="E607" s="9" t="s">
        <v>8726</v>
      </c>
      <c r="F607" s="9" t="s">
        <v>2653</v>
      </c>
      <c r="G607" s="36" t="s">
        <v>14</v>
      </c>
      <c r="H607" s="36" t="str">
        <f>IFERROR(VLOOKUP(Table2[[#This Row], [Ticket]],Okey!A:B,2,0),"")</f>
        <v/>
      </c>
      <c r="K607" s="36" t="s">
        <v>8705</v>
      </c>
      <c r="M607" s="36" t="s">
        <v>8016</v>
      </c>
    </row>
    <row r="608" spans="1:13" hidden="1">
      <c r="A608" s="42">
        <f t="shared" si="10"/>
        <v>607</v>
      </c>
      <c r="B608" s="36" t="s">
        <v>6</v>
      </c>
      <c r="C608" s="36" t="s">
        <v>8718</v>
      </c>
      <c r="D608" s="9" t="s">
        <v>8880</v>
      </c>
      <c r="E608" s="9" t="s">
        <v>8727</v>
      </c>
      <c r="F608" s="9" t="s">
        <v>2653</v>
      </c>
      <c r="G608" s="36" t="s">
        <v>14</v>
      </c>
      <c r="H608" s="36" t="str">
        <f>IFERROR(VLOOKUP(Table2[[#This Row], [Ticket]],Okey!A:B,2,0),"")</f>
        <v/>
      </c>
      <c r="K608" s="36" t="s">
        <v>8705</v>
      </c>
      <c r="M608" s="36" t="s">
        <v>8016</v>
      </c>
    </row>
    <row r="609" spans="1:13" hidden="1">
      <c r="A609" s="42">
        <f t="shared" si="10"/>
        <v>608</v>
      </c>
      <c r="B609" s="36" t="s">
        <v>6</v>
      </c>
      <c r="C609" s="36" t="s">
        <v>8718</v>
      </c>
      <c r="D609" s="9" t="s">
        <v>8881</v>
      </c>
      <c r="E609" s="9" t="s">
        <v>8728</v>
      </c>
      <c r="F609" s="9" t="s">
        <v>8784</v>
      </c>
      <c r="G609" s="36" t="s">
        <v>14</v>
      </c>
      <c r="H609" s="36" t="str">
        <f>IFERROR(VLOOKUP(Table2[[#This Row], [Ticket]],Okey!A:B,2,0),"")</f>
        <v/>
      </c>
      <c r="K609" s="36" t="s">
        <v>8705</v>
      </c>
      <c r="M609" s="36" t="s">
        <v>8016</v>
      </c>
    </row>
    <row r="610" spans="1:13" hidden="1">
      <c r="A610" s="42">
        <f t="shared" si="10"/>
        <v>609</v>
      </c>
      <c r="B610" s="36" t="s">
        <v>6</v>
      </c>
      <c r="C610" s="36" t="s">
        <v>8718</v>
      </c>
      <c r="D610" s="9" t="s">
        <v>8882</v>
      </c>
      <c r="E610" s="9" t="s">
        <v>8729</v>
      </c>
      <c r="F610" s="9" t="s">
        <v>2551</v>
      </c>
      <c r="G610" s="36" t="s">
        <v>14</v>
      </c>
      <c r="H610" s="36" t="str">
        <f>IFERROR(VLOOKUP(Table2[[#This Row], [Ticket]],Okey!A:B,2,0),"")</f>
        <v/>
      </c>
      <c r="K610" s="36" t="s">
        <v>8705</v>
      </c>
      <c r="M610" s="36" t="s">
        <v>8016</v>
      </c>
    </row>
    <row r="611" spans="1:13" hidden="1">
      <c r="A611" s="42">
        <f t="shared" si="10"/>
        <v>610</v>
      </c>
      <c r="B611" s="36" t="s">
        <v>6</v>
      </c>
      <c r="C611" s="36" t="s">
        <v>8718</v>
      </c>
      <c r="D611" s="9" t="s">
        <v>8883</v>
      </c>
      <c r="E611" s="9" t="s">
        <v>8730</v>
      </c>
      <c r="F611" s="9" t="s">
        <v>2234</v>
      </c>
      <c r="G611" s="36" t="s">
        <v>14</v>
      </c>
      <c r="H611" s="36" t="str">
        <f>IFERROR(VLOOKUP(Table2[[#This Row], [Ticket]],Okey!A:B,2,0),"")</f>
        <v/>
      </c>
      <c r="K611" s="36" t="s">
        <v>8705</v>
      </c>
      <c r="M611" s="36" t="s">
        <v>8016</v>
      </c>
    </row>
    <row r="612" spans="1:13" hidden="1">
      <c r="A612" s="42">
        <f t="shared" si="10"/>
        <v>611</v>
      </c>
      <c r="B612" s="36" t="s">
        <v>6</v>
      </c>
      <c r="C612" s="36" t="s">
        <v>8718</v>
      </c>
      <c r="D612" s="9" t="s">
        <v>8884</v>
      </c>
      <c r="E612" s="9" t="s">
        <v>8731</v>
      </c>
      <c r="F612" s="9" t="s">
        <v>2203</v>
      </c>
      <c r="G612" s="36" t="s">
        <v>14</v>
      </c>
      <c r="H612" s="36" t="str">
        <f>IFERROR(VLOOKUP(Table2[[#This Row], [Ticket]],Okey!A:B,2,0),"")</f>
        <v/>
      </c>
      <c r="K612" s="36" t="s">
        <v>8705</v>
      </c>
      <c r="M612" s="36" t="s">
        <v>8016</v>
      </c>
    </row>
    <row r="613" spans="1:13" hidden="1">
      <c r="A613" s="42">
        <f t="shared" si="10"/>
        <v>612</v>
      </c>
      <c r="B613" s="36" t="s">
        <v>6</v>
      </c>
      <c r="C613" s="36" t="s">
        <v>8718</v>
      </c>
      <c r="D613" s="9" t="s">
        <v>8885</v>
      </c>
      <c r="E613" s="9" t="s">
        <v>8732</v>
      </c>
      <c r="F613" s="9" t="s">
        <v>5238</v>
      </c>
      <c r="G613" s="36" t="s">
        <v>14</v>
      </c>
      <c r="H613" s="36" t="str">
        <f>IFERROR(VLOOKUP(Table2[[#This Row], [Ticket]],Okey!A:B,2,0),"")</f>
        <v/>
      </c>
      <c r="K613" s="36" t="s">
        <v>8705</v>
      </c>
      <c r="M613" s="36" t="s">
        <v>8016</v>
      </c>
    </row>
    <row r="614" spans="1:13" hidden="1">
      <c r="A614" s="42">
        <f t="shared" si="10"/>
        <v>613</v>
      </c>
      <c r="B614" s="36" t="s">
        <v>6</v>
      </c>
      <c r="C614" s="36" t="s">
        <v>8718</v>
      </c>
      <c r="D614" s="9" t="s">
        <v>8886</v>
      </c>
      <c r="E614" s="9" t="s">
        <v>8733</v>
      </c>
      <c r="F614" s="9" t="s">
        <v>5238</v>
      </c>
      <c r="G614" s="36" t="s">
        <v>14</v>
      </c>
      <c r="H614" s="36" t="str">
        <f>IFERROR(VLOOKUP(Table2[[#This Row], [Ticket]],Okey!A:B,2,0),"")</f>
        <v/>
      </c>
      <c r="K614" s="36" t="s">
        <v>8705</v>
      </c>
      <c r="M614" s="36" t="s">
        <v>8016</v>
      </c>
    </row>
    <row r="615" spans="1:13" hidden="1">
      <c r="A615" s="42">
        <f t="shared" si="10"/>
        <v>614</v>
      </c>
      <c r="B615" s="36" t="s">
        <v>6</v>
      </c>
      <c r="C615" s="36" t="s">
        <v>8718</v>
      </c>
      <c r="D615" s="9" t="s">
        <v>8887</v>
      </c>
      <c r="E615" s="9" t="s">
        <v>8734</v>
      </c>
      <c r="F615" s="9" t="s">
        <v>5238</v>
      </c>
      <c r="G615" s="36" t="s">
        <v>14</v>
      </c>
      <c r="H615" s="36" t="str">
        <f>IFERROR(VLOOKUP(Table2[[#This Row], [Ticket]],Okey!A:B,2,0),"")</f>
        <v/>
      </c>
      <c r="K615" s="36" t="s">
        <v>8705</v>
      </c>
      <c r="M615" s="36" t="s">
        <v>8016</v>
      </c>
    </row>
    <row r="616" spans="1:13" hidden="1">
      <c r="A616" s="42">
        <f t="shared" si="10"/>
        <v>615</v>
      </c>
      <c r="B616" s="36" t="s">
        <v>6</v>
      </c>
      <c r="C616" s="36" t="s">
        <v>8718</v>
      </c>
      <c r="D616" s="9" t="s">
        <v>8888</v>
      </c>
      <c r="E616" s="9" t="s">
        <v>8735</v>
      </c>
      <c r="F616" s="9" t="s">
        <v>5238</v>
      </c>
      <c r="G616" s="36" t="s">
        <v>14</v>
      </c>
      <c r="H616" s="36" t="str">
        <f>IFERROR(VLOOKUP(Table2[[#This Row], [Ticket]],Okey!A:B,2,0),"")</f>
        <v/>
      </c>
      <c r="K616" s="36" t="s">
        <v>8705</v>
      </c>
      <c r="M616" s="36" t="s">
        <v>8016</v>
      </c>
    </row>
    <row r="617" spans="1:13" hidden="1">
      <c r="A617" s="42">
        <f t="shared" si="10"/>
        <v>616</v>
      </c>
      <c r="B617" s="36" t="s">
        <v>6</v>
      </c>
      <c r="C617" s="36" t="s">
        <v>8718</v>
      </c>
      <c r="D617" s="9" t="s">
        <v>8889</v>
      </c>
      <c r="E617" s="9" t="s">
        <v>8736</v>
      </c>
      <c r="F617" s="9" t="s">
        <v>5238</v>
      </c>
      <c r="G617" s="36" t="s">
        <v>14</v>
      </c>
      <c r="H617" s="36" t="str">
        <f>IFERROR(VLOOKUP(Table2[[#This Row], [Ticket]],Okey!A:B,2,0),"")</f>
        <v/>
      </c>
      <c r="K617" s="36" t="s">
        <v>8705</v>
      </c>
      <c r="M617" s="36" t="s">
        <v>8016</v>
      </c>
    </row>
    <row r="618" spans="1:13" hidden="1">
      <c r="A618" s="42">
        <f t="shared" si="10"/>
        <v>617</v>
      </c>
      <c r="B618" s="36" t="s">
        <v>6</v>
      </c>
      <c r="C618" s="36" t="s">
        <v>8718</v>
      </c>
      <c r="D618" s="9" t="s">
        <v>8890</v>
      </c>
      <c r="E618" s="9" t="s">
        <v>8737</v>
      </c>
      <c r="F618" s="9" t="s">
        <v>5238</v>
      </c>
      <c r="G618" s="36" t="s">
        <v>14</v>
      </c>
      <c r="H618" s="36" t="str">
        <f>IFERROR(VLOOKUP(Table2[[#This Row], [Ticket]],Okey!A:B,2,0),"")</f>
        <v/>
      </c>
      <c r="K618" s="36" t="s">
        <v>8705</v>
      </c>
      <c r="M618" s="36" t="s">
        <v>8016</v>
      </c>
    </row>
    <row r="619" spans="1:13" hidden="1">
      <c r="A619" s="42">
        <f t="shared" si="10"/>
        <v>618</v>
      </c>
      <c r="B619" s="36" t="s">
        <v>6</v>
      </c>
      <c r="C619" s="36" t="s">
        <v>8718</v>
      </c>
      <c r="D619" s="9" t="s">
        <v>8891</v>
      </c>
      <c r="E619" s="9" t="s">
        <v>8738</v>
      </c>
      <c r="F619" s="9" t="s">
        <v>5238</v>
      </c>
      <c r="G619" s="36" t="s">
        <v>14</v>
      </c>
      <c r="H619" s="36" t="str">
        <f>IFERROR(VLOOKUP(Table2[[#This Row], [Ticket]],Okey!A:B,2,0),"")</f>
        <v/>
      </c>
      <c r="K619" s="36" t="s">
        <v>8705</v>
      </c>
      <c r="M619" s="36" t="s">
        <v>8016</v>
      </c>
    </row>
    <row r="620" spans="1:13" hidden="1">
      <c r="A620" s="42">
        <f t="shared" si="10"/>
        <v>619</v>
      </c>
      <c r="B620" s="36" t="s">
        <v>6</v>
      </c>
      <c r="C620" s="36" t="s">
        <v>8718</v>
      </c>
      <c r="D620" s="9" t="s">
        <v>8892</v>
      </c>
      <c r="E620" s="9" t="s">
        <v>8739</v>
      </c>
      <c r="F620" s="36" t="s">
        <v>8891</v>
      </c>
      <c r="G620" s="36" t="s">
        <v>14</v>
      </c>
      <c r="H620" s="36" t="str">
        <f>IFERROR(VLOOKUP(Table2[[#This Row], [Ticket]],Okey!A:B,2,0),"")</f>
        <v/>
      </c>
      <c r="K620" s="36" t="s">
        <v>8705</v>
      </c>
      <c r="M620" s="36" t="s">
        <v>8016</v>
      </c>
    </row>
    <row r="621" spans="1:13" hidden="1">
      <c r="A621" s="42">
        <f t="shared" si="10"/>
        <v>620</v>
      </c>
      <c r="B621" s="36" t="s">
        <v>6</v>
      </c>
      <c r="C621" s="36" t="s">
        <v>8718</v>
      </c>
      <c r="D621" s="9" t="s">
        <v>8893</v>
      </c>
      <c r="E621" s="9" t="s">
        <v>8740</v>
      </c>
      <c r="F621" s="36" t="s">
        <v>8891</v>
      </c>
      <c r="G621" s="36" t="s">
        <v>14</v>
      </c>
      <c r="H621" s="36" t="str">
        <f>IFERROR(VLOOKUP(Table2[[#This Row], [Ticket]],Okey!A:B,2,0),"")</f>
        <v/>
      </c>
      <c r="K621" s="36" t="s">
        <v>8705</v>
      </c>
      <c r="M621" s="36" t="s">
        <v>8016</v>
      </c>
    </row>
    <row r="622" spans="1:13" hidden="1">
      <c r="A622" s="42">
        <f t="shared" si="10"/>
        <v>621</v>
      </c>
      <c r="B622" s="36" t="s">
        <v>6</v>
      </c>
      <c r="C622" s="36" t="s">
        <v>8718</v>
      </c>
      <c r="D622" s="9" t="s">
        <v>8894</v>
      </c>
      <c r="E622" s="9" t="s">
        <v>8741</v>
      </c>
      <c r="F622" s="36" t="s">
        <v>8891</v>
      </c>
      <c r="G622" s="36" t="s">
        <v>14</v>
      </c>
      <c r="H622" s="36" t="str">
        <f>IFERROR(VLOOKUP(Table2[[#This Row], [Ticket]],Okey!A:B,2,0),"")</f>
        <v/>
      </c>
      <c r="K622" s="36" t="s">
        <v>8705</v>
      </c>
      <c r="M622" s="36" t="s">
        <v>8016</v>
      </c>
    </row>
    <row r="623" spans="1:13" hidden="1">
      <c r="A623" s="42">
        <f t="shared" si="10"/>
        <v>622</v>
      </c>
      <c r="B623" s="36" t="s">
        <v>6</v>
      </c>
      <c r="C623" s="36" t="s">
        <v>8718</v>
      </c>
      <c r="D623" s="9" t="s">
        <v>8895</v>
      </c>
      <c r="E623" s="9" t="s">
        <v>8742</v>
      </c>
      <c r="F623" s="36" t="s">
        <v>8891</v>
      </c>
      <c r="G623" s="36" t="s">
        <v>14</v>
      </c>
      <c r="H623" s="36" t="str">
        <f>IFERROR(VLOOKUP(Table2[[#This Row], [Ticket]],Okey!A:B,2,0),"")</f>
        <v/>
      </c>
      <c r="K623" s="36" t="s">
        <v>8705</v>
      </c>
      <c r="M623" s="36" t="s">
        <v>8016</v>
      </c>
    </row>
    <row r="624" spans="1:13" hidden="1">
      <c r="A624" s="42">
        <f t="shared" si="10"/>
        <v>623</v>
      </c>
      <c r="B624" s="36" t="s">
        <v>6</v>
      </c>
      <c r="C624" s="36" t="s">
        <v>8718</v>
      </c>
      <c r="D624" s="9" t="s">
        <v>8896</v>
      </c>
      <c r="E624" s="9" t="s">
        <v>8743</v>
      </c>
      <c r="F624" s="9" t="s">
        <v>2199</v>
      </c>
      <c r="G624" s="36" t="s">
        <v>14</v>
      </c>
      <c r="H624" s="36" t="str">
        <f>IFERROR(VLOOKUP(Table2[[#This Row], [Ticket]],Okey!A:B,2,0),"")</f>
        <v/>
      </c>
      <c r="K624" s="36" t="s">
        <v>8705</v>
      </c>
      <c r="M624" s="36" t="s">
        <v>8016</v>
      </c>
    </row>
    <row r="625" spans="1:13" hidden="1">
      <c r="A625" s="42">
        <f t="shared" si="10"/>
        <v>624</v>
      </c>
      <c r="B625" s="36" t="s">
        <v>6</v>
      </c>
      <c r="C625" s="36" t="s">
        <v>8718</v>
      </c>
      <c r="D625" s="9" t="s">
        <v>8897</v>
      </c>
      <c r="E625" s="9" t="s">
        <v>8744</v>
      </c>
      <c r="F625" s="9" t="s">
        <v>2544</v>
      </c>
      <c r="G625" s="36" t="s">
        <v>14</v>
      </c>
      <c r="H625" s="36" t="str">
        <f>IFERROR(VLOOKUP(Table2[[#This Row], [Ticket]],Okey!A:B,2,0),"")</f>
        <v/>
      </c>
      <c r="K625" s="36" t="s">
        <v>8705</v>
      </c>
      <c r="M625" s="36" t="s">
        <v>8016</v>
      </c>
    </row>
    <row r="626" spans="1:13" hidden="1">
      <c r="A626" s="42">
        <f t="shared" si="10"/>
        <v>625</v>
      </c>
      <c r="B626" s="36" t="s">
        <v>6</v>
      </c>
      <c r="C626" s="36" t="s">
        <v>8718</v>
      </c>
      <c r="D626" s="9" t="s">
        <v>8898</v>
      </c>
      <c r="E626" s="9" t="s">
        <v>8745</v>
      </c>
      <c r="F626" s="9" t="s">
        <v>8785</v>
      </c>
      <c r="G626" s="36" t="s">
        <v>14</v>
      </c>
      <c r="H626" s="36" t="str">
        <f>IFERROR(VLOOKUP(Table2[[#This Row], [Ticket]],Okey!A:B,2,0),"")</f>
        <v/>
      </c>
      <c r="K626" s="36" t="s">
        <v>8705</v>
      </c>
      <c r="M626" s="36" t="s">
        <v>8016</v>
      </c>
    </row>
    <row r="627" spans="1:13" hidden="1">
      <c r="A627" s="42">
        <f t="shared" si="10"/>
        <v>626</v>
      </c>
      <c r="B627" s="36" t="s">
        <v>6</v>
      </c>
      <c r="C627" s="36" t="s">
        <v>8718</v>
      </c>
      <c r="D627" s="9" t="s">
        <v>8899</v>
      </c>
      <c r="E627" s="9" t="s">
        <v>8746</v>
      </c>
      <c r="F627" s="9" t="s">
        <v>8785</v>
      </c>
      <c r="G627" s="36" t="s">
        <v>14</v>
      </c>
      <c r="H627" s="36" t="str">
        <f>IFERROR(VLOOKUP(Table2[[#This Row], [Ticket]],Okey!A:B,2,0),"")</f>
        <v/>
      </c>
      <c r="K627" s="36" t="s">
        <v>8705</v>
      </c>
      <c r="M627" s="36" t="s">
        <v>8016</v>
      </c>
    </row>
    <row r="628" spans="1:13" hidden="1">
      <c r="A628" s="42">
        <f t="shared" si="10"/>
        <v>627</v>
      </c>
      <c r="B628" s="36" t="s">
        <v>6</v>
      </c>
      <c r="C628" s="36" t="s">
        <v>8718</v>
      </c>
      <c r="D628" s="9" t="s">
        <v>8900</v>
      </c>
      <c r="E628" s="9" t="s">
        <v>8747</v>
      </c>
      <c r="F628" s="9" t="s">
        <v>2149</v>
      </c>
      <c r="G628" s="36" t="s">
        <v>14</v>
      </c>
      <c r="H628" s="36" t="str">
        <f>IFERROR(VLOOKUP(Table2[[#This Row], [Ticket]],Okey!A:B,2,0),"")</f>
        <v/>
      </c>
      <c r="K628" s="36" t="s">
        <v>8705</v>
      </c>
      <c r="M628" s="36" t="s">
        <v>8016</v>
      </c>
    </row>
    <row r="629" spans="1:13" hidden="1">
      <c r="A629" s="42">
        <f t="shared" si="10"/>
        <v>628</v>
      </c>
      <c r="B629" s="36" t="s">
        <v>6</v>
      </c>
      <c r="C629" s="36" t="s">
        <v>8718</v>
      </c>
      <c r="D629" s="9" t="s">
        <v>8901</v>
      </c>
      <c r="E629" s="9" t="s">
        <v>8748</v>
      </c>
      <c r="F629" s="9" t="s">
        <v>2151</v>
      </c>
      <c r="G629" s="36" t="s">
        <v>14</v>
      </c>
      <c r="H629" s="36" t="str">
        <f>IFERROR(VLOOKUP(Table2[[#This Row], [Ticket]],Okey!A:B,2,0),"")</f>
        <v/>
      </c>
      <c r="K629" s="36" t="s">
        <v>8705</v>
      </c>
      <c r="M629" s="36" t="s">
        <v>8016</v>
      </c>
    </row>
    <row r="630" spans="1:13" hidden="1">
      <c r="A630" s="42">
        <f t="shared" si="10"/>
        <v>629</v>
      </c>
      <c r="B630" s="36" t="s">
        <v>6</v>
      </c>
      <c r="C630" s="36" t="s">
        <v>8718</v>
      </c>
      <c r="D630" s="9" t="s">
        <v>8902</v>
      </c>
      <c r="E630" s="9" t="s">
        <v>8749</v>
      </c>
      <c r="F630" s="9" t="s">
        <v>2537</v>
      </c>
      <c r="G630" s="36" t="s">
        <v>14</v>
      </c>
      <c r="H630" s="36" t="str">
        <f>IFERROR(VLOOKUP(Table2[[#This Row], [Ticket]],Okey!A:B,2,0),"")</f>
        <v/>
      </c>
      <c r="K630" s="36" t="s">
        <v>8705</v>
      </c>
      <c r="M630" s="36" t="s">
        <v>8016</v>
      </c>
    </row>
    <row r="631" spans="1:13" hidden="1">
      <c r="A631" s="42">
        <f t="shared" si="10"/>
        <v>630</v>
      </c>
      <c r="B631" s="36" t="s">
        <v>6</v>
      </c>
      <c r="C631" s="36" t="s">
        <v>8718</v>
      </c>
      <c r="D631" s="9" t="s">
        <v>8903</v>
      </c>
      <c r="E631" s="9" t="s">
        <v>8750</v>
      </c>
      <c r="F631" s="9" t="s">
        <v>8785</v>
      </c>
      <c r="G631" s="36" t="s">
        <v>14</v>
      </c>
      <c r="H631" s="36" t="str">
        <f>IFERROR(VLOOKUP(Table2[[#This Row], [Ticket]],Okey!A:B,2,0),"")</f>
        <v/>
      </c>
      <c r="K631" s="36" t="s">
        <v>8705</v>
      </c>
      <c r="M631" s="36" t="s">
        <v>8016</v>
      </c>
    </row>
    <row r="632" spans="1:13" hidden="1">
      <c r="A632" s="42">
        <f t="shared" si="10"/>
        <v>631</v>
      </c>
      <c r="B632" s="36" t="s">
        <v>6</v>
      </c>
      <c r="C632" s="36" t="s">
        <v>8718</v>
      </c>
      <c r="D632" s="9" t="s">
        <v>8904</v>
      </c>
      <c r="E632" s="9" t="s">
        <v>8751</v>
      </c>
      <c r="F632" s="36" t="s">
        <v>8903</v>
      </c>
      <c r="G632" s="36" t="s">
        <v>14</v>
      </c>
      <c r="H632" s="36" t="str">
        <f>IFERROR(VLOOKUP(Table2[[#This Row], [Ticket]],Okey!A:B,2,0),"")</f>
        <v/>
      </c>
      <c r="K632" s="36" t="s">
        <v>8705</v>
      </c>
      <c r="M632" s="36" t="s">
        <v>8016</v>
      </c>
    </row>
    <row r="633" spans="1:13" hidden="1">
      <c r="A633" s="42">
        <f t="shared" si="10"/>
        <v>632</v>
      </c>
      <c r="B633" s="36" t="s">
        <v>6</v>
      </c>
      <c r="C633" s="36" t="s">
        <v>8718</v>
      </c>
      <c r="D633" s="9" t="s">
        <v>8905</v>
      </c>
      <c r="E633" s="9" t="s">
        <v>8752</v>
      </c>
      <c r="F633" s="9" t="s">
        <v>8785</v>
      </c>
      <c r="G633" s="36" t="s">
        <v>14</v>
      </c>
      <c r="H633" s="36" t="str">
        <f>IFERROR(VLOOKUP(Table2[[#This Row], [Ticket]],Okey!A:B,2,0),"")</f>
        <v/>
      </c>
      <c r="K633" s="36" t="s">
        <v>8705</v>
      </c>
      <c r="M633" s="36" t="s">
        <v>8016</v>
      </c>
    </row>
    <row r="634" spans="1:13" hidden="1">
      <c r="A634" s="42">
        <f t="shared" si="10"/>
        <v>633</v>
      </c>
      <c r="B634" s="36" t="s">
        <v>6</v>
      </c>
      <c r="C634" s="36" t="s">
        <v>8718</v>
      </c>
      <c r="D634" s="9" t="s">
        <v>8906</v>
      </c>
      <c r="E634" s="9" t="s">
        <v>8753</v>
      </c>
      <c r="F634" s="9" t="s">
        <v>8786</v>
      </c>
      <c r="G634" s="36" t="s">
        <v>14</v>
      </c>
      <c r="H634" s="36" t="str">
        <f>IFERROR(VLOOKUP(Table2[[#This Row], [Ticket]],Okey!A:B,2,0),"")</f>
        <v/>
      </c>
      <c r="K634" s="36" t="s">
        <v>8705</v>
      </c>
      <c r="M634" s="36" t="s">
        <v>8016</v>
      </c>
    </row>
    <row r="635" spans="1:13" hidden="1">
      <c r="A635" s="42">
        <f t="shared" si="10"/>
        <v>634</v>
      </c>
      <c r="B635" s="36" t="s">
        <v>6</v>
      </c>
      <c r="C635" s="36" t="s">
        <v>8718</v>
      </c>
      <c r="D635" s="9" t="s">
        <v>8907</v>
      </c>
      <c r="E635" s="9" t="s">
        <v>8754</v>
      </c>
      <c r="F635" s="9" t="s">
        <v>2418</v>
      </c>
      <c r="G635" s="36" t="s">
        <v>14</v>
      </c>
      <c r="H635" s="36" t="str">
        <f>IFERROR(VLOOKUP(Table2[[#This Row], [Ticket]],Okey!A:B,2,0),"")</f>
        <v/>
      </c>
      <c r="K635" s="36" t="s">
        <v>8705</v>
      </c>
      <c r="M635" s="36" t="s">
        <v>8016</v>
      </c>
    </row>
    <row r="636" spans="1:13" hidden="1">
      <c r="A636" s="42">
        <f t="shared" si="10"/>
        <v>635</v>
      </c>
      <c r="B636" s="36" t="s">
        <v>6</v>
      </c>
      <c r="C636" s="36" t="s">
        <v>8718</v>
      </c>
      <c r="D636" s="9" t="s">
        <v>8908</v>
      </c>
      <c r="E636" s="9" t="s">
        <v>8755</v>
      </c>
      <c r="F636" s="9" t="s">
        <v>8786</v>
      </c>
      <c r="G636" s="36" t="s">
        <v>14</v>
      </c>
      <c r="H636" s="36" t="str">
        <f>IFERROR(VLOOKUP(Table2[[#This Row], [Ticket]],Okey!A:B,2,0),"")</f>
        <v/>
      </c>
      <c r="K636" s="36" t="s">
        <v>8705</v>
      </c>
      <c r="M636" s="36" t="s">
        <v>8016</v>
      </c>
    </row>
    <row r="637" spans="1:13" hidden="1">
      <c r="A637" s="42">
        <f t="shared" si="10"/>
        <v>636</v>
      </c>
      <c r="B637" s="36" t="s">
        <v>6</v>
      </c>
      <c r="C637" s="36" t="s">
        <v>8718</v>
      </c>
      <c r="D637" s="9" t="s">
        <v>8909</v>
      </c>
      <c r="E637" s="9" t="s">
        <v>8756</v>
      </c>
      <c r="F637" s="9" t="s">
        <v>2558</v>
      </c>
      <c r="G637" s="36" t="s">
        <v>14</v>
      </c>
      <c r="H637" s="36" t="str">
        <f>IFERROR(VLOOKUP(Table2[[#This Row], [Ticket]],Okey!A:B,2,0),"")</f>
        <v/>
      </c>
      <c r="K637" s="36" t="s">
        <v>8705</v>
      </c>
      <c r="M637" s="36" t="s">
        <v>8016</v>
      </c>
    </row>
    <row r="638" spans="1:13" hidden="1">
      <c r="A638" s="42">
        <f t="shared" si="10"/>
        <v>637</v>
      </c>
      <c r="B638" s="36" t="s">
        <v>6</v>
      </c>
      <c r="C638" s="36" t="s">
        <v>8718</v>
      </c>
      <c r="D638" s="9" t="s">
        <v>8910</v>
      </c>
      <c r="E638" s="9" t="s">
        <v>8757</v>
      </c>
      <c r="F638" s="9" t="s">
        <v>5836</v>
      </c>
      <c r="G638" s="36" t="s">
        <v>14</v>
      </c>
      <c r="H638" s="36" t="str">
        <f>IFERROR(VLOOKUP(Table2[[#This Row], [Ticket]],Okey!A:B,2,0),"")</f>
        <v/>
      </c>
      <c r="K638" s="36" t="s">
        <v>8705</v>
      </c>
      <c r="M638" s="36" t="s">
        <v>8016</v>
      </c>
    </row>
    <row r="639" spans="1:13" hidden="1">
      <c r="A639" s="42">
        <f t="shared" si="10"/>
        <v>638</v>
      </c>
      <c r="B639" s="36" t="s">
        <v>6</v>
      </c>
      <c r="C639" s="36" t="s">
        <v>8718</v>
      </c>
      <c r="D639" s="9" t="s">
        <v>8911</v>
      </c>
      <c r="E639" s="9" t="s">
        <v>8758</v>
      </c>
      <c r="F639" s="9" t="s">
        <v>5799</v>
      </c>
      <c r="G639" s="36" t="s">
        <v>14</v>
      </c>
      <c r="H639" s="36" t="str">
        <f>IFERROR(VLOOKUP(Table2[[#This Row], [Ticket]],Okey!A:B,2,0),"")</f>
        <v/>
      </c>
      <c r="K639" s="36" t="s">
        <v>8705</v>
      </c>
      <c r="M639" s="36" t="s">
        <v>8016</v>
      </c>
    </row>
    <row r="640" spans="1:13" hidden="1">
      <c r="A640" s="42">
        <f t="shared" si="10"/>
        <v>639</v>
      </c>
      <c r="B640" s="36" t="s">
        <v>6</v>
      </c>
      <c r="C640" s="36" t="s">
        <v>8718</v>
      </c>
      <c r="D640" s="9" t="s">
        <v>8912</v>
      </c>
      <c r="E640" s="9" t="s">
        <v>8759</v>
      </c>
      <c r="F640" s="9" t="s">
        <v>5854</v>
      </c>
      <c r="G640" s="36" t="s">
        <v>14</v>
      </c>
      <c r="H640" s="36" t="str">
        <f>IFERROR(VLOOKUP(Table2[[#This Row], [Ticket]],Okey!A:B,2,0),"")</f>
        <v/>
      </c>
      <c r="K640" s="36" t="s">
        <v>8705</v>
      </c>
      <c r="M640" s="36" t="s">
        <v>8016</v>
      </c>
    </row>
    <row r="641" spans="1:13" hidden="1">
      <c r="A641" s="42">
        <f t="shared" si="10"/>
        <v>640</v>
      </c>
      <c r="B641" s="36" t="s">
        <v>6</v>
      </c>
      <c r="C641" s="36" t="s">
        <v>8718</v>
      </c>
      <c r="D641" s="9" t="s">
        <v>8913</v>
      </c>
      <c r="E641" s="9" t="s">
        <v>8760</v>
      </c>
      <c r="F641" s="9" t="s">
        <v>4288</v>
      </c>
      <c r="G641" s="36" t="s">
        <v>14</v>
      </c>
      <c r="H641" s="36" t="str">
        <f>IFERROR(VLOOKUP(Table2[[#This Row], [Ticket]],Okey!A:B,2,0),"")</f>
        <v/>
      </c>
      <c r="K641" s="36" t="s">
        <v>8705</v>
      </c>
      <c r="M641" s="36" t="s">
        <v>8016</v>
      </c>
    </row>
    <row r="642" spans="1:13" hidden="1">
      <c r="A642" s="42">
        <f t="shared" si="10"/>
        <v>641</v>
      </c>
      <c r="B642" s="36" t="s">
        <v>6</v>
      </c>
      <c r="C642" s="36" t="s">
        <v>8718</v>
      </c>
      <c r="D642" s="9" t="s">
        <v>8914</v>
      </c>
      <c r="E642" s="9" t="s">
        <v>8761</v>
      </c>
      <c r="F642" s="9" t="s">
        <v>4208</v>
      </c>
      <c r="G642" s="36" t="s">
        <v>14</v>
      </c>
      <c r="H642" s="36" t="str">
        <f>IFERROR(VLOOKUP(Table2[[#This Row], [Ticket]],Okey!A:B,2,0),"")</f>
        <v/>
      </c>
      <c r="K642" s="36" t="s">
        <v>8705</v>
      </c>
      <c r="M642" s="36" t="s">
        <v>8016</v>
      </c>
    </row>
    <row r="643" spans="1:13" hidden="1">
      <c r="A643" s="42">
        <f t="shared" si="10"/>
        <v>642</v>
      </c>
      <c r="B643" s="36" t="s">
        <v>6</v>
      </c>
      <c r="C643" s="36" t="s">
        <v>8718</v>
      </c>
      <c r="D643" s="9" t="s">
        <v>8915</v>
      </c>
      <c r="E643" s="9" t="s">
        <v>8762</v>
      </c>
      <c r="F643" s="9" t="s">
        <v>5324</v>
      </c>
      <c r="G643" s="36" t="s">
        <v>14</v>
      </c>
      <c r="H643" s="36" t="str">
        <f>IFERROR(VLOOKUP(Table2[[#This Row], [Ticket]],Okey!A:B,2,0),"")</f>
        <v/>
      </c>
      <c r="K643" s="36" t="s">
        <v>8705</v>
      </c>
      <c r="M643" s="36" t="s">
        <v>8016</v>
      </c>
    </row>
    <row r="644" spans="1:13" hidden="1">
      <c r="A644" s="42">
        <f t="shared" si="10"/>
        <v>643</v>
      </c>
      <c r="B644" s="36" t="s">
        <v>6</v>
      </c>
      <c r="C644" s="36" t="s">
        <v>8718</v>
      </c>
      <c r="D644" s="9" t="s">
        <v>8916</v>
      </c>
      <c r="E644" s="9" t="s">
        <v>8763</v>
      </c>
      <c r="F644" s="9" t="s">
        <v>5395</v>
      </c>
      <c r="G644" s="36" t="s">
        <v>14</v>
      </c>
      <c r="H644" s="36" t="str">
        <f>IFERROR(VLOOKUP(Table2[[#This Row], [Ticket]],Okey!A:B,2,0),"")</f>
        <v/>
      </c>
      <c r="K644" s="36" t="s">
        <v>8705</v>
      </c>
      <c r="M644" s="36" t="s">
        <v>8016</v>
      </c>
    </row>
    <row r="645" spans="1:13" hidden="1">
      <c r="A645" s="42">
        <f t="shared" si="10"/>
        <v>644</v>
      </c>
      <c r="B645" s="36" t="s">
        <v>6</v>
      </c>
      <c r="C645" s="36" t="s">
        <v>8718</v>
      </c>
      <c r="D645" s="9" t="s">
        <v>8917</v>
      </c>
      <c r="E645" s="9" t="s">
        <v>8764</v>
      </c>
      <c r="F645" s="9" t="s">
        <v>4638</v>
      </c>
      <c r="G645" s="36" t="s">
        <v>14</v>
      </c>
      <c r="H645" s="36" t="str">
        <f>IFERROR(VLOOKUP(Table2[[#This Row], [Ticket]],Okey!A:B,2,0),"")</f>
        <v/>
      </c>
      <c r="K645" s="36" t="s">
        <v>8705</v>
      </c>
      <c r="M645" s="36" t="s">
        <v>8016</v>
      </c>
    </row>
    <row r="646" spans="1:13" hidden="1">
      <c r="A646" s="42">
        <f t="shared" si="10"/>
        <v>645</v>
      </c>
      <c r="B646" s="36" t="s">
        <v>6</v>
      </c>
      <c r="C646" s="36" t="s">
        <v>8718</v>
      </c>
      <c r="D646" s="9" t="s">
        <v>8918</v>
      </c>
      <c r="E646" s="9" t="s">
        <v>8765</v>
      </c>
      <c r="F646" s="9" t="s">
        <v>4640</v>
      </c>
      <c r="G646" s="36" t="s">
        <v>14</v>
      </c>
      <c r="H646" s="36" t="str">
        <f>IFERROR(VLOOKUP(Table2[[#This Row], [Ticket]],Okey!A:B,2,0),"")</f>
        <v/>
      </c>
      <c r="K646" s="36" t="s">
        <v>8705</v>
      </c>
      <c r="M646" s="36" t="s">
        <v>8016</v>
      </c>
    </row>
    <row r="647" spans="1:13" hidden="1">
      <c r="A647" s="42">
        <f t="shared" si="10"/>
        <v>646</v>
      </c>
      <c r="B647" s="36" t="s">
        <v>6</v>
      </c>
      <c r="C647" s="36" t="s">
        <v>8718</v>
      </c>
      <c r="D647" s="9" t="s">
        <v>8919</v>
      </c>
      <c r="E647" s="9" t="s">
        <v>8766</v>
      </c>
      <c r="F647" s="9" t="s">
        <v>4642</v>
      </c>
      <c r="G647" s="36" t="s">
        <v>14</v>
      </c>
      <c r="H647" s="36" t="str">
        <f>IFERROR(VLOOKUP(Table2[[#This Row], [Ticket]],Okey!A:B,2,0),"")</f>
        <v/>
      </c>
      <c r="K647" s="36" t="s">
        <v>8705</v>
      </c>
      <c r="M647" s="36" t="s">
        <v>8016</v>
      </c>
    </row>
    <row r="648" spans="1:13" hidden="1">
      <c r="A648" s="42">
        <f t="shared" si="10"/>
        <v>647</v>
      </c>
      <c r="B648" s="36" t="s">
        <v>6</v>
      </c>
      <c r="C648" s="36" t="s">
        <v>8718</v>
      </c>
      <c r="D648" s="9" t="s">
        <v>8920</v>
      </c>
      <c r="E648" s="9" t="s">
        <v>8767</v>
      </c>
      <c r="F648" s="9" t="s">
        <v>4644</v>
      </c>
      <c r="G648" s="36" t="s">
        <v>14</v>
      </c>
      <c r="H648" s="36" t="str">
        <f>IFERROR(VLOOKUP(Table2[[#This Row], [Ticket]],Okey!A:B,2,0),"")</f>
        <v/>
      </c>
      <c r="K648" s="36" t="s">
        <v>8705</v>
      </c>
      <c r="M648" s="36" t="s">
        <v>8016</v>
      </c>
    </row>
    <row r="649" spans="1:13" hidden="1">
      <c r="A649" s="42">
        <f t="shared" si="10"/>
        <v>648</v>
      </c>
      <c r="B649" s="36" t="s">
        <v>6</v>
      </c>
      <c r="C649" s="36" t="s">
        <v>8718</v>
      </c>
      <c r="D649" s="9" t="s">
        <v>8921</v>
      </c>
      <c r="E649" s="9" t="s">
        <v>8768</v>
      </c>
      <c r="F649" s="9" t="s">
        <v>4646</v>
      </c>
      <c r="G649" s="36" t="s">
        <v>14</v>
      </c>
      <c r="H649" s="36" t="str">
        <f>IFERROR(VLOOKUP(Table2[[#This Row], [Ticket]],Okey!A:B,2,0),"")</f>
        <v/>
      </c>
      <c r="K649" s="36" t="s">
        <v>8705</v>
      </c>
      <c r="M649" s="36" t="s">
        <v>8016</v>
      </c>
    </row>
    <row r="650" spans="1:13" hidden="1">
      <c r="A650" s="42">
        <f t="shared" si="10"/>
        <v>649</v>
      </c>
      <c r="B650" s="36" t="s">
        <v>6</v>
      </c>
      <c r="C650" s="36" t="s">
        <v>8718</v>
      </c>
      <c r="D650" s="9" t="s">
        <v>8922</v>
      </c>
      <c r="E650" s="9" t="s">
        <v>8769</v>
      </c>
      <c r="F650" s="9" t="s">
        <v>4650</v>
      </c>
      <c r="G650" s="36" t="s">
        <v>14</v>
      </c>
      <c r="H650" s="36" t="str">
        <f>IFERROR(VLOOKUP(Table2[[#This Row], [Ticket]],Okey!A:B,2,0),"")</f>
        <v/>
      </c>
      <c r="K650" s="36" t="s">
        <v>8705</v>
      </c>
      <c r="M650" s="36" t="s">
        <v>8016</v>
      </c>
    </row>
    <row r="651" spans="1:13" hidden="1">
      <c r="A651" s="42">
        <f t="shared" si="10"/>
        <v>650</v>
      </c>
      <c r="B651" s="36" t="s">
        <v>6</v>
      </c>
      <c r="C651" s="36" t="s">
        <v>8718</v>
      </c>
      <c r="D651" s="9" t="s">
        <v>8923</v>
      </c>
      <c r="E651" s="9" t="s">
        <v>8770</v>
      </c>
      <c r="F651" s="9" t="s">
        <v>4652</v>
      </c>
      <c r="G651" s="36" t="s">
        <v>14</v>
      </c>
      <c r="H651" s="36" t="str">
        <f>IFERROR(VLOOKUP(Table2[[#This Row], [Ticket]],Okey!A:B,2,0),"")</f>
        <v/>
      </c>
      <c r="K651" s="36" t="s">
        <v>8705</v>
      </c>
      <c r="M651" s="36" t="s">
        <v>8016</v>
      </c>
    </row>
    <row r="652" spans="1:13" hidden="1">
      <c r="A652" s="42">
        <f t="shared" si="10"/>
        <v>651</v>
      </c>
      <c r="B652" s="36" t="s">
        <v>6</v>
      </c>
      <c r="C652" s="36" t="s">
        <v>8718</v>
      </c>
      <c r="D652" s="9" t="s">
        <v>8924</v>
      </c>
      <c r="E652" s="9" t="s">
        <v>8771</v>
      </c>
      <c r="F652" s="9" t="s">
        <v>4654</v>
      </c>
      <c r="G652" s="36" t="s">
        <v>14</v>
      </c>
      <c r="H652" s="36" t="str">
        <f>IFERROR(VLOOKUP(Table2[[#This Row], [Ticket]],Okey!A:B,2,0),"")</f>
        <v/>
      </c>
      <c r="K652" s="36" t="s">
        <v>8705</v>
      </c>
      <c r="M652" s="36" t="s">
        <v>8016</v>
      </c>
    </row>
    <row r="653" spans="1:13" hidden="1">
      <c r="A653" s="42">
        <f t="shared" si="10"/>
        <v>652</v>
      </c>
      <c r="B653" s="36" t="s">
        <v>6</v>
      </c>
      <c r="C653" s="36" t="s">
        <v>8718</v>
      </c>
      <c r="D653" s="9" t="s">
        <v>8925</v>
      </c>
      <c r="E653" s="9" t="s">
        <v>8768</v>
      </c>
      <c r="F653" s="9" t="s">
        <v>7804</v>
      </c>
      <c r="G653" s="36" t="s">
        <v>14</v>
      </c>
      <c r="H653" s="36" t="str">
        <f>IFERROR(VLOOKUP(Table2[[#This Row], [Ticket]],Okey!A:B,2,0),"")</f>
        <v/>
      </c>
      <c r="K653" s="36" t="s">
        <v>8705</v>
      </c>
      <c r="M653" s="36" t="s">
        <v>8016</v>
      </c>
    </row>
    <row r="654" spans="1:13" hidden="1">
      <c r="A654" s="42">
        <f t="shared" si="10"/>
        <v>653</v>
      </c>
      <c r="B654" s="36" t="s">
        <v>6</v>
      </c>
      <c r="C654" s="36" t="s">
        <v>8718</v>
      </c>
      <c r="D654" s="9" t="s">
        <v>8926</v>
      </c>
      <c r="E654" s="9" t="s">
        <v>8772</v>
      </c>
      <c r="F654" s="9" t="s">
        <v>7813</v>
      </c>
      <c r="G654" s="36" t="s">
        <v>14</v>
      </c>
      <c r="H654" s="36" t="str">
        <f>IFERROR(VLOOKUP(Table2[[#This Row], [Ticket]],Okey!A:B,2,0),"")</f>
        <v/>
      </c>
      <c r="K654" s="36" t="s">
        <v>8705</v>
      </c>
      <c r="M654" s="36" t="s">
        <v>8016</v>
      </c>
    </row>
    <row r="655" spans="1:13" hidden="1">
      <c r="A655" s="42">
        <f t="shared" si="10"/>
        <v>654</v>
      </c>
      <c r="B655" s="36" t="s">
        <v>6</v>
      </c>
      <c r="C655" s="36" t="s">
        <v>8718</v>
      </c>
      <c r="D655" s="9" t="s">
        <v>8927</v>
      </c>
      <c r="E655" s="9" t="s">
        <v>8771</v>
      </c>
      <c r="F655" s="9" t="s">
        <v>7814</v>
      </c>
      <c r="G655" s="36" t="s">
        <v>14</v>
      </c>
      <c r="H655" s="36" t="str">
        <f>IFERROR(VLOOKUP(Table2[[#This Row], [Ticket]],Okey!A:B,2,0),"")</f>
        <v/>
      </c>
      <c r="K655" s="36" t="s">
        <v>8705</v>
      </c>
      <c r="M655" s="36" t="s">
        <v>8016</v>
      </c>
    </row>
    <row r="656" spans="1:13" hidden="1">
      <c r="A656" s="42">
        <f t="shared" si="10"/>
        <v>655</v>
      </c>
      <c r="B656" s="36" t="s">
        <v>6</v>
      </c>
      <c r="C656" s="36" t="s">
        <v>8718</v>
      </c>
      <c r="D656" s="9" t="s">
        <v>8928</v>
      </c>
      <c r="E656" s="9" t="s">
        <v>4686</v>
      </c>
      <c r="F656" s="9" t="s">
        <v>7814</v>
      </c>
      <c r="G656" s="36" t="s">
        <v>14</v>
      </c>
      <c r="H656" s="36" t="str">
        <f>IFERROR(VLOOKUP(Table2[[#This Row], [Ticket]],Okey!A:B,2,0),"")</f>
        <v/>
      </c>
      <c r="K656" s="36" t="s">
        <v>8705</v>
      </c>
      <c r="M656" s="36" t="s">
        <v>8016</v>
      </c>
    </row>
    <row r="657" spans="1:13" hidden="1">
      <c r="A657" s="42">
        <f t="shared" si="10"/>
        <v>656</v>
      </c>
      <c r="B657" s="36" t="s">
        <v>6</v>
      </c>
      <c r="C657" s="36" t="s">
        <v>8718</v>
      </c>
      <c r="D657" s="9" t="s">
        <v>8929</v>
      </c>
      <c r="E657" s="9" t="s">
        <v>8773</v>
      </c>
      <c r="F657" s="9" t="s">
        <v>7814</v>
      </c>
      <c r="G657" s="36" t="s">
        <v>14</v>
      </c>
      <c r="H657" s="36" t="str">
        <f>IFERROR(VLOOKUP(Table2[[#This Row], [Ticket]],Okey!A:B,2,0),"")</f>
        <v/>
      </c>
      <c r="K657" s="36" t="s">
        <v>8705</v>
      </c>
      <c r="M657" s="36" t="s">
        <v>8016</v>
      </c>
    </row>
    <row r="658" spans="1:13" hidden="1">
      <c r="A658" s="42">
        <f t="shared" si="10"/>
        <v>657</v>
      </c>
      <c r="B658" s="36" t="s">
        <v>6</v>
      </c>
      <c r="C658" s="36" t="s">
        <v>8718</v>
      </c>
      <c r="D658" s="9" t="s">
        <v>8930</v>
      </c>
      <c r="E658" s="9" t="s">
        <v>8774</v>
      </c>
      <c r="F658" s="9" t="s">
        <v>4638</v>
      </c>
      <c r="G658" s="36" t="s">
        <v>14</v>
      </c>
      <c r="H658" s="36" t="str">
        <f>IFERROR(VLOOKUP(Table2[[#This Row], [Ticket]],Okey!A:B,2,0),"")</f>
        <v/>
      </c>
      <c r="K658" s="36" t="s">
        <v>8705</v>
      </c>
      <c r="M658" s="36" t="s">
        <v>8016</v>
      </c>
    </row>
    <row r="659" spans="1:13" hidden="1">
      <c r="A659" s="42">
        <f t="shared" si="10"/>
        <v>658</v>
      </c>
      <c r="B659" s="36" t="s">
        <v>6</v>
      </c>
      <c r="C659" s="36" t="s">
        <v>8718</v>
      </c>
      <c r="D659" s="9" t="s">
        <v>8931</v>
      </c>
      <c r="E659" s="9" t="s">
        <v>8775</v>
      </c>
      <c r="F659" s="9" t="s">
        <v>4640</v>
      </c>
      <c r="G659" s="36" t="s">
        <v>14</v>
      </c>
      <c r="H659" s="36" t="str">
        <f>IFERROR(VLOOKUP(Table2[[#This Row], [Ticket]],Okey!A:B,2,0),"")</f>
        <v/>
      </c>
      <c r="K659" s="36" t="s">
        <v>8705</v>
      </c>
      <c r="M659" s="36" t="s">
        <v>8016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8718</v>
      </c>
      <c r="D660" s="9" t="s">
        <v>8932</v>
      </c>
      <c r="E660" s="9" t="s">
        <v>8776</v>
      </c>
      <c r="F660" s="9" t="s">
        <v>4642</v>
      </c>
      <c r="G660" s="36" t="s">
        <v>14</v>
      </c>
      <c r="H660" s="36" t="str">
        <f>IFERROR(VLOOKUP(Table2[[#This Row], [Ticket]],Okey!A:B,2,0),"")</f>
        <v/>
      </c>
      <c r="K660" s="36" t="s">
        <v>8705</v>
      </c>
      <c r="M660" s="36" t="s">
        <v>8016</v>
      </c>
    </row>
    <row r="661" spans="1:13" hidden="1">
      <c r="A661" s="42">
        <f t="shared" si="11"/>
        <v>660</v>
      </c>
      <c r="B661" s="36" t="s">
        <v>6</v>
      </c>
      <c r="C661" s="36" t="s">
        <v>8718</v>
      </c>
      <c r="D661" s="9" t="s">
        <v>8933</v>
      </c>
      <c r="E661" s="9" t="s">
        <v>8777</v>
      </c>
      <c r="F661" s="9" t="s">
        <v>4644</v>
      </c>
      <c r="G661" s="36" t="s">
        <v>14</v>
      </c>
      <c r="H661" s="36" t="str">
        <f>IFERROR(VLOOKUP(Table2[[#This Row], [Ticket]],Okey!A:B,2,0),"")</f>
        <v/>
      </c>
      <c r="K661" s="36" t="s">
        <v>8705</v>
      </c>
      <c r="M661" s="36" t="s">
        <v>8016</v>
      </c>
    </row>
    <row r="662" spans="1:13" hidden="1">
      <c r="A662" s="42">
        <f t="shared" si="11"/>
        <v>661</v>
      </c>
      <c r="B662" s="36" t="s">
        <v>6</v>
      </c>
      <c r="C662" s="36" t="s">
        <v>8718</v>
      </c>
      <c r="D662" s="9" t="s">
        <v>8934</v>
      </c>
      <c r="E662" s="9" t="s">
        <v>8778</v>
      </c>
      <c r="F662" s="9" t="s">
        <v>4646</v>
      </c>
      <c r="G662" s="36" t="s">
        <v>14</v>
      </c>
      <c r="H662" s="36" t="str">
        <f>IFERROR(VLOOKUP(Table2[[#This Row], [Ticket]],Okey!A:B,2,0),"")</f>
        <v/>
      </c>
      <c r="K662" s="36" t="s">
        <v>8705</v>
      </c>
      <c r="M662" s="36" t="s">
        <v>8016</v>
      </c>
    </row>
    <row r="663" spans="1:13" hidden="1">
      <c r="A663" s="42">
        <f t="shared" si="11"/>
        <v>662</v>
      </c>
      <c r="B663" s="36" t="s">
        <v>6</v>
      </c>
      <c r="C663" s="36" t="s">
        <v>8718</v>
      </c>
      <c r="D663" s="9" t="s">
        <v>8935</v>
      </c>
      <c r="E663" s="9" t="s">
        <v>8779</v>
      </c>
      <c r="F663" s="9" t="s">
        <v>4650</v>
      </c>
      <c r="G663" s="36" t="s">
        <v>14</v>
      </c>
      <c r="H663" s="36" t="str">
        <f>IFERROR(VLOOKUP(Table2[[#This Row], [Ticket]],Okey!A:B,2,0),"")</f>
        <v/>
      </c>
      <c r="K663" s="36" t="s">
        <v>8705</v>
      </c>
      <c r="M663" s="36" t="s">
        <v>8016</v>
      </c>
    </row>
    <row r="664" spans="1:13" hidden="1">
      <c r="A664" s="42">
        <f t="shared" si="11"/>
        <v>663</v>
      </c>
      <c r="B664" s="36" t="s">
        <v>6</v>
      </c>
      <c r="C664" s="36" t="s">
        <v>8718</v>
      </c>
      <c r="D664" s="9" t="s">
        <v>8936</v>
      </c>
      <c r="E664" s="9" t="s">
        <v>8780</v>
      </c>
      <c r="F664" s="9" t="s">
        <v>4652</v>
      </c>
      <c r="G664" s="36" t="s">
        <v>14</v>
      </c>
      <c r="H664" s="36" t="str">
        <f>IFERROR(VLOOKUP(Table2[[#This Row], [Ticket]],Okey!A:B,2,0),"")</f>
        <v/>
      </c>
      <c r="K664" s="36" t="s">
        <v>8705</v>
      </c>
      <c r="M664" s="36" t="s">
        <v>8016</v>
      </c>
    </row>
    <row r="665" spans="1:13" hidden="1">
      <c r="A665" s="42">
        <f t="shared" si="11"/>
        <v>664</v>
      </c>
      <c r="B665" s="36" t="s">
        <v>6</v>
      </c>
      <c r="C665" s="36" t="s">
        <v>8718</v>
      </c>
      <c r="D665" s="9" t="s">
        <v>8937</v>
      </c>
      <c r="E665" s="9" t="s">
        <v>8773</v>
      </c>
      <c r="F665" s="9" t="s">
        <v>4654</v>
      </c>
      <c r="G665" s="36" t="s">
        <v>14</v>
      </c>
      <c r="H665" s="36" t="str">
        <f>IFERROR(VLOOKUP(Table2[[#This Row], [Ticket]],Okey!A:B,2,0),"")</f>
        <v/>
      </c>
      <c r="K665" s="36" t="s">
        <v>8705</v>
      </c>
      <c r="M665" s="36" t="s">
        <v>8016</v>
      </c>
    </row>
    <row r="666" spans="1:13" hidden="1">
      <c r="A666" s="42">
        <f t="shared" si="11"/>
        <v>665</v>
      </c>
      <c r="B666" s="36" t="s">
        <v>6</v>
      </c>
      <c r="C666" s="36" t="s">
        <v>8718</v>
      </c>
      <c r="D666" s="9" t="s">
        <v>8938</v>
      </c>
      <c r="E666" s="9" t="s">
        <v>8778</v>
      </c>
      <c r="F666" s="9" t="s">
        <v>7804</v>
      </c>
      <c r="G666" s="36" t="s">
        <v>14</v>
      </c>
      <c r="H666" s="36" t="str">
        <f>IFERROR(VLOOKUP(Table2[[#This Row], [Ticket]],Okey!A:B,2,0),"")</f>
        <v/>
      </c>
      <c r="K666" s="36" t="s">
        <v>8705</v>
      </c>
      <c r="M666" s="36" t="s">
        <v>8016</v>
      </c>
    </row>
    <row r="667" spans="1:13" hidden="1">
      <c r="A667" s="42">
        <f t="shared" si="11"/>
        <v>666</v>
      </c>
      <c r="B667" s="36" t="s">
        <v>6</v>
      </c>
      <c r="C667" s="36" t="s">
        <v>8718</v>
      </c>
      <c r="D667" s="9" t="s">
        <v>8939</v>
      </c>
      <c r="E667" s="9" t="s">
        <v>8781</v>
      </c>
      <c r="F667" s="9" t="s">
        <v>7813</v>
      </c>
      <c r="G667" s="36" t="s">
        <v>14</v>
      </c>
      <c r="H667" s="36" t="str">
        <f>IFERROR(VLOOKUP(Table2[[#This Row], [Ticket]],Okey!A:B,2,0),"")</f>
        <v/>
      </c>
      <c r="K667" s="36" t="s">
        <v>8705</v>
      </c>
      <c r="M667" s="36" t="s">
        <v>8016</v>
      </c>
    </row>
    <row r="668" spans="1:13" hidden="1">
      <c r="A668" s="42">
        <f t="shared" si="11"/>
        <v>667</v>
      </c>
      <c r="B668" s="36" t="s">
        <v>6</v>
      </c>
      <c r="C668" s="36" t="s">
        <v>8718</v>
      </c>
      <c r="D668" s="9" t="s">
        <v>8940</v>
      </c>
      <c r="E668" s="9" t="s">
        <v>8782</v>
      </c>
      <c r="F668" s="9" t="s">
        <v>7813</v>
      </c>
      <c r="G668" s="36" t="s">
        <v>14</v>
      </c>
      <c r="H668" s="36" t="str">
        <f>IFERROR(VLOOKUP(Table2[[#This Row], [Ticket]],Okey!A:B,2,0),"")</f>
        <v/>
      </c>
      <c r="K668" s="36" t="s">
        <v>8705</v>
      </c>
      <c r="M668" s="36" t="s">
        <v>8016</v>
      </c>
    </row>
    <row r="669" spans="1:13" hidden="1">
      <c r="A669" s="42">
        <f t="shared" si="11"/>
        <v>668</v>
      </c>
      <c r="B669" s="36" t="s">
        <v>6</v>
      </c>
      <c r="C669" s="36" t="s">
        <v>8718</v>
      </c>
      <c r="D669" s="9" t="s">
        <v>8941</v>
      </c>
      <c r="E669" s="9" t="s">
        <v>4674</v>
      </c>
      <c r="F669" s="9" t="s">
        <v>7804</v>
      </c>
      <c r="G669" s="36" t="s">
        <v>14</v>
      </c>
      <c r="H669" s="36" t="str">
        <f>IFERROR(VLOOKUP(Table2[[#This Row], [Ticket]],Okey!A:B,2,0),"")</f>
        <v/>
      </c>
      <c r="K669" s="36" t="s">
        <v>8705</v>
      </c>
      <c r="M669" s="36" t="s">
        <v>8016</v>
      </c>
    </row>
    <row r="670" spans="1:13" hidden="1">
      <c r="A670" s="42">
        <f t="shared" si="11"/>
        <v>669</v>
      </c>
      <c r="B670" s="36" t="s">
        <v>6</v>
      </c>
      <c r="C670" s="36" t="s">
        <v>8718</v>
      </c>
      <c r="D670" s="9" t="s">
        <v>8942</v>
      </c>
      <c r="E670" s="9" t="s">
        <v>8783</v>
      </c>
      <c r="F670" s="9" t="s">
        <v>8047</v>
      </c>
      <c r="G670" s="36" t="s">
        <v>14</v>
      </c>
      <c r="H670" s="36" t="str">
        <f>IFERROR(VLOOKUP(Table2[[#This Row], [Ticket]],Okey!A:B,2,0),"")</f>
        <v/>
      </c>
      <c r="K670" s="36" t="s">
        <v>8705</v>
      </c>
      <c r="M670" s="36" t="s">
        <v>8016</v>
      </c>
    </row>
    <row r="671" spans="1:13" hidden="1">
      <c r="A671" s="42">
        <f t="shared" si="11"/>
        <v>670</v>
      </c>
      <c r="B671" s="36" t="s">
        <v>6</v>
      </c>
      <c r="C671" s="36" t="s">
        <v>8718</v>
      </c>
      <c r="D671" s="9" t="s">
        <v>3336</v>
      </c>
      <c r="E671" s="9" t="s">
        <v>8787</v>
      </c>
      <c r="G671" s="9" t="s">
        <v>15</v>
      </c>
      <c r="H671" s="36" t="str">
        <f>IFERROR(VLOOKUP(Table2[[#This Row], [Ticket]],Okey!A:B,2,0),"")</f>
        <v/>
      </c>
      <c r="K671" s="36" t="s">
        <v>7857</v>
      </c>
      <c r="M671" s="36" t="s">
        <v>8016</v>
      </c>
    </row>
    <row r="672" spans="1:13" hidden="1">
      <c r="A672" s="42">
        <f t="shared" si="11"/>
        <v>671</v>
      </c>
      <c r="B672" s="36" t="s">
        <v>6</v>
      </c>
      <c r="C672" s="36" t="s">
        <v>8718</v>
      </c>
      <c r="D672" s="9" t="s">
        <v>722</v>
      </c>
      <c r="E672" s="9" t="s">
        <v>8788</v>
      </c>
      <c r="G672" s="36" t="s">
        <v>15</v>
      </c>
      <c r="H672" s="36" t="str">
        <f>IFERROR(VLOOKUP(Table2[[#This Row], [Ticket]],Okey!A:B,2,0),"")</f>
        <v/>
      </c>
      <c r="K672" s="36" t="s">
        <v>7857</v>
      </c>
      <c r="M672" s="36" t="s">
        <v>8016</v>
      </c>
    </row>
    <row r="673" spans="1:13" hidden="1">
      <c r="A673" s="42">
        <f t="shared" si="11"/>
        <v>672</v>
      </c>
      <c r="B673" s="36" t="s">
        <v>6</v>
      </c>
      <c r="C673" s="36" t="s">
        <v>8718</v>
      </c>
      <c r="D673" s="9" t="s">
        <v>4297</v>
      </c>
      <c r="E673" s="9" t="s">
        <v>8789</v>
      </c>
      <c r="G673" s="36" t="s">
        <v>15</v>
      </c>
      <c r="H673" s="36" t="str">
        <f>IFERROR(VLOOKUP(Table2[[#This Row], [Ticket]],Okey!A:B,2,0),"")</f>
        <v/>
      </c>
      <c r="K673" s="36" t="s">
        <v>7857</v>
      </c>
      <c r="M673" s="36" t="s">
        <v>8016</v>
      </c>
    </row>
    <row r="674" spans="1:13" hidden="1">
      <c r="A674" s="42">
        <f t="shared" si="11"/>
        <v>673</v>
      </c>
      <c r="B674" s="36" t="s">
        <v>6</v>
      </c>
      <c r="C674" s="36" t="s">
        <v>8718</v>
      </c>
      <c r="D674" s="9" t="s">
        <v>4210</v>
      </c>
      <c r="E674" s="9" t="s">
        <v>8790</v>
      </c>
      <c r="G674" s="36" t="s">
        <v>15</v>
      </c>
      <c r="H674" s="36" t="str">
        <f>IFERROR(VLOOKUP(Table2[[#This Row], [Ticket]],Okey!A:B,2,0),"")</f>
        <v/>
      </c>
      <c r="K674" s="36" t="s">
        <v>7857</v>
      </c>
      <c r="M674" s="36" t="s">
        <v>8016</v>
      </c>
    </row>
    <row r="675" spans="1:13" hidden="1">
      <c r="A675" s="42">
        <f t="shared" si="11"/>
        <v>674</v>
      </c>
      <c r="B675" s="36" t="s">
        <v>6</v>
      </c>
      <c r="C675" s="36" t="s">
        <v>8718</v>
      </c>
      <c r="D675" s="9" t="s">
        <v>5322</v>
      </c>
      <c r="E675" s="9" t="s">
        <v>8791</v>
      </c>
      <c r="G675" s="36" t="s">
        <v>15</v>
      </c>
      <c r="H675" s="36" t="str">
        <f>IFERROR(VLOOKUP(Table2[[#This Row], [Ticket]],Okey!A:B,2,0),"")</f>
        <v/>
      </c>
      <c r="K675" s="36" t="s">
        <v>7857</v>
      </c>
      <c r="M675" s="36" t="s">
        <v>8016</v>
      </c>
    </row>
    <row r="676" spans="1:13" hidden="1">
      <c r="A676" s="42">
        <f t="shared" si="11"/>
        <v>675</v>
      </c>
      <c r="B676" s="36" t="s">
        <v>6</v>
      </c>
      <c r="C676" s="36" t="s">
        <v>8718</v>
      </c>
      <c r="D676" s="9" t="s">
        <v>5348</v>
      </c>
      <c r="E676" s="9" t="s">
        <v>8792</v>
      </c>
      <c r="G676" s="36" t="s">
        <v>15</v>
      </c>
      <c r="H676" s="36" t="str">
        <f>IFERROR(VLOOKUP(Table2[[#This Row], [Ticket]],Okey!A:B,2,0),"")</f>
        <v/>
      </c>
      <c r="K676" s="36" t="s">
        <v>7857</v>
      </c>
      <c r="M676" s="36" t="s">
        <v>8016</v>
      </c>
    </row>
    <row r="677" spans="1:13" hidden="1">
      <c r="A677" s="42">
        <f t="shared" si="11"/>
        <v>676</v>
      </c>
      <c r="B677" s="36" t="s">
        <v>6</v>
      </c>
      <c r="C677" s="36" t="s">
        <v>8718</v>
      </c>
      <c r="D677" s="9" t="s">
        <v>5873</v>
      </c>
      <c r="E677" s="9" t="s">
        <v>8793</v>
      </c>
      <c r="G677" s="36" t="s">
        <v>15</v>
      </c>
      <c r="H677" s="36" t="str">
        <f>IFERROR(VLOOKUP(Table2[[#This Row], [Ticket]],Okey!A:B,2,0),"")</f>
        <v/>
      </c>
      <c r="K677" s="36" t="s">
        <v>7857</v>
      </c>
      <c r="M677" s="36" t="s">
        <v>8016</v>
      </c>
    </row>
    <row r="678" spans="1:13" hidden="1">
      <c r="A678" s="42">
        <f t="shared" si="11"/>
        <v>677</v>
      </c>
      <c r="B678" s="36" t="s">
        <v>6</v>
      </c>
      <c r="C678" s="36" t="s">
        <v>8718</v>
      </c>
      <c r="D678" s="9" t="s">
        <v>5393</v>
      </c>
      <c r="E678" s="9" t="s">
        <v>8794</v>
      </c>
      <c r="G678" s="36" t="s">
        <v>15</v>
      </c>
      <c r="H678" s="36" t="str">
        <f>IFERROR(VLOOKUP(Table2[[#This Row], [Ticket]],Okey!A:B,2,0),"")</f>
        <v/>
      </c>
      <c r="K678" s="36" t="s">
        <v>7857</v>
      </c>
      <c r="M678" s="36" t="s">
        <v>8016</v>
      </c>
    </row>
    <row r="679" spans="1:13" hidden="1">
      <c r="A679" s="42">
        <f t="shared" si="11"/>
        <v>678</v>
      </c>
      <c r="B679" s="36" t="s">
        <v>6</v>
      </c>
      <c r="C679" s="36" t="s">
        <v>8718</v>
      </c>
      <c r="D679" s="9" t="s">
        <v>5890</v>
      </c>
      <c r="E679" s="9" t="s">
        <v>8795</v>
      </c>
      <c r="G679" s="36" t="s">
        <v>15</v>
      </c>
      <c r="H679" s="36" t="str">
        <f>IFERROR(VLOOKUP(Table2[[#This Row], [Ticket]],Okey!A:B,2,0),"")</f>
        <v/>
      </c>
      <c r="K679" s="36" t="s">
        <v>7857</v>
      </c>
      <c r="M679" s="36" t="s">
        <v>8016</v>
      </c>
    </row>
    <row r="680" spans="1:13" hidden="1">
      <c r="A680" s="42">
        <f t="shared" si="11"/>
        <v>679</v>
      </c>
      <c r="B680" s="36" t="s">
        <v>6</v>
      </c>
      <c r="C680" s="36" t="s">
        <v>8718</v>
      </c>
      <c r="D680" s="9" t="s">
        <v>8796</v>
      </c>
      <c r="E680" s="9" t="s">
        <v>8797</v>
      </c>
      <c r="G680" s="36" t="s">
        <v>15</v>
      </c>
      <c r="H680" s="36" t="str">
        <f>IFERROR(VLOOKUP(Table2[[#This Row], [Ticket]],Okey!A:B,2,0),"")</f>
        <v/>
      </c>
      <c r="K680" s="36" t="s">
        <v>7857</v>
      </c>
      <c r="M680" s="36" t="s">
        <v>8016</v>
      </c>
    </row>
    <row r="681" spans="1:13" hidden="1">
      <c r="A681" s="42">
        <f t="shared" si="11"/>
        <v>680</v>
      </c>
      <c r="B681" s="36" t="s">
        <v>6</v>
      </c>
      <c r="C681" s="36" t="s">
        <v>8718</v>
      </c>
      <c r="D681" s="9" t="s">
        <v>8798</v>
      </c>
      <c r="E681" s="9" t="s">
        <v>8799</v>
      </c>
      <c r="G681" s="36" t="s">
        <v>15</v>
      </c>
      <c r="H681" s="36" t="str">
        <f>IFERROR(VLOOKUP(Table2[[#This Row], [Ticket]],Okey!A:B,2,0),"")</f>
        <v/>
      </c>
      <c r="K681" s="36" t="s">
        <v>7857</v>
      </c>
      <c r="M681" s="36" t="s">
        <v>8016</v>
      </c>
    </row>
    <row r="682" spans="1:13" hidden="1">
      <c r="A682" s="42">
        <f t="shared" si="11"/>
        <v>681</v>
      </c>
      <c r="B682" s="36" t="s">
        <v>6</v>
      </c>
      <c r="C682" s="36" t="s">
        <v>8718</v>
      </c>
      <c r="D682" s="9" t="s">
        <v>8800</v>
      </c>
      <c r="E682" s="9" t="s">
        <v>8801</v>
      </c>
      <c r="G682" s="36" t="s">
        <v>15</v>
      </c>
      <c r="H682" s="36" t="str">
        <f>IFERROR(VLOOKUP(Table2[[#This Row], [Ticket]],Okey!A:B,2,0),"")</f>
        <v/>
      </c>
      <c r="K682" s="36" t="s">
        <v>7857</v>
      </c>
      <c r="M682" s="36" t="s">
        <v>8016</v>
      </c>
    </row>
    <row r="683" spans="1:13" hidden="1">
      <c r="A683" s="42">
        <f t="shared" si="11"/>
        <v>682</v>
      </c>
      <c r="B683" s="36" t="s">
        <v>6</v>
      </c>
      <c r="C683" s="36" t="s">
        <v>8718</v>
      </c>
      <c r="D683" s="9" t="s">
        <v>2445</v>
      </c>
      <c r="E683" s="9" t="s">
        <v>8802</v>
      </c>
      <c r="G683" s="36" t="s">
        <v>15</v>
      </c>
      <c r="H683" s="36" t="str">
        <f>IFERROR(VLOOKUP(Table2[[#This Row], [Ticket]],Okey!A:B,2,0),"")</f>
        <v/>
      </c>
      <c r="K683" s="36" t="s">
        <v>7857</v>
      </c>
      <c r="M683" s="36" t="s">
        <v>8016</v>
      </c>
    </row>
    <row r="684" spans="1:13" hidden="1">
      <c r="A684" s="42">
        <f t="shared" si="11"/>
        <v>683</v>
      </c>
      <c r="B684" s="36" t="s">
        <v>6</v>
      </c>
      <c r="C684" s="36" t="s">
        <v>8718</v>
      </c>
      <c r="D684" s="9" t="s">
        <v>1621</v>
      </c>
      <c r="E684" s="9" t="s">
        <v>8803</v>
      </c>
      <c r="G684" s="36" t="s">
        <v>15</v>
      </c>
      <c r="H684" s="36" t="str">
        <f>IFERROR(VLOOKUP(Table2[[#This Row], [Ticket]],Okey!A:B,2,0),"")</f>
        <v/>
      </c>
      <c r="K684" s="36" t="s">
        <v>7857</v>
      </c>
      <c r="M684" s="36" t="s">
        <v>8016</v>
      </c>
    </row>
    <row r="685" spans="1:13" hidden="1">
      <c r="A685" s="42">
        <f t="shared" si="11"/>
        <v>684</v>
      </c>
      <c r="B685" s="36" t="s">
        <v>6</v>
      </c>
      <c r="C685" s="36" t="s">
        <v>8718</v>
      </c>
      <c r="D685" s="9" t="s">
        <v>2500</v>
      </c>
      <c r="E685" s="9" t="s">
        <v>8804</v>
      </c>
      <c r="G685" s="36" t="s">
        <v>15</v>
      </c>
      <c r="H685" s="36" t="str">
        <f>IFERROR(VLOOKUP(Table2[[#This Row], [Ticket]],Okey!A:B,2,0),"")</f>
        <v/>
      </c>
      <c r="K685" s="36" t="s">
        <v>7857</v>
      </c>
      <c r="M685" s="36" t="s">
        <v>8016</v>
      </c>
    </row>
    <row r="686" spans="1:13" hidden="1">
      <c r="A686" s="42">
        <f t="shared" si="11"/>
        <v>685</v>
      </c>
      <c r="B686" s="36" t="s">
        <v>6</v>
      </c>
      <c r="C686" s="36" t="s">
        <v>8718</v>
      </c>
      <c r="D686" s="9" t="s">
        <v>4857</v>
      </c>
      <c r="E686" s="9" t="s">
        <v>8805</v>
      </c>
      <c r="G686" s="36" t="s">
        <v>15</v>
      </c>
      <c r="H686" s="36" t="str">
        <f>IFERROR(VLOOKUP(Table2[[#This Row], [Ticket]],Okey!A:B,2,0),"")</f>
        <v/>
      </c>
      <c r="K686" s="36" t="s">
        <v>7857</v>
      </c>
      <c r="M686" s="36" t="s">
        <v>8016</v>
      </c>
    </row>
    <row r="687" spans="1:13" hidden="1">
      <c r="A687" s="42">
        <f t="shared" si="11"/>
        <v>686</v>
      </c>
      <c r="B687" s="36" t="s">
        <v>6</v>
      </c>
      <c r="C687" s="36" t="s">
        <v>8718</v>
      </c>
      <c r="D687" s="9" t="s">
        <v>4861</v>
      </c>
      <c r="E687" s="9" t="s">
        <v>8806</v>
      </c>
      <c r="G687" s="36" t="s">
        <v>15</v>
      </c>
      <c r="H687" s="36" t="str">
        <f>IFERROR(VLOOKUP(Table2[[#This Row], [Ticket]],Okey!A:B,2,0),"")</f>
        <v/>
      </c>
      <c r="K687" s="36" t="s">
        <v>7857</v>
      </c>
      <c r="M687" s="36" t="s">
        <v>8016</v>
      </c>
    </row>
    <row r="688" spans="1:13" hidden="1">
      <c r="A688" s="42">
        <f t="shared" si="11"/>
        <v>687</v>
      </c>
      <c r="B688" s="36" t="s">
        <v>6</v>
      </c>
      <c r="C688" s="36" t="s">
        <v>8718</v>
      </c>
      <c r="D688" s="9" t="s">
        <v>4863</v>
      </c>
      <c r="E688" s="9" t="s">
        <v>8807</v>
      </c>
      <c r="G688" s="36" t="s">
        <v>15</v>
      </c>
      <c r="H688" s="36" t="str">
        <f>IFERROR(VLOOKUP(Table2[[#This Row], [Ticket]],Okey!A:B,2,0),"")</f>
        <v/>
      </c>
      <c r="K688" s="36" t="s">
        <v>7857</v>
      </c>
      <c r="M688" s="36" t="s">
        <v>8016</v>
      </c>
    </row>
    <row r="689" spans="1:13" hidden="1">
      <c r="A689" s="42">
        <f t="shared" si="11"/>
        <v>688</v>
      </c>
      <c r="B689" s="36" t="s">
        <v>6</v>
      </c>
      <c r="C689" s="36" t="s">
        <v>8718</v>
      </c>
      <c r="D689" s="9" t="s">
        <v>2537</v>
      </c>
      <c r="E689" s="9" t="s">
        <v>8808</v>
      </c>
      <c r="G689" s="36" t="s">
        <v>15</v>
      </c>
      <c r="H689" s="36" t="str">
        <f>IFERROR(VLOOKUP(Table2[[#This Row], [Ticket]],Okey!A:B,2,0),"")</f>
        <v/>
      </c>
      <c r="K689" s="36" t="s">
        <v>7857</v>
      </c>
      <c r="M689" s="36" t="s">
        <v>8016</v>
      </c>
    </row>
    <row r="690" spans="1:13" hidden="1">
      <c r="A690" s="42">
        <f t="shared" si="11"/>
        <v>689</v>
      </c>
      <c r="B690" s="36" t="s">
        <v>6</v>
      </c>
      <c r="C690" s="36" t="s">
        <v>8718</v>
      </c>
      <c r="D690" s="9" t="s">
        <v>2535</v>
      </c>
      <c r="E690" s="9" t="s">
        <v>8809</v>
      </c>
      <c r="G690" s="36" t="s">
        <v>15</v>
      </c>
      <c r="H690" s="36" t="str">
        <f>IFERROR(VLOOKUP(Table2[[#This Row], [Ticket]],Okey!A:B,2,0),"")</f>
        <v/>
      </c>
      <c r="K690" s="36" t="s">
        <v>7857</v>
      </c>
      <c r="M690" s="36" t="s">
        <v>8016</v>
      </c>
    </row>
    <row r="691" spans="1:13" hidden="1">
      <c r="A691" s="42">
        <f t="shared" si="11"/>
        <v>690</v>
      </c>
      <c r="B691" s="36" t="s">
        <v>6</v>
      </c>
      <c r="C691" s="36" t="s">
        <v>8718</v>
      </c>
      <c r="D691" s="9" t="s">
        <v>2538</v>
      </c>
      <c r="E691" s="9" t="s">
        <v>8810</v>
      </c>
      <c r="G691" s="36" t="s">
        <v>15</v>
      </c>
      <c r="H691" s="36" t="str">
        <f>IFERROR(VLOOKUP(Table2[[#This Row], [Ticket]],Okey!A:B,2,0),"")</f>
        <v/>
      </c>
      <c r="K691" s="36" t="s">
        <v>7857</v>
      </c>
      <c r="M691" s="36" t="s">
        <v>8016</v>
      </c>
    </row>
    <row r="692" spans="1:13" hidden="1">
      <c r="A692" s="42">
        <f t="shared" si="11"/>
        <v>691</v>
      </c>
      <c r="B692" s="36" t="s">
        <v>6</v>
      </c>
      <c r="C692" s="36" t="s">
        <v>8718</v>
      </c>
      <c r="D692" s="9" t="s">
        <v>2540</v>
      </c>
      <c r="E692" s="9" t="s">
        <v>8811</v>
      </c>
      <c r="G692" s="36" t="s">
        <v>15</v>
      </c>
      <c r="H692" s="36" t="str">
        <f>IFERROR(VLOOKUP(Table2[[#This Row], [Ticket]],Okey!A:B,2,0),"")</f>
        <v/>
      </c>
      <c r="K692" s="36" t="s">
        <v>7857</v>
      </c>
      <c r="M692" s="36" t="s">
        <v>8016</v>
      </c>
    </row>
    <row r="693" spans="1:13" hidden="1">
      <c r="A693" s="42">
        <f t="shared" si="11"/>
        <v>692</v>
      </c>
      <c r="B693" s="36" t="s">
        <v>6</v>
      </c>
      <c r="C693" s="36" t="s">
        <v>8718</v>
      </c>
      <c r="D693" s="9" t="s">
        <v>2418</v>
      </c>
      <c r="E693" s="9" t="s">
        <v>8812</v>
      </c>
      <c r="G693" s="36" t="s">
        <v>15</v>
      </c>
      <c r="H693" s="36" t="str">
        <f>IFERROR(VLOOKUP(Table2[[#This Row], [Ticket]],Okey!A:B,2,0),"")</f>
        <v/>
      </c>
      <c r="K693" s="36" t="s">
        <v>7857</v>
      </c>
      <c r="M693" s="36" t="s">
        <v>8016</v>
      </c>
    </row>
    <row r="694" spans="1:13" hidden="1">
      <c r="A694" s="42">
        <f t="shared" si="11"/>
        <v>693</v>
      </c>
      <c r="B694" s="36" t="s">
        <v>6</v>
      </c>
      <c r="C694" s="36" t="s">
        <v>8718</v>
      </c>
      <c r="D694" s="9" t="s">
        <v>2558</v>
      </c>
      <c r="E694" s="9" t="s">
        <v>8813</v>
      </c>
      <c r="G694" s="36" t="s">
        <v>15</v>
      </c>
      <c r="H694" s="36" t="str">
        <f>IFERROR(VLOOKUP(Table2[[#This Row], [Ticket]],Okey!A:B,2,0),"")</f>
        <v/>
      </c>
      <c r="K694" s="36" t="s">
        <v>7857</v>
      </c>
      <c r="M694" s="36" t="s">
        <v>8016</v>
      </c>
    </row>
    <row r="695" spans="1:13" hidden="1">
      <c r="A695" s="42">
        <f t="shared" si="11"/>
        <v>694</v>
      </c>
      <c r="B695" s="36" t="s">
        <v>6</v>
      </c>
      <c r="C695" s="36" t="s">
        <v>8718</v>
      </c>
      <c r="D695" s="9" t="s">
        <v>2556</v>
      </c>
      <c r="E695" s="9" t="s">
        <v>8814</v>
      </c>
      <c r="G695" s="36" t="s">
        <v>15</v>
      </c>
      <c r="H695" s="36" t="str">
        <f>IFERROR(VLOOKUP(Table2[[#This Row], [Ticket]],Okey!A:B,2,0),"")</f>
        <v/>
      </c>
      <c r="K695" s="36" t="s">
        <v>7857</v>
      </c>
      <c r="M695" s="36" t="s">
        <v>8016</v>
      </c>
    </row>
    <row r="696" spans="1:13" hidden="1">
      <c r="A696" s="42">
        <f t="shared" si="11"/>
        <v>695</v>
      </c>
      <c r="B696" s="36" t="s">
        <v>6</v>
      </c>
      <c r="C696" s="36" t="s">
        <v>8718</v>
      </c>
      <c r="D696" s="9" t="s">
        <v>2559</v>
      </c>
      <c r="E696" s="9" t="s">
        <v>8815</v>
      </c>
      <c r="G696" s="36" t="s">
        <v>15</v>
      </c>
      <c r="H696" s="36" t="str">
        <f>IFERROR(VLOOKUP(Table2[[#This Row], [Ticket]],Okey!A:B,2,0),"")</f>
        <v/>
      </c>
      <c r="K696" s="36" t="s">
        <v>7857</v>
      </c>
      <c r="M696" s="36" t="s">
        <v>8016</v>
      </c>
    </row>
    <row r="697" spans="1:13" hidden="1">
      <c r="A697" s="42">
        <f t="shared" si="11"/>
        <v>696</v>
      </c>
      <c r="B697" s="36" t="s">
        <v>6</v>
      </c>
      <c r="C697" s="36" t="s">
        <v>8718</v>
      </c>
      <c r="D697" s="9" t="s">
        <v>2561</v>
      </c>
      <c r="E697" s="9" t="s">
        <v>8816</v>
      </c>
      <c r="G697" s="36" t="s">
        <v>15</v>
      </c>
      <c r="H697" s="36" t="str">
        <f>IFERROR(VLOOKUP(Table2[[#This Row], [Ticket]],Okey!A:B,2,0),"")</f>
        <v/>
      </c>
      <c r="K697" s="36" t="s">
        <v>7857</v>
      </c>
      <c r="M697" s="36" t="s">
        <v>8016</v>
      </c>
    </row>
    <row r="698" spans="1:13" hidden="1">
      <c r="A698" s="42">
        <f t="shared" si="11"/>
        <v>697</v>
      </c>
      <c r="B698" s="36" t="s">
        <v>6</v>
      </c>
      <c r="C698" s="36" t="s">
        <v>8718</v>
      </c>
      <c r="D698" s="9" t="s">
        <v>8817</v>
      </c>
      <c r="E698" s="9" t="s">
        <v>8818</v>
      </c>
      <c r="G698" s="36" t="s">
        <v>15</v>
      </c>
      <c r="H698" s="36" t="str">
        <f>IFERROR(VLOOKUP(Table2[[#This Row], [Ticket]],Okey!A:B,2,0),"")</f>
        <v/>
      </c>
      <c r="K698" s="36" t="s">
        <v>7857</v>
      </c>
      <c r="M698" s="36" t="s">
        <v>8016</v>
      </c>
    </row>
    <row r="699" spans="1:13" hidden="1">
      <c r="A699" s="42">
        <f t="shared" si="11"/>
        <v>698</v>
      </c>
      <c r="B699" s="36" t="s">
        <v>6</v>
      </c>
      <c r="C699" s="36" t="s">
        <v>8718</v>
      </c>
      <c r="D699" s="9" t="s">
        <v>5926</v>
      </c>
      <c r="E699" s="9" t="s">
        <v>8819</v>
      </c>
      <c r="G699" s="36" t="s">
        <v>15</v>
      </c>
      <c r="H699" s="36" t="str">
        <f>IFERROR(VLOOKUP(Table2[[#This Row], [Ticket]],Okey!A:B,2,0),"")</f>
        <v/>
      </c>
      <c r="K699" s="36" t="s">
        <v>7857</v>
      </c>
      <c r="M699" s="36" t="s">
        <v>8016</v>
      </c>
    </row>
    <row r="700" spans="1:13" hidden="1">
      <c r="A700" s="42">
        <f t="shared" si="11"/>
        <v>699</v>
      </c>
      <c r="B700" s="36" t="s">
        <v>6</v>
      </c>
      <c r="C700" s="36" t="s">
        <v>8718</v>
      </c>
      <c r="D700" s="9" t="s">
        <v>8820</v>
      </c>
      <c r="E700" s="9" t="s">
        <v>8821</v>
      </c>
      <c r="G700" s="36" t="s">
        <v>15</v>
      </c>
      <c r="H700" s="36" t="str">
        <f>IFERROR(VLOOKUP(Table2[[#This Row], [Ticket]],Okey!A:B,2,0),"")</f>
        <v/>
      </c>
      <c r="K700" s="36" t="s">
        <v>7857</v>
      </c>
      <c r="M700" s="36" t="s">
        <v>8016</v>
      </c>
    </row>
    <row r="701" spans="1:13" hidden="1">
      <c r="A701" s="42">
        <f t="shared" si="11"/>
        <v>700</v>
      </c>
      <c r="B701" s="36" t="s">
        <v>6</v>
      </c>
      <c r="C701" s="36" t="s">
        <v>8718</v>
      </c>
      <c r="D701" s="9" t="s">
        <v>8822</v>
      </c>
      <c r="E701" s="9" t="s">
        <v>8823</v>
      </c>
      <c r="G701" s="36" t="s">
        <v>15</v>
      </c>
      <c r="H701" s="36" t="str">
        <f>IFERROR(VLOOKUP(Table2[[#This Row], [Ticket]],Okey!A:B,2,0),"")</f>
        <v/>
      </c>
      <c r="K701" s="36" t="s">
        <v>7857</v>
      </c>
      <c r="M701" s="36" t="s">
        <v>8016</v>
      </c>
    </row>
    <row r="702" spans="1:13" hidden="1">
      <c r="A702" s="42">
        <f t="shared" si="11"/>
        <v>701</v>
      </c>
      <c r="B702" s="36" t="s">
        <v>6</v>
      </c>
      <c r="C702" s="36" t="s">
        <v>8718</v>
      </c>
      <c r="D702" s="9" t="s">
        <v>8824</v>
      </c>
      <c r="E702" s="9" t="s">
        <v>8823</v>
      </c>
      <c r="G702" s="36" t="s">
        <v>15</v>
      </c>
      <c r="H702" s="36" t="str">
        <f>IFERROR(VLOOKUP(Table2[[#This Row], [Ticket]],Okey!A:B,2,0),"")</f>
        <v/>
      </c>
      <c r="K702" s="36" t="s">
        <v>7857</v>
      </c>
      <c r="M702" s="36" t="s">
        <v>8016</v>
      </c>
    </row>
    <row r="703" spans="1:13" hidden="1">
      <c r="A703" s="42">
        <f t="shared" si="11"/>
        <v>702</v>
      </c>
      <c r="B703" s="36" t="s">
        <v>6</v>
      </c>
      <c r="C703" s="36" t="s">
        <v>8718</v>
      </c>
      <c r="D703" s="9" t="s">
        <v>8825</v>
      </c>
      <c r="E703" s="9" t="s">
        <v>8826</v>
      </c>
      <c r="G703" s="36" t="s">
        <v>15</v>
      </c>
      <c r="H703" s="36" t="str">
        <f>IFERROR(VLOOKUP(Table2[[#This Row], [Ticket]],Okey!A:B,2,0),"")</f>
        <v/>
      </c>
      <c r="K703" s="36" t="s">
        <v>7857</v>
      </c>
      <c r="M703" s="36" t="s">
        <v>8016</v>
      </c>
    </row>
    <row r="704" spans="1:13" hidden="1">
      <c r="A704" s="42">
        <f t="shared" si="11"/>
        <v>703</v>
      </c>
      <c r="B704" s="36" t="s">
        <v>6</v>
      </c>
      <c r="C704" s="36" t="s">
        <v>8718</v>
      </c>
      <c r="D704" s="9" t="s">
        <v>8827</v>
      </c>
      <c r="E704" s="9" t="s">
        <v>8828</v>
      </c>
      <c r="G704" s="36" t="s">
        <v>15</v>
      </c>
      <c r="H704" s="36" t="str">
        <f>IFERROR(VLOOKUP(Table2[[#This Row], [Ticket]],Okey!A:B,2,0),"")</f>
        <v/>
      </c>
      <c r="K704" s="36" t="s">
        <v>7857</v>
      </c>
      <c r="M704" s="36" t="s">
        <v>8016</v>
      </c>
    </row>
    <row r="705" spans="1:13" hidden="1">
      <c r="A705" s="42">
        <f t="shared" si="11"/>
        <v>704</v>
      </c>
      <c r="B705" s="36" t="s">
        <v>6</v>
      </c>
      <c r="C705" s="36" t="s">
        <v>8718</v>
      </c>
      <c r="D705" s="9" t="s">
        <v>8829</v>
      </c>
      <c r="E705" s="9" t="s">
        <v>8830</v>
      </c>
      <c r="G705" s="36" t="s">
        <v>15</v>
      </c>
      <c r="H705" s="36" t="str">
        <f>IFERROR(VLOOKUP(Table2[[#This Row], [Ticket]],Okey!A:B,2,0),"")</f>
        <v/>
      </c>
      <c r="K705" s="36" t="s">
        <v>7857</v>
      </c>
      <c r="M705" s="36" t="s">
        <v>8016</v>
      </c>
    </row>
    <row r="706" spans="1:13" hidden="1">
      <c r="A706" s="42">
        <f t="shared" si="11"/>
        <v>705</v>
      </c>
      <c r="B706" s="36" t="s">
        <v>6</v>
      </c>
      <c r="C706" s="36" t="s">
        <v>8718</v>
      </c>
      <c r="D706" s="9" t="s">
        <v>2192</v>
      </c>
      <c r="E706" s="9" t="s">
        <v>8831</v>
      </c>
      <c r="G706" s="36" t="s">
        <v>15</v>
      </c>
      <c r="H706" s="36" t="str">
        <f>IFERROR(VLOOKUP(Table2[[#This Row], [Ticket]],Okey!A:B,2,0),"")</f>
        <v/>
      </c>
      <c r="K706" s="36" t="s">
        <v>7857</v>
      </c>
      <c r="M706" s="36" t="s">
        <v>8016</v>
      </c>
    </row>
    <row r="707" spans="1:13" hidden="1">
      <c r="A707" s="42">
        <f t="shared" si="11"/>
        <v>706</v>
      </c>
      <c r="B707" s="36" t="s">
        <v>6</v>
      </c>
      <c r="C707" s="36" t="s">
        <v>8718</v>
      </c>
      <c r="D707" s="9" t="s">
        <v>2542</v>
      </c>
      <c r="E707" s="9" t="s">
        <v>8832</v>
      </c>
      <c r="G707" s="36" t="s">
        <v>15</v>
      </c>
      <c r="H707" s="36" t="str">
        <f>IFERROR(VLOOKUP(Table2[[#This Row], [Ticket]],Okey!A:B,2,0),"")</f>
        <v/>
      </c>
      <c r="K707" s="36" t="s">
        <v>7857</v>
      </c>
      <c r="M707" s="36" t="s">
        <v>8016</v>
      </c>
    </row>
    <row r="708" spans="1:13" hidden="1">
      <c r="A708" s="42">
        <f t="shared" si="11"/>
        <v>707</v>
      </c>
      <c r="B708" s="36" t="s">
        <v>6</v>
      </c>
      <c r="C708" s="36" t="s">
        <v>8718</v>
      </c>
      <c r="D708" s="9" t="s">
        <v>2545</v>
      </c>
      <c r="E708" s="9" t="s">
        <v>8833</v>
      </c>
      <c r="G708" s="36" t="s">
        <v>15</v>
      </c>
      <c r="H708" s="36" t="str">
        <f>IFERROR(VLOOKUP(Table2[[#This Row], [Ticket]],Okey!A:B,2,0),"")</f>
        <v/>
      </c>
      <c r="K708" s="36" t="s">
        <v>7857</v>
      </c>
      <c r="M708" s="36" t="s">
        <v>8016</v>
      </c>
    </row>
    <row r="709" spans="1:13" hidden="1">
      <c r="A709" s="42">
        <f t="shared" si="11"/>
        <v>708</v>
      </c>
      <c r="B709" s="36" t="s">
        <v>6</v>
      </c>
      <c r="C709" s="36" t="s">
        <v>8718</v>
      </c>
      <c r="D709" s="9" t="s">
        <v>2547</v>
      </c>
      <c r="E709" s="9" t="s">
        <v>8834</v>
      </c>
      <c r="G709" s="36" t="s">
        <v>15</v>
      </c>
      <c r="H709" s="36" t="str">
        <f>IFERROR(VLOOKUP(Table2[[#This Row], [Ticket]],Okey!A:B,2,0),"")</f>
        <v/>
      </c>
      <c r="K709" s="36" t="s">
        <v>7857</v>
      </c>
      <c r="M709" s="36" t="s">
        <v>8016</v>
      </c>
    </row>
    <row r="710" spans="1:13" hidden="1">
      <c r="A710" s="42">
        <f t="shared" si="11"/>
        <v>709</v>
      </c>
      <c r="B710" s="36" t="s">
        <v>6</v>
      </c>
      <c r="C710" s="36" t="s">
        <v>8718</v>
      </c>
      <c r="D710" s="9" t="s">
        <v>5238</v>
      </c>
      <c r="E710" s="9" t="s">
        <v>8835</v>
      </c>
      <c r="G710" s="36" t="s">
        <v>15</v>
      </c>
      <c r="H710" s="36" t="str">
        <f>IFERROR(VLOOKUP(Table2[[#This Row], [Ticket]],Okey!A:B,2,0),"")</f>
        <v/>
      </c>
      <c r="K710" s="36" t="s">
        <v>7857</v>
      </c>
      <c r="M710" s="36" t="s">
        <v>8016</v>
      </c>
    </row>
    <row r="711" spans="1:13" hidden="1">
      <c r="A711" s="42">
        <f t="shared" si="11"/>
        <v>710</v>
      </c>
      <c r="B711" s="36" t="s">
        <v>6</v>
      </c>
      <c r="C711" s="36" t="s">
        <v>8718</v>
      </c>
      <c r="D711" s="9" t="s">
        <v>2305</v>
      </c>
      <c r="E711" s="9" t="s">
        <v>8836</v>
      </c>
      <c r="G711" s="36" t="s">
        <v>15</v>
      </c>
      <c r="H711" s="36" t="str">
        <f>IFERROR(VLOOKUP(Table2[[#This Row], [Ticket]],Okey!A:B,2,0),"")</f>
        <v/>
      </c>
      <c r="K711" s="36" t="s">
        <v>7857</v>
      </c>
      <c r="M711" s="36" t="s">
        <v>8016</v>
      </c>
    </row>
    <row r="712" spans="1:13" hidden="1">
      <c r="A712" s="42">
        <f t="shared" si="11"/>
        <v>711</v>
      </c>
      <c r="B712" s="36" t="s">
        <v>6</v>
      </c>
      <c r="C712" s="36" t="s">
        <v>8718</v>
      </c>
      <c r="D712" s="9" t="s">
        <v>2549</v>
      </c>
      <c r="E712" s="9" t="s">
        <v>8837</v>
      </c>
      <c r="G712" s="36" t="s">
        <v>15</v>
      </c>
      <c r="H712" s="36" t="str">
        <f>IFERROR(VLOOKUP(Table2[[#This Row], [Ticket]],Okey!A:B,2,0),"")</f>
        <v/>
      </c>
      <c r="K712" s="36" t="s">
        <v>7857</v>
      </c>
      <c r="M712" s="36" t="s">
        <v>8016</v>
      </c>
    </row>
    <row r="713" spans="1:13" hidden="1">
      <c r="A713" s="42">
        <f t="shared" si="11"/>
        <v>712</v>
      </c>
      <c r="B713" s="36" t="s">
        <v>6</v>
      </c>
      <c r="C713" s="36" t="s">
        <v>8718</v>
      </c>
      <c r="D713" s="9" t="s">
        <v>2552</v>
      </c>
      <c r="E713" s="9" t="s">
        <v>8838</v>
      </c>
      <c r="G713" s="36" t="s">
        <v>15</v>
      </c>
      <c r="H713" s="36" t="str">
        <f>IFERROR(VLOOKUP(Table2[[#This Row], [Ticket]],Okey!A:B,2,0),"")</f>
        <v/>
      </c>
      <c r="K713" s="36" t="s">
        <v>7857</v>
      </c>
      <c r="M713" s="36" t="s">
        <v>8016</v>
      </c>
    </row>
    <row r="714" spans="1:13" hidden="1">
      <c r="A714" s="42">
        <f t="shared" si="11"/>
        <v>713</v>
      </c>
      <c r="B714" s="36" t="s">
        <v>6</v>
      </c>
      <c r="C714" s="36" t="s">
        <v>8718</v>
      </c>
      <c r="D714" s="9" t="s">
        <v>2554</v>
      </c>
      <c r="E714" s="9" t="s">
        <v>8839</v>
      </c>
      <c r="G714" s="36" t="s">
        <v>15</v>
      </c>
      <c r="H714" s="36" t="str">
        <f>IFERROR(VLOOKUP(Table2[[#This Row], [Ticket]],Okey!A:B,2,0),"")</f>
        <v/>
      </c>
      <c r="K714" s="36" t="s">
        <v>7857</v>
      </c>
      <c r="M714" s="36" t="s">
        <v>8016</v>
      </c>
    </row>
    <row r="715" spans="1:13" hidden="1">
      <c r="A715" s="42">
        <f t="shared" si="11"/>
        <v>714</v>
      </c>
      <c r="B715" s="36" t="s">
        <v>6</v>
      </c>
      <c r="C715" s="36" t="s">
        <v>8718</v>
      </c>
      <c r="D715" s="9" t="s">
        <v>4212</v>
      </c>
      <c r="E715" s="9" t="s">
        <v>8840</v>
      </c>
      <c r="F715" s="9" t="s">
        <v>4208</v>
      </c>
      <c r="G715" s="9" t="s">
        <v>16</v>
      </c>
      <c r="H715" s="36" t="str">
        <f>IFERROR(VLOOKUP(Table2[[#This Row], [Ticket]],Okey!A:B,2,0),"")</f>
        <v/>
      </c>
      <c r="K715" s="9" t="s">
        <v>6456</v>
      </c>
      <c r="M715" s="36" t="s">
        <v>8016</v>
      </c>
    </row>
    <row r="716" spans="1:13" hidden="1">
      <c r="A716" s="42">
        <f t="shared" si="11"/>
        <v>715</v>
      </c>
      <c r="B716" s="36" t="s">
        <v>6</v>
      </c>
      <c r="C716" s="36" t="s">
        <v>8718</v>
      </c>
      <c r="D716" s="9" t="s">
        <v>5220</v>
      </c>
      <c r="E716" s="9" t="s">
        <v>8841</v>
      </c>
      <c r="F716" s="9" t="s">
        <v>5350</v>
      </c>
      <c r="G716" s="36" t="s">
        <v>16</v>
      </c>
      <c r="H716" s="36" t="str">
        <f>IFERROR(VLOOKUP(Table2[[#This Row], [Ticket]],Okey!A:B,2,0),"")</f>
        <v/>
      </c>
      <c r="K716" s="36" t="s">
        <v>6456</v>
      </c>
      <c r="M716" s="36" t="s">
        <v>8016</v>
      </c>
    </row>
    <row r="717" spans="1:13" hidden="1">
      <c r="A717" s="42">
        <f t="shared" si="11"/>
        <v>716</v>
      </c>
      <c r="B717" s="36" t="s">
        <v>6</v>
      </c>
      <c r="C717" s="36" t="s">
        <v>8718</v>
      </c>
      <c r="D717" s="9" t="s">
        <v>5327</v>
      </c>
      <c r="E717" s="9" t="s">
        <v>8842</v>
      </c>
      <c r="F717" s="9" t="s">
        <v>5324</v>
      </c>
      <c r="G717" s="36" t="s">
        <v>16</v>
      </c>
      <c r="H717" s="36" t="str">
        <f>IFERROR(VLOOKUP(Table2[[#This Row], [Ticket]],Okey!A:B,2,0),"")</f>
        <v/>
      </c>
      <c r="K717" s="36" t="s">
        <v>6456</v>
      </c>
      <c r="M717" s="36" t="s">
        <v>8016</v>
      </c>
    </row>
    <row r="718" spans="1:13" hidden="1">
      <c r="A718" s="42">
        <f t="shared" si="11"/>
        <v>717</v>
      </c>
      <c r="B718" s="36" t="s">
        <v>6</v>
      </c>
      <c r="C718" s="36" t="s">
        <v>8718</v>
      </c>
      <c r="D718" s="9" t="s">
        <v>5355</v>
      </c>
      <c r="E718" s="9" t="s">
        <v>8843</v>
      </c>
      <c r="F718" s="9" t="s">
        <v>5350</v>
      </c>
      <c r="G718" s="36" t="s">
        <v>16</v>
      </c>
      <c r="H718" s="36" t="str">
        <f>IFERROR(VLOOKUP(Table2[[#This Row], [Ticket]],Okey!A:B,2,0),"")</f>
        <v/>
      </c>
      <c r="K718" s="36" t="s">
        <v>6456</v>
      </c>
      <c r="M718" s="36" t="s">
        <v>8016</v>
      </c>
    </row>
    <row r="719" spans="1:13" hidden="1">
      <c r="A719" s="42">
        <f t="shared" si="11"/>
        <v>718</v>
      </c>
      <c r="B719" s="36" t="s">
        <v>6</v>
      </c>
      <c r="C719" s="36" t="s">
        <v>8718</v>
      </c>
      <c r="D719" s="9" t="s">
        <v>5396</v>
      </c>
      <c r="E719" s="9" t="s">
        <v>8844</v>
      </c>
      <c r="F719" s="9" t="s">
        <v>5395</v>
      </c>
      <c r="G719" s="36" t="s">
        <v>16</v>
      </c>
      <c r="H719" s="36" t="str">
        <f>IFERROR(VLOOKUP(Table2[[#This Row], [Ticket]],Okey!A:B,2,0),"")</f>
        <v/>
      </c>
      <c r="K719" s="36" t="s">
        <v>6456</v>
      </c>
      <c r="M719" s="36" t="s">
        <v>8016</v>
      </c>
    </row>
    <row r="720" spans="1:13" hidden="1">
      <c r="A720" s="42">
        <f t="shared" si="11"/>
        <v>719</v>
      </c>
      <c r="B720" s="36" t="s">
        <v>6</v>
      </c>
      <c r="C720" s="36" t="s">
        <v>8718</v>
      </c>
      <c r="D720" s="9" t="s">
        <v>6434</v>
      </c>
      <c r="E720" s="9" t="s">
        <v>8845</v>
      </c>
      <c r="F720" s="9" t="s">
        <v>4861</v>
      </c>
      <c r="G720" s="36" t="s">
        <v>16</v>
      </c>
      <c r="H720" s="36" t="str">
        <f>IFERROR(VLOOKUP(Table2[[#This Row], [Ticket]],Okey!A:B,2,0),"")</f>
        <v/>
      </c>
      <c r="K720" s="36" t="s">
        <v>6456</v>
      </c>
      <c r="M720" s="36" t="s">
        <v>8016</v>
      </c>
    </row>
    <row r="721" spans="1:13" hidden="1">
      <c r="A721" s="42">
        <f t="shared" si="11"/>
        <v>720</v>
      </c>
      <c r="B721" s="36" t="s">
        <v>6</v>
      </c>
      <c r="C721" s="36" t="s">
        <v>8718</v>
      </c>
      <c r="D721" s="9" t="s">
        <v>6435</v>
      </c>
      <c r="E721" s="9" t="s">
        <v>8846</v>
      </c>
      <c r="F721" s="9" t="s">
        <v>4861</v>
      </c>
      <c r="G721" s="36" t="s">
        <v>16</v>
      </c>
      <c r="H721" s="36" t="str">
        <f>IFERROR(VLOOKUP(Table2[[#This Row], [Ticket]],Okey!A:B,2,0),"")</f>
        <v/>
      </c>
      <c r="K721" s="36" t="s">
        <v>6456</v>
      </c>
      <c r="M721" s="36" t="s">
        <v>8016</v>
      </c>
    </row>
    <row r="722" spans="1:13" hidden="1">
      <c r="A722" s="42">
        <f t="shared" si="11"/>
        <v>721</v>
      </c>
      <c r="B722" s="36" t="s">
        <v>6</v>
      </c>
      <c r="C722" s="36" t="s">
        <v>8718</v>
      </c>
      <c r="D722" s="9" t="s">
        <v>6436</v>
      </c>
      <c r="E722" s="9" t="s">
        <v>8847</v>
      </c>
      <c r="F722" s="9" t="s">
        <v>4861</v>
      </c>
      <c r="G722" s="36" t="s">
        <v>16</v>
      </c>
      <c r="H722" s="36" t="str">
        <f>IFERROR(VLOOKUP(Table2[[#This Row], [Ticket]],Okey!A:B,2,0),"")</f>
        <v/>
      </c>
      <c r="K722" s="36" t="s">
        <v>6456</v>
      </c>
      <c r="M722" s="36" t="s">
        <v>8016</v>
      </c>
    </row>
    <row r="723" spans="1:13" hidden="1">
      <c r="A723" s="42">
        <f t="shared" si="11"/>
        <v>722</v>
      </c>
      <c r="B723" s="36" t="s">
        <v>6</v>
      </c>
      <c r="C723" s="36" t="s">
        <v>8718</v>
      </c>
      <c r="D723" s="9" t="s">
        <v>6437</v>
      </c>
      <c r="E723" s="9" t="s">
        <v>8848</v>
      </c>
      <c r="F723" s="9" t="s">
        <v>4861</v>
      </c>
      <c r="G723" s="36" t="s">
        <v>16</v>
      </c>
      <c r="H723" s="36" t="str">
        <f>IFERROR(VLOOKUP(Table2[[#This Row], [Ticket]],Okey!A:B,2,0),"")</f>
        <v/>
      </c>
      <c r="K723" s="36" t="s">
        <v>6456</v>
      </c>
      <c r="M723" s="36" t="s">
        <v>8016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8718</v>
      </c>
      <c r="D724" s="9" t="s">
        <v>4875</v>
      </c>
      <c r="E724" s="9" t="s">
        <v>8849</v>
      </c>
      <c r="F724" s="9" t="s">
        <v>2688</v>
      </c>
      <c r="G724" s="36" t="s">
        <v>16</v>
      </c>
      <c r="H724" s="36" t="str">
        <f>IFERROR(VLOOKUP(Table2[[#This Row], [Ticket]],Okey!A:B,2,0),"")</f>
        <v/>
      </c>
      <c r="K724" s="36" t="s">
        <v>6456</v>
      </c>
      <c r="M724" s="36" t="s">
        <v>8016</v>
      </c>
    </row>
    <row r="725" spans="1:13" hidden="1">
      <c r="A725" s="42">
        <f t="shared" si="12"/>
        <v>724</v>
      </c>
      <c r="B725" s="36" t="s">
        <v>6</v>
      </c>
      <c r="C725" s="36" t="s">
        <v>8718</v>
      </c>
      <c r="D725" s="9" t="s">
        <v>4877</v>
      </c>
      <c r="E725" s="9" t="s">
        <v>8850</v>
      </c>
      <c r="F725" s="9" t="s">
        <v>2688</v>
      </c>
      <c r="G725" s="36" t="s">
        <v>16</v>
      </c>
      <c r="H725" s="36" t="str">
        <f>IFERROR(VLOOKUP(Table2[[#This Row], [Ticket]],Okey!A:B,2,0),"")</f>
        <v/>
      </c>
      <c r="K725" s="36" t="s">
        <v>6456</v>
      </c>
      <c r="M725" s="36" t="s">
        <v>8016</v>
      </c>
    </row>
    <row r="726" spans="1:13" hidden="1">
      <c r="A726" s="42">
        <f t="shared" si="12"/>
        <v>725</v>
      </c>
      <c r="B726" s="36" t="s">
        <v>6</v>
      </c>
      <c r="C726" s="36" t="s">
        <v>8718</v>
      </c>
      <c r="D726" s="9" t="s">
        <v>4879</v>
      </c>
      <c r="E726" s="9" t="s">
        <v>8851</v>
      </c>
      <c r="F726" s="9" t="s">
        <v>2688</v>
      </c>
      <c r="G726" s="36" t="s">
        <v>16</v>
      </c>
      <c r="H726" s="36" t="str">
        <f>IFERROR(VLOOKUP(Table2[[#This Row], [Ticket]],Okey!A:B,2,0),"")</f>
        <v/>
      </c>
      <c r="K726" s="36" t="s">
        <v>6456</v>
      </c>
      <c r="M726" s="36" t="s">
        <v>8016</v>
      </c>
    </row>
    <row r="727" spans="1:13" hidden="1">
      <c r="A727" s="42">
        <f t="shared" si="12"/>
        <v>726</v>
      </c>
      <c r="B727" s="36" t="s">
        <v>6</v>
      </c>
      <c r="C727" s="36" t="s">
        <v>8718</v>
      </c>
      <c r="D727" s="9" t="s">
        <v>4921</v>
      </c>
      <c r="E727" s="9" t="s">
        <v>8852</v>
      </c>
      <c r="F727" s="9" t="s">
        <v>4861</v>
      </c>
      <c r="G727" s="36" t="s">
        <v>16</v>
      </c>
      <c r="H727" s="36" t="str">
        <f>IFERROR(VLOOKUP(Table2[[#This Row], [Ticket]],Okey!A:B,2,0),"")</f>
        <v/>
      </c>
      <c r="K727" s="36" t="s">
        <v>6456</v>
      </c>
      <c r="M727" s="36" t="s">
        <v>8016</v>
      </c>
    </row>
    <row r="728" spans="1:13" hidden="1">
      <c r="A728" s="42">
        <f t="shared" si="12"/>
        <v>727</v>
      </c>
      <c r="B728" s="36" t="s">
        <v>6</v>
      </c>
      <c r="C728" s="36" t="s">
        <v>8718</v>
      </c>
      <c r="D728" s="9" t="s">
        <v>4922</v>
      </c>
      <c r="E728" s="9" t="s">
        <v>8853</v>
      </c>
      <c r="F728" s="9" t="s">
        <v>4861</v>
      </c>
      <c r="G728" s="36" t="s">
        <v>16</v>
      </c>
      <c r="H728" s="36" t="str">
        <f>IFERROR(VLOOKUP(Table2[[#This Row], [Ticket]],Okey!A:B,2,0),"")</f>
        <v/>
      </c>
      <c r="K728" s="36" t="s">
        <v>6456</v>
      </c>
      <c r="M728" s="36" t="s">
        <v>8016</v>
      </c>
    </row>
    <row r="729" spans="1:13" hidden="1">
      <c r="A729" s="42">
        <f t="shared" si="12"/>
        <v>728</v>
      </c>
      <c r="B729" s="36" t="s">
        <v>6</v>
      </c>
      <c r="C729" s="36" t="s">
        <v>8718</v>
      </c>
      <c r="D729" s="9" t="s">
        <v>4923</v>
      </c>
      <c r="E729" s="9" t="s">
        <v>8854</v>
      </c>
      <c r="F729" s="9" t="s">
        <v>2688</v>
      </c>
      <c r="G729" s="36" t="s">
        <v>16</v>
      </c>
      <c r="H729" s="36" t="str">
        <f>IFERROR(VLOOKUP(Table2[[#This Row], [Ticket]],Okey!A:B,2,0),"")</f>
        <v/>
      </c>
      <c r="K729" s="36" t="s">
        <v>6456</v>
      </c>
      <c r="M729" s="36" t="s">
        <v>8016</v>
      </c>
    </row>
    <row r="730" spans="1:13" hidden="1">
      <c r="A730" s="42">
        <f t="shared" si="12"/>
        <v>729</v>
      </c>
      <c r="B730" s="36" t="s">
        <v>6</v>
      </c>
      <c r="C730" s="36" t="s">
        <v>8718</v>
      </c>
      <c r="D730" s="9" t="s">
        <v>4882</v>
      </c>
      <c r="E730" s="9" t="s">
        <v>8855</v>
      </c>
      <c r="F730" s="9" t="s">
        <v>4923</v>
      </c>
      <c r="G730" s="36" t="s">
        <v>16</v>
      </c>
      <c r="H730" s="36" t="str">
        <f>IFERROR(VLOOKUP(Table2[[#This Row], [Ticket]],Okey!A:B,2,0),"")</f>
        <v/>
      </c>
      <c r="K730" s="36" t="s">
        <v>6456</v>
      </c>
      <c r="M730" s="36" t="s">
        <v>8016</v>
      </c>
    </row>
    <row r="731" spans="1:13" hidden="1">
      <c r="A731" s="42">
        <f t="shared" si="12"/>
        <v>730</v>
      </c>
      <c r="B731" s="36" t="s">
        <v>6</v>
      </c>
      <c r="C731" s="36" t="s">
        <v>8718</v>
      </c>
      <c r="D731" s="9" t="s">
        <v>4924</v>
      </c>
      <c r="E731" s="9" t="s">
        <v>8856</v>
      </c>
      <c r="F731" s="9" t="s">
        <v>4923</v>
      </c>
      <c r="G731" s="36" t="s">
        <v>16</v>
      </c>
      <c r="H731" s="36" t="str">
        <f>IFERROR(VLOOKUP(Table2[[#This Row], [Ticket]],Okey!A:B,2,0),"")</f>
        <v/>
      </c>
      <c r="K731" s="36" t="s">
        <v>6456</v>
      </c>
      <c r="M731" s="36" t="s">
        <v>8016</v>
      </c>
    </row>
    <row r="732" spans="1:13" hidden="1">
      <c r="A732" s="42">
        <f t="shared" si="12"/>
        <v>731</v>
      </c>
      <c r="B732" s="36" t="s">
        <v>6</v>
      </c>
      <c r="C732" s="36" t="s">
        <v>8718</v>
      </c>
      <c r="D732" s="9" t="s">
        <v>4925</v>
      </c>
      <c r="E732" s="9" t="s">
        <v>8857</v>
      </c>
      <c r="F732" s="9" t="s">
        <v>2688</v>
      </c>
      <c r="G732" s="36" t="s">
        <v>16</v>
      </c>
      <c r="H732" s="36" t="str">
        <f>IFERROR(VLOOKUP(Table2[[#This Row], [Ticket]],Okey!A:B,2,0),"")</f>
        <v/>
      </c>
      <c r="K732" s="36" t="s">
        <v>6456</v>
      </c>
      <c r="M732" s="36" t="s">
        <v>8016</v>
      </c>
    </row>
    <row r="733" spans="1:13" hidden="1">
      <c r="A733" s="42">
        <f t="shared" si="12"/>
        <v>732</v>
      </c>
      <c r="B733" s="36" t="s">
        <v>6</v>
      </c>
      <c r="C733" s="36" t="s">
        <v>8718</v>
      </c>
      <c r="D733" s="9" t="s">
        <v>2144</v>
      </c>
      <c r="E733" s="9" t="s">
        <v>8858</v>
      </c>
      <c r="F733" s="9" t="s">
        <v>2142</v>
      </c>
      <c r="G733" s="36" t="s">
        <v>16</v>
      </c>
      <c r="H733" s="36" t="str">
        <f>IFERROR(VLOOKUP(Table2[[#This Row], [Ticket]],Okey!A:B,2,0),"")</f>
        <v/>
      </c>
      <c r="K733" s="36" t="s">
        <v>6456</v>
      </c>
      <c r="M733" s="36" t="s">
        <v>8016</v>
      </c>
    </row>
    <row r="734" spans="1:13" hidden="1">
      <c r="A734" s="42">
        <f t="shared" si="12"/>
        <v>733</v>
      </c>
      <c r="B734" s="36" t="s">
        <v>6</v>
      </c>
      <c r="C734" s="36" t="s">
        <v>8718</v>
      </c>
      <c r="D734" s="9" t="s">
        <v>3190</v>
      </c>
      <c r="E734" s="9" t="s">
        <v>8859</v>
      </c>
      <c r="F734" s="9" t="s">
        <v>2195</v>
      </c>
      <c r="G734" s="36" t="s">
        <v>16</v>
      </c>
      <c r="H734" s="36" t="str">
        <f>IFERROR(VLOOKUP(Table2[[#This Row], [Ticket]],Okey!A:B,2,0),"")</f>
        <v/>
      </c>
      <c r="K734" s="36" t="s">
        <v>6456</v>
      </c>
      <c r="M734" s="36" t="s">
        <v>8016</v>
      </c>
    </row>
    <row r="735" spans="1:13" hidden="1">
      <c r="A735" s="42">
        <f t="shared" si="12"/>
        <v>734</v>
      </c>
      <c r="B735" s="36" t="s">
        <v>6</v>
      </c>
      <c r="C735" s="36" t="s">
        <v>8718</v>
      </c>
      <c r="D735" s="9" t="s">
        <v>2197</v>
      </c>
      <c r="E735" s="9" t="s">
        <v>8860</v>
      </c>
      <c r="F735" s="9" t="s">
        <v>2190</v>
      </c>
      <c r="G735" s="36" t="s">
        <v>16</v>
      </c>
      <c r="H735" s="36" t="str">
        <f>IFERROR(VLOOKUP(Table2[[#This Row], [Ticket]],Okey!A:B,2,0),"")</f>
        <v/>
      </c>
      <c r="K735" s="36" t="s">
        <v>6456</v>
      </c>
      <c r="M735" s="36" t="s">
        <v>8016</v>
      </c>
    </row>
    <row r="736" spans="1:13" hidden="1">
      <c r="A736" s="42">
        <f t="shared" si="12"/>
        <v>735</v>
      </c>
      <c r="B736" s="36" t="s">
        <v>6</v>
      </c>
      <c r="C736" s="36" t="s">
        <v>8718</v>
      </c>
      <c r="D736" s="9" t="s">
        <v>2201</v>
      </c>
      <c r="E736" s="9" t="s">
        <v>8861</v>
      </c>
      <c r="F736" s="9" t="s">
        <v>8052</v>
      </c>
      <c r="G736" s="36" t="s">
        <v>16</v>
      </c>
      <c r="H736" s="36" t="str">
        <f>IFERROR(VLOOKUP(Table2[[#This Row], [Ticket]],Okey!A:B,2,0),"")</f>
        <v/>
      </c>
      <c r="K736" s="36" t="s">
        <v>6456</v>
      </c>
      <c r="M736" s="36" t="s">
        <v>8016</v>
      </c>
    </row>
    <row r="737" spans="1:13" hidden="1">
      <c r="A737" s="42">
        <f t="shared" si="12"/>
        <v>736</v>
      </c>
      <c r="B737" s="36" t="s">
        <v>6</v>
      </c>
      <c r="C737" s="36" t="s">
        <v>8718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/>
      </c>
      <c r="K737" s="36" t="s">
        <v>6456</v>
      </c>
      <c r="M737" s="36" t="s">
        <v>8016</v>
      </c>
    </row>
    <row r="738" spans="1:13" hidden="1">
      <c r="A738" s="42">
        <f t="shared" si="12"/>
        <v>737</v>
      </c>
      <c r="B738" s="36" t="s">
        <v>6</v>
      </c>
      <c r="C738" s="36" t="s">
        <v>8718</v>
      </c>
      <c r="D738" s="9" t="s">
        <v>2676</v>
      </c>
      <c r="F738" s="9" t="s">
        <v>8031</v>
      </c>
      <c r="G738" s="36" t="s">
        <v>13</v>
      </c>
      <c r="H738" s="36" t="str">
        <f>IFERROR(VLOOKUP(Table2[[#This Row], [Ticket]],Okey!A:B,2,0),"")</f>
        <v/>
      </c>
      <c r="K738" s="36" t="s">
        <v>6456</v>
      </c>
      <c r="M738" s="36" t="s">
        <v>8016</v>
      </c>
    </row>
    <row r="739" spans="1:13" hidden="1">
      <c r="A739" s="42">
        <f t="shared" si="12"/>
        <v>738</v>
      </c>
      <c r="B739" s="36" t="s">
        <v>6</v>
      </c>
      <c r="C739" s="36" t="s">
        <v>8718</v>
      </c>
      <c r="D739" s="9" t="s">
        <v>8862</v>
      </c>
      <c r="F739" s="9" t="s">
        <v>4626</v>
      </c>
      <c r="G739" s="36" t="s">
        <v>13</v>
      </c>
      <c r="H739" s="36" t="str">
        <f>IFERROR(VLOOKUP(Table2[[#This Row], [Ticket]],Okey!A:B,2,0),"")</f>
        <v/>
      </c>
      <c r="K739" s="36" t="s">
        <v>6456</v>
      </c>
      <c r="M739" s="36" t="s">
        <v>8016</v>
      </c>
    </row>
    <row r="740" spans="1:13" hidden="1">
      <c r="A740" s="42">
        <f t="shared" si="12"/>
        <v>739</v>
      </c>
      <c r="B740" s="36" t="s">
        <v>6</v>
      </c>
      <c r="C740" s="36" t="s">
        <v>8718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/>
      </c>
      <c r="K740" s="36" t="s">
        <v>6456</v>
      </c>
      <c r="M740" s="36" t="s">
        <v>8016</v>
      </c>
    </row>
    <row r="741" spans="1:13" hidden="1">
      <c r="A741" s="42">
        <f t="shared" si="12"/>
        <v>740</v>
      </c>
      <c r="B741" s="36" t="s">
        <v>6</v>
      </c>
      <c r="C741" s="36" t="s">
        <v>8718</v>
      </c>
      <c r="D741" s="9" t="s">
        <v>8863</v>
      </c>
      <c r="F741" s="9" t="s">
        <v>4626</v>
      </c>
      <c r="G741" s="36" t="s">
        <v>13</v>
      </c>
      <c r="H741" s="36" t="str">
        <f>IFERROR(VLOOKUP(Table2[[#This Row], [Ticket]],Okey!A:B,2,0),"")</f>
        <v/>
      </c>
      <c r="K741" s="36" t="s">
        <v>6456</v>
      </c>
      <c r="M741" s="36" t="s">
        <v>8016</v>
      </c>
    </row>
    <row r="742" spans="1:13" hidden="1">
      <c r="A742" s="42">
        <f t="shared" si="12"/>
        <v>741</v>
      </c>
      <c r="B742" s="36" t="s">
        <v>6</v>
      </c>
      <c r="C742" s="36" t="s">
        <v>8718</v>
      </c>
      <c r="D742" s="9" t="s">
        <v>2100</v>
      </c>
      <c r="F742" s="9" t="s">
        <v>8017</v>
      </c>
      <c r="G742" s="36" t="s">
        <v>13</v>
      </c>
      <c r="H742" s="36" t="str">
        <f>IFERROR(VLOOKUP(Table2[[#This Row], [Ticket]],Okey!A:B,2,0),"")</f>
        <v/>
      </c>
      <c r="K742" s="36" t="s">
        <v>6456</v>
      </c>
      <c r="M742" s="36" t="s">
        <v>8016</v>
      </c>
    </row>
    <row r="743" spans="1:13" hidden="1">
      <c r="A743" s="42">
        <f t="shared" si="12"/>
        <v>742</v>
      </c>
      <c r="B743" s="36" t="s">
        <v>6</v>
      </c>
      <c r="C743" s="36" t="s">
        <v>8718</v>
      </c>
      <c r="D743" s="9" t="s">
        <v>8039</v>
      </c>
      <c r="F743" s="9" t="s">
        <v>8038</v>
      </c>
      <c r="G743" s="36" t="s">
        <v>13</v>
      </c>
      <c r="H743" s="36" t="str">
        <f>IFERROR(VLOOKUP(Table2[[#This Row], [Ticket]],Okey!A:B,2,0),"")</f>
        <v/>
      </c>
      <c r="K743" s="36" t="s">
        <v>6456</v>
      </c>
      <c r="M743" s="36" t="s">
        <v>8016</v>
      </c>
    </row>
    <row r="744" spans="1:13" hidden="1">
      <c r="A744" s="42">
        <f t="shared" si="12"/>
        <v>743</v>
      </c>
      <c r="B744" s="36" t="s">
        <v>6</v>
      </c>
      <c r="C744" s="36" t="s">
        <v>8718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/>
      </c>
      <c r="K744" s="36" t="s">
        <v>6456</v>
      </c>
      <c r="M744" s="36" t="s">
        <v>8016</v>
      </c>
    </row>
    <row r="745" spans="1:13" hidden="1">
      <c r="A745" s="42">
        <f t="shared" si="12"/>
        <v>744</v>
      </c>
      <c r="B745" s="36" t="s">
        <v>6</v>
      </c>
      <c r="C745" s="36" t="s">
        <v>8718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/>
      </c>
      <c r="K745" s="36" t="s">
        <v>6456</v>
      </c>
      <c r="M745" s="36" t="s">
        <v>8016</v>
      </c>
    </row>
    <row r="746" spans="1:13" hidden="1">
      <c r="A746" s="42">
        <f t="shared" si="12"/>
        <v>745</v>
      </c>
      <c r="B746" s="36" t="s">
        <v>6</v>
      </c>
      <c r="C746" s="36" t="s">
        <v>8718</v>
      </c>
      <c r="D746" s="9" t="s">
        <v>2142</v>
      </c>
      <c r="F746" s="9" t="s">
        <v>8785</v>
      </c>
      <c r="G746" s="36" t="s">
        <v>13</v>
      </c>
      <c r="H746" s="36" t="str">
        <f>IFERROR(VLOOKUP(Table2[[#This Row], [Ticket]],Okey!A:B,2,0),"")</f>
        <v/>
      </c>
      <c r="K746" s="36" t="s">
        <v>6456</v>
      </c>
      <c r="M746" s="36" t="s">
        <v>8016</v>
      </c>
    </row>
    <row r="747" spans="1:13" hidden="1">
      <c r="A747" s="42">
        <f t="shared" si="12"/>
        <v>746</v>
      </c>
      <c r="B747" s="36" t="s">
        <v>6</v>
      </c>
      <c r="C747" s="36" t="s">
        <v>8718</v>
      </c>
      <c r="D747" s="9" t="s">
        <v>2190</v>
      </c>
      <c r="F747" s="9" t="s">
        <v>8052</v>
      </c>
      <c r="G747" s="36" t="s">
        <v>13</v>
      </c>
      <c r="H747" s="36" t="str">
        <f>IFERROR(VLOOKUP(Table2[[#This Row], [Ticket]],Okey!A:B,2,0),"")</f>
        <v/>
      </c>
      <c r="K747" s="36" t="s">
        <v>6456</v>
      </c>
      <c r="M747" s="36" t="s">
        <v>8016</v>
      </c>
    </row>
    <row r="748" spans="1:13" hidden="1">
      <c r="A748" s="42">
        <f t="shared" si="12"/>
        <v>747</v>
      </c>
      <c r="B748" s="36" t="s">
        <v>6</v>
      </c>
      <c r="C748" s="36" t="s">
        <v>8718</v>
      </c>
      <c r="D748" s="9" t="s">
        <v>2195</v>
      </c>
      <c r="F748" s="9" t="s">
        <v>8052</v>
      </c>
      <c r="G748" s="36" t="s">
        <v>13</v>
      </c>
      <c r="H748" s="36" t="str">
        <f>IFERROR(VLOOKUP(Table2[[#This Row], [Ticket]],Okey!A:B,2,0),"")</f>
        <v/>
      </c>
      <c r="K748" s="36" t="s">
        <v>6456</v>
      </c>
      <c r="M748" s="36" t="s">
        <v>8016</v>
      </c>
    </row>
    <row r="749" spans="1:13" hidden="1">
      <c r="A749" s="42">
        <f t="shared" si="12"/>
        <v>748</v>
      </c>
      <c r="B749" s="36" t="s">
        <v>6</v>
      </c>
      <c r="C749" s="36" t="s">
        <v>8718</v>
      </c>
      <c r="D749" s="9" t="s">
        <v>2199</v>
      </c>
      <c r="F749" s="9" t="s">
        <v>8052</v>
      </c>
      <c r="G749" s="36" t="s">
        <v>13</v>
      </c>
      <c r="H749" s="36" t="str">
        <f>IFERROR(VLOOKUP(Table2[[#This Row], [Ticket]],Okey!A:B,2,0),"")</f>
        <v/>
      </c>
      <c r="K749" s="36" t="s">
        <v>6456</v>
      </c>
      <c r="M749" s="36" t="s">
        <v>8016</v>
      </c>
    </row>
    <row r="750" spans="1:13" hidden="1">
      <c r="A750" s="42">
        <f t="shared" si="12"/>
        <v>749</v>
      </c>
      <c r="B750" s="36" t="s">
        <v>6</v>
      </c>
      <c r="C750" s="36" t="s">
        <v>8718</v>
      </c>
      <c r="D750" s="9" t="s">
        <v>2203</v>
      </c>
      <c r="F750" s="9" t="s">
        <v>8052</v>
      </c>
      <c r="G750" s="36" t="s">
        <v>13</v>
      </c>
      <c r="H750" s="36" t="str">
        <f>IFERROR(VLOOKUP(Table2[[#This Row], [Ticket]],Okey!A:B,2,0),"")</f>
        <v/>
      </c>
      <c r="K750" s="36" t="s">
        <v>6456</v>
      </c>
      <c r="M750" s="36" t="s">
        <v>8016</v>
      </c>
    </row>
    <row r="751" spans="1:13" hidden="1">
      <c r="A751" s="42">
        <f t="shared" si="12"/>
        <v>750</v>
      </c>
      <c r="B751" s="36" t="s">
        <v>6</v>
      </c>
      <c r="C751" s="36" t="s">
        <v>8718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/>
      </c>
      <c r="K751" s="36" t="s">
        <v>6456</v>
      </c>
      <c r="M751" s="36" t="s">
        <v>8016</v>
      </c>
    </row>
    <row r="752" spans="1:13" hidden="1">
      <c r="A752" s="42">
        <f t="shared" si="12"/>
        <v>751</v>
      </c>
      <c r="B752" s="36" t="s">
        <v>6</v>
      </c>
      <c r="C752" s="36" t="s">
        <v>8718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/>
      </c>
      <c r="K752" s="36" t="s">
        <v>6456</v>
      </c>
      <c r="M752" s="36" t="s">
        <v>8016</v>
      </c>
    </row>
    <row r="753" spans="1:13" hidden="1">
      <c r="A753" s="42">
        <f t="shared" si="12"/>
        <v>752</v>
      </c>
      <c r="B753" s="36" t="s">
        <v>6</v>
      </c>
      <c r="C753" s="36" t="s">
        <v>8718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/>
      </c>
      <c r="K753" s="36" t="s">
        <v>6456</v>
      </c>
      <c r="M753" s="36" t="s">
        <v>8016</v>
      </c>
    </row>
    <row r="754" spans="1:13" hidden="1">
      <c r="A754" s="42">
        <f t="shared" si="12"/>
        <v>753</v>
      </c>
      <c r="B754" s="36" t="s">
        <v>6</v>
      </c>
      <c r="C754" s="36" t="s">
        <v>8718</v>
      </c>
      <c r="D754" s="9" t="s">
        <v>8864</v>
      </c>
      <c r="F754" s="9" t="s">
        <v>2482</v>
      </c>
      <c r="G754" s="36" t="s">
        <v>13</v>
      </c>
      <c r="H754" s="36" t="str">
        <f>IFERROR(VLOOKUP(Table2[[#This Row], [Ticket]],Okey!A:B,2,0),"")</f>
        <v/>
      </c>
      <c r="K754" s="36" t="s">
        <v>6456</v>
      </c>
      <c r="M754" s="36" t="s">
        <v>8016</v>
      </c>
    </row>
    <row r="755" spans="1:13" hidden="1">
      <c r="A755" s="42">
        <f t="shared" si="12"/>
        <v>754</v>
      </c>
      <c r="B755" s="36" t="s">
        <v>6</v>
      </c>
      <c r="C755" s="36" t="s">
        <v>8718</v>
      </c>
      <c r="D755" s="9" t="s">
        <v>8865</v>
      </c>
      <c r="F755" s="9" t="s">
        <v>2509</v>
      </c>
      <c r="G755" s="36" t="s">
        <v>13</v>
      </c>
      <c r="H755" s="36" t="str">
        <f>IFERROR(VLOOKUP(Table2[[#This Row], [Ticket]],Okey!A:B,2,0),"")</f>
        <v/>
      </c>
      <c r="K755" s="36" t="s">
        <v>6456</v>
      </c>
      <c r="M755" s="36" t="s">
        <v>8016</v>
      </c>
    </row>
    <row r="756" spans="1:13" hidden="1">
      <c r="A756" s="42">
        <f t="shared" si="12"/>
        <v>755</v>
      </c>
      <c r="B756" s="36" t="s">
        <v>6</v>
      </c>
      <c r="C756" s="36" t="s">
        <v>8718</v>
      </c>
      <c r="D756" s="9" t="s">
        <v>8866</v>
      </c>
      <c r="F756" s="9" t="s">
        <v>2454</v>
      </c>
      <c r="G756" s="36" t="s">
        <v>13</v>
      </c>
      <c r="H756" s="36" t="str">
        <f>IFERROR(VLOOKUP(Table2[[#This Row], [Ticket]],Okey!A:B,2,0),"")</f>
        <v/>
      </c>
      <c r="K756" s="36" t="s">
        <v>6456</v>
      </c>
      <c r="M756" s="36" t="s">
        <v>8016</v>
      </c>
    </row>
    <row r="757" spans="1:13" hidden="1">
      <c r="A757" s="42">
        <f t="shared" si="12"/>
        <v>756</v>
      </c>
      <c r="B757" s="36" t="s">
        <v>6</v>
      </c>
      <c r="C757" s="36" t="s">
        <v>8718</v>
      </c>
      <c r="D757" s="9" t="s">
        <v>2446</v>
      </c>
      <c r="F757" s="9" t="s">
        <v>8047</v>
      </c>
      <c r="G757" s="36" t="s">
        <v>13</v>
      </c>
      <c r="H757" s="36" t="str">
        <f>IFERROR(VLOOKUP(Table2[[#This Row], [Ticket]],Okey!A:B,2,0),"")</f>
        <v/>
      </c>
      <c r="K757" s="36" t="s">
        <v>6456</v>
      </c>
      <c r="M757" s="36" t="s">
        <v>8016</v>
      </c>
    </row>
    <row r="758" spans="1:13" hidden="1">
      <c r="A758" s="42">
        <f t="shared" si="12"/>
        <v>757</v>
      </c>
      <c r="B758" s="36" t="s">
        <v>6</v>
      </c>
      <c r="C758" s="36" t="s">
        <v>8718</v>
      </c>
      <c r="D758" s="9" t="s">
        <v>2456</v>
      </c>
      <c r="F758" s="9" t="s">
        <v>8047</v>
      </c>
      <c r="G758" s="36" t="s">
        <v>13</v>
      </c>
      <c r="H758" s="36" t="str">
        <f>IFERROR(VLOOKUP(Table2[[#This Row], [Ticket]],Okey!A:B,2,0),"")</f>
        <v/>
      </c>
      <c r="K758" s="36" t="s">
        <v>6456</v>
      </c>
      <c r="M758" s="36" t="s">
        <v>8016</v>
      </c>
    </row>
    <row r="759" spans="1:13" hidden="1">
      <c r="A759" s="42">
        <f t="shared" si="12"/>
        <v>758</v>
      </c>
      <c r="B759" s="36" t="s">
        <v>6</v>
      </c>
      <c r="C759" s="36" t="s">
        <v>8718</v>
      </c>
      <c r="D759" s="9" t="s">
        <v>2501</v>
      </c>
      <c r="F759" s="9" t="s">
        <v>8047</v>
      </c>
      <c r="G759" s="36" t="s">
        <v>13</v>
      </c>
      <c r="H759" s="36" t="str">
        <f>IFERROR(VLOOKUP(Table2[[#This Row], [Ticket]],Okey!A:B,2,0),"")</f>
        <v/>
      </c>
      <c r="K759" s="36" t="s">
        <v>6456</v>
      </c>
      <c r="M759" s="36" t="s">
        <v>8016</v>
      </c>
    </row>
    <row r="760" spans="1:13" hidden="1">
      <c r="A760" s="42">
        <f t="shared" si="12"/>
        <v>759</v>
      </c>
      <c r="B760" s="36" t="s">
        <v>6</v>
      </c>
      <c r="C760" s="36" t="s">
        <v>8718</v>
      </c>
      <c r="D760" s="9" t="s">
        <v>2474</v>
      </c>
      <c r="F760" s="9" t="s">
        <v>8047</v>
      </c>
      <c r="G760" s="36" t="s">
        <v>13</v>
      </c>
      <c r="H760" s="36" t="str">
        <f>IFERROR(VLOOKUP(Table2[[#This Row], [Ticket]],Okey!A:B,2,0),"")</f>
        <v/>
      </c>
      <c r="K760" s="36" t="s">
        <v>6456</v>
      </c>
      <c r="M760" s="36" t="s">
        <v>8016</v>
      </c>
    </row>
    <row r="761" spans="1:13" hidden="1">
      <c r="A761" s="42">
        <f t="shared" si="12"/>
        <v>760</v>
      </c>
      <c r="B761" s="36" t="s">
        <v>6</v>
      </c>
      <c r="C761" s="36" t="s">
        <v>8718</v>
      </c>
      <c r="D761" s="9" t="s">
        <v>2484</v>
      </c>
      <c r="F761" s="9" t="s">
        <v>8047</v>
      </c>
      <c r="G761" s="36" t="s">
        <v>13</v>
      </c>
      <c r="H761" s="36" t="str">
        <f>IFERROR(VLOOKUP(Table2[[#This Row], [Ticket]],Okey!A:B,2,0),"")</f>
        <v/>
      </c>
      <c r="K761" s="36" t="s">
        <v>6456</v>
      </c>
      <c r="M761" s="36" t="s">
        <v>8016</v>
      </c>
    </row>
    <row r="762" spans="1:13" hidden="1">
      <c r="A762" s="42">
        <f t="shared" si="12"/>
        <v>761</v>
      </c>
      <c r="B762" s="36" t="s">
        <v>6</v>
      </c>
      <c r="C762" s="36" t="s">
        <v>8718</v>
      </c>
      <c r="D762" s="9" t="s">
        <v>2168</v>
      </c>
      <c r="F762" s="36" t="s">
        <v>275</v>
      </c>
      <c r="G762" s="9" t="s">
        <v>8552</v>
      </c>
      <c r="H762" s="36" t="str">
        <f>IFERROR(VLOOKUP(Table2[[#This Row], [Ticket]],Okey!A:B,2,0),"")</f>
        <v/>
      </c>
      <c r="I762" s="9" t="s">
        <v>7975</v>
      </c>
      <c r="M762" s="36" t="s">
        <v>8016</v>
      </c>
    </row>
    <row r="763" spans="1:13" hidden="1">
      <c r="A763" s="42">
        <f t="shared" si="12"/>
        <v>762</v>
      </c>
      <c r="B763" s="36" t="s">
        <v>6</v>
      </c>
      <c r="C763" s="36" t="s">
        <v>8718</v>
      </c>
      <c r="D763" s="9" t="s">
        <v>2018</v>
      </c>
      <c r="F763" s="36" t="s">
        <v>275</v>
      </c>
      <c r="G763" s="36" t="s">
        <v>8552</v>
      </c>
      <c r="H763" s="36" t="str">
        <f>IFERROR(VLOOKUP(Table2[[#This Row], [Ticket]],Okey!A:B,2,0),"")</f>
        <v/>
      </c>
      <c r="I763" s="36" t="s">
        <v>7975</v>
      </c>
      <c r="M763" s="36" t="s">
        <v>8016</v>
      </c>
    </row>
    <row r="764" spans="1:13" hidden="1">
      <c r="A764" s="42">
        <f t="shared" si="12"/>
        <v>763</v>
      </c>
      <c r="B764" s="36" t="s">
        <v>6</v>
      </c>
      <c r="C764" s="36" t="s">
        <v>8718</v>
      </c>
      <c r="D764" s="9" t="s">
        <v>2766</v>
      </c>
      <c r="F764" s="36" t="s">
        <v>275</v>
      </c>
      <c r="G764" s="36" t="s">
        <v>8552</v>
      </c>
      <c r="H764" s="36" t="str">
        <f>IFERROR(VLOOKUP(Table2[[#This Row], [Ticket]],Okey!A:B,2,0),"")</f>
        <v/>
      </c>
      <c r="I764" s="36" t="s">
        <v>7975</v>
      </c>
      <c r="M764" s="36" t="s">
        <v>8016</v>
      </c>
    </row>
    <row r="765" spans="1:13" hidden="1">
      <c r="A765" s="42">
        <f t="shared" si="12"/>
        <v>764</v>
      </c>
      <c r="B765" s="36" t="s">
        <v>6</v>
      </c>
      <c r="C765" s="36" t="s">
        <v>8718</v>
      </c>
      <c r="D765" s="9" t="s">
        <v>2768</v>
      </c>
      <c r="F765" s="36" t="s">
        <v>275</v>
      </c>
      <c r="G765" s="36" t="s">
        <v>8552</v>
      </c>
      <c r="H765" s="36" t="str">
        <f>IFERROR(VLOOKUP(Table2[[#This Row], [Ticket]],Okey!A:B,2,0),"")</f>
        <v/>
      </c>
      <c r="I765" s="36" t="s">
        <v>7975</v>
      </c>
      <c r="M765" s="36" t="s">
        <v>8016</v>
      </c>
    </row>
    <row r="766" spans="1:13" hidden="1">
      <c r="A766" s="42">
        <f t="shared" si="12"/>
        <v>765</v>
      </c>
      <c r="B766" s="36" t="s">
        <v>6</v>
      </c>
      <c r="C766" s="36" t="s">
        <v>8718</v>
      </c>
      <c r="D766" s="9" t="s">
        <v>2770</v>
      </c>
      <c r="F766" s="36" t="s">
        <v>275</v>
      </c>
      <c r="G766" s="36" t="s">
        <v>8552</v>
      </c>
      <c r="H766" s="36" t="str">
        <f>IFERROR(VLOOKUP(Table2[[#This Row], [Ticket]],Okey!A:B,2,0),"")</f>
        <v/>
      </c>
      <c r="I766" s="36" t="s">
        <v>7975</v>
      </c>
      <c r="M766" s="36" t="s">
        <v>8016</v>
      </c>
    </row>
    <row r="767" spans="1:13" hidden="1">
      <c r="A767" s="42">
        <f t="shared" si="12"/>
        <v>766</v>
      </c>
      <c r="B767" s="36" t="s">
        <v>6</v>
      </c>
      <c r="C767" s="36" t="s">
        <v>8718</v>
      </c>
      <c r="D767" s="9" t="s">
        <v>2772</v>
      </c>
      <c r="F767" s="36" t="s">
        <v>275</v>
      </c>
      <c r="G767" s="36" t="s">
        <v>8552</v>
      </c>
      <c r="H767" s="36" t="str">
        <f>IFERROR(VLOOKUP(Table2[[#This Row], [Ticket]],Okey!A:B,2,0),"")</f>
        <v/>
      </c>
      <c r="I767" s="36" t="s">
        <v>7975</v>
      </c>
      <c r="M767" s="36" t="s">
        <v>8016</v>
      </c>
    </row>
    <row r="768" spans="1:13" hidden="1">
      <c r="A768" s="42">
        <f t="shared" si="12"/>
        <v>767</v>
      </c>
      <c r="B768" s="36" t="s">
        <v>6</v>
      </c>
      <c r="C768" s="36" t="s">
        <v>8718</v>
      </c>
      <c r="D768" s="9" t="s">
        <v>2774</v>
      </c>
      <c r="F768" s="36" t="s">
        <v>275</v>
      </c>
      <c r="G768" s="36" t="s">
        <v>8552</v>
      </c>
      <c r="H768" s="36" t="str">
        <f>IFERROR(VLOOKUP(Table2[[#This Row], [Ticket]],Okey!A:B,2,0),"")</f>
        <v/>
      </c>
      <c r="I768" s="36" t="s">
        <v>7975</v>
      </c>
      <c r="M768" s="36" t="s">
        <v>8016</v>
      </c>
    </row>
    <row r="769" spans="1:13" hidden="1">
      <c r="A769" s="42">
        <f t="shared" si="12"/>
        <v>768</v>
      </c>
      <c r="B769" s="36" t="s">
        <v>6</v>
      </c>
      <c r="C769" s="36" t="s">
        <v>8718</v>
      </c>
      <c r="D769" s="9" t="s">
        <v>2776</v>
      </c>
      <c r="F769" s="36" t="s">
        <v>275</v>
      </c>
      <c r="G769" s="36" t="s">
        <v>8552</v>
      </c>
      <c r="H769" s="36" t="str">
        <f>IFERROR(VLOOKUP(Table2[[#This Row], [Ticket]],Okey!A:B,2,0),"")</f>
        <v/>
      </c>
      <c r="I769" s="36" t="s">
        <v>7975</v>
      </c>
      <c r="M769" s="36" t="s">
        <v>8016</v>
      </c>
    </row>
    <row r="770" spans="1:13" hidden="1">
      <c r="A770" s="42">
        <f t="shared" si="12"/>
        <v>769</v>
      </c>
      <c r="B770" s="36" t="s">
        <v>6</v>
      </c>
      <c r="C770" s="36" t="s">
        <v>8718</v>
      </c>
      <c r="D770" s="9" t="s">
        <v>2778</v>
      </c>
      <c r="F770" s="36" t="s">
        <v>275</v>
      </c>
      <c r="G770" s="36" t="s">
        <v>8552</v>
      </c>
      <c r="H770" s="36" t="str">
        <f>IFERROR(VLOOKUP(Table2[[#This Row], [Ticket]],Okey!A:B,2,0),"")</f>
        <v/>
      </c>
      <c r="I770" s="36" t="s">
        <v>7975</v>
      </c>
      <c r="M770" s="36" t="s">
        <v>8016</v>
      </c>
    </row>
    <row r="771" spans="1:13" hidden="1">
      <c r="A771" s="42">
        <f t="shared" si="12"/>
        <v>770</v>
      </c>
      <c r="B771" s="36" t="s">
        <v>6</v>
      </c>
      <c r="C771" s="36" t="s">
        <v>8718</v>
      </c>
      <c r="D771" s="9" t="s">
        <v>2780</v>
      </c>
      <c r="F771" s="36" t="s">
        <v>275</v>
      </c>
      <c r="G771" s="36" t="s">
        <v>8552</v>
      </c>
      <c r="H771" s="36" t="str">
        <f>IFERROR(VLOOKUP(Table2[[#This Row], [Ticket]],Okey!A:B,2,0),"")</f>
        <v/>
      </c>
      <c r="I771" s="36" t="s">
        <v>7975</v>
      </c>
      <c r="M771" s="36" t="s">
        <v>8016</v>
      </c>
    </row>
    <row r="772" spans="1:13" hidden="1">
      <c r="A772" s="42">
        <f t="shared" si="12"/>
        <v>771</v>
      </c>
      <c r="B772" s="36" t="s">
        <v>6</v>
      </c>
      <c r="C772" s="36" t="s">
        <v>8718</v>
      </c>
      <c r="D772" s="9" t="s">
        <v>2782</v>
      </c>
      <c r="F772" s="36" t="s">
        <v>275</v>
      </c>
      <c r="G772" s="36" t="s">
        <v>8552</v>
      </c>
      <c r="H772" s="36" t="str">
        <f>IFERROR(VLOOKUP(Table2[[#This Row], [Ticket]],Okey!A:B,2,0),"")</f>
        <v/>
      </c>
      <c r="I772" s="36" t="s">
        <v>7975</v>
      </c>
      <c r="M772" s="36" t="s">
        <v>8016</v>
      </c>
    </row>
    <row r="773" spans="1:13" hidden="1">
      <c r="A773" s="42">
        <f t="shared" si="12"/>
        <v>772</v>
      </c>
      <c r="B773" s="36" t="s">
        <v>6</v>
      </c>
      <c r="C773" s="36" t="s">
        <v>8718</v>
      </c>
      <c r="D773" s="9" t="s">
        <v>2784</v>
      </c>
      <c r="F773" s="36" t="s">
        <v>275</v>
      </c>
      <c r="G773" s="36" t="s">
        <v>8552</v>
      </c>
      <c r="H773" s="36" t="str">
        <f>IFERROR(VLOOKUP(Table2[[#This Row], [Ticket]],Okey!A:B,2,0),"")</f>
        <v/>
      </c>
      <c r="I773" s="36" t="s">
        <v>7975</v>
      </c>
      <c r="M773" s="36" t="s">
        <v>8016</v>
      </c>
    </row>
    <row r="774" spans="1:13" hidden="1">
      <c r="A774" s="42">
        <f t="shared" si="12"/>
        <v>773</v>
      </c>
      <c r="B774" s="36" t="s">
        <v>6</v>
      </c>
      <c r="C774" s="36" t="s">
        <v>8718</v>
      </c>
      <c r="D774" s="9" t="s">
        <v>4335</v>
      </c>
      <c r="F774" s="36" t="s">
        <v>275</v>
      </c>
      <c r="G774" s="36" t="s">
        <v>8552</v>
      </c>
      <c r="H774" s="36" t="str">
        <f>IFERROR(VLOOKUP(Table2[[#This Row], [Ticket]],Okey!A:B,2,0),"")</f>
        <v/>
      </c>
      <c r="I774" s="36" t="s">
        <v>7975</v>
      </c>
      <c r="M774" s="36" t="s">
        <v>8016</v>
      </c>
    </row>
    <row r="775" spans="1:13" hidden="1">
      <c r="A775" s="42">
        <f t="shared" si="12"/>
        <v>774</v>
      </c>
      <c r="B775" s="36" t="s">
        <v>6</v>
      </c>
      <c r="C775" s="36" t="s">
        <v>8718</v>
      </c>
      <c r="D775" s="9" t="s">
        <v>2998</v>
      </c>
      <c r="F775" s="36" t="s">
        <v>275</v>
      </c>
      <c r="G775" s="36" t="s">
        <v>8552</v>
      </c>
      <c r="H775" s="36" t="str">
        <f>IFERROR(VLOOKUP(Table2[[#This Row], [Ticket]],Okey!A:B,2,0),"")</f>
        <v/>
      </c>
      <c r="I775" s="36" t="s">
        <v>7975</v>
      </c>
      <c r="M775" s="36" t="s">
        <v>8016</v>
      </c>
    </row>
    <row r="776" spans="1:13" hidden="1">
      <c r="A776" s="42">
        <f t="shared" si="12"/>
        <v>775</v>
      </c>
      <c r="B776" s="36" t="s">
        <v>6</v>
      </c>
      <c r="C776" s="36" t="s">
        <v>8718</v>
      </c>
      <c r="D776" s="9" t="s">
        <v>3000</v>
      </c>
      <c r="F776" s="36" t="s">
        <v>275</v>
      </c>
      <c r="G776" s="36" t="s">
        <v>8552</v>
      </c>
      <c r="H776" s="36" t="str">
        <f>IFERROR(VLOOKUP(Table2[[#This Row], [Ticket]],Okey!A:B,2,0),"")</f>
        <v/>
      </c>
      <c r="I776" s="36" t="s">
        <v>7975</v>
      </c>
      <c r="M776" s="36" t="s">
        <v>8016</v>
      </c>
    </row>
    <row r="777" spans="1:13" hidden="1">
      <c r="A777" s="42">
        <f t="shared" si="12"/>
        <v>776</v>
      </c>
      <c r="B777" s="36" t="s">
        <v>6</v>
      </c>
      <c r="C777" s="36" t="s">
        <v>8718</v>
      </c>
      <c r="D777" s="9" t="s">
        <v>3002</v>
      </c>
      <c r="F777" s="36" t="s">
        <v>275</v>
      </c>
      <c r="G777" s="36" t="s">
        <v>8552</v>
      </c>
      <c r="H777" s="36" t="str">
        <f>IFERROR(VLOOKUP(Table2[[#This Row], [Ticket]],Okey!A:B,2,0),"")</f>
        <v/>
      </c>
      <c r="I777" s="36" t="s">
        <v>7975</v>
      </c>
      <c r="M777" s="36" t="s">
        <v>8016</v>
      </c>
    </row>
    <row r="778" spans="1:13" hidden="1">
      <c r="A778" s="42">
        <f t="shared" si="12"/>
        <v>777</v>
      </c>
      <c r="B778" s="36" t="s">
        <v>6</v>
      </c>
      <c r="C778" s="36" t="s">
        <v>8718</v>
      </c>
      <c r="D778" s="9" t="s">
        <v>3004</v>
      </c>
      <c r="F778" s="36" t="s">
        <v>275</v>
      </c>
      <c r="G778" s="36" t="s">
        <v>8552</v>
      </c>
      <c r="H778" s="36" t="str">
        <f>IFERROR(VLOOKUP(Table2[[#This Row], [Ticket]],Okey!A:B,2,0),"")</f>
        <v/>
      </c>
      <c r="I778" s="36" t="s">
        <v>7975</v>
      </c>
      <c r="M778" s="36" t="s">
        <v>8016</v>
      </c>
    </row>
    <row r="779" spans="1:13" hidden="1">
      <c r="A779" s="42">
        <f t="shared" si="12"/>
        <v>778</v>
      </c>
      <c r="B779" s="36" t="s">
        <v>6</v>
      </c>
      <c r="C779" s="36" t="s">
        <v>8718</v>
      </c>
      <c r="D779" s="9" t="s">
        <v>3006</v>
      </c>
      <c r="F779" s="36" t="s">
        <v>275</v>
      </c>
      <c r="G779" s="36" t="s">
        <v>8552</v>
      </c>
      <c r="H779" s="36" t="str">
        <f>IFERROR(VLOOKUP(Table2[[#This Row], [Ticket]],Okey!A:B,2,0),"")</f>
        <v/>
      </c>
      <c r="I779" s="36" t="s">
        <v>7975</v>
      </c>
      <c r="M779" s="36" t="s">
        <v>8016</v>
      </c>
    </row>
    <row r="780" spans="1:13" hidden="1">
      <c r="A780" s="42">
        <f t="shared" si="12"/>
        <v>779</v>
      </c>
      <c r="B780" s="36" t="s">
        <v>6</v>
      </c>
      <c r="C780" s="36" t="s">
        <v>8718</v>
      </c>
      <c r="D780" s="9" t="s">
        <v>3008</v>
      </c>
      <c r="F780" s="36" t="s">
        <v>275</v>
      </c>
      <c r="G780" s="36" t="s">
        <v>8552</v>
      </c>
      <c r="H780" s="36" t="str">
        <f>IFERROR(VLOOKUP(Table2[[#This Row], [Ticket]],Okey!A:B,2,0),"")</f>
        <v/>
      </c>
      <c r="I780" s="36" t="s">
        <v>7975</v>
      </c>
      <c r="M780" s="36" t="s">
        <v>8016</v>
      </c>
    </row>
    <row r="781" spans="1:13" hidden="1">
      <c r="A781" s="42">
        <f t="shared" si="12"/>
        <v>780</v>
      </c>
      <c r="B781" s="36" t="s">
        <v>6</v>
      </c>
      <c r="C781" s="36" t="s">
        <v>8718</v>
      </c>
      <c r="D781" s="9" t="s">
        <v>3010</v>
      </c>
      <c r="F781" s="36" t="s">
        <v>275</v>
      </c>
      <c r="G781" s="36" t="s">
        <v>8552</v>
      </c>
      <c r="H781" s="36" t="str">
        <f>IFERROR(VLOOKUP(Table2[[#This Row], [Ticket]],Okey!A:B,2,0),"")</f>
        <v/>
      </c>
      <c r="I781" s="36" t="s">
        <v>7975</v>
      </c>
      <c r="M781" s="36" t="s">
        <v>8016</v>
      </c>
    </row>
    <row r="782" spans="1:13" hidden="1">
      <c r="A782" s="42">
        <f t="shared" si="12"/>
        <v>781</v>
      </c>
      <c r="B782" s="36" t="s">
        <v>6</v>
      </c>
      <c r="C782" s="36" t="s">
        <v>8718</v>
      </c>
      <c r="D782" s="9" t="s">
        <v>3012</v>
      </c>
      <c r="F782" s="36" t="s">
        <v>275</v>
      </c>
      <c r="G782" s="36" t="s">
        <v>8552</v>
      </c>
      <c r="H782" s="36" t="str">
        <f>IFERROR(VLOOKUP(Table2[[#This Row], [Ticket]],Okey!A:B,2,0),"")</f>
        <v/>
      </c>
      <c r="I782" s="36" t="s">
        <v>7975</v>
      </c>
      <c r="M782" s="36" t="s">
        <v>8016</v>
      </c>
    </row>
    <row r="783" spans="1:13" hidden="1">
      <c r="A783" s="42">
        <f t="shared" si="12"/>
        <v>782</v>
      </c>
      <c r="B783" s="36" t="s">
        <v>6</v>
      </c>
      <c r="C783" s="36" t="s">
        <v>8718</v>
      </c>
      <c r="D783" s="9" t="s">
        <v>3014</v>
      </c>
      <c r="F783" s="36" t="s">
        <v>275</v>
      </c>
      <c r="G783" s="36" t="s">
        <v>8552</v>
      </c>
      <c r="H783" s="36" t="str">
        <f>IFERROR(VLOOKUP(Table2[[#This Row], [Ticket]],Okey!A:B,2,0),"")</f>
        <v/>
      </c>
      <c r="I783" s="36" t="s">
        <v>7975</v>
      </c>
      <c r="M783" s="36" t="s">
        <v>8016</v>
      </c>
    </row>
    <row r="784" spans="1:13" hidden="1">
      <c r="A784" s="42">
        <f t="shared" si="12"/>
        <v>783</v>
      </c>
      <c r="B784" s="36" t="s">
        <v>6</v>
      </c>
      <c r="C784" s="36" t="s">
        <v>8718</v>
      </c>
      <c r="D784" s="9" t="s">
        <v>2168</v>
      </c>
      <c r="F784" s="36" t="s">
        <v>275</v>
      </c>
      <c r="G784" s="36" t="s">
        <v>8552</v>
      </c>
      <c r="H784" s="36" t="str">
        <f>IFERROR(VLOOKUP(Table2[[#This Row], [Ticket]],Okey!A:B,2,0),"")</f>
        <v/>
      </c>
      <c r="I784" s="36" t="s">
        <v>7975</v>
      </c>
      <c r="M784" s="36" t="s">
        <v>8016</v>
      </c>
    </row>
    <row r="785" spans="1:13" hidden="1">
      <c r="A785" s="42">
        <f t="shared" si="12"/>
        <v>784</v>
      </c>
      <c r="B785" s="36" t="s">
        <v>6</v>
      </c>
      <c r="C785" s="36" t="s">
        <v>8718</v>
      </c>
      <c r="D785" s="9" t="s">
        <v>4228</v>
      </c>
      <c r="F785" s="36" t="s">
        <v>275</v>
      </c>
      <c r="G785" s="36" t="s">
        <v>8552</v>
      </c>
      <c r="H785" s="36" t="str">
        <f>IFERROR(VLOOKUP(Table2[[#This Row], [Ticket]],Okey!A:B,2,0),"")</f>
        <v/>
      </c>
      <c r="I785" s="36" t="s">
        <v>7975</v>
      </c>
      <c r="M785" s="36" t="s">
        <v>8016</v>
      </c>
    </row>
    <row r="786" spans="1:13" hidden="1">
      <c r="A786" s="42">
        <f t="shared" si="12"/>
        <v>785</v>
      </c>
      <c r="B786" s="36" t="s">
        <v>6</v>
      </c>
      <c r="C786" s="36" t="s">
        <v>8718</v>
      </c>
      <c r="D786" s="9" t="s">
        <v>2719</v>
      </c>
      <c r="F786" s="36" t="s">
        <v>275</v>
      </c>
      <c r="G786" s="36" t="s">
        <v>8552</v>
      </c>
      <c r="H786" s="36" t="str">
        <f>IFERROR(VLOOKUP(Table2[[#This Row], [Ticket]],Okey!A:B,2,0),"")</f>
        <v/>
      </c>
      <c r="I786" s="36" t="s">
        <v>7975</v>
      </c>
      <c r="M786" s="36" t="s">
        <v>8016</v>
      </c>
    </row>
    <row r="787" spans="1:13" hidden="1">
      <c r="A787" s="42">
        <f t="shared" si="12"/>
        <v>786</v>
      </c>
      <c r="B787" s="36" t="s">
        <v>6</v>
      </c>
      <c r="C787" s="36" t="s">
        <v>8718</v>
      </c>
      <c r="D787" s="9" t="s">
        <v>4656</v>
      </c>
      <c r="F787" s="36" t="s">
        <v>275</v>
      </c>
      <c r="G787" s="36" t="s">
        <v>8552</v>
      </c>
      <c r="H787" s="36" t="str">
        <f>IFERROR(VLOOKUP(Table2[[#This Row], [Ticket]],Okey!A:B,2,0),"")</f>
        <v/>
      </c>
      <c r="I787" s="36" t="s">
        <v>7975</v>
      </c>
      <c r="M787" s="36" t="s">
        <v>8016</v>
      </c>
    </row>
    <row r="788" spans="1:13" hidden="1">
      <c r="A788" s="42">
        <f t="shared" ref="A788:A845" si="13">1+A787</f>
        <v>787</v>
      </c>
      <c r="B788" s="36" t="s">
        <v>6</v>
      </c>
      <c r="C788" s="36" t="s">
        <v>8718</v>
      </c>
      <c r="D788" s="9" t="s">
        <v>2690</v>
      </c>
      <c r="F788" s="36" t="s">
        <v>275</v>
      </c>
      <c r="G788" s="36" t="s">
        <v>8552</v>
      </c>
      <c r="H788" s="36" t="str">
        <f>IFERROR(VLOOKUP(Table2[[#This Row], [Ticket]],Okey!A:B,2,0),"")</f>
        <v/>
      </c>
      <c r="I788" s="36" t="s">
        <v>7975</v>
      </c>
      <c r="M788" s="36" t="s">
        <v>8016</v>
      </c>
    </row>
    <row r="789" spans="1:13" hidden="1">
      <c r="A789" s="42">
        <f t="shared" si="13"/>
        <v>788</v>
      </c>
      <c r="B789" s="36" t="s">
        <v>6</v>
      </c>
      <c r="C789" s="36" t="s">
        <v>8718</v>
      </c>
      <c r="D789" s="9" t="s">
        <v>4725</v>
      </c>
      <c r="F789" s="36" t="s">
        <v>275</v>
      </c>
      <c r="G789" s="36" t="s">
        <v>8552</v>
      </c>
      <c r="H789" s="36" t="str">
        <f>IFERROR(VLOOKUP(Table2[[#This Row], [Ticket]],Okey!A:B,2,0),"")</f>
        <v/>
      </c>
      <c r="I789" s="36" t="s">
        <v>7975</v>
      </c>
      <c r="M789" s="36" t="s">
        <v>8016</v>
      </c>
    </row>
    <row r="790" spans="1:13" hidden="1">
      <c r="A790" s="42">
        <f t="shared" si="13"/>
        <v>789</v>
      </c>
      <c r="B790" s="36" t="s">
        <v>6</v>
      </c>
      <c r="C790" s="36" t="s">
        <v>8718</v>
      </c>
      <c r="D790" s="9" t="s">
        <v>4727</v>
      </c>
      <c r="F790" s="36" t="s">
        <v>275</v>
      </c>
      <c r="G790" s="36" t="s">
        <v>8552</v>
      </c>
      <c r="H790" s="36" t="str">
        <f>IFERROR(VLOOKUP(Table2[[#This Row], [Ticket]],Okey!A:B,2,0),"")</f>
        <v/>
      </c>
      <c r="I790" s="36" t="s">
        <v>7975</v>
      </c>
      <c r="M790" s="36" t="s">
        <v>8016</v>
      </c>
    </row>
    <row r="791" spans="1:13" hidden="1">
      <c r="A791" s="42">
        <f t="shared" si="13"/>
        <v>790</v>
      </c>
      <c r="B791" s="36" t="s">
        <v>6</v>
      </c>
      <c r="C791" s="36" t="s">
        <v>8718</v>
      </c>
      <c r="D791" s="9" t="s">
        <v>4729</v>
      </c>
      <c r="F791" s="36" t="s">
        <v>275</v>
      </c>
      <c r="G791" s="36" t="s">
        <v>8552</v>
      </c>
      <c r="H791" s="36" t="str">
        <f>IFERROR(VLOOKUP(Table2[[#This Row], [Ticket]],Okey!A:B,2,0),"")</f>
        <v/>
      </c>
      <c r="I791" s="36" t="s">
        <v>7975</v>
      </c>
      <c r="M791" s="36" t="s">
        <v>8016</v>
      </c>
    </row>
    <row r="792" spans="1:13" hidden="1">
      <c r="A792" s="42">
        <f t="shared" si="13"/>
        <v>791</v>
      </c>
      <c r="B792" s="36" t="s">
        <v>6</v>
      </c>
      <c r="C792" s="36" t="s">
        <v>8718</v>
      </c>
      <c r="D792" s="9" t="s">
        <v>4926</v>
      </c>
      <c r="F792" s="36" t="s">
        <v>275</v>
      </c>
      <c r="G792" s="36" t="s">
        <v>8552</v>
      </c>
      <c r="H792" s="36" t="str">
        <f>IFERROR(VLOOKUP(Table2[[#This Row], [Ticket]],Okey!A:B,2,0),"")</f>
        <v/>
      </c>
      <c r="I792" s="36" t="s">
        <v>7975</v>
      </c>
      <c r="M792" s="36" t="s">
        <v>8016</v>
      </c>
    </row>
    <row r="793" spans="1:13" hidden="1">
      <c r="A793" s="42">
        <f t="shared" si="13"/>
        <v>792</v>
      </c>
      <c r="B793" s="36" t="s">
        <v>6</v>
      </c>
      <c r="C793" s="36" t="s">
        <v>8718</v>
      </c>
      <c r="D793" s="9" t="s">
        <v>4884</v>
      </c>
      <c r="F793" s="36" t="s">
        <v>275</v>
      </c>
      <c r="G793" s="36" t="s">
        <v>8552</v>
      </c>
      <c r="H793" s="36" t="str">
        <f>IFERROR(VLOOKUP(Table2[[#This Row], [Ticket]],Okey!A:B,2,0),"")</f>
        <v/>
      </c>
      <c r="I793" s="36" t="s">
        <v>7975</v>
      </c>
      <c r="M793" s="36" t="s">
        <v>8016</v>
      </c>
    </row>
    <row r="794" spans="1:13" hidden="1">
      <c r="A794" s="42">
        <f t="shared" si="13"/>
        <v>793</v>
      </c>
      <c r="B794" s="36" t="s">
        <v>6</v>
      </c>
      <c r="C794" s="36" t="s">
        <v>8718</v>
      </c>
      <c r="D794" s="9" t="s">
        <v>8867</v>
      </c>
      <c r="F794" s="36" t="s">
        <v>275</v>
      </c>
      <c r="G794" s="36" t="s">
        <v>8552</v>
      </c>
      <c r="H794" s="36" t="str">
        <f>IFERROR(VLOOKUP(Table2[[#This Row], [Ticket]],Okey!A:B,2,0),"")</f>
        <v/>
      </c>
      <c r="I794" s="36" t="s">
        <v>7975</v>
      </c>
      <c r="M794" s="36" t="s">
        <v>8016</v>
      </c>
    </row>
    <row r="795" spans="1:13" hidden="1">
      <c r="A795" s="42">
        <f t="shared" si="13"/>
        <v>794</v>
      </c>
      <c r="B795" s="36" t="s">
        <v>6</v>
      </c>
      <c r="C795" s="36" t="s">
        <v>8718</v>
      </c>
      <c r="D795" s="9" t="s">
        <v>4865</v>
      </c>
      <c r="F795" s="36" t="s">
        <v>275</v>
      </c>
      <c r="G795" s="36" t="s">
        <v>8552</v>
      </c>
      <c r="H795" s="36" t="str">
        <f>IFERROR(VLOOKUP(Table2[[#This Row], [Ticket]],Okey!A:B,2,0),"")</f>
        <v/>
      </c>
      <c r="I795" s="36" t="s">
        <v>7975</v>
      </c>
      <c r="M795" s="36" t="s">
        <v>8016</v>
      </c>
    </row>
    <row r="796" spans="1:13" hidden="1">
      <c r="A796" s="42">
        <f t="shared" si="13"/>
        <v>795</v>
      </c>
      <c r="B796" s="36" t="s">
        <v>6</v>
      </c>
      <c r="C796" s="36" t="s">
        <v>8718</v>
      </c>
      <c r="D796" s="9" t="s">
        <v>4887</v>
      </c>
      <c r="F796" s="36" t="s">
        <v>275</v>
      </c>
      <c r="G796" s="36" t="s">
        <v>8552</v>
      </c>
      <c r="H796" s="36" t="str">
        <f>IFERROR(VLOOKUP(Table2[[#This Row], [Ticket]],Okey!A:B,2,0),"")</f>
        <v/>
      </c>
      <c r="I796" s="36" t="s">
        <v>7975</v>
      </c>
      <c r="M796" s="36" t="s">
        <v>8016</v>
      </c>
    </row>
    <row r="797" spans="1:13" hidden="1">
      <c r="A797" s="42">
        <f t="shared" si="13"/>
        <v>796</v>
      </c>
      <c r="B797" s="36" t="s">
        <v>6</v>
      </c>
      <c r="C797" s="36" t="s">
        <v>8718</v>
      </c>
      <c r="D797" s="9" t="s">
        <v>4889</v>
      </c>
      <c r="F797" s="36" t="s">
        <v>275</v>
      </c>
      <c r="G797" s="36" t="s">
        <v>8552</v>
      </c>
      <c r="H797" s="36" t="str">
        <f>IFERROR(VLOOKUP(Table2[[#This Row], [Ticket]],Okey!A:B,2,0),"")</f>
        <v/>
      </c>
      <c r="I797" s="36" t="s">
        <v>7975</v>
      </c>
      <c r="M797" s="36" t="s">
        <v>8016</v>
      </c>
    </row>
    <row r="798" spans="1:13" hidden="1">
      <c r="A798" s="42">
        <f t="shared" si="13"/>
        <v>797</v>
      </c>
      <c r="B798" s="36" t="s">
        <v>6</v>
      </c>
      <c r="C798" s="36" t="s">
        <v>8718</v>
      </c>
      <c r="D798" s="9" t="s">
        <v>4891</v>
      </c>
      <c r="F798" s="36" t="s">
        <v>275</v>
      </c>
      <c r="G798" s="36" t="s">
        <v>8552</v>
      </c>
      <c r="H798" s="36" t="str">
        <f>IFERROR(VLOOKUP(Table2[[#This Row], [Ticket]],Okey!A:B,2,0),"")</f>
        <v/>
      </c>
      <c r="I798" s="36" t="s">
        <v>7975</v>
      </c>
      <c r="M798" s="36" t="s">
        <v>8016</v>
      </c>
    </row>
    <row r="799" spans="1:13" hidden="1">
      <c r="A799" s="42">
        <f t="shared" si="13"/>
        <v>798</v>
      </c>
      <c r="B799" s="36" t="s">
        <v>6</v>
      </c>
      <c r="C799" s="36" t="s">
        <v>8718</v>
      </c>
      <c r="D799" s="9" t="s">
        <v>4893</v>
      </c>
      <c r="F799" s="36" t="s">
        <v>275</v>
      </c>
      <c r="G799" s="36" t="s">
        <v>8552</v>
      </c>
      <c r="H799" s="36" t="str">
        <f>IFERROR(VLOOKUP(Table2[[#This Row], [Ticket]],Okey!A:B,2,0),"")</f>
        <v/>
      </c>
      <c r="I799" s="36" t="s">
        <v>7975</v>
      </c>
      <c r="M799" s="36" t="s">
        <v>8016</v>
      </c>
    </row>
    <row r="800" spans="1:13" hidden="1">
      <c r="A800" s="42">
        <f t="shared" si="13"/>
        <v>799</v>
      </c>
      <c r="B800" s="36" t="s">
        <v>6</v>
      </c>
      <c r="C800" s="36" t="s">
        <v>8718</v>
      </c>
      <c r="D800" s="9" t="s">
        <v>4895</v>
      </c>
      <c r="F800" s="36" t="s">
        <v>275</v>
      </c>
      <c r="G800" s="36" t="s">
        <v>8552</v>
      </c>
      <c r="H800" s="36" t="str">
        <f>IFERROR(VLOOKUP(Table2[[#This Row], [Ticket]],Okey!A:B,2,0),"")</f>
        <v/>
      </c>
      <c r="I800" s="36" t="s">
        <v>7975</v>
      </c>
      <c r="M800" s="36" t="s">
        <v>8016</v>
      </c>
    </row>
    <row r="801" spans="1:13" hidden="1">
      <c r="A801" s="42">
        <f t="shared" si="13"/>
        <v>800</v>
      </c>
      <c r="B801" s="36" t="s">
        <v>6</v>
      </c>
      <c r="C801" s="36" t="s">
        <v>8718</v>
      </c>
      <c r="D801" s="9" t="s">
        <v>2443</v>
      </c>
      <c r="F801" s="36" t="s">
        <v>275</v>
      </c>
      <c r="G801" s="36" t="s">
        <v>8552</v>
      </c>
      <c r="H801" s="36" t="str">
        <f>IFERROR(VLOOKUP(Table2[[#This Row], [Ticket]],Okey!A:B,2,0),"")</f>
        <v/>
      </c>
      <c r="I801" s="36" t="s">
        <v>7975</v>
      </c>
      <c r="M801" s="36" t="s">
        <v>8016</v>
      </c>
    </row>
    <row r="802" spans="1:13" hidden="1">
      <c r="A802" s="42">
        <f t="shared" si="13"/>
        <v>801</v>
      </c>
      <c r="B802" s="36" t="s">
        <v>6</v>
      </c>
      <c r="C802" s="36" t="s">
        <v>8949</v>
      </c>
      <c r="D802" s="9" t="s">
        <v>8943</v>
      </c>
      <c r="E802" s="9" t="s">
        <v>8944</v>
      </c>
      <c r="F802" s="9" t="s">
        <v>7911</v>
      </c>
      <c r="G802" s="9" t="s">
        <v>14</v>
      </c>
      <c r="H802" s="36" t="str">
        <f>IFERROR(VLOOKUP(Table2[[#This Row], [Ticket]],Okey!A:B,2,0),"")</f>
        <v/>
      </c>
      <c r="I802" s="36" t="s">
        <v>7975</v>
      </c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8949</v>
      </c>
      <c r="D803" s="9" t="s">
        <v>8945</v>
      </c>
      <c r="E803" s="9" t="s">
        <v>8946</v>
      </c>
      <c r="F803" s="9" t="s">
        <v>7911</v>
      </c>
      <c r="G803" s="36" t="s">
        <v>14</v>
      </c>
      <c r="H803" s="36" t="str">
        <f>IFERROR(VLOOKUP(Table2[[#This Row], [Ticket]],Okey!A:B,2,0),"")</f>
        <v/>
      </c>
      <c r="I803" s="36" t="s">
        <v>7975</v>
      </c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8949</v>
      </c>
      <c r="D804" s="9" t="s">
        <v>8947</v>
      </c>
      <c r="E804" s="9" t="s">
        <v>8948</v>
      </c>
      <c r="F804" s="9" t="s">
        <v>7911</v>
      </c>
      <c r="G804" s="36" t="s">
        <v>14</v>
      </c>
      <c r="H804" s="36" t="str">
        <f>IFERROR(VLOOKUP(Table2[[#This Row], [Ticket]],Okey!A:B,2,0),"")</f>
        <v/>
      </c>
      <c r="I804" s="36" t="s">
        <v>7975</v>
      </c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8950</v>
      </c>
      <c r="D805" s="9" t="s">
        <v>8116</v>
      </c>
      <c r="F805" s="36" t="s">
        <v>275</v>
      </c>
      <c r="G805" s="36" t="s">
        <v>8552</v>
      </c>
      <c r="H805" s="36" t="str">
        <f>IFERROR(VLOOKUP(Table2[[#This Row], [Ticket]],Okey!A:B,2,0),"")</f>
        <v/>
      </c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8950</v>
      </c>
      <c r="D806" s="36" t="s">
        <v>8971</v>
      </c>
      <c r="E806" t="s">
        <v>8951</v>
      </c>
      <c r="F806" t="s">
        <v>8970</v>
      </c>
      <c r="G806" s="36" t="s">
        <v>14</v>
      </c>
      <c r="H806" s="36" t="str">
        <f>IFERROR(VLOOKUP(Table2[[#This Row], [Ticket]],Okey!A:B,2,0),"")</f>
        <v/>
      </c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8950</v>
      </c>
      <c r="D807" s="9" t="s">
        <v>8972</v>
      </c>
      <c r="E807" t="s">
        <v>8952</v>
      </c>
      <c r="F807" t="s">
        <v>8971</v>
      </c>
      <c r="G807" s="36" t="s">
        <v>14</v>
      </c>
      <c r="H807" s="36" t="str">
        <f>IFERROR(VLOOKUP(Table2[[#This Row], [Ticket]],Okey!A:B,2,0),"")</f>
        <v/>
      </c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8950</v>
      </c>
      <c r="D808" s="9" t="s">
        <v>8973</v>
      </c>
      <c r="E808" t="s">
        <v>8953</v>
      </c>
      <c r="F808" t="s">
        <v>8971</v>
      </c>
      <c r="G808" s="36" t="s">
        <v>14</v>
      </c>
      <c r="H808" s="36" t="str">
        <f>IFERROR(VLOOKUP(Table2[[#This Row], [Ticket]],Okey!A:B,2,0),"")</f>
        <v/>
      </c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8950</v>
      </c>
      <c r="D809" s="9" t="s">
        <v>8974</v>
      </c>
      <c r="E809" t="s">
        <v>8954</v>
      </c>
      <c r="F809" t="s">
        <v>8971</v>
      </c>
      <c r="G809" s="36" t="s">
        <v>14</v>
      </c>
      <c r="H809" s="36" t="str">
        <f>IFERROR(VLOOKUP(Table2[[#This Row], [Ticket]],Okey!A:B,2,0),"")</f>
        <v/>
      </c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8950</v>
      </c>
      <c r="D810" s="9" t="s">
        <v>8975</v>
      </c>
      <c r="E810" t="s">
        <v>8955</v>
      </c>
      <c r="F810" t="s">
        <v>8971</v>
      </c>
      <c r="G810" s="36" t="s">
        <v>14</v>
      </c>
      <c r="H810" s="36" t="str">
        <f>IFERROR(VLOOKUP(Table2[[#This Row], [Ticket]],Okey!A:B,2,0),"")</f>
        <v/>
      </c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8950</v>
      </c>
      <c r="D811" s="9" t="s">
        <v>8976</v>
      </c>
      <c r="E811" t="s">
        <v>8956</v>
      </c>
      <c r="F811" t="s">
        <v>8971</v>
      </c>
      <c r="G811" s="36" t="s">
        <v>14</v>
      </c>
      <c r="H811" s="36" t="str">
        <f>IFERROR(VLOOKUP(Table2[[#This Row], [Ticket]],Okey!A:B,2,0),"")</f>
        <v/>
      </c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8950</v>
      </c>
      <c r="D812" s="9" t="s">
        <v>8977</v>
      </c>
      <c r="E812" t="s">
        <v>8957</v>
      </c>
      <c r="F812" t="s">
        <v>8971</v>
      </c>
      <c r="G812" s="36" t="s">
        <v>14</v>
      </c>
      <c r="H812" s="36" t="str">
        <f>IFERROR(VLOOKUP(Table2[[#This Row], [Ticket]],Okey!A:B,2,0),"")</f>
        <v/>
      </c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8950</v>
      </c>
      <c r="D813" s="9" t="s">
        <v>8978</v>
      </c>
      <c r="E813" t="s">
        <v>8958</v>
      </c>
      <c r="F813" t="s">
        <v>8972</v>
      </c>
      <c r="G813" s="36" t="s">
        <v>14</v>
      </c>
      <c r="H813" s="36" t="str">
        <f>IFERROR(VLOOKUP(Table2[[#This Row], [Ticket]],Okey!A:B,2,0),"")</f>
        <v/>
      </c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8950</v>
      </c>
      <c r="D814" s="9" t="s">
        <v>8979</v>
      </c>
      <c r="E814" t="s">
        <v>8959</v>
      </c>
      <c r="F814" t="s">
        <v>8972</v>
      </c>
      <c r="G814" s="36" t="s">
        <v>14</v>
      </c>
      <c r="H814" s="36" t="str">
        <f>IFERROR(VLOOKUP(Table2[[#This Row], [Ticket]],Okey!A:B,2,0),"")</f>
        <v/>
      </c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8950</v>
      </c>
      <c r="D815" s="9" t="s">
        <v>8980</v>
      </c>
      <c r="E815" t="s">
        <v>8960</v>
      </c>
      <c r="F815" t="s">
        <v>8972</v>
      </c>
      <c r="G815" s="36" t="s">
        <v>14</v>
      </c>
      <c r="H815" s="36" t="str">
        <f>IFERROR(VLOOKUP(Table2[[#This Row], [Ticket]],Okey!A:B,2,0),"")</f>
        <v/>
      </c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8950</v>
      </c>
      <c r="D816" s="9" t="s">
        <v>8981</v>
      </c>
      <c r="E816" t="s">
        <v>8961</v>
      </c>
      <c r="F816" t="s">
        <v>8972</v>
      </c>
      <c r="G816" s="36" t="s">
        <v>14</v>
      </c>
      <c r="H816" s="36" t="str">
        <f>IFERROR(VLOOKUP(Table2[[#This Row], [Ticket]],Okey!A:B,2,0),"")</f>
        <v/>
      </c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8950</v>
      </c>
      <c r="D817" s="9" t="s">
        <v>8982</v>
      </c>
      <c r="E817" t="s">
        <v>8962</v>
      </c>
      <c r="F817" t="s">
        <v>8972</v>
      </c>
      <c r="G817" s="36" t="s">
        <v>14</v>
      </c>
      <c r="H817" s="36" t="str">
        <f>IFERROR(VLOOKUP(Table2[[#This Row], [Ticket]],Okey!A:B,2,0),"")</f>
        <v/>
      </c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8950</v>
      </c>
      <c r="D818" s="9" t="s">
        <v>8983</v>
      </c>
      <c r="E818" t="s">
        <v>8963</v>
      </c>
      <c r="F818" t="s">
        <v>8973</v>
      </c>
      <c r="G818" s="36" t="s">
        <v>14</v>
      </c>
      <c r="H818" s="36" t="str">
        <f>IFERROR(VLOOKUP(Table2[[#This Row], [Ticket]],Okey!A:B,2,0),"")</f>
        <v/>
      </c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8950</v>
      </c>
      <c r="D819" s="9" t="s">
        <v>8984</v>
      </c>
      <c r="E819" t="s">
        <v>8964</v>
      </c>
      <c r="F819" t="s">
        <v>8973</v>
      </c>
      <c r="G819" s="36" t="s">
        <v>14</v>
      </c>
      <c r="H819" s="36" t="str">
        <f>IFERROR(VLOOKUP(Table2[[#This Row], [Ticket]],Okey!A:B,2,0),"")</f>
        <v/>
      </c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8950</v>
      </c>
      <c r="D820" s="9" t="s">
        <v>8985</v>
      </c>
      <c r="E820" t="s">
        <v>8965</v>
      </c>
      <c r="F820" t="s">
        <v>8973</v>
      </c>
      <c r="G820" s="36" t="s">
        <v>14</v>
      </c>
      <c r="H820" s="36" t="str">
        <f>IFERROR(VLOOKUP(Table2[[#This Row], [Ticket]],Okey!A:B,2,0),"")</f>
        <v/>
      </c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8950</v>
      </c>
      <c r="D821" s="9" t="s">
        <v>8986</v>
      </c>
      <c r="E821" t="s">
        <v>8966</v>
      </c>
      <c r="F821" t="s">
        <v>8974</v>
      </c>
      <c r="G821" s="36" t="s">
        <v>14</v>
      </c>
      <c r="H821" s="36" t="str">
        <f>IFERROR(VLOOKUP(Table2[[#This Row], [Ticket]],Okey!A:B,2,0),"")</f>
        <v/>
      </c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8950</v>
      </c>
      <c r="D822" s="9" t="s">
        <v>8987</v>
      </c>
      <c r="E822" t="s">
        <v>8967</v>
      </c>
      <c r="F822" t="s">
        <v>8975</v>
      </c>
      <c r="G822" s="36" t="s">
        <v>14</v>
      </c>
      <c r="H822" s="36" t="str">
        <f>IFERROR(VLOOKUP(Table2[[#This Row], [Ticket]],Okey!A:B,2,0),"")</f>
        <v/>
      </c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8950</v>
      </c>
      <c r="D823" s="9" t="s">
        <v>8988</v>
      </c>
      <c r="E823" t="s">
        <v>8968</v>
      </c>
      <c r="F823" t="s">
        <v>8976</v>
      </c>
      <c r="G823" s="36" t="s">
        <v>14</v>
      </c>
      <c r="H823" s="36" t="str">
        <f>IFERROR(VLOOKUP(Table2[[#This Row], [Ticket]],Okey!A:B,2,0),"")</f>
        <v/>
      </c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8950</v>
      </c>
      <c r="D824" s="9" t="s">
        <v>8989</v>
      </c>
      <c r="E824" t="s">
        <v>8969</v>
      </c>
      <c r="F824" t="s">
        <v>8977</v>
      </c>
      <c r="G824" s="36" t="s">
        <v>14</v>
      </c>
      <c r="H824" s="36" t="str">
        <f>IFERROR(VLOOKUP(Table2[[#This Row], [Ticket]],Okey!A:B,2,0),"")</f>
        <v/>
      </c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8990</v>
      </c>
      <c r="D825" s="9" t="s">
        <v>8991</v>
      </c>
      <c r="F825" s="9" t="s">
        <v>8992</v>
      </c>
      <c r="G825" s="9" t="s">
        <v>13</v>
      </c>
      <c r="H825" s="36" t="str">
        <f>IFERROR(VLOOKUP(Table2[[#This Row], [Ticket]],Okey!A:B,2,0),"")</f>
        <v/>
      </c>
      <c r="M825" s="36" t="s">
        <v>4799</v>
      </c>
    </row>
    <row r="826" spans="1:13">
      <c r="A826" s="42">
        <f t="shared" si="13"/>
        <v>825</v>
      </c>
      <c r="B826" s="36" t="s">
        <v>6</v>
      </c>
      <c r="C826" s="36" t="s">
        <v>8990</v>
      </c>
      <c r="D826" s="9" t="s">
        <v>6476</v>
      </c>
      <c r="F826" s="9" t="s">
        <v>8992</v>
      </c>
      <c r="G826" s="36" t="s">
        <v>13</v>
      </c>
      <c r="H826" s="36" t="str">
        <f>IFERROR(VLOOKUP(Table2[[#This Row], [Ticket]],Okey!A:B,2,0),"")</f>
        <v/>
      </c>
      <c r="K826" s="9" t="s">
        <v>6567</v>
      </c>
      <c r="M826" s="36" t="s">
        <v>4799</v>
      </c>
    </row>
    <row r="827" spans="1:13">
      <c r="A827" s="42">
        <f t="shared" si="13"/>
        <v>826</v>
      </c>
      <c r="B827" s="36" t="s">
        <v>6</v>
      </c>
      <c r="C827" s="36" t="s">
        <v>8990</v>
      </c>
      <c r="D827" s="9" t="s">
        <v>5550</v>
      </c>
      <c r="F827" s="9" t="s">
        <v>8992</v>
      </c>
      <c r="G827" s="36" t="s">
        <v>13</v>
      </c>
      <c r="H827" s="36" t="str">
        <f>IFERROR(VLOOKUP(Table2[[#This Row], [Ticket]],Okey!A:B,2,0),"")</f>
        <v/>
      </c>
      <c r="K827" s="36" t="s">
        <v>6567</v>
      </c>
      <c r="M827" s="36" t="s">
        <v>4799</v>
      </c>
    </row>
    <row r="828" spans="1:13">
      <c r="A828" s="42">
        <f t="shared" si="13"/>
        <v>827</v>
      </c>
      <c r="B828" s="36" t="s">
        <v>6</v>
      </c>
      <c r="C828" s="9" t="s">
        <v>8993</v>
      </c>
      <c r="D828" s="9" t="s">
        <v>8994</v>
      </c>
      <c r="F828" s="9" t="s">
        <v>8995</v>
      </c>
      <c r="G828" s="36" t="s">
        <v>13</v>
      </c>
      <c r="H828" s="36" t="str">
        <f>IFERROR(VLOOKUP(Table2[[#This Row], [Ticket]],Okey!A:B,2,0),"")</f>
        <v/>
      </c>
      <c r="K828" s="36" t="s">
        <v>6567</v>
      </c>
      <c r="M828" s="36" t="s">
        <v>4799</v>
      </c>
    </row>
    <row r="829" spans="1:13">
      <c r="A829" s="42">
        <f t="shared" si="13"/>
        <v>828</v>
      </c>
      <c r="B829" s="36" t="s">
        <v>6</v>
      </c>
      <c r="C829" s="9" t="s">
        <v>8997</v>
      </c>
      <c r="D829" s="70" t="s">
        <v>8996</v>
      </c>
      <c r="F829" t="s">
        <v>8597</v>
      </c>
      <c r="G829" s="36" t="s">
        <v>13</v>
      </c>
      <c r="H829" s="36" t="str">
        <f>IFERROR(VLOOKUP(Table2[[#This Row], [Ticket]],Okey!A:B,2,0),"")</f>
        <v/>
      </c>
      <c r="K829" s="36" t="s">
        <v>6567</v>
      </c>
      <c r="M829" s="36" t="s">
        <v>4799</v>
      </c>
    </row>
    <row r="830" spans="1:13">
      <c r="A830" s="42">
        <f t="shared" si="13"/>
        <v>829</v>
      </c>
      <c r="B830" s="36" t="s">
        <v>6</v>
      </c>
      <c r="C830" s="9" t="s">
        <v>8997</v>
      </c>
      <c r="D830" t="s">
        <v>8600</v>
      </c>
      <c r="F830" s="9" t="s">
        <v>6029</v>
      </c>
      <c r="G830" s="9" t="s">
        <v>8552</v>
      </c>
      <c r="H830" s="36" t="str">
        <f>IFERROR(VLOOKUP(Table2[[#This Row], [Ticket]],Okey!A:B,2,0),"")</f>
        <v/>
      </c>
      <c r="K830" s="36" t="s">
        <v>6567</v>
      </c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9005</v>
      </c>
      <c r="D831" s="9" t="s">
        <v>4807</v>
      </c>
      <c r="E831" s="9" t="s">
        <v>8998</v>
      </c>
      <c r="G831" s="9" t="s">
        <v>15</v>
      </c>
      <c r="H831" s="36" t="str">
        <f>IFERROR(VLOOKUP(Table2[[#This Row], [Ticket]],Okey!A:B,2,0),"")</f>
        <v/>
      </c>
      <c r="K831" s="36" t="s">
        <v>6456</v>
      </c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9005</v>
      </c>
      <c r="D832" s="9" t="s">
        <v>4809</v>
      </c>
      <c r="E832" s="9" t="s">
        <v>8999</v>
      </c>
      <c r="G832" s="36" t="s">
        <v>15</v>
      </c>
      <c r="H832" s="36" t="str">
        <f>IFERROR(VLOOKUP(Table2[[#This Row], [Ticket]],Okey!A:B,2,0),"")</f>
        <v/>
      </c>
      <c r="K832" s="36" t="s">
        <v>6456</v>
      </c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9005</v>
      </c>
      <c r="D833" s="9" t="s">
        <v>4811</v>
      </c>
      <c r="E833" s="9" t="s">
        <v>9000</v>
      </c>
      <c r="G833" s="36" t="s">
        <v>15</v>
      </c>
      <c r="H833" s="36" t="str">
        <f>IFERROR(VLOOKUP(Table2[[#This Row], [Ticket]],Okey!A:B,2,0),"")</f>
        <v/>
      </c>
      <c r="K833" s="36" t="s">
        <v>6456</v>
      </c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9005</v>
      </c>
      <c r="D834" s="9" t="s">
        <v>4813</v>
      </c>
      <c r="E834" s="9" t="s">
        <v>9001</v>
      </c>
      <c r="G834" s="36" t="s">
        <v>15</v>
      </c>
      <c r="H834" s="36" t="str">
        <f>IFERROR(VLOOKUP(Table2[[#This Row], [Ticket]],Okey!A:B,2,0),"")</f>
        <v/>
      </c>
      <c r="K834" s="36" t="s">
        <v>6456</v>
      </c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9005</v>
      </c>
      <c r="D835" s="9" t="s">
        <v>4816</v>
      </c>
      <c r="E835" s="9" t="s">
        <v>9002</v>
      </c>
      <c r="G835" s="36" t="s">
        <v>15</v>
      </c>
      <c r="H835" s="36" t="str">
        <f>IFERROR(VLOOKUP(Table2[[#This Row], [Ticket]],Okey!A:B,2,0),"")</f>
        <v/>
      </c>
      <c r="K835" s="36" t="s">
        <v>6456</v>
      </c>
      <c r="M835" s="36" t="s">
        <v>4778</v>
      </c>
    </row>
    <row r="836" spans="1:13">
      <c r="A836" s="42">
        <f t="shared" si="13"/>
        <v>835</v>
      </c>
      <c r="B836" s="36" t="s">
        <v>6</v>
      </c>
      <c r="C836" s="36" t="s">
        <v>9005</v>
      </c>
      <c r="D836" s="9" t="s">
        <v>9004</v>
      </c>
      <c r="F836" s="9" t="s">
        <v>275</v>
      </c>
      <c r="G836" s="9" t="s">
        <v>8552</v>
      </c>
      <c r="H836" s="36" t="str">
        <f>IFERROR(VLOOKUP(Table2[[#This Row], [Ticket]],Okey!A:B,2,0),"")</f>
        <v/>
      </c>
      <c r="K836" s="9" t="s">
        <v>9003</v>
      </c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9008</v>
      </c>
      <c r="D837" s="9" t="s">
        <v>9006</v>
      </c>
      <c r="F837" s="9" t="s">
        <v>9007</v>
      </c>
      <c r="G837" s="9" t="s">
        <v>13</v>
      </c>
      <c r="H837" s="36" t="str">
        <f>IFERROR(VLOOKUP(Table2[[#This Row], [Ticket]],Okey!A:B,2,0),"")</f>
        <v/>
      </c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9008</v>
      </c>
      <c r="D838" s="70" t="s">
        <v>8169</v>
      </c>
      <c r="F838" t="s">
        <v>1277</v>
      </c>
      <c r="G838" s="36" t="s">
        <v>13</v>
      </c>
      <c r="H838" s="36" t="str">
        <f>IFERROR(VLOOKUP(Table2[[#This Row], [Ticket]],Okey!A:B,2,0),"")</f>
        <v/>
      </c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9009</v>
      </c>
      <c r="D839" s="38" t="s">
        <v>1290</v>
      </c>
      <c r="E839" s="38" t="s">
        <v>9010</v>
      </c>
      <c r="G839" s="36" t="s">
        <v>15</v>
      </c>
      <c r="H839" s="36" t="str">
        <f>IFERROR(VLOOKUP(Table2[[#This Row], [Ticket]],Okey!A:B,2,0),"")</f>
        <v/>
      </c>
      <c r="M839" s="36" t="s">
        <v>4799</v>
      </c>
    </row>
    <row r="840" spans="1:13">
      <c r="A840" s="42">
        <f t="shared" si="13"/>
        <v>839</v>
      </c>
      <c r="B840" s="36" t="s">
        <v>6</v>
      </c>
      <c r="C840" s="9" t="s">
        <v>9013</v>
      </c>
      <c r="D840" s="9" t="s">
        <v>7606</v>
      </c>
      <c r="F840" s="9" t="s">
        <v>7606</v>
      </c>
      <c r="G840" s="9" t="s">
        <v>13</v>
      </c>
      <c r="H840" s="36" t="str">
        <f>IFERROR(VLOOKUP(Table2[[#This Row], [Ticket]],Okey!A:B,2,0),"")</f>
        <v/>
      </c>
      <c r="M840" s="9" t="s">
        <v>8016</v>
      </c>
    </row>
    <row r="841" spans="1:13">
      <c r="A841" s="42">
        <f t="shared" si="13"/>
        <v>840</v>
      </c>
      <c r="B841" s="36" t="s">
        <v>6</v>
      </c>
      <c r="C841" s="36" t="s">
        <v>9013</v>
      </c>
      <c r="D841" s="9" t="s">
        <v>9011</v>
      </c>
      <c r="F841" s="9" t="s">
        <v>9011</v>
      </c>
      <c r="G841" s="36" t="s">
        <v>13</v>
      </c>
      <c r="H841" s="36" t="str">
        <f>IFERROR(VLOOKUP(Table2[[#This Row], [Ticket]],Okey!A:B,2,0),"")</f>
        <v/>
      </c>
      <c r="M841" s="36" t="s">
        <v>8016</v>
      </c>
    </row>
    <row r="842" spans="1:13">
      <c r="A842" s="42">
        <f t="shared" si="13"/>
        <v>841</v>
      </c>
      <c r="B842" s="36" t="s">
        <v>6</v>
      </c>
      <c r="C842" s="36" t="s">
        <v>9013</v>
      </c>
      <c r="D842" s="9" t="s">
        <v>9011</v>
      </c>
      <c r="F842" s="9" t="s">
        <v>9011</v>
      </c>
      <c r="G842" s="36" t="s">
        <v>13</v>
      </c>
      <c r="H842" s="36" t="str">
        <f>IFERROR(VLOOKUP(Table2[[#This Row], [Ticket]],Okey!A:B,2,0),"")</f>
        <v/>
      </c>
      <c r="M842" s="36" t="s">
        <v>8016</v>
      </c>
    </row>
    <row r="843" spans="1:13">
      <c r="A843" s="42">
        <f t="shared" si="13"/>
        <v>842</v>
      </c>
      <c r="B843" s="36" t="s">
        <v>6</v>
      </c>
      <c r="C843" s="36" t="s">
        <v>9013</v>
      </c>
      <c r="D843" s="9" t="s">
        <v>9012</v>
      </c>
      <c r="F843" s="9" t="s">
        <v>9012</v>
      </c>
      <c r="G843" s="36" t="s">
        <v>13</v>
      </c>
      <c r="H843" s="36" t="str">
        <f>IFERROR(VLOOKUP(Table2[[#This Row], [Ticket]],Okey!A:B,2,0),"")</f>
        <v/>
      </c>
      <c r="M843" s="36" t="s">
        <v>8016</v>
      </c>
    </row>
    <row r="844" spans="1:13">
      <c r="A844" s="42">
        <f t="shared" si="13"/>
        <v>843</v>
      </c>
      <c r="B844" s="36" t="s">
        <v>6</v>
      </c>
      <c r="C844" s="36" t="s">
        <v>9013</v>
      </c>
      <c r="D844" s="9" t="s">
        <v>9011</v>
      </c>
      <c r="F844" s="9" t="s">
        <v>9011</v>
      </c>
      <c r="G844" s="36" t="s">
        <v>13</v>
      </c>
      <c r="H844" s="36" t="str">
        <f>IFERROR(VLOOKUP(Table2[[#This Row], [Ticket]],Okey!A:B,2,0),"")</f>
        <v/>
      </c>
      <c r="M844" s="36" t="s">
        <v>8016</v>
      </c>
    </row>
    <row r="845" spans="1:13">
      <c r="A845" s="42">
        <f t="shared" si="13"/>
        <v>844</v>
      </c>
      <c r="B845" s="36" t="s">
        <v>6</v>
      </c>
      <c r="C845" s="36" t="s">
        <v>9013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/>
      </c>
      <c r="M845" s="36" t="s">
        <v>8016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#N/A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#N/A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#N/A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#N/A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#N/A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#N/A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95"/>
  <sheetViews>
    <sheetView topLeftCell="A293" workbookViewId="0">
      <selection activeCell="B295" sqref="B295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6622</v>
      </c>
      <c r="B263" s="36" t="s">
        <v>86</v>
      </c>
    </row>
    <row r="264" spans="1:2">
      <c r="A264" s="5" t="s">
        <v>6628</v>
      </c>
      <c r="B264" s="36" t="s">
        <v>86</v>
      </c>
    </row>
    <row r="265" spans="1:2">
      <c r="A265" s="5" t="s">
        <v>6631</v>
      </c>
      <c r="B265" s="36" t="s">
        <v>86</v>
      </c>
    </row>
    <row r="266" spans="1:2">
      <c r="A266" s="5" t="s">
        <v>6632</v>
      </c>
      <c r="B266" s="36" t="s">
        <v>86</v>
      </c>
    </row>
    <row r="267" spans="1:2">
      <c r="A267" s="5" t="s">
        <v>6638</v>
      </c>
      <c r="B267" s="36" t="s">
        <v>86</v>
      </c>
    </row>
    <row r="268" spans="1:2">
      <c r="A268" s="5" t="s">
        <v>6639</v>
      </c>
      <c r="B268" s="36" t="s">
        <v>86</v>
      </c>
    </row>
    <row r="269" spans="1:2">
      <c r="A269" s="5" t="s">
        <v>6649</v>
      </c>
      <c r="B269" s="36" t="s">
        <v>86</v>
      </c>
    </row>
    <row r="270" spans="1:2">
      <c r="A270" s="5" t="s">
        <v>6654</v>
      </c>
      <c r="B270" s="36" t="s">
        <v>86</v>
      </c>
    </row>
    <row r="271" spans="1:2">
      <c r="A271" s="5" t="s">
        <v>6658</v>
      </c>
      <c r="B271" s="36" t="s">
        <v>86</v>
      </c>
    </row>
    <row r="272" spans="1:2">
      <c r="A272" s="5" t="s">
        <v>6709</v>
      </c>
      <c r="B272" s="36" t="s">
        <v>86</v>
      </c>
    </row>
    <row r="273" spans="1:2">
      <c r="A273" s="5" t="s">
        <v>6716</v>
      </c>
      <c r="B273" s="36" t="s">
        <v>86</v>
      </c>
    </row>
    <row r="274" spans="1:2">
      <c r="A274" s="5" t="s">
        <v>6724</v>
      </c>
      <c r="B274" s="36" t="s">
        <v>86</v>
      </c>
    </row>
    <row r="275" spans="1:2">
      <c r="A275" s="5" t="s">
        <v>6729</v>
      </c>
      <c r="B275" s="36" t="s">
        <v>86</v>
      </c>
    </row>
    <row r="276" spans="1:2">
      <c r="A276" s="5" t="s">
        <v>6733</v>
      </c>
      <c r="B276" s="36" t="s">
        <v>86</v>
      </c>
    </row>
    <row r="277" spans="1:2">
      <c r="A277" s="5" t="s">
        <v>7582</v>
      </c>
      <c r="B277" s="36" t="s">
        <v>86</v>
      </c>
    </row>
    <row r="278" spans="1:2">
      <c r="A278" s="5" t="s">
        <v>7587</v>
      </c>
      <c r="B278" s="36" t="s">
        <v>86</v>
      </c>
    </row>
    <row r="279" spans="1:2">
      <c r="A279" s="46" t="s">
        <v>7626</v>
      </c>
      <c r="B279" s="36" t="s">
        <v>86</v>
      </c>
    </row>
    <row r="280" spans="1:2">
      <c r="A280" s="46" t="s">
        <v>7678</v>
      </c>
      <c r="B280" s="36" t="s">
        <v>86</v>
      </c>
    </row>
    <row r="281" spans="1:2">
      <c r="A281" s="46" t="s">
        <v>7753</v>
      </c>
      <c r="B281" s="36" t="s">
        <v>86</v>
      </c>
    </row>
    <row r="282" spans="1:2">
      <c r="A282" s="46" t="s">
        <v>7755</v>
      </c>
      <c r="B282" s="36" t="s">
        <v>86</v>
      </c>
    </row>
    <row r="283" spans="1:2">
      <c r="A283" s="46" t="s">
        <v>7879</v>
      </c>
      <c r="B283" s="36" t="s">
        <v>86</v>
      </c>
    </row>
    <row r="284" spans="1:2">
      <c r="A284" s="46" t="s">
        <v>7881</v>
      </c>
      <c r="B284" s="36" t="s">
        <v>86</v>
      </c>
    </row>
    <row r="285" spans="1:2">
      <c r="A285" s="5" t="s">
        <v>7158</v>
      </c>
      <c r="B285" s="36" t="s">
        <v>86</v>
      </c>
    </row>
    <row r="286" spans="1:2">
      <c r="A286" s="5" t="s">
        <v>7160</v>
      </c>
      <c r="B286" s="36" t="s">
        <v>86</v>
      </c>
    </row>
    <row r="287" spans="1:2">
      <c r="A287" s="47" t="s">
        <v>7907</v>
      </c>
      <c r="B287" s="36" t="s">
        <v>86</v>
      </c>
    </row>
    <row r="288" spans="1:2">
      <c r="A288" s="5" t="s">
        <v>7912</v>
      </c>
      <c r="B288" s="36" t="s">
        <v>86</v>
      </c>
    </row>
    <row r="289" spans="1:2">
      <c r="A289" s="5" t="s">
        <v>7978</v>
      </c>
      <c r="B289" s="36" t="s">
        <v>86</v>
      </c>
    </row>
    <row r="290" spans="1:2">
      <c r="A290" s="5" t="s">
        <v>7979</v>
      </c>
      <c r="B290" s="36" t="s">
        <v>86</v>
      </c>
    </row>
    <row r="291" spans="1:2">
      <c r="A291" s="47" t="s">
        <v>7910</v>
      </c>
      <c r="B291" s="36" t="s">
        <v>86</v>
      </c>
    </row>
    <row r="292" spans="1:2">
      <c r="A292" s="5" t="s">
        <v>7944</v>
      </c>
      <c r="B292" s="36" t="s">
        <v>86</v>
      </c>
    </row>
    <row r="293" spans="1:2">
      <c r="A293" s="5" t="s">
        <v>7947</v>
      </c>
      <c r="B293" s="36" t="s">
        <v>86</v>
      </c>
    </row>
    <row r="294" spans="1:2">
      <c r="A294" s="5" t="s">
        <v>8128</v>
      </c>
      <c r="B294" s="36" t="s">
        <v>86</v>
      </c>
    </row>
    <row r="295" spans="1:2">
      <c r="A295" s="47" t="s">
        <v>8067</v>
      </c>
      <c r="B295" s="36" t="s">
        <v>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STUCT1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2026-02-10T21:43:08Z</dcterms:modified>
</cp:coreProperties>
</file>